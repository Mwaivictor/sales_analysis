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C:\Users\Admin\Desktop\datascience\sales\sales_push\"/>
    </mc:Choice>
  </mc:AlternateContent>
  <xr:revisionPtr revIDLastSave="0" documentId="13_ncr:1_{42222B20-8490-49C4-8B7C-CC55450E61F8}" xr6:coauthVersionLast="47" xr6:coauthVersionMax="47" xr10:uidLastSave="{00000000-0000-0000-0000-000000000000}"/>
  <bookViews>
    <workbookView xWindow="-110" yWindow="-110" windowWidth="19420" windowHeight="10300" firstSheet="10" activeTab="11" xr2:uid="{00000000-000D-0000-FFFF-FFFF00000000}"/>
  </bookViews>
  <sheets>
    <sheet name="original_data" sheetId="1" r:id="rId1"/>
    <sheet name="ReadMe" sheetId="16" state="hidden" r:id="rId2"/>
    <sheet name="Brief" sheetId="2" r:id="rId3"/>
    <sheet name="clean_data" sheetId="3" r:id="rId4"/>
    <sheet name="scenario modeling" sheetId="9" r:id="rId5"/>
    <sheet name="lead_proxy" sheetId="8" r:id="rId6"/>
    <sheet name="sales" sheetId="6" r:id="rId7"/>
    <sheet name="Quantiles" sheetId="4" r:id="rId8"/>
    <sheet name="Cohort_analysis" sheetId="5" r:id="rId9"/>
    <sheet name="price_compliance" sheetId="15" r:id="rId10"/>
    <sheet name="channelmix" sheetId="7" r:id="rId11"/>
    <sheet name="Dashboard" sheetId="10" r:id="rId12"/>
    <sheet name="ABC_analysis" sheetId="14" r:id="rId13"/>
  </sheets>
  <definedNames>
    <definedName name="_xlnm._FilterDatabase" localSheetId="5" hidden="1">lead_proxy!$A$17:$A$25</definedName>
    <definedName name="_xlnm._FilterDatabase" localSheetId="6" hidden="1">sales!$A$1:$A$17</definedName>
    <definedName name="_xlchart.v1.0" hidden="1">clean_data!$AA$1</definedName>
    <definedName name="_xlchart.v1.1" hidden="1">clean_data!$AA$2:$AA$633</definedName>
    <definedName name="Slicer_Channel">#N/A</definedName>
    <definedName name="Slicer_Country">#N/A</definedName>
    <definedName name="Slicer_months">#N/A</definedName>
    <definedName name="Slicer_ProductCategory">#N/A</definedName>
    <definedName name="Slicer_Region">#N/A</definedName>
    <definedName name="Slicer_Salesperson">#N/A</definedName>
  </definedNames>
  <calcPr calcId="191029"/>
  <pivotCaches>
    <pivotCache cacheId="0" r:id="rId14"/>
    <pivotCache cacheId="1"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3" l="1"/>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H12" i="6"/>
  <c r="G12" i="6"/>
  <c r="K12" i="6" s="1"/>
  <c r="F12" i="6"/>
  <c r="J12" i="6" s="1"/>
  <c r="D12" i="6"/>
  <c r="E12" i="6" s="1"/>
  <c r="C12" i="6"/>
  <c r="B12" i="6"/>
  <c r="A1" i="6" a="1"/>
  <c r="A1" i="6" s="1"/>
  <c r="A12" i="15" a="1"/>
  <c r="A12" i="15" s="1"/>
  <c r="G4" i="15"/>
  <c r="H4" i="15"/>
  <c r="I4" i="15"/>
  <c r="J4" i="15"/>
  <c r="G5" i="15"/>
  <c r="H5" i="15"/>
  <c r="I5" i="15" s="1"/>
  <c r="J5" i="15"/>
  <c r="G6" i="15"/>
  <c r="H6" i="15"/>
  <c r="I6" i="15"/>
  <c r="J6" i="15"/>
  <c r="G7" i="15"/>
  <c r="H7" i="15"/>
  <c r="I7" i="15" s="1"/>
  <c r="J7" i="15"/>
  <c r="G8" i="15"/>
  <c r="H8" i="15"/>
  <c r="I8" i="15"/>
  <c r="J8" i="15"/>
  <c r="G9" i="15"/>
  <c r="H9" i="15"/>
  <c r="I9" i="15" s="1"/>
  <c r="J9" i="15"/>
  <c r="G10" i="15"/>
  <c r="H10" i="15"/>
  <c r="I10" i="15"/>
  <c r="J10" i="15"/>
  <c r="G11" i="15"/>
  <c r="H11" i="15"/>
  <c r="I11" i="15" s="1"/>
  <c r="J11" i="15"/>
  <c r="G12" i="15"/>
  <c r="H12" i="15"/>
  <c r="I12" i="15" s="1"/>
  <c r="J12" i="15"/>
  <c r="G13" i="15"/>
  <c r="H13" i="15"/>
  <c r="I13" i="15" s="1"/>
  <c r="J13" i="15"/>
  <c r="G14" i="15"/>
  <c r="H14" i="15"/>
  <c r="I14" i="15" s="1"/>
  <c r="J14" i="15"/>
  <c r="G15" i="15"/>
  <c r="H15" i="15"/>
  <c r="I15" i="15" s="1"/>
  <c r="J15" i="15"/>
  <c r="G16" i="15"/>
  <c r="H16" i="15"/>
  <c r="I16" i="15" s="1"/>
  <c r="J16" i="15"/>
  <c r="G17" i="15"/>
  <c r="H17" i="15"/>
  <c r="I17" i="15" s="1"/>
  <c r="J17" i="15"/>
  <c r="G18" i="15"/>
  <c r="H18" i="15"/>
  <c r="I18" i="15" s="1"/>
  <c r="J18" i="15"/>
  <c r="B4" i="15"/>
  <c r="C4" i="15"/>
  <c r="D4" i="15" s="1"/>
  <c r="B5" i="15"/>
  <c r="C5" i="15"/>
  <c r="D5" i="15"/>
  <c r="B6" i="15"/>
  <c r="C6" i="15"/>
  <c r="D6" i="15" s="1"/>
  <c r="B7" i="15"/>
  <c r="C7" i="15"/>
  <c r="D7" i="15" s="1"/>
  <c r="J10" i="14"/>
  <c r="K10" i="14"/>
  <c r="L10" i="14"/>
  <c r="M10" i="14"/>
  <c r="J3" i="14"/>
  <c r="M3" i="14" s="1"/>
  <c r="K3" i="14"/>
  <c r="L3" i="14"/>
  <c r="J4" i="14"/>
  <c r="M4" i="14" s="1"/>
  <c r="K4" i="14"/>
  <c r="L4" i="14"/>
  <c r="J5" i="14"/>
  <c r="M5" i="14" s="1"/>
  <c r="K5" i="14"/>
  <c r="L5" i="14"/>
  <c r="J6" i="14"/>
  <c r="M6" i="14" s="1"/>
  <c r="K6" i="14"/>
  <c r="L6" i="14"/>
  <c r="J7" i="14"/>
  <c r="M7" i="14" s="1"/>
  <c r="K7" i="14"/>
  <c r="L7" i="14"/>
  <c r="J8" i="14"/>
  <c r="M8" i="14" s="1"/>
  <c r="K8" i="14"/>
  <c r="L8" i="14"/>
  <c r="J9" i="14"/>
  <c r="M9" i="14" s="1"/>
  <c r="K9" i="14"/>
  <c r="L9" i="14"/>
  <c r="G2" i="14"/>
  <c r="G3" i="14"/>
  <c r="G4" i="14"/>
  <c r="G5" i="14"/>
  <c r="G6" i="14"/>
  <c r="G7" i="14"/>
  <c r="G8" i="14"/>
  <c r="G9" i="14"/>
  <c r="G10" i="14"/>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G110" i="14"/>
  <c r="G111" i="14"/>
  <c r="G112" i="14"/>
  <c r="G113" i="14"/>
  <c r="G114" i="14"/>
  <c r="G115" i="14"/>
  <c r="G116" i="14"/>
  <c r="G117" i="14"/>
  <c r="G118" i="14"/>
  <c r="G119" i="14"/>
  <c r="G120" i="14"/>
  <c r="G121" i="14"/>
  <c r="G122" i="14"/>
  <c r="G123" i="14"/>
  <c r="G124" i="14"/>
  <c r="G125" i="14"/>
  <c r="G126" i="14"/>
  <c r="G127" i="14"/>
  <c r="G128" i="14"/>
  <c r="G129" i="14"/>
  <c r="G130" i="14"/>
  <c r="G131" i="14"/>
  <c r="G132" i="14"/>
  <c r="G133" i="14"/>
  <c r="G134" i="14"/>
  <c r="G135" i="14"/>
  <c r="G136" i="14"/>
  <c r="G137" i="14"/>
  <c r="G138" i="14"/>
  <c r="G139" i="14"/>
  <c r="G140" i="14"/>
  <c r="G141" i="14"/>
  <c r="G142" i="14"/>
  <c r="G143" i="14"/>
  <c r="G144" i="14"/>
  <c r="G145" i="14"/>
  <c r="G146" i="14"/>
  <c r="G147" i="14"/>
  <c r="G148" i="14"/>
  <c r="G149" i="14"/>
  <c r="G150" i="14"/>
  <c r="G151" i="14"/>
  <c r="G152" i="14"/>
  <c r="G153" i="14"/>
  <c r="G154" i="14"/>
  <c r="G155" i="14"/>
  <c r="G156" i="14"/>
  <c r="G157" i="14"/>
  <c r="G158" i="14"/>
  <c r="G159" i="14"/>
  <c r="G160" i="14"/>
  <c r="G161" i="14"/>
  <c r="G162" i="14"/>
  <c r="G163" i="14"/>
  <c r="G164" i="14"/>
  <c r="G165" i="14"/>
  <c r="G166" i="14"/>
  <c r="G167" i="14"/>
  <c r="G168" i="14"/>
  <c r="G169" i="14"/>
  <c r="G170" i="14"/>
  <c r="G171" i="14"/>
  <c r="G172" i="14"/>
  <c r="G173" i="14"/>
  <c r="G174" i="14"/>
  <c r="G175" i="14"/>
  <c r="G176" i="14"/>
  <c r="G177" i="14"/>
  <c r="G178" i="14"/>
  <c r="G179" i="14"/>
  <c r="G180" i="14"/>
  <c r="G181" i="14"/>
  <c r="G182" i="14"/>
  <c r="G183" i="14"/>
  <c r="G184" i="14"/>
  <c r="G185" i="14"/>
  <c r="G186" i="14"/>
  <c r="G187" i="14"/>
  <c r="G188" i="14"/>
  <c r="G189" i="14"/>
  <c r="G190" i="14"/>
  <c r="G191" i="14"/>
  <c r="G192" i="14"/>
  <c r="G193" i="14"/>
  <c r="G194" i="14"/>
  <c r="G195" i="14"/>
  <c r="G196" i="14"/>
  <c r="G197" i="14"/>
  <c r="G198" i="14"/>
  <c r="G199" i="14"/>
  <c r="G200" i="14"/>
  <c r="G201" i="14"/>
  <c r="G202" i="14"/>
  <c r="G203" i="14"/>
  <c r="G204" i="14"/>
  <c r="G205" i="14"/>
  <c r="G206" i="14"/>
  <c r="G207" i="14"/>
  <c r="G208" i="14"/>
  <c r="G209" i="14"/>
  <c r="G210" i="14"/>
  <c r="G211" i="14"/>
  <c r="G212" i="14"/>
  <c r="G213" i="14"/>
  <c r="G214" i="14"/>
  <c r="G215" i="14"/>
  <c r="G216" i="14"/>
  <c r="G217" i="14"/>
  <c r="G218" i="14"/>
  <c r="G219" i="14"/>
  <c r="G220" i="14"/>
  <c r="G221" i="14"/>
  <c r="G222" i="14"/>
  <c r="G223" i="14"/>
  <c r="G224" i="14"/>
  <c r="G225" i="14"/>
  <c r="G226" i="14"/>
  <c r="G227" i="14"/>
  <c r="G228" i="14"/>
  <c r="G229" i="14"/>
  <c r="G230" i="14"/>
  <c r="G231" i="14"/>
  <c r="G232" i="14"/>
  <c r="G233" i="14"/>
  <c r="G234" i="14"/>
  <c r="G235" i="14"/>
  <c r="G236" i="14"/>
  <c r="G237" i="14"/>
  <c r="G238" i="14"/>
  <c r="G239" i="14"/>
  <c r="G240" i="14"/>
  <c r="G241" i="14"/>
  <c r="G242" i="14"/>
  <c r="G243" i="14"/>
  <c r="G244" i="14"/>
  <c r="G245" i="14"/>
  <c r="G246" i="14"/>
  <c r="G247" i="14"/>
  <c r="G248" i="14"/>
  <c r="G249" i="14"/>
  <c r="G250" i="14"/>
  <c r="G251" i="14"/>
  <c r="G252" i="14"/>
  <c r="G253" i="14"/>
  <c r="G254" i="14"/>
  <c r="G255" i="14"/>
  <c r="G256" i="14"/>
  <c r="G257" i="14"/>
  <c r="G258" i="14"/>
  <c r="G259" i="14"/>
  <c r="G260" i="14"/>
  <c r="G261" i="14"/>
  <c r="G262" i="14"/>
  <c r="G263" i="14"/>
  <c r="G264" i="14"/>
  <c r="G265" i="14"/>
  <c r="G266" i="14"/>
  <c r="G267" i="14"/>
  <c r="G268" i="14"/>
  <c r="G269" i="14"/>
  <c r="G270" i="14"/>
  <c r="G271" i="14"/>
  <c r="G272" i="14"/>
  <c r="G273" i="14"/>
  <c r="G274" i="14"/>
  <c r="G275" i="14"/>
  <c r="G276" i="14"/>
  <c r="G277" i="14"/>
  <c r="G278" i="14"/>
  <c r="G279" i="14"/>
  <c r="G280" i="14"/>
  <c r="G281" i="14"/>
  <c r="G282" i="14"/>
  <c r="G283" i="14"/>
  <c r="G284" i="14"/>
  <c r="G285" i="14"/>
  <c r="G286" i="14"/>
  <c r="G287" i="14"/>
  <c r="G288" i="14"/>
  <c r="G289" i="14"/>
  <c r="G290" i="14"/>
  <c r="G291" i="14"/>
  <c r="G292" i="14"/>
  <c r="G293" i="14"/>
  <c r="G294" i="14"/>
  <c r="G295" i="14"/>
  <c r="G296" i="14"/>
  <c r="G297" i="14"/>
  <c r="G298" i="14"/>
  <c r="G299" i="14"/>
  <c r="G300" i="14"/>
  <c r="G301" i="14"/>
  <c r="G302" i="14"/>
  <c r="G303" i="14"/>
  <c r="G304" i="14"/>
  <c r="G305" i="14"/>
  <c r="G306" i="14"/>
  <c r="G307" i="14"/>
  <c r="G308" i="14"/>
  <c r="G309" i="14"/>
  <c r="G310" i="14"/>
  <c r="G311" i="14"/>
  <c r="G312" i="14"/>
  <c r="G313" i="14"/>
  <c r="G314" i="14"/>
  <c r="G315" i="14"/>
  <c r="G316" i="14"/>
  <c r="G317" i="14"/>
  <c r="G318" i="14"/>
  <c r="G319" i="14"/>
  <c r="G320" i="14"/>
  <c r="G321" i="14"/>
  <c r="G322" i="14"/>
  <c r="G323" i="14"/>
  <c r="G324" i="14"/>
  <c r="G325" i="14"/>
  <c r="G326" i="14"/>
  <c r="G327" i="14"/>
  <c r="G328" i="14"/>
  <c r="G329" i="14"/>
  <c r="G330" i="14"/>
  <c r="G331" i="14"/>
  <c r="G332" i="14"/>
  <c r="G333" i="14"/>
  <c r="G334" i="14"/>
  <c r="G335" i="14"/>
  <c r="G336" i="14"/>
  <c r="G337" i="14"/>
  <c r="G338" i="14"/>
  <c r="G339" i="14"/>
  <c r="G340" i="14"/>
  <c r="G341" i="14"/>
  <c r="G342" i="14"/>
  <c r="G343" i="14"/>
  <c r="G344" i="14"/>
  <c r="G345" i="14"/>
  <c r="G346" i="14"/>
  <c r="G347" i="14"/>
  <c r="G348" i="14"/>
  <c r="G349" i="14"/>
  <c r="G350" i="14"/>
  <c r="G351" i="14"/>
  <c r="G352" i="14"/>
  <c r="G353" i="14"/>
  <c r="G354" i="14"/>
  <c r="G355" i="14"/>
  <c r="G356" i="14"/>
  <c r="G357" i="14"/>
  <c r="G358" i="14"/>
  <c r="G359" i="14"/>
  <c r="G360" i="14"/>
  <c r="G361" i="14"/>
  <c r="G362" i="14"/>
  <c r="G363" i="14"/>
  <c r="G364" i="14"/>
  <c r="G365" i="14"/>
  <c r="G366" i="14"/>
  <c r="G367" i="14"/>
  <c r="G368" i="14"/>
  <c r="G369" i="14"/>
  <c r="G370" i="14"/>
  <c r="G371" i="14"/>
  <c r="G372" i="14"/>
  <c r="G373" i="14"/>
  <c r="G374" i="14"/>
  <c r="G375" i="14"/>
  <c r="G376" i="14"/>
  <c r="G377" i="14"/>
  <c r="G378" i="14"/>
  <c r="G379" i="14"/>
  <c r="G380" i="14"/>
  <c r="G381" i="14"/>
  <c r="G382" i="14"/>
  <c r="G383" i="14"/>
  <c r="G384" i="14"/>
  <c r="G385" i="14"/>
  <c r="G386" i="14"/>
  <c r="G387" i="14"/>
  <c r="G388" i="14"/>
  <c r="G389" i="14"/>
  <c r="G390" i="14"/>
  <c r="G391" i="14"/>
  <c r="G392" i="14"/>
  <c r="G393" i="14"/>
  <c r="G394" i="14"/>
  <c r="G395" i="14"/>
  <c r="G396" i="14"/>
  <c r="G397" i="14"/>
  <c r="G398" i="14"/>
  <c r="G399" i="14"/>
  <c r="G400" i="14"/>
  <c r="G401" i="14"/>
  <c r="G402" i="14"/>
  <c r="G403" i="14"/>
  <c r="G404" i="14"/>
  <c r="G405" i="14"/>
  <c r="G406" i="14"/>
  <c r="G407" i="14"/>
  <c r="G408" i="14"/>
  <c r="G409" i="14"/>
  <c r="G410" i="14"/>
  <c r="G411" i="14"/>
  <c r="G412" i="14"/>
  <c r="G413" i="14"/>
  <c r="G414" i="14"/>
  <c r="G415" i="14"/>
  <c r="G416" i="14"/>
  <c r="G417" i="14"/>
  <c r="G418" i="14"/>
  <c r="G419" i="14"/>
  <c r="G420" i="14"/>
  <c r="G421" i="14"/>
  <c r="G422" i="14"/>
  <c r="G423" i="14"/>
  <c r="G424" i="14"/>
  <c r="G425" i="14"/>
  <c r="G426" i="14"/>
  <c r="G427" i="14"/>
  <c r="G428" i="14"/>
  <c r="G429" i="14"/>
  <c r="G430" i="14"/>
  <c r="G431" i="14"/>
  <c r="G432" i="14"/>
  <c r="G433" i="14"/>
  <c r="G434" i="14"/>
  <c r="G435" i="14"/>
  <c r="G436" i="14"/>
  <c r="G437" i="14"/>
  <c r="G438" i="14"/>
  <c r="G439" i="14"/>
  <c r="G440" i="14"/>
  <c r="G441" i="14"/>
  <c r="G442" i="14"/>
  <c r="G443" i="14"/>
  <c r="G444" i="14"/>
  <c r="G445" i="14"/>
  <c r="G446" i="14"/>
  <c r="G447" i="14"/>
  <c r="G448" i="14"/>
  <c r="G449" i="14"/>
  <c r="G450" i="14"/>
  <c r="G451" i="14"/>
  <c r="G452" i="14"/>
  <c r="G453" i="14"/>
  <c r="G454" i="14"/>
  <c r="G455" i="14"/>
  <c r="G456" i="14"/>
  <c r="G457" i="14"/>
  <c r="G458" i="14"/>
  <c r="G459" i="14"/>
  <c r="G460" i="14"/>
  <c r="G461" i="14"/>
  <c r="G462" i="14"/>
  <c r="G463" i="14"/>
  <c r="G464" i="14"/>
  <c r="G465" i="14"/>
  <c r="G466" i="14"/>
  <c r="G467" i="14"/>
  <c r="G468" i="14"/>
  <c r="G469" i="14"/>
  <c r="G470" i="14"/>
  <c r="G471" i="14"/>
  <c r="G472" i="14"/>
  <c r="G473" i="14"/>
  <c r="G474" i="14"/>
  <c r="G475" i="14"/>
  <c r="G476" i="14"/>
  <c r="G477" i="14"/>
  <c r="G478" i="14"/>
  <c r="G479" i="14"/>
  <c r="G480" i="14"/>
  <c r="G481" i="14"/>
  <c r="G482" i="14"/>
  <c r="G483" i="14"/>
  <c r="G484" i="14"/>
  <c r="G485" i="14"/>
  <c r="G486" i="14"/>
  <c r="G487" i="14"/>
  <c r="G488" i="14"/>
  <c r="G489" i="14"/>
  <c r="G490" i="14"/>
  <c r="G491" i="14"/>
  <c r="G492" i="14"/>
  <c r="G493" i="14"/>
  <c r="G494" i="14"/>
  <c r="G495" i="14"/>
  <c r="G496" i="14"/>
  <c r="G497" i="14"/>
  <c r="G498" i="14"/>
  <c r="G499" i="14"/>
  <c r="G500" i="14"/>
  <c r="G501" i="14"/>
  <c r="G502" i="14"/>
  <c r="G503" i="14"/>
  <c r="G504" i="14"/>
  <c r="G505" i="14"/>
  <c r="G506" i="14"/>
  <c r="G507" i="14"/>
  <c r="G508" i="14"/>
  <c r="G509" i="14"/>
  <c r="G510" i="14"/>
  <c r="G511" i="14"/>
  <c r="G512" i="14"/>
  <c r="G513" i="14"/>
  <c r="G514" i="14"/>
  <c r="G515" i="14"/>
  <c r="G516" i="14"/>
  <c r="G517" i="14"/>
  <c r="G518" i="14"/>
  <c r="G519" i="14"/>
  <c r="G520" i="14"/>
  <c r="G521" i="14"/>
  <c r="G522" i="14"/>
  <c r="G523" i="14"/>
  <c r="G524" i="14"/>
  <c r="G525" i="14"/>
  <c r="G526" i="14"/>
  <c r="G527" i="14"/>
  <c r="G528" i="14"/>
  <c r="G529" i="14"/>
  <c r="G530" i="14"/>
  <c r="G531" i="14"/>
  <c r="G532" i="14"/>
  <c r="G533" i="14"/>
  <c r="G534" i="14"/>
  <c r="G535" i="14"/>
  <c r="G536" i="14"/>
  <c r="G537" i="14"/>
  <c r="G538" i="14"/>
  <c r="G539" i="14"/>
  <c r="G540" i="14"/>
  <c r="G541" i="14"/>
  <c r="G542" i="14"/>
  <c r="G543" i="14"/>
  <c r="G544" i="14"/>
  <c r="G545" i="14"/>
  <c r="G546" i="14"/>
  <c r="G547" i="14"/>
  <c r="G548" i="14"/>
  <c r="G549" i="14"/>
  <c r="G550" i="14"/>
  <c r="G551" i="14"/>
  <c r="G552" i="14"/>
  <c r="G553" i="14"/>
  <c r="G554" i="14"/>
  <c r="G555" i="14"/>
  <c r="G556" i="14"/>
  <c r="G557" i="14"/>
  <c r="G558" i="14"/>
  <c r="G559" i="14"/>
  <c r="G560" i="14"/>
  <c r="G561" i="14"/>
  <c r="G562" i="14"/>
  <c r="G563" i="14"/>
  <c r="G564" i="14"/>
  <c r="G565" i="14"/>
  <c r="G566" i="14"/>
  <c r="G567" i="14"/>
  <c r="G568" i="14"/>
  <c r="G569" i="14"/>
  <c r="G570" i="14"/>
  <c r="G571" i="14"/>
  <c r="G572" i="14"/>
  <c r="G573" i="14"/>
  <c r="G574" i="14"/>
  <c r="G575" i="14"/>
  <c r="G576" i="14"/>
  <c r="G577" i="14"/>
  <c r="G578" i="14"/>
  <c r="G579" i="14"/>
  <c r="G580" i="14"/>
  <c r="G581" i="14"/>
  <c r="G582" i="14"/>
  <c r="G583" i="14"/>
  <c r="G584" i="14"/>
  <c r="G585" i="14"/>
  <c r="G586" i="14"/>
  <c r="G587" i="14"/>
  <c r="G588" i="14"/>
  <c r="G589" i="14"/>
  <c r="G590" i="14"/>
  <c r="G591" i="14"/>
  <c r="G592" i="14"/>
  <c r="G593" i="14"/>
  <c r="G594" i="14"/>
  <c r="G595" i="14"/>
  <c r="G596" i="14"/>
  <c r="G597" i="14"/>
  <c r="G598" i="14"/>
  <c r="G599" i="14"/>
  <c r="G600" i="14"/>
  <c r="G601" i="14"/>
  <c r="G602" i="14"/>
  <c r="G603" i="14"/>
  <c r="G604" i="14"/>
  <c r="G605" i="14"/>
  <c r="G606" i="14"/>
  <c r="G607" i="14"/>
  <c r="G608" i="14"/>
  <c r="G609" i="14"/>
  <c r="G610" i="14"/>
  <c r="G611" i="14"/>
  <c r="G612" i="14"/>
  <c r="G613" i="14"/>
  <c r="G614" i="14"/>
  <c r="G615" i="14"/>
  <c r="G616" i="14"/>
  <c r="G617" i="14"/>
  <c r="G618" i="14"/>
  <c r="G619" i="14"/>
  <c r="G620" i="14"/>
  <c r="G621" i="14"/>
  <c r="G622" i="14"/>
  <c r="G623" i="14"/>
  <c r="G624" i="14"/>
  <c r="G625" i="14"/>
  <c r="G626" i="14"/>
  <c r="G627" i="14"/>
  <c r="G628" i="14"/>
  <c r="G629" i="14"/>
  <c r="G630" i="14"/>
  <c r="G631" i="14"/>
  <c r="F2" i="14"/>
  <c r="F3" i="14"/>
  <c r="F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F261" i="14"/>
  <c r="F262" i="14"/>
  <c r="F263" i="14"/>
  <c r="F264" i="14"/>
  <c r="F265" i="14"/>
  <c r="F266" i="14"/>
  <c r="F267" i="14"/>
  <c r="F268" i="14"/>
  <c r="F269" i="14"/>
  <c r="F270" i="14"/>
  <c r="F271" i="14"/>
  <c r="F272" i="14"/>
  <c r="F273" i="14"/>
  <c r="F274" i="14"/>
  <c r="F275" i="14"/>
  <c r="F276" i="14"/>
  <c r="F277" i="14"/>
  <c r="F278" i="14"/>
  <c r="F279" i="14"/>
  <c r="F280" i="14"/>
  <c r="F281" i="14"/>
  <c r="F282" i="14"/>
  <c r="F283" i="14"/>
  <c r="F284" i="14"/>
  <c r="F285" i="14"/>
  <c r="F286" i="14"/>
  <c r="F287" i="14"/>
  <c r="F288" i="14"/>
  <c r="F289" i="14"/>
  <c r="F290" i="14"/>
  <c r="F291" i="14"/>
  <c r="F292" i="14"/>
  <c r="F293" i="14"/>
  <c r="F294" i="14"/>
  <c r="F295" i="14"/>
  <c r="F296" i="14"/>
  <c r="F297" i="14"/>
  <c r="F298" i="14"/>
  <c r="F299" i="14"/>
  <c r="F300" i="14"/>
  <c r="F301" i="14"/>
  <c r="F302" i="14"/>
  <c r="F303" i="14"/>
  <c r="F304" i="14"/>
  <c r="F305" i="14"/>
  <c r="F306" i="14"/>
  <c r="F307" i="14"/>
  <c r="F308" i="14"/>
  <c r="F309" i="14"/>
  <c r="F310" i="14"/>
  <c r="F311" i="14"/>
  <c r="F312" i="14"/>
  <c r="F313" i="14"/>
  <c r="F314" i="14"/>
  <c r="F315" i="14"/>
  <c r="F316" i="14"/>
  <c r="F317" i="14"/>
  <c r="F318" i="14"/>
  <c r="F319" i="14"/>
  <c r="F320" i="14"/>
  <c r="F321" i="14"/>
  <c r="F322" i="14"/>
  <c r="F323" i="14"/>
  <c r="F324" i="14"/>
  <c r="F325" i="14"/>
  <c r="F326" i="14"/>
  <c r="F327" i="14"/>
  <c r="F328" i="14"/>
  <c r="F329" i="14"/>
  <c r="F330" i="14"/>
  <c r="F331" i="14"/>
  <c r="F332" i="14"/>
  <c r="F333" i="14"/>
  <c r="F334" i="14"/>
  <c r="F335" i="14"/>
  <c r="F336" i="14"/>
  <c r="F337" i="14"/>
  <c r="F338" i="14"/>
  <c r="F339" i="14"/>
  <c r="F340" i="14"/>
  <c r="F341" i="14"/>
  <c r="F342" i="14"/>
  <c r="F343" i="14"/>
  <c r="F344" i="14"/>
  <c r="F345" i="14"/>
  <c r="F346" i="14"/>
  <c r="F347" i="14"/>
  <c r="F348" i="14"/>
  <c r="F349" i="14"/>
  <c r="F350" i="14"/>
  <c r="F351" i="14"/>
  <c r="F352" i="14"/>
  <c r="F353" i="14"/>
  <c r="F354" i="14"/>
  <c r="F355" i="14"/>
  <c r="F356" i="14"/>
  <c r="F357" i="14"/>
  <c r="F358" i="14"/>
  <c r="F359" i="14"/>
  <c r="F360" i="14"/>
  <c r="F361" i="14"/>
  <c r="F362" i="14"/>
  <c r="F363" i="14"/>
  <c r="F364" i="14"/>
  <c r="F365" i="14"/>
  <c r="F366" i="14"/>
  <c r="F367" i="14"/>
  <c r="F368" i="14"/>
  <c r="F369" i="14"/>
  <c r="F370" i="14"/>
  <c r="F371" i="14"/>
  <c r="F372" i="14"/>
  <c r="F373" i="14"/>
  <c r="F374" i="14"/>
  <c r="F375" i="14"/>
  <c r="F376" i="14"/>
  <c r="F377" i="14"/>
  <c r="F378" i="14"/>
  <c r="F379" i="14"/>
  <c r="F380" i="14"/>
  <c r="F381" i="14"/>
  <c r="F382" i="14"/>
  <c r="F383" i="14"/>
  <c r="F384" i="14"/>
  <c r="F385" i="14"/>
  <c r="F386" i="14"/>
  <c r="F387" i="14"/>
  <c r="F388" i="14"/>
  <c r="F389" i="14"/>
  <c r="F390" i="14"/>
  <c r="F391" i="14"/>
  <c r="F392" i="14"/>
  <c r="F393" i="14"/>
  <c r="F394" i="14"/>
  <c r="F395" i="14"/>
  <c r="F396" i="14"/>
  <c r="F397" i="14"/>
  <c r="F398" i="14"/>
  <c r="F399" i="14"/>
  <c r="F400" i="14"/>
  <c r="F401" i="14"/>
  <c r="F402" i="14"/>
  <c r="F403" i="14"/>
  <c r="F404" i="14"/>
  <c r="F405" i="14"/>
  <c r="F406" i="14"/>
  <c r="F407" i="14"/>
  <c r="F408" i="14"/>
  <c r="F409" i="14"/>
  <c r="F410" i="14"/>
  <c r="F411" i="14"/>
  <c r="F412" i="14"/>
  <c r="F413" i="14"/>
  <c r="F414" i="14"/>
  <c r="F415" i="14"/>
  <c r="F416" i="14"/>
  <c r="F417" i="14"/>
  <c r="F418" i="14"/>
  <c r="F419" i="14"/>
  <c r="F420" i="14"/>
  <c r="F421" i="14"/>
  <c r="F422" i="14"/>
  <c r="F423" i="14"/>
  <c r="F424" i="14"/>
  <c r="F425" i="14"/>
  <c r="F426" i="14"/>
  <c r="F427" i="14"/>
  <c r="F428" i="14"/>
  <c r="F429" i="14"/>
  <c r="F430" i="14"/>
  <c r="F431" i="14"/>
  <c r="F432" i="14"/>
  <c r="F433" i="14"/>
  <c r="F434" i="14"/>
  <c r="F435" i="14"/>
  <c r="F436" i="14"/>
  <c r="F437" i="14"/>
  <c r="F438" i="14"/>
  <c r="F439" i="14"/>
  <c r="F440" i="14"/>
  <c r="F441" i="14"/>
  <c r="F442" i="14"/>
  <c r="F443" i="14"/>
  <c r="F444" i="14"/>
  <c r="F445" i="14"/>
  <c r="F446" i="14"/>
  <c r="F447" i="14"/>
  <c r="F448" i="14"/>
  <c r="F449" i="14"/>
  <c r="F450" i="14"/>
  <c r="F451" i="14"/>
  <c r="F452" i="14"/>
  <c r="F453" i="14"/>
  <c r="F454" i="14"/>
  <c r="F455" i="14"/>
  <c r="F456" i="14"/>
  <c r="F457" i="14"/>
  <c r="F458" i="14"/>
  <c r="F459" i="14"/>
  <c r="F460" i="14"/>
  <c r="F461" i="14"/>
  <c r="F462" i="14"/>
  <c r="F463" i="14"/>
  <c r="F464" i="14"/>
  <c r="F465" i="14"/>
  <c r="F466" i="14"/>
  <c r="F467" i="14"/>
  <c r="F468" i="14"/>
  <c r="F469" i="14"/>
  <c r="F470" i="14"/>
  <c r="F471" i="14"/>
  <c r="F472" i="14"/>
  <c r="F473" i="14"/>
  <c r="F474" i="14"/>
  <c r="F475" i="14"/>
  <c r="F476" i="14"/>
  <c r="F477" i="14"/>
  <c r="F478" i="14"/>
  <c r="F479" i="14"/>
  <c r="F480" i="14"/>
  <c r="F481" i="14"/>
  <c r="F482" i="14"/>
  <c r="F483" i="14"/>
  <c r="F484" i="14"/>
  <c r="F485" i="14"/>
  <c r="F486" i="14"/>
  <c r="F487" i="14"/>
  <c r="F488" i="14"/>
  <c r="F489" i="14"/>
  <c r="F490" i="14"/>
  <c r="F491" i="14"/>
  <c r="F492" i="14"/>
  <c r="F493" i="14"/>
  <c r="F494" i="14"/>
  <c r="F495" i="14"/>
  <c r="F496" i="14"/>
  <c r="F497" i="14"/>
  <c r="F498" i="14"/>
  <c r="F499" i="14"/>
  <c r="F500" i="14"/>
  <c r="F501" i="14"/>
  <c r="F502" i="14"/>
  <c r="F503" i="14"/>
  <c r="F504" i="14"/>
  <c r="F505" i="14"/>
  <c r="F506" i="14"/>
  <c r="F507" i="14"/>
  <c r="F508" i="14"/>
  <c r="F509" i="14"/>
  <c r="F510" i="14"/>
  <c r="F511" i="14"/>
  <c r="F512" i="14"/>
  <c r="F513" i="14"/>
  <c r="F514" i="14"/>
  <c r="F515" i="14"/>
  <c r="F516" i="14"/>
  <c r="F517" i="14"/>
  <c r="F518" i="14"/>
  <c r="F519" i="14"/>
  <c r="F520" i="14"/>
  <c r="F521" i="14"/>
  <c r="F522" i="14"/>
  <c r="F523" i="14"/>
  <c r="F524" i="14"/>
  <c r="F525" i="14"/>
  <c r="F526" i="14"/>
  <c r="F527" i="14"/>
  <c r="F528" i="14"/>
  <c r="F529" i="14"/>
  <c r="F530" i="14"/>
  <c r="F531" i="14"/>
  <c r="F532" i="14"/>
  <c r="F533" i="14"/>
  <c r="F534" i="14"/>
  <c r="F535" i="14"/>
  <c r="F536" i="14"/>
  <c r="F537" i="14"/>
  <c r="F538" i="14"/>
  <c r="F539" i="14"/>
  <c r="F540" i="14"/>
  <c r="F541" i="14"/>
  <c r="F542" i="14"/>
  <c r="F543" i="14"/>
  <c r="F544" i="14"/>
  <c r="F545" i="14"/>
  <c r="F546" i="14"/>
  <c r="F547" i="14"/>
  <c r="F548" i="14"/>
  <c r="F549" i="14"/>
  <c r="F550" i="14"/>
  <c r="F551" i="14"/>
  <c r="F552" i="14"/>
  <c r="F553" i="14"/>
  <c r="F554" i="14"/>
  <c r="F555" i="14"/>
  <c r="F556" i="14"/>
  <c r="F557" i="14"/>
  <c r="F558" i="14"/>
  <c r="F559" i="14"/>
  <c r="F560" i="14"/>
  <c r="F561" i="14"/>
  <c r="F562" i="14"/>
  <c r="F563" i="14"/>
  <c r="F564" i="14"/>
  <c r="F565" i="14"/>
  <c r="F566" i="14"/>
  <c r="F567" i="14"/>
  <c r="F568" i="14"/>
  <c r="F569" i="14"/>
  <c r="F570" i="14"/>
  <c r="F571" i="14"/>
  <c r="F572" i="14"/>
  <c r="F573" i="14"/>
  <c r="F574" i="14"/>
  <c r="F575" i="14"/>
  <c r="F576" i="14"/>
  <c r="F577" i="14"/>
  <c r="F578" i="14"/>
  <c r="F579" i="14"/>
  <c r="F580" i="14"/>
  <c r="F581" i="14"/>
  <c r="F582" i="14"/>
  <c r="F583" i="14"/>
  <c r="F584" i="14"/>
  <c r="F585" i="14"/>
  <c r="F586" i="14"/>
  <c r="F587" i="14"/>
  <c r="F588" i="14"/>
  <c r="F589" i="14"/>
  <c r="F590" i="14"/>
  <c r="F591" i="14"/>
  <c r="F592" i="14"/>
  <c r="F593" i="14"/>
  <c r="F594" i="14"/>
  <c r="F595" i="14"/>
  <c r="F596" i="14"/>
  <c r="F597" i="14"/>
  <c r="F598" i="14"/>
  <c r="F599" i="14"/>
  <c r="F600" i="14"/>
  <c r="F601" i="14"/>
  <c r="F602" i="14"/>
  <c r="F603" i="14"/>
  <c r="F604" i="14"/>
  <c r="F605" i="14"/>
  <c r="F606" i="14"/>
  <c r="F607" i="14"/>
  <c r="F608" i="14"/>
  <c r="F609" i="14"/>
  <c r="F610" i="14"/>
  <c r="F611" i="14"/>
  <c r="F612" i="14"/>
  <c r="F613" i="14"/>
  <c r="F614" i="14"/>
  <c r="F615" i="14"/>
  <c r="F616" i="14"/>
  <c r="F617" i="14"/>
  <c r="F618" i="14"/>
  <c r="F619" i="14"/>
  <c r="F620" i="14"/>
  <c r="F621" i="14"/>
  <c r="F622" i="14"/>
  <c r="F623" i="14"/>
  <c r="F624" i="14"/>
  <c r="F625" i="14"/>
  <c r="F626" i="14"/>
  <c r="F627" i="14"/>
  <c r="F628" i="14"/>
  <c r="F629" i="14"/>
  <c r="F630" i="14"/>
  <c r="F631" i="14"/>
  <c r="E2" i="14"/>
  <c r="E3" i="14"/>
  <c r="E4" i="14"/>
  <c r="E5" i="14" s="1"/>
  <c r="E6" i="14" s="1"/>
  <c r="E7" i="14" s="1"/>
  <c r="E8" i="14" s="1"/>
  <c r="E9" i="14" s="1"/>
  <c r="E10" i="14" s="1"/>
  <c r="E11" i="14" s="1"/>
  <c r="E12" i="14" s="1"/>
  <c r="E13" i="14" s="1"/>
  <c r="E14" i="14" s="1"/>
  <c r="E15" i="14" s="1"/>
  <c r="E16" i="14" s="1"/>
  <c r="E17" i="14" s="1"/>
  <c r="E18" i="14" s="1"/>
  <c r="E19" i="14" s="1"/>
  <c r="E20" i="14" s="1"/>
  <c r="E21" i="14" s="1"/>
  <c r="E22" i="14" s="1"/>
  <c r="E23" i="14" s="1"/>
  <c r="E24" i="14" s="1"/>
  <c r="E25" i="14" s="1"/>
  <c r="E26" i="14" s="1"/>
  <c r="E27" i="14" s="1"/>
  <c r="E28" i="14" s="1"/>
  <c r="E29" i="14" s="1"/>
  <c r="E30" i="14" s="1"/>
  <c r="E31" i="14" s="1"/>
  <c r="E32" i="14" s="1"/>
  <c r="E33" i="14" s="1"/>
  <c r="E34" i="14" s="1"/>
  <c r="E35" i="14" s="1"/>
  <c r="E36" i="14" s="1"/>
  <c r="E37" i="14" s="1"/>
  <c r="E38" i="14" s="1"/>
  <c r="E39" i="14" s="1"/>
  <c r="E40" i="14" s="1"/>
  <c r="E41" i="14" s="1"/>
  <c r="E42" i="14" s="1"/>
  <c r="E43" i="14" s="1"/>
  <c r="E44" i="14" s="1"/>
  <c r="E45" i="14" s="1"/>
  <c r="E46" i="14" s="1"/>
  <c r="E47" i="14" s="1"/>
  <c r="E48" i="14" s="1"/>
  <c r="E49" i="14" s="1"/>
  <c r="E50" i="14" s="1"/>
  <c r="E51" i="14" s="1"/>
  <c r="E52" i="14" s="1"/>
  <c r="E53" i="14" s="1"/>
  <c r="E54" i="14" s="1"/>
  <c r="E55" i="14" s="1"/>
  <c r="E56" i="14" s="1"/>
  <c r="E57" i="14" s="1"/>
  <c r="E58" i="14" s="1"/>
  <c r="E59" i="14" s="1"/>
  <c r="E60" i="14" s="1"/>
  <c r="E61" i="14" s="1"/>
  <c r="E62" i="14" s="1"/>
  <c r="E63" i="14" s="1"/>
  <c r="E64" i="14" s="1"/>
  <c r="E65" i="14" s="1"/>
  <c r="E66" i="14" s="1"/>
  <c r="E67" i="14" s="1"/>
  <c r="E68" i="14" s="1"/>
  <c r="E69" i="14" s="1"/>
  <c r="E70" i="14" s="1"/>
  <c r="E71" i="14" s="1"/>
  <c r="E72" i="14" s="1"/>
  <c r="E73" i="14" s="1"/>
  <c r="E74" i="14" s="1"/>
  <c r="E75" i="14" s="1"/>
  <c r="E76" i="14" s="1"/>
  <c r="E77" i="14" s="1"/>
  <c r="E78" i="14" s="1"/>
  <c r="E79" i="14" s="1"/>
  <c r="E80" i="14" s="1"/>
  <c r="E81" i="14" s="1"/>
  <c r="E82" i="14" s="1"/>
  <c r="E83" i="14" s="1"/>
  <c r="E84" i="14" s="1"/>
  <c r="E85" i="14" s="1"/>
  <c r="E86" i="14" s="1"/>
  <c r="E87" i="14" s="1"/>
  <c r="E88" i="14" s="1"/>
  <c r="E89" i="14" s="1"/>
  <c r="E90" i="14"/>
  <c r="E91" i="14" s="1"/>
  <c r="E92" i="14" s="1"/>
  <c r="E93" i="14" s="1"/>
  <c r="E94" i="14" s="1"/>
  <c r="E95" i="14" s="1"/>
  <c r="E96" i="14" s="1"/>
  <c r="E97" i="14" s="1"/>
  <c r="E98" i="14" s="1"/>
  <c r="E99" i="14" s="1"/>
  <c r="E100" i="14" s="1"/>
  <c r="E101" i="14" s="1"/>
  <c r="E102" i="14" s="1"/>
  <c r="E103" i="14" s="1"/>
  <c r="E104" i="14" s="1"/>
  <c r="E105" i="14" s="1"/>
  <c r="E106" i="14" s="1"/>
  <c r="E107" i="14" s="1"/>
  <c r="E108" i="14" s="1"/>
  <c r="E109" i="14" s="1"/>
  <c r="E110" i="14" s="1"/>
  <c r="E111" i="14" s="1"/>
  <c r="E112" i="14" s="1"/>
  <c r="E113" i="14" s="1"/>
  <c r="E114" i="14" s="1"/>
  <c r="E115" i="14" s="1"/>
  <c r="E116" i="14" s="1"/>
  <c r="E117" i="14" s="1"/>
  <c r="E118" i="14" s="1"/>
  <c r="E119" i="14" s="1"/>
  <c r="E120" i="14" s="1"/>
  <c r="E121" i="14" s="1"/>
  <c r="E122" i="14" s="1"/>
  <c r="E123" i="14" s="1"/>
  <c r="E124" i="14" s="1"/>
  <c r="E125" i="14" s="1"/>
  <c r="E126" i="14" s="1"/>
  <c r="E127" i="14" s="1"/>
  <c r="E128" i="14" s="1"/>
  <c r="E129" i="14" s="1"/>
  <c r="E130" i="14" s="1"/>
  <c r="E131" i="14" s="1"/>
  <c r="E132" i="14" s="1"/>
  <c r="E133" i="14" s="1"/>
  <c r="E134" i="14" s="1"/>
  <c r="E135" i="14" s="1"/>
  <c r="E136" i="14" s="1"/>
  <c r="E137" i="14" s="1"/>
  <c r="E138" i="14" s="1"/>
  <c r="E139" i="14" s="1"/>
  <c r="E140" i="14" s="1"/>
  <c r="E141" i="14" s="1"/>
  <c r="E142" i="14" s="1"/>
  <c r="E143" i="14" s="1"/>
  <c r="E144" i="14" s="1"/>
  <c r="E145" i="14" s="1"/>
  <c r="E146" i="14" s="1"/>
  <c r="E147" i="14" s="1"/>
  <c r="E148" i="14" s="1"/>
  <c r="E149" i="14" s="1"/>
  <c r="E150" i="14" s="1"/>
  <c r="E151" i="14" s="1"/>
  <c r="E152" i="14" s="1"/>
  <c r="E153" i="14" s="1"/>
  <c r="E154" i="14" s="1"/>
  <c r="E155" i="14" s="1"/>
  <c r="E156" i="14" s="1"/>
  <c r="E157" i="14" s="1"/>
  <c r="E158" i="14" s="1"/>
  <c r="E159" i="14" s="1"/>
  <c r="E160" i="14" s="1"/>
  <c r="E161" i="14" s="1"/>
  <c r="E162" i="14" s="1"/>
  <c r="E163" i="14" s="1"/>
  <c r="E164" i="14" s="1"/>
  <c r="E165" i="14" s="1"/>
  <c r="E166" i="14" s="1"/>
  <c r="E167" i="14" s="1"/>
  <c r="E168" i="14" s="1"/>
  <c r="E169" i="14" s="1"/>
  <c r="E170" i="14" s="1"/>
  <c r="E171" i="14" s="1"/>
  <c r="E172" i="14" s="1"/>
  <c r="E173" i="14" s="1"/>
  <c r="E174" i="14" s="1"/>
  <c r="E175" i="14" s="1"/>
  <c r="E176" i="14" s="1"/>
  <c r="E177" i="14" s="1"/>
  <c r="E178" i="14" s="1"/>
  <c r="E179" i="14" s="1"/>
  <c r="E180" i="14"/>
  <c r="E181" i="14" s="1"/>
  <c r="E182" i="14" s="1"/>
  <c r="E183" i="14" s="1"/>
  <c r="E184" i="14" s="1"/>
  <c r="E185" i="14" s="1"/>
  <c r="E186" i="14" s="1"/>
  <c r="E187" i="14" s="1"/>
  <c r="E188" i="14" s="1"/>
  <c r="E189" i="14" s="1"/>
  <c r="E190" i="14" s="1"/>
  <c r="E191" i="14" s="1"/>
  <c r="E192" i="14" s="1"/>
  <c r="E193" i="14" s="1"/>
  <c r="E194" i="14" s="1"/>
  <c r="E195" i="14" s="1"/>
  <c r="E196" i="14" s="1"/>
  <c r="E197" i="14" s="1"/>
  <c r="E198" i="14" s="1"/>
  <c r="E199" i="14" s="1"/>
  <c r="E200" i="14" s="1"/>
  <c r="E201" i="14" s="1"/>
  <c r="E202" i="14" s="1"/>
  <c r="E203" i="14" s="1"/>
  <c r="E204" i="14" s="1"/>
  <c r="E205" i="14" s="1"/>
  <c r="E206" i="14" s="1"/>
  <c r="E207" i="14" s="1"/>
  <c r="E208" i="14" s="1"/>
  <c r="E209" i="14" s="1"/>
  <c r="E210" i="14" s="1"/>
  <c r="E211" i="14" s="1"/>
  <c r="E212" i="14" s="1"/>
  <c r="E213" i="14" s="1"/>
  <c r="E214" i="14" s="1"/>
  <c r="E215" i="14" s="1"/>
  <c r="E216" i="14" s="1"/>
  <c r="E217" i="14" s="1"/>
  <c r="E218" i="14" s="1"/>
  <c r="E219" i="14" s="1"/>
  <c r="E220" i="14" s="1"/>
  <c r="E221" i="14" s="1"/>
  <c r="E222" i="14" s="1"/>
  <c r="E223" i="14" s="1"/>
  <c r="E224" i="14" s="1"/>
  <c r="E225" i="14" s="1"/>
  <c r="E226" i="14" s="1"/>
  <c r="E227" i="14" s="1"/>
  <c r="E228" i="14" s="1"/>
  <c r="E229" i="14" s="1"/>
  <c r="E230" i="14" s="1"/>
  <c r="E231" i="14" s="1"/>
  <c r="E232" i="14" s="1"/>
  <c r="E233" i="14" s="1"/>
  <c r="E234" i="14" s="1"/>
  <c r="E235" i="14" s="1"/>
  <c r="E236" i="14" s="1"/>
  <c r="E237" i="14" s="1"/>
  <c r="E238" i="14" s="1"/>
  <c r="E239" i="14" s="1"/>
  <c r="E240" i="14" s="1"/>
  <c r="E241" i="14" s="1"/>
  <c r="E242" i="14" s="1"/>
  <c r="E243" i="14" s="1"/>
  <c r="E244" i="14" s="1"/>
  <c r="E245" i="14" s="1"/>
  <c r="E246" i="14" s="1"/>
  <c r="E247" i="14" s="1"/>
  <c r="E248" i="14" s="1"/>
  <c r="E249" i="14" s="1"/>
  <c r="E250" i="14" s="1"/>
  <c r="E251" i="14" s="1"/>
  <c r="E252" i="14" s="1"/>
  <c r="E253" i="14" s="1"/>
  <c r="E254" i="14" s="1"/>
  <c r="E255" i="14" s="1"/>
  <c r="E256" i="14" s="1"/>
  <c r="E257" i="14" s="1"/>
  <c r="E258" i="14" s="1"/>
  <c r="E259" i="14" s="1"/>
  <c r="E260" i="14" s="1"/>
  <c r="E261" i="14"/>
  <c r="E262" i="14"/>
  <c r="E263" i="14" s="1"/>
  <c r="E264" i="14" s="1"/>
  <c r="E265" i="14" s="1"/>
  <c r="E266" i="14"/>
  <c r="E267" i="14" s="1"/>
  <c r="E268" i="14" s="1"/>
  <c r="E269" i="14" s="1"/>
  <c r="E270" i="14" s="1"/>
  <c r="E271" i="14" s="1"/>
  <c r="E272" i="14" s="1"/>
  <c r="E273" i="14" s="1"/>
  <c r="E274" i="14"/>
  <c r="E275" i="14" s="1"/>
  <c r="E276" i="14" s="1"/>
  <c r="E277" i="14" s="1"/>
  <c r="E278" i="14" s="1"/>
  <c r="E279" i="14" s="1"/>
  <c r="E280" i="14" s="1"/>
  <c r="E281" i="14" s="1"/>
  <c r="E282" i="14" s="1"/>
  <c r="E283" i="14" s="1"/>
  <c r="E284" i="14" s="1"/>
  <c r="E285" i="14" s="1"/>
  <c r="E286" i="14" s="1"/>
  <c r="E287" i="14" s="1"/>
  <c r="E288" i="14" s="1"/>
  <c r="E289" i="14" s="1"/>
  <c r="E290" i="14" s="1"/>
  <c r="E291" i="14" s="1"/>
  <c r="E292" i="14" s="1"/>
  <c r="E293" i="14" s="1"/>
  <c r="E294" i="14" s="1"/>
  <c r="E295" i="14" s="1"/>
  <c r="E296" i="14" s="1"/>
  <c r="E297" i="14" s="1"/>
  <c r="E298" i="14" s="1"/>
  <c r="E299" i="14" s="1"/>
  <c r="E300" i="14" s="1"/>
  <c r="E301" i="14" s="1"/>
  <c r="E302" i="14" s="1"/>
  <c r="E303" i="14" s="1"/>
  <c r="E304" i="14" s="1"/>
  <c r="E305" i="14" s="1"/>
  <c r="E306" i="14" s="1"/>
  <c r="E307" i="14" s="1"/>
  <c r="E308" i="14" s="1"/>
  <c r="E309" i="14" s="1"/>
  <c r="E310" i="14" s="1"/>
  <c r="E311" i="14" s="1"/>
  <c r="E312" i="14" s="1"/>
  <c r="E313" i="14" s="1"/>
  <c r="E314" i="14" s="1"/>
  <c r="E315" i="14" s="1"/>
  <c r="E316" i="14" s="1"/>
  <c r="E317" i="14" s="1"/>
  <c r="E318" i="14" s="1"/>
  <c r="E319" i="14" s="1"/>
  <c r="E320" i="14" s="1"/>
  <c r="E321" i="14" s="1"/>
  <c r="E322" i="14" s="1"/>
  <c r="E323" i="14" s="1"/>
  <c r="E324" i="14" s="1"/>
  <c r="E325" i="14" s="1"/>
  <c r="E326" i="14" s="1"/>
  <c r="E327" i="14" s="1"/>
  <c r="E328" i="14" s="1"/>
  <c r="E329" i="14" s="1"/>
  <c r="E330" i="14" s="1"/>
  <c r="E331" i="14" s="1"/>
  <c r="E332" i="14" s="1"/>
  <c r="E333" i="14" s="1"/>
  <c r="E334" i="14" s="1"/>
  <c r="E335" i="14" s="1"/>
  <c r="E336" i="14" s="1"/>
  <c r="E337" i="14" s="1"/>
  <c r="E338" i="14" s="1"/>
  <c r="E339" i="14" s="1"/>
  <c r="E340" i="14" s="1"/>
  <c r="E341" i="14" s="1"/>
  <c r="E342" i="14" s="1"/>
  <c r="E343" i="14" s="1"/>
  <c r="E344" i="14" s="1"/>
  <c r="E345" i="14" s="1"/>
  <c r="E346" i="14" s="1"/>
  <c r="E347" i="14" s="1"/>
  <c r="E348" i="14" s="1"/>
  <c r="E349" i="14" s="1"/>
  <c r="E350" i="14" s="1"/>
  <c r="E351" i="14" s="1"/>
  <c r="E352" i="14" s="1"/>
  <c r="E353" i="14" s="1"/>
  <c r="E354" i="14" s="1"/>
  <c r="E355" i="14"/>
  <c r="E356" i="14"/>
  <c r="E357" i="14" s="1"/>
  <c r="E358" i="14" s="1"/>
  <c r="E359" i="14" s="1"/>
  <c r="E360" i="14" s="1"/>
  <c r="E361" i="14" s="1"/>
  <c r="E362" i="14" s="1"/>
  <c r="E363" i="14" s="1"/>
  <c r="E364" i="14" s="1"/>
  <c r="E365" i="14" s="1"/>
  <c r="E366" i="14" s="1"/>
  <c r="E367" i="14" s="1"/>
  <c r="E368" i="14" s="1"/>
  <c r="E369" i="14" s="1"/>
  <c r="E370" i="14" s="1"/>
  <c r="E371" i="14" s="1"/>
  <c r="E372" i="14" s="1"/>
  <c r="E373" i="14" s="1"/>
  <c r="E374" i="14" s="1"/>
  <c r="E375" i="14" s="1"/>
  <c r="E376" i="14" s="1"/>
  <c r="E377" i="14" s="1"/>
  <c r="E378" i="14" s="1"/>
  <c r="E379" i="14" s="1"/>
  <c r="E380" i="14" s="1"/>
  <c r="E381" i="14" s="1"/>
  <c r="E382" i="14" s="1"/>
  <c r="E383" i="14" s="1"/>
  <c r="E384" i="14" s="1"/>
  <c r="E385" i="14" s="1"/>
  <c r="E386" i="14" s="1"/>
  <c r="E387" i="14" s="1"/>
  <c r="E388" i="14" s="1"/>
  <c r="E389" i="14" s="1"/>
  <c r="E390" i="14" s="1"/>
  <c r="E391" i="14" s="1"/>
  <c r="E392" i="14" s="1"/>
  <c r="E393" i="14" s="1"/>
  <c r="E394" i="14" s="1"/>
  <c r="E395" i="14" s="1"/>
  <c r="E396" i="14" s="1"/>
  <c r="E397" i="14" s="1"/>
  <c r="E398" i="14" s="1"/>
  <c r="E399" i="14" s="1"/>
  <c r="E400" i="14" s="1"/>
  <c r="E401" i="14" s="1"/>
  <c r="E402" i="14" s="1"/>
  <c r="E403" i="14" s="1"/>
  <c r="E404" i="14" s="1"/>
  <c r="E405" i="14" s="1"/>
  <c r="E406" i="14" s="1"/>
  <c r="E407" i="14" s="1"/>
  <c r="E408" i="14" s="1"/>
  <c r="E409" i="14" s="1"/>
  <c r="E410" i="14" s="1"/>
  <c r="E411" i="14" s="1"/>
  <c r="E412" i="14" s="1"/>
  <c r="E413" i="14" s="1"/>
  <c r="E414" i="14" s="1"/>
  <c r="E415" i="14" s="1"/>
  <c r="E416" i="14" s="1"/>
  <c r="E417" i="14" s="1"/>
  <c r="E418" i="14" s="1"/>
  <c r="E419" i="14" s="1"/>
  <c r="E420" i="14" s="1"/>
  <c r="E421" i="14" s="1"/>
  <c r="E422" i="14" s="1"/>
  <c r="E423" i="14" s="1"/>
  <c r="E424" i="14" s="1"/>
  <c r="E425" i="14" s="1"/>
  <c r="E426" i="14" s="1"/>
  <c r="E427" i="14" s="1"/>
  <c r="E428" i="14" s="1"/>
  <c r="E429" i="14" s="1"/>
  <c r="E430" i="14" s="1"/>
  <c r="E431" i="14" s="1"/>
  <c r="E432" i="14" s="1"/>
  <c r="E433" i="14" s="1"/>
  <c r="E434" i="14" s="1"/>
  <c r="E435" i="14" s="1"/>
  <c r="E436" i="14" s="1"/>
  <c r="E437" i="14" s="1"/>
  <c r="E438" i="14" s="1"/>
  <c r="E439" i="14" s="1"/>
  <c r="E440" i="14" s="1"/>
  <c r="E441" i="14"/>
  <c r="E442" i="14"/>
  <c r="E443" i="14" s="1"/>
  <c r="E444" i="14" s="1"/>
  <c r="E445" i="14" s="1"/>
  <c r="E446" i="14" s="1"/>
  <c r="E447" i="14" s="1"/>
  <c r="E448" i="14" s="1"/>
  <c r="E449" i="14" s="1"/>
  <c r="E450" i="14" s="1"/>
  <c r="E451" i="14" s="1"/>
  <c r="E452" i="14" s="1"/>
  <c r="E453" i="14" s="1"/>
  <c r="E454" i="14" s="1"/>
  <c r="E455" i="14" s="1"/>
  <c r="E456" i="14" s="1"/>
  <c r="E457" i="14" s="1"/>
  <c r="E458" i="14" s="1"/>
  <c r="E459" i="14" s="1"/>
  <c r="E460" i="14" s="1"/>
  <c r="E461" i="14" s="1"/>
  <c r="E462" i="14" s="1"/>
  <c r="E463" i="14" s="1"/>
  <c r="E464" i="14" s="1"/>
  <c r="E465" i="14" s="1"/>
  <c r="E466" i="14" s="1"/>
  <c r="E467" i="14" s="1"/>
  <c r="E468" i="14" s="1"/>
  <c r="E469" i="14" s="1"/>
  <c r="E470" i="14" s="1"/>
  <c r="E471" i="14" s="1"/>
  <c r="E472" i="14" s="1"/>
  <c r="E473" i="14" s="1"/>
  <c r="E474" i="14" s="1"/>
  <c r="E475" i="14" s="1"/>
  <c r="E476" i="14" s="1"/>
  <c r="E477" i="14" s="1"/>
  <c r="E478" i="14" s="1"/>
  <c r="E479" i="14" s="1"/>
  <c r="E480" i="14" s="1"/>
  <c r="E481" i="14" s="1"/>
  <c r="E482" i="14" s="1"/>
  <c r="E483" i="14" s="1"/>
  <c r="E484" i="14" s="1"/>
  <c r="E485" i="14" s="1"/>
  <c r="E486" i="14" s="1"/>
  <c r="E487" i="14" s="1"/>
  <c r="E488" i="14" s="1"/>
  <c r="E489" i="14" s="1"/>
  <c r="E490" i="14" s="1"/>
  <c r="E491" i="14" s="1"/>
  <c r="E492" i="14" s="1"/>
  <c r="E493" i="14" s="1"/>
  <c r="E494" i="14" s="1"/>
  <c r="E495" i="14" s="1"/>
  <c r="E496" i="14" s="1"/>
  <c r="E497" i="14" s="1"/>
  <c r="E498" i="14" s="1"/>
  <c r="E499" i="14" s="1"/>
  <c r="E500" i="14" s="1"/>
  <c r="E501" i="14" s="1"/>
  <c r="E502" i="14" s="1"/>
  <c r="E503" i="14" s="1"/>
  <c r="E504" i="14" s="1"/>
  <c r="E505" i="14" s="1"/>
  <c r="E506" i="14" s="1"/>
  <c r="E507" i="14" s="1"/>
  <c r="E508" i="14" s="1"/>
  <c r="E509" i="14" s="1"/>
  <c r="E510" i="14" s="1"/>
  <c r="E511" i="14" s="1"/>
  <c r="E512" i="14" s="1"/>
  <c r="E513" i="14" s="1"/>
  <c r="E514" i="14" s="1"/>
  <c r="E515" i="14" s="1"/>
  <c r="E516" i="14" s="1"/>
  <c r="E517" i="14" s="1"/>
  <c r="E518" i="14" s="1"/>
  <c r="E519" i="14" s="1"/>
  <c r="E520" i="14" s="1"/>
  <c r="E521" i="14" s="1"/>
  <c r="E522" i="14" s="1"/>
  <c r="E523" i="14" s="1"/>
  <c r="E524" i="14" s="1"/>
  <c r="E525" i="14" s="1"/>
  <c r="E526" i="14" s="1"/>
  <c r="E527" i="14" s="1"/>
  <c r="E528" i="14" s="1"/>
  <c r="E529" i="14"/>
  <c r="E530" i="14"/>
  <c r="E531" i="14" s="1"/>
  <c r="E532" i="14" s="1"/>
  <c r="E533" i="14" s="1"/>
  <c r="E534" i="14" s="1"/>
  <c r="E535" i="14" s="1"/>
  <c r="E536" i="14" s="1"/>
  <c r="E537" i="14" s="1"/>
  <c r="E538" i="14" s="1"/>
  <c r="E539" i="14" s="1"/>
  <c r="E540" i="14" s="1"/>
  <c r="E541" i="14" s="1"/>
  <c r="E542" i="14" s="1"/>
  <c r="E543" i="14" s="1"/>
  <c r="E544" i="14" s="1"/>
  <c r="E545" i="14" s="1"/>
  <c r="E546" i="14" s="1"/>
  <c r="E547" i="14" s="1"/>
  <c r="E548" i="14" s="1"/>
  <c r="E549" i="14" s="1"/>
  <c r="E550" i="14" s="1"/>
  <c r="E551" i="14" s="1"/>
  <c r="E552" i="14" s="1"/>
  <c r="E553" i="14" s="1"/>
  <c r="E554" i="14" s="1"/>
  <c r="E555" i="14" s="1"/>
  <c r="E556" i="14" s="1"/>
  <c r="E557" i="14" s="1"/>
  <c r="E558" i="14" s="1"/>
  <c r="E559" i="14" s="1"/>
  <c r="E560" i="14" s="1"/>
  <c r="E561" i="14" s="1"/>
  <c r="E562" i="14" s="1"/>
  <c r="E563" i="14" s="1"/>
  <c r="E564" i="14" s="1"/>
  <c r="E565" i="14" s="1"/>
  <c r="E566" i="14" s="1"/>
  <c r="E567" i="14" s="1"/>
  <c r="E568" i="14" s="1"/>
  <c r="E569" i="14" s="1"/>
  <c r="E570" i="14" s="1"/>
  <c r="E571" i="14" s="1"/>
  <c r="E572" i="14" s="1"/>
  <c r="E573" i="14" s="1"/>
  <c r="E574" i="14" s="1"/>
  <c r="E575" i="14" s="1"/>
  <c r="E576" i="14" s="1"/>
  <c r="E577" i="14" s="1"/>
  <c r="E578" i="14" s="1"/>
  <c r="E579" i="14" s="1"/>
  <c r="E580" i="14" s="1"/>
  <c r="E581" i="14" s="1"/>
  <c r="E582" i="14" s="1"/>
  <c r="E583" i="14" s="1"/>
  <c r="E584" i="14" s="1"/>
  <c r="E585" i="14" s="1"/>
  <c r="E586" i="14" s="1"/>
  <c r="E587" i="14" s="1"/>
  <c r="E588" i="14" s="1"/>
  <c r="E589" i="14" s="1"/>
  <c r="E590" i="14" s="1"/>
  <c r="E591" i="14" s="1"/>
  <c r="E592" i="14" s="1"/>
  <c r="E593" i="14" s="1"/>
  <c r="E594" i="14" s="1"/>
  <c r="E595" i="14" s="1"/>
  <c r="E596" i="14" s="1"/>
  <c r="E597" i="14" s="1"/>
  <c r="E598" i="14" s="1"/>
  <c r="E599" i="14" s="1"/>
  <c r="E600" i="14" s="1"/>
  <c r="E601" i="14" s="1"/>
  <c r="E602" i="14" s="1"/>
  <c r="E603" i="14" s="1"/>
  <c r="E604" i="14" s="1"/>
  <c r="E605" i="14" s="1"/>
  <c r="E606" i="14" s="1"/>
  <c r="E607" i="14" s="1"/>
  <c r="E608" i="14" s="1"/>
  <c r="E609" i="14" s="1"/>
  <c r="E610" i="14" s="1"/>
  <c r="E611" i="14" s="1"/>
  <c r="E612" i="14" s="1"/>
  <c r="E613" i="14" s="1"/>
  <c r="E614" i="14" s="1"/>
  <c r="E615" i="14" s="1"/>
  <c r="E616" i="14" s="1"/>
  <c r="E617" i="14" s="1"/>
  <c r="E618" i="14" s="1"/>
  <c r="E619" i="14" s="1"/>
  <c r="E620" i="14" s="1"/>
  <c r="E621" i="14" s="1"/>
  <c r="E622" i="14" s="1"/>
  <c r="E623" i="14" s="1"/>
  <c r="E624" i="14" s="1"/>
  <c r="E625" i="14" s="1"/>
  <c r="E626" i="14" s="1"/>
  <c r="E627" i="14" s="1"/>
  <c r="E628" i="14" s="1"/>
  <c r="E629" i="14" s="1"/>
  <c r="E630" i="14" s="1"/>
  <c r="E631" i="14" s="1"/>
  <c r="D2" i="14"/>
  <c r="D3" i="14"/>
  <c r="D4" i="14"/>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D102" i="14"/>
  <c r="D103" i="14"/>
  <c r="D104" i="14"/>
  <c r="D105" i="14"/>
  <c r="D106" i="14"/>
  <c r="D107" i="14"/>
  <c r="D108" i="14"/>
  <c r="D109" i="14"/>
  <c r="D110" i="14"/>
  <c r="D111" i="14"/>
  <c r="D112" i="14"/>
  <c r="D113" i="14"/>
  <c r="D114" i="14"/>
  <c r="D115" i="14"/>
  <c r="D116" i="14"/>
  <c r="D117" i="14"/>
  <c r="D118" i="14"/>
  <c r="D119" i="14"/>
  <c r="D120" i="14"/>
  <c r="D121" i="14"/>
  <c r="D122" i="14"/>
  <c r="D123" i="14"/>
  <c r="D124" i="14"/>
  <c r="D125" i="14"/>
  <c r="D126" i="14"/>
  <c r="D127" i="14"/>
  <c r="D128" i="14"/>
  <c r="D129" i="14"/>
  <c r="D130" i="14"/>
  <c r="D131" i="14"/>
  <c r="D132" i="14"/>
  <c r="D133" i="14"/>
  <c r="D134" i="14"/>
  <c r="D135" i="14"/>
  <c r="D136" i="14"/>
  <c r="D137" i="14"/>
  <c r="D138" i="14"/>
  <c r="D139" i="14"/>
  <c r="D140" i="14"/>
  <c r="D141" i="14"/>
  <c r="D142" i="14"/>
  <c r="D143" i="14"/>
  <c r="D144" i="14"/>
  <c r="D145" i="14"/>
  <c r="D146" i="14"/>
  <c r="D147" i="14"/>
  <c r="D148" i="14"/>
  <c r="D149" i="14"/>
  <c r="D150" i="14"/>
  <c r="D151" i="14"/>
  <c r="D152" i="14"/>
  <c r="D153" i="14"/>
  <c r="D154" i="14"/>
  <c r="D155" i="14"/>
  <c r="D156" i="14"/>
  <c r="D157" i="14"/>
  <c r="D158" i="14"/>
  <c r="D159" i="14"/>
  <c r="D160" i="14"/>
  <c r="D161" i="14"/>
  <c r="D162" i="14"/>
  <c r="D163" i="14"/>
  <c r="D164" i="14"/>
  <c r="D165" i="14"/>
  <c r="D166" i="14"/>
  <c r="D167" i="14"/>
  <c r="D168" i="14"/>
  <c r="D169" i="14"/>
  <c r="D170" i="14"/>
  <c r="D171" i="14"/>
  <c r="D172" i="14"/>
  <c r="D173" i="14"/>
  <c r="D174" i="14"/>
  <c r="D175" i="14"/>
  <c r="D176" i="14"/>
  <c r="D177" i="14"/>
  <c r="D178" i="14"/>
  <c r="D179" i="14"/>
  <c r="D180" i="14"/>
  <c r="D181" i="14"/>
  <c r="D182" i="14"/>
  <c r="D183" i="14"/>
  <c r="D184" i="14"/>
  <c r="D185" i="14"/>
  <c r="D186" i="14"/>
  <c r="D187" i="14"/>
  <c r="D188" i="14"/>
  <c r="D189" i="14"/>
  <c r="D190" i="14"/>
  <c r="D191" i="14"/>
  <c r="D192" i="14"/>
  <c r="D193" i="14"/>
  <c r="D194" i="14"/>
  <c r="D195" i="14"/>
  <c r="D196" i="14"/>
  <c r="D197" i="14"/>
  <c r="D198" i="14"/>
  <c r="D199" i="14"/>
  <c r="D200" i="14"/>
  <c r="D201" i="14"/>
  <c r="D202" i="14"/>
  <c r="D203" i="14"/>
  <c r="D204" i="14"/>
  <c r="D205" i="14"/>
  <c r="D206" i="14"/>
  <c r="D207" i="14"/>
  <c r="D208" i="14"/>
  <c r="D209" i="14"/>
  <c r="D210" i="14"/>
  <c r="D211" i="14"/>
  <c r="D212" i="14"/>
  <c r="D213" i="14"/>
  <c r="D214" i="14"/>
  <c r="D215" i="14"/>
  <c r="D216" i="14"/>
  <c r="D217" i="14"/>
  <c r="D218" i="14"/>
  <c r="D219" i="14"/>
  <c r="D220" i="14"/>
  <c r="D221" i="14"/>
  <c r="D222" i="14"/>
  <c r="D223" i="14"/>
  <c r="D224" i="14"/>
  <c r="D225" i="14"/>
  <c r="D226" i="14"/>
  <c r="D227" i="14"/>
  <c r="D228" i="14"/>
  <c r="D229" i="14"/>
  <c r="D230" i="14"/>
  <c r="D231" i="14"/>
  <c r="D232" i="14"/>
  <c r="D233" i="14"/>
  <c r="D234" i="14"/>
  <c r="D235" i="14"/>
  <c r="D236" i="14"/>
  <c r="D237" i="14"/>
  <c r="D238" i="14"/>
  <c r="D239" i="14"/>
  <c r="D240" i="14"/>
  <c r="D241" i="14"/>
  <c r="D242" i="14"/>
  <c r="D243" i="14"/>
  <c r="D244" i="14"/>
  <c r="D245" i="14"/>
  <c r="D246" i="14"/>
  <c r="D247" i="14"/>
  <c r="D248" i="14"/>
  <c r="D249" i="14"/>
  <c r="D250" i="14"/>
  <c r="D251" i="14"/>
  <c r="D252" i="14"/>
  <c r="D253" i="14"/>
  <c r="D254" i="14"/>
  <c r="D255" i="14"/>
  <c r="D256" i="14"/>
  <c r="D257" i="14"/>
  <c r="D258" i="14"/>
  <c r="D259" i="14"/>
  <c r="D260" i="14"/>
  <c r="D261" i="14"/>
  <c r="D262" i="14"/>
  <c r="D263" i="14"/>
  <c r="D264" i="14"/>
  <c r="D265" i="14"/>
  <c r="D266" i="14"/>
  <c r="D267" i="14"/>
  <c r="D268" i="14"/>
  <c r="D269" i="14"/>
  <c r="D270" i="14"/>
  <c r="D271" i="14"/>
  <c r="D272" i="14"/>
  <c r="D273" i="14"/>
  <c r="D274" i="14"/>
  <c r="D275" i="14"/>
  <c r="D276" i="14"/>
  <c r="D277" i="14"/>
  <c r="D278" i="14"/>
  <c r="D279" i="14"/>
  <c r="D280" i="14"/>
  <c r="D281" i="14"/>
  <c r="D282" i="14"/>
  <c r="D283" i="14"/>
  <c r="D284" i="14"/>
  <c r="D285" i="14"/>
  <c r="D286" i="14"/>
  <c r="D287" i="14"/>
  <c r="D288" i="14"/>
  <c r="D289" i="14"/>
  <c r="D290" i="14"/>
  <c r="D291" i="14"/>
  <c r="D292" i="14"/>
  <c r="D293" i="14"/>
  <c r="D294" i="14"/>
  <c r="D295" i="14"/>
  <c r="D296" i="14"/>
  <c r="D297" i="14"/>
  <c r="D298" i="14"/>
  <c r="D299" i="14"/>
  <c r="D300" i="14"/>
  <c r="D301" i="14"/>
  <c r="D302" i="14"/>
  <c r="D303" i="14"/>
  <c r="D304" i="14"/>
  <c r="D305" i="14"/>
  <c r="D306" i="14"/>
  <c r="D307" i="14"/>
  <c r="D308" i="14"/>
  <c r="D309" i="14"/>
  <c r="D310" i="14"/>
  <c r="D311" i="14"/>
  <c r="D312" i="14"/>
  <c r="D313" i="14"/>
  <c r="D314" i="14"/>
  <c r="D315" i="14"/>
  <c r="D316" i="14"/>
  <c r="D317" i="14"/>
  <c r="D318" i="14"/>
  <c r="D319" i="14"/>
  <c r="D320" i="14"/>
  <c r="D321" i="14"/>
  <c r="D322" i="14"/>
  <c r="D323" i="14"/>
  <c r="D324" i="14"/>
  <c r="D325" i="14"/>
  <c r="D326" i="14"/>
  <c r="D327" i="14"/>
  <c r="D328" i="14"/>
  <c r="D329" i="14"/>
  <c r="D330" i="14"/>
  <c r="D331" i="14"/>
  <c r="D332" i="14"/>
  <c r="D333" i="14"/>
  <c r="D334" i="14"/>
  <c r="D335" i="14"/>
  <c r="D336" i="14"/>
  <c r="D337" i="14"/>
  <c r="D338" i="14"/>
  <c r="D339" i="14"/>
  <c r="D340" i="14"/>
  <c r="D341" i="14"/>
  <c r="D342" i="14"/>
  <c r="D343" i="14"/>
  <c r="D344" i="14"/>
  <c r="D345" i="14"/>
  <c r="D346" i="14"/>
  <c r="D347" i="14"/>
  <c r="D348" i="14"/>
  <c r="D349" i="14"/>
  <c r="D350" i="14"/>
  <c r="D351" i="14"/>
  <c r="D352" i="14"/>
  <c r="D353" i="14"/>
  <c r="D354" i="14"/>
  <c r="D355" i="14"/>
  <c r="D356" i="14"/>
  <c r="D357" i="14"/>
  <c r="D358" i="14"/>
  <c r="D359" i="14"/>
  <c r="D360" i="14"/>
  <c r="D361" i="14"/>
  <c r="D362" i="14"/>
  <c r="D363" i="14"/>
  <c r="D364" i="14"/>
  <c r="D365" i="14"/>
  <c r="D366" i="14"/>
  <c r="D367" i="14"/>
  <c r="D368" i="14"/>
  <c r="D369" i="14"/>
  <c r="D370" i="14"/>
  <c r="D371" i="14"/>
  <c r="D372" i="14"/>
  <c r="D373" i="14"/>
  <c r="D374" i="14"/>
  <c r="D375" i="14"/>
  <c r="D376" i="14"/>
  <c r="D377" i="14"/>
  <c r="D378" i="14"/>
  <c r="D379" i="14"/>
  <c r="D380" i="14"/>
  <c r="D381" i="14"/>
  <c r="D382" i="14"/>
  <c r="D383" i="14"/>
  <c r="D384" i="14"/>
  <c r="D385" i="14"/>
  <c r="D386" i="14"/>
  <c r="D387" i="14"/>
  <c r="D388" i="14"/>
  <c r="D389" i="14"/>
  <c r="D390" i="14"/>
  <c r="D391" i="14"/>
  <c r="D392" i="14"/>
  <c r="D393" i="14"/>
  <c r="D394" i="14"/>
  <c r="D395" i="14"/>
  <c r="D396" i="14"/>
  <c r="D397" i="14"/>
  <c r="D398" i="14"/>
  <c r="D399" i="14"/>
  <c r="D400" i="14"/>
  <c r="D401" i="14"/>
  <c r="D402" i="14"/>
  <c r="D403" i="14"/>
  <c r="D404" i="14"/>
  <c r="D405" i="14"/>
  <c r="D406" i="14"/>
  <c r="D407" i="14"/>
  <c r="D408" i="14"/>
  <c r="D409" i="14"/>
  <c r="D410" i="14"/>
  <c r="D411" i="14"/>
  <c r="D412" i="14"/>
  <c r="D413" i="14"/>
  <c r="D414" i="14"/>
  <c r="D415" i="14"/>
  <c r="D416" i="14"/>
  <c r="D417" i="14"/>
  <c r="D418" i="14"/>
  <c r="D419" i="14"/>
  <c r="D420" i="14"/>
  <c r="D421" i="14"/>
  <c r="D422" i="14"/>
  <c r="D423" i="14"/>
  <c r="D424" i="14"/>
  <c r="D425" i="14"/>
  <c r="D426" i="14"/>
  <c r="D427" i="14"/>
  <c r="D428" i="14"/>
  <c r="D429" i="14"/>
  <c r="D430" i="14"/>
  <c r="D431" i="14"/>
  <c r="D432" i="14"/>
  <c r="D433" i="14"/>
  <c r="D434" i="14"/>
  <c r="D435" i="14"/>
  <c r="D436" i="14"/>
  <c r="D437" i="14"/>
  <c r="D438" i="14"/>
  <c r="D439" i="14"/>
  <c r="D440" i="14"/>
  <c r="D441" i="14"/>
  <c r="D442" i="14"/>
  <c r="D443" i="14"/>
  <c r="D444" i="14"/>
  <c r="D445" i="14"/>
  <c r="D446" i="14"/>
  <c r="D447" i="14"/>
  <c r="D448" i="14"/>
  <c r="D449" i="14"/>
  <c r="D450" i="14"/>
  <c r="D451" i="14"/>
  <c r="D452" i="14"/>
  <c r="D453" i="14"/>
  <c r="D454" i="14"/>
  <c r="D455" i="14"/>
  <c r="D456" i="14"/>
  <c r="D457" i="14"/>
  <c r="D458" i="14"/>
  <c r="D459" i="14"/>
  <c r="D460" i="14"/>
  <c r="D461" i="14"/>
  <c r="D462" i="14"/>
  <c r="D463" i="14"/>
  <c r="D464" i="14"/>
  <c r="D465" i="14"/>
  <c r="D466" i="14"/>
  <c r="D467" i="14"/>
  <c r="D468" i="14"/>
  <c r="D469" i="14"/>
  <c r="D470" i="14"/>
  <c r="D471" i="14"/>
  <c r="D472" i="14"/>
  <c r="D473" i="14"/>
  <c r="D474" i="14"/>
  <c r="D475" i="14"/>
  <c r="D476" i="14"/>
  <c r="D477" i="14"/>
  <c r="D478" i="14"/>
  <c r="D479" i="14"/>
  <c r="D480" i="14"/>
  <c r="D481" i="14"/>
  <c r="D482" i="14"/>
  <c r="D483" i="14"/>
  <c r="D484" i="14"/>
  <c r="D485" i="14"/>
  <c r="D486" i="14"/>
  <c r="D487" i="14"/>
  <c r="D488" i="14"/>
  <c r="D489" i="14"/>
  <c r="D490" i="14"/>
  <c r="D491" i="14"/>
  <c r="D492" i="14"/>
  <c r="D493" i="14"/>
  <c r="D494" i="14"/>
  <c r="D495" i="14"/>
  <c r="D496" i="14"/>
  <c r="D497" i="14"/>
  <c r="D498" i="14"/>
  <c r="D499" i="14"/>
  <c r="D500" i="14"/>
  <c r="D501" i="14"/>
  <c r="D502" i="14"/>
  <c r="D503" i="14"/>
  <c r="D504" i="14"/>
  <c r="D505" i="14"/>
  <c r="D506" i="14"/>
  <c r="D507" i="14"/>
  <c r="D508" i="14"/>
  <c r="D509" i="14"/>
  <c r="D510" i="14"/>
  <c r="D511" i="14"/>
  <c r="D512" i="14"/>
  <c r="D513" i="14"/>
  <c r="D514" i="14"/>
  <c r="D515" i="14"/>
  <c r="D516" i="14"/>
  <c r="D517" i="14"/>
  <c r="D518" i="14"/>
  <c r="D519" i="14"/>
  <c r="D520" i="14"/>
  <c r="D521" i="14"/>
  <c r="D522" i="14"/>
  <c r="D523" i="14"/>
  <c r="D524" i="14"/>
  <c r="D525" i="14"/>
  <c r="D526" i="14"/>
  <c r="D527" i="14"/>
  <c r="D528" i="14"/>
  <c r="D529" i="14"/>
  <c r="D530" i="14"/>
  <c r="D531" i="14"/>
  <c r="D532" i="14"/>
  <c r="D533" i="14"/>
  <c r="D534" i="14"/>
  <c r="D535" i="14"/>
  <c r="D536" i="14"/>
  <c r="D537" i="14"/>
  <c r="D538" i="14"/>
  <c r="D539" i="14"/>
  <c r="D540" i="14"/>
  <c r="D541" i="14"/>
  <c r="D542" i="14"/>
  <c r="D543" i="14"/>
  <c r="D544" i="14"/>
  <c r="D545" i="14"/>
  <c r="D546" i="14"/>
  <c r="D547" i="14"/>
  <c r="D548" i="14"/>
  <c r="D549" i="14"/>
  <c r="D550" i="14"/>
  <c r="D551" i="14"/>
  <c r="D552" i="14"/>
  <c r="D553" i="14"/>
  <c r="D554" i="14"/>
  <c r="D555" i="14"/>
  <c r="D556" i="14"/>
  <c r="D557" i="14"/>
  <c r="D558" i="14"/>
  <c r="D559" i="14"/>
  <c r="D560" i="14"/>
  <c r="D561" i="14"/>
  <c r="D562" i="14"/>
  <c r="D563" i="14"/>
  <c r="D564" i="14"/>
  <c r="D565" i="14"/>
  <c r="D566" i="14"/>
  <c r="D567" i="14"/>
  <c r="D568" i="14"/>
  <c r="D569" i="14"/>
  <c r="D570" i="14"/>
  <c r="D571" i="14"/>
  <c r="D572" i="14"/>
  <c r="D573" i="14"/>
  <c r="D574" i="14"/>
  <c r="D575" i="14"/>
  <c r="D576" i="14"/>
  <c r="D577" i="14"/>
  <c r="D578" i="14"/>
  <c r="D579" i="14"/>
  <c r="D580" i="14"/>
  <c r="D581" i="14"/>
  <c r="D582" i="14"/>
  <c r="D583" i="14"/>
  <c r="D584" i="14"/>
  <c r="D585" i="14"/>
  <c r="D586" i="14"/>
  <c r="D587" i="14"/>
  <c r="D588" i="14"/>
  <c r="D589" i="14"/>
  <c r="D590" i="14"/>
  <c r="D591" i="14"/>
  <c r="D592" i="14"/>
  <c r="D593" i="14"/>
  <c r="D594" i="14"/>
  <c r="D595" i="14"/>
  <c r="D596" i="14"/>
  <c r="D597" i="14"/>
  <c r="D598" i="14"/>
  <c r="D599" i="14"/>
  <c r="D600" i="14"/>
  <c r="D601" i="14"/>
  <c r="D602" i="14"/>
  <c r="D603" i="14"/>
  <c r="D604" i="14"/>
  <c r="D605" i="14"/>
  <c r="D606" i="14"/>
  <c r="D607" i="14"/>
  <c r="D608" i="14"/>
  <c r="D609" i="14"/>
  <c r="D610" i="14"/>
  <c r="D611" i="14"/>
  <c r="D612" i="14"/>
  <c r="D613" i="14"/>
  <c r="D614" i="14"/>
  <c r="D615" i="14"/>
  <c r="D616" i="14"/>
  <c r="D617" i="14"/>
  <c r="D618" i="14"/>
  <c r="D619" i="14"/>
  <c r="D620" i="14"/>
  <c r="D621" i="14"/>
  <c r="D622" i="14"/>
  <c r="D623" i="14"/>
  <c r="D624" i="14"/>
  <c r="D625" i="14"/>
  <c r="D626" i="14"/>
  <c r="D627" i="14"/>
  <c r="D628" i="14"/>
  <c r="D629" i="14"/>
  <c r="D630" i="14"/>
  <c r="D631" i="14"/>
  <c r="C2" i="14"/>
  <c r="C3" i="14"/>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261" i="14"/>
  <c r="C262" i="14"/>
  <c r="C263" i="14"/>
  <c r="C264" i="14"/>
  <c r="C265" i="14"/>
  <c r="C266" i="14"/>
  <c r="C267" i="14"/>
  <c r="C268" i="14"/>
  <c r="C269" i="14"/>
  <c r="C270" i="14"/>
  <c r="C271" i="14"/>
  <c r="C272" i="14"/>
  <c r="C273" i="14"/>
  <c r="C274" i="14"/>
  <c r="C275" i="14"/>
  <c r="C276" i="14"/>
  <c r="C277" i="14"/>
  <c r="C278" i="14"/>
  <c r="C279" i="14"/>
  <c r="C280" i="14"/>
  <c r="C281" i="14"/>
  <c r="C282" i="14"/>
  <c r="C283" i="14"/>
  <c r="C284" i="14"/>
  <c r="C285" i="14"/>
  <c r="C286" i="14"/>
  <c r="C287" i="14"/>
  <c r="C288" i="14"/>
  <c r="C289" i="14"/>
  <c r="C290" i="14"/>
  <c r="C291" i="14"/>
  <c r="C292" i="14"/>
  <c r="C293" i="14"/>
  <c r="C294" i="14"/>
  <c r="C295" i="14"/>
  <c r="C296" i="14"/>
  <c r="C297" i="14"/>
  <c r="C298" i="14"/>
  <c r="C299" i="14"/>
  <c r="C300" i="14"/>
  <c r="C301" i="14"/>
  <c r="C302" i="14"/>
  <c r="C303" i="14"/>
  <c r="C304" i="14"/>
  <c r="C305" i="14"/>
  <c r="C306" i="14"/>
  <c r="C307" i="14"/>
  <c r="C308" i="14"/>
  <c r="C309" i="14"/>
  <c r="C310" i="14"/>
  <c r="C311" i="14"/>
  <c r="C312" i="14"/>
  <c r="C313" i="14"/>
  <c r="C314" i="14"/>
  <c r="C315" i="14"/>
  <c r="C316" i="14"/>
  <c r="C317" i="14"/>
  <c r="C318" i="14"/>
  <c r="C319" i="14"/>
  <c r="C320" i="14"/>
  <c r="C321" i="14"/>
  <c r="C322" i="14"/>
  <c r="C323" i="14"/>
  <c r="C324" i="14"/>
  <c r="C325" i="14"/>
  <c r="C326" i="14"/>
  <c r="C327" i="14"/>
  <c r="C328" i="14"/>
  <c r="C329" i="14"/>
  <c r="C330" i="14"/>
  <c r="C331" i="14"/>
  <c r="C332" i="14"/>
  <c r="C333" i="14"/>
  <c r="C334" i="14"/>
  <c r="C335" i="14"/>
  <c r="C336" i="14"/>
  <c r="C337" i="14"/>
  <c r="C338" i="14"/>
  <c r="C339" i="14"/>
  <c r="C340" i="14"/>
  <c r="C341" i="14"/>
  <c r="C342" i="14"/>
  <c r="C343" i="14"/>
  <c r="C344" i="14"/>
  <c r="C345" i="14"/>
  <c r="C346" i="14"/>
  <c r="C347" i="14"/>
  <c r="C348" i="14"/>
  <c r="C349" i="14"/>
  <c r="C350" i="14"/>
  <c r="C351" i="14"/>
  <c r="C352" i="14"/>
  <c r="C353" i="14"/>
  <c r="C354" i="14"/>
  <c r="C355" i="14"/>
  <c r="C356" i="14"/>
  <c r="C357" i="14"/>
  <c r="C358" i="14"/>
  <c r="C359" i="14"/>
  <c r="C360" i="14"/>
  <c r="C361" i="14"/>
  <c r="C362" i="14"/>
  <c r="C363" i="14"/>
  <c r="C364" i="14"/>
  <c r="C365" i="14"/>
  <c r="C366" i="14"/>
  <c r="C367" i="14"/>
  <c r="C368" i="14"/>
  <c r="C369" i="14"/>
  <c r="C370" i="14"/>
  <c r="C371" i="14"/>
  <c r="C372" i="14"/>
  <c r="C373" i="14"/>
  <c r="C374" i="14"/>
  <c r="C375" i="14"/>
  <c r="C376" i="14"/>
  <c r="C377" i="14"/>
  <c r="C378" i="14"/>
  <c r="C379" i="14"/>
  <c r="C380" i="14"/>
  <c r="C381" i="14"/>
  <c r="C382" i="14"/>
  <c r="C383" i="14"/>
  <c r="C384" i="14"/>
  <c r="C385" i="14"/>
  <c r="C386" i="14"/>
  <c r="C387" i="14"/>
  <c r="C388" i="14"/>
  <c r="C389" i="14"/>
  <c r="C390" i="14"/>
  <c r="C391" i="14"/>
  <c r="C392" i="14"/>
  <c r="C393" i="14"/>
  <c r="C394" i="14"/>
  <c r="C395" i="14"/>
  <c r="C396" i="14"/>
  <c r="C397" i="14"/>
  <c r="C398" i="14"/>
  <c r="C399" i="14"/>
  <c r="C400" i="14"/>
  <c r="C401" i="14"/>
  <c r="C402" i="14"/>
  <c r="C403" i="14"/>
  <c r="C404" i="14"/>
  <c r="C405" i="14"/>
  <c r="C406" i="14"/>
  <c r="C407" i="14"/>
  <c r="C408" i="14"/>
  <c r="C409" i="14"/>
  <c r="C410" i="14"/>
  <c r="C411" i="14"/>
  <c r="C412" i="14"/>
  <c r="C413" i="14"/>
  <c r="C414" i="14"/>
  <c r="C415" i="14"/>
  <c r="C416" i="14"/>
  <c r="C417" i="14"/>
  <c r="C418" i="14"/>
  <c r="C419" i="14"/>
  <c r="C420" i="14"/>
  <c r="C421" i="14"/>
  <c r="C422" i="14"/>
  <c r="C423" i="14"/>
  <c r="C424" i="14"/>
  <c r="C425" i="14"/>
  <c r="C426" i="14"/>
  <c r="C427" i="14"/>
  <c r="C428" i="14"/>
  <c r="C429" i="14"/>
  <c r="C430" i="14"/>
  <c r="C431" i="14"/>
  <c r="C432" i="14"/>
  <c r="C433" i="14"/>
  <c r="C434" i="14"/>
  <c r="C435" i="14"/>
  <c r="C436" i="14"/>
  <c r="C437" i="14"/>
  <c r="C438" i="14"/>
  <c r="C439" i="14"/>
  <c r="C440" i="14"/>
  <c r="C441" i="14"/>
  <c r="C442" i="14"/>
  <c r="C443" i="14"/>
  <c r="C444" i="14"/>
  <c r="C445" i="14"/>
  <c r="C446" i="14"/>
  <c r="C447" i="14"/>
  <c r="C448" i="14"/>
  <c r="C449" i="14"/>
  <c r="C450" i="14"/>
  <c r="C451" i="14"/>
  <c r="C452" i="14"/>
  <c r="C453" i="14"/>
  <c r="C454" i="14"/>
  <c r="C455" i="14"/>
  <c r="C456" i="14"/>
  <c r="C457" i="14"/>
  <c r="C458" i="14"/>
  <c r="C459" i="14"/>
  <c r="C460" i="14"/>
  <c r="C461" i="14"/>
  <c r="C462" i="14"/>
  <c r="C463" i="14"/>
  <c r="C464" i="14"/>
  <c r="C465" i="14"/>
  <c r="C466" i="14"/>
  <c r="C467" i="14"/>
  <c r="C468" i="14"/>
  <c r="C469" i="14"/>
  <c r="C470" i="14"/>
  <c r="C471" i="14"/>
  <c r="C472" i="14"/>
  <c r="C473" i="14"/>
  <c r="C474" i="14"/>
  <c r="C475" i="14"/>
  <c r="C476" i="14"/>
  <c r="C477" i="14"/>
  <c r="C478" i="14"/>
  <c r="C479" i="14"/>
  <c r="C480" i="14"/>
  <c r="C481" i="14"/>
  <c r="C482" i="14"/>
  <c r="C483" i="14"/>
  <c r="C484" i="14"/>
  <c r="C485" i="14"/>
  <c r="C486" i="14"/>
  <c r="C487" i="14"/>
  <c r="C488" i="14"/>
  <c r="C489" i="14"/>
  <c r="C490" i="14"/>
  <c r="C491" i="14"/>
  <c r="C492" i="14"/>
  <c r="C493" i="14"/>
  <c r="C494" i="14"/>
  <c r="C495" i="14"/>
  <c r="C496" i="14"/>
  <c r="C497" i="14"/>
  <c r="C498" i="14"/>
  <c r="C499" i="14"/>
  <c r="C500" i="14"/>
  <c r="C501" i="14"/>
  <c r="C502" i="14"/>
  <c r="C503" i="14"/>
  <c r="C504" i="14"/>
  <c r="C505" i="14"/>
  <c r="C506" i="14"/>
  <c r="C507" i="14"/>
  <c r="C508" i="14"/>
  <c r="C509" i="14"/>
  <c r="C510" i="14"/>
  <c r="C511" i="14"/>
  <c r="C512" i="14"/>
  <c r="C513" i="14"/>
  <c r="C514" i="14"/>
  <c r="C515" i="14"/>
  <c r="C516" i="14"/>
  <c r="C517" i="14"/>
  <c r="C518" i="14"/>
  <c r="C519" i="14"/>
  <c r="C520" i="14"/>
  <c r="C521" i="14"/>
  <c r="C522" i="14"/>
  <c r="C523" i="14"/>
  <c r="C524" i="14"/>
  <c r="C525" i="14"/>
  <c r="C526" i="14"/>
  <c r="C527" i="14"/>
  <c r="C528" i="14"/>
  <c r="C529" i="14"/>
  <c r="C530" i="14"/>
  <c r="C531" i="14"/>
  <c r="C532" i="14"/>
  <c r="C533" i="14"/>
  <c r="C534" i="14"/>
  <c r="C535" i="14"/>
  <c r="C536" i="14"/>
  <c r="C537" i="14"/>
  <c r="C538" i="14"/>
  <c r="C539" i="14"/>
  <c r="C540" i="14"/>
  <c r="C541" i="14"/>
  <c r="C542" i="14"/>
  <c r="C543" i="14"/>
  <c r="C544" i="14"/>
  <c r="C545" i="14"/>
  <c r="C546" i="14"/>
  <c r="C547" i="14"/>
  <c r="C548" i="14"/>
  <c r="C549" i="14"/>
  <c r="C550" i="14"/>
  <c r="C551" i="14"/>
  <c r="C552" i="14"/>
  <c r="C553" i="14"/>
  <c r="C554" i="14"/>
  <c r="C555" i="14"/>
  <c r="C556" i="14"/>
  <c r="C557" i="14"/>
  <c r="C558" i="14"/>
  <c r="C559" i="14"/>
  <c r="C560" i="14"/>
  <c r="C561" i="14"/>
  <c r="C562" i="14"/>
  <c r="C563" i="14"/>
  <c r="C564" i="14"/>
  <c r="C565" i="14"/>
  <c r="C566" i="14"/>
  <c r="C567" i="14"/>
  <c r="C568" i="14"/>
  <c r="C569" i="14"/>
  <c r="C570" i="14"/>
  <c r="C571" i="14"/>
  <c r="C572" i="14"/>
  <c r="C573" i="14"/>
  <c r="C574" i="14"/>
  <c r="C575" i="14"/>
  <c r="C576" i="14"/>
  <c r="C577" i="14"/>
  <c r="C578" i="14"/>
  <c r="C579" i="14"/>
  <c r="C580" i="14"/>
  <c r="C581" i="14"/>
  <c r="C582" i="14"/>
  <c r="C583" i="14"/>
  <c r="C584" i="14"/>
  <c r="C585" i="14"/>
  <c r="C586" i="14"/>
  <c r="C587" i="14"/>
  <c r="C588" i="14"/>
  <c r="C589" i="14"/>
  <c r="C590" i="14"/>
  <c r="C591" i="14"/>
  <c r="C592" i="14"/>
  <c r="C593" i="14"/>
  <c r="C594" i="14"/>
  <c r="C595" i="14"/>
  <c r="C596" i="14"/>
  <c r="C597" i="14"/>
  <c r="C598" i="14"/>
  <c r="C599" i="14"/>
  <c r="C600" i="14"/>
  <c r="C601" i="14"/>
  <c r="C602" i="14"/>
  <c r="C603" i="14"/>
  <c r="C604" i="14"/>
  <c r="C605" i="14"/>
  <c r="C606" i="14"/>
  <c r="C607" i="14"/>
  <c r="C608" i="14"/>
  <c r="C609" i="14"/>
  <c r="C610" i="14"/>
  <c r="C611" i="14"/>
  <c r="C612" i="14"/>
  <c r="C613" i="14"/>
  <c r="C614" i="14"/>
  <c r="C615" i="14"/>
  <c r="C616" i="14"/>
  <c r="C617" i="14"/>
  <c r="C618" i="14"/>
  <c r="C619" i="14"/>
  <c r="C620" i="14"/>
  <c r="C621" i="14"/>
  <c r="C622" i="14"/>
  <c r="C623" i="14"/>
  <c r="C624" i="14"/>
  <c r="C625" i="14"/>
  <c r="C626" i="14"/>
  <c r="C627" i="14"/>
  <c r="C628" i="14"/>
  <c r="C629" i="14"/>
  <c r="C630" i="14"/>
  <c r="C631" i="14"/>
  <c r="AP2" i="3"/>
  <c r="AP3" i="3"/>
  <c r="AP4" i="3"/>
  <c r="AP5" i="3"/>
  <c r="AP6" i="3"/>
  <c r="AP7" i="3"/>
  <c r="AP8" i="3"/>
  <c r="AP9" i="3"/>
  <c r="AP10" i="3"/>
  <c r="AP11" i="3"/>
  <c r="AP12" i="3"/>
  <c r="AP13" i="3"/>
  <c r="AP14" i="3"/>
  <c r="AP15" i="3"/>
  <c r="AP16" i="3"/>
  <c r="AP17" i="3"/>
  <c r="AP18" i="3"/>
  <c r="AP19" i="3"/>
  <c r="AP20" i="3"/>
  <c r="AP21" i="3"/>
  <c r="AP22" i="3"/>
  <c r="AP23" i="3"/>
  <c r="AP24" i="3"/>
  <c r="AP25" i="3"/>
  <c r="AP26" i="3"/>
  <c r="AP27" i="3"/>
  <c r="AP28" i="3"/>
  <c r="AP29" i="3"/>
  <c r="AP30" i="3"/>
  <c r="AP31" i="3"/>
  <c r="AP32" i="3"/>
  <c r="AP33" i="3"/>
  <c r="AP34" i="3"/>
  <c r="AP35" i="3"/>
  <c r="AP36" i="3"/>
  <c r="AP37" i="3"/>
  <c r="AP38" i="3"/>
  <c r="AP39" i="3"/>
  <c r="AP40" i="3"/>
  <c r="AP41" i="3"/>
  <c r="AP42" i="3"/>
  <c r="AP43" i="3"/>
  <c r="AP44" i="3"/>
  <c r="AP45" i="3"/>
  <c r="AP46" i="3"/>
  <c r="AP47" i="3"/>
  <c r="AP48" i="3"/>
  <c r="AP49" i="3"/>
  <c r="AP50" i="3"/>
  <c r="AP51" i="3"/>
  <c r="AP52" i="3"/>
  <c r="AP53" i="3"/>
  <c r="AP54" i="3"/>
  <c r="AP55" i="3"/>
  <c r="AP56" i="3"/>
  <c r="AP57" i="3"/>
  <c r="AP58" i="3"/>
  <c r="AP59" i="3"/>
  <c r="AP60" i="3"/>
  <c r="AP61" i="3"/>
  <c r="AP62" i="3"/>
  <c r="AP63" i="3"/>
  <c r="AP64" i="3"/>
  <c r="AP65" i="3"/>
  <c r="AP66" i="3"/>
  <c r="AP67" i="3"/>
  <c r="AP68" i="3"/>
  <c r="AP69" i="3"/>
  <c r="AP70" i="3"/>
  <c r="AP71" i="3"/>
  <c r="AP72" i="3"/>
  <c r="AP73" i="3"/>
  <c r="AP74" i="3"/>
  <c r="AP75" i="3"/>
  <c r="AP76" i="3"/>
  <c r="AP77" i="3"/>
  <c r="AP78" i="3"/>
  <c r="AP79" i="3"/>
  <c r="AP80" i="3"/>
  <c r="AP81" i="3"/>
  <c r="AP82" i="3"/>
  <c r="AP83" i="3"/>
  <c r="AP84" i="3"/>
  <c r="AP85" i="3"/>
  <c r="AP86" i="3"/>
  <c r="AP87" i="3"/>
  <c r="AP88" i="3"/>
  <c r="AP89" i="3"/>
  <c r="AP90" i="3"/>
  <c r="AP91" i="3"/>
  <c r="AP92" i="3"/>
  <c r="AP93" i="3"/>
  <c r="AP94" i="3"/>
  <c r="AP95" i="3"/>
  <c r="AP96" i="3"/>
  <c r="AP97" i="3"/>
  <c r="AP98" i="3"/>
  <c r="AP99" i="3"/>
  <c r="AP100" i="3"/>
  <c r="AP101" i="3"/>
  <c r="AP102" i="3"/>
  <c r="AP103" i="3"/>
  <c r="AP104" i="3"/>
  <c r="AP105" i="3"/>
  <c r="AP106" i="3"/>
  <c r="AP107" i="3"/>
  <c r="AP108" i="3"/>
  <c r="AP109" i="3"/>
  <c r="AP110" i="3"/>
  <c r="AP111" i="3"/>
  <c r="AP112" i="3"/>
  <c r="AP113" i="3"/>
  <c r="AP114" i="3"/>
  <c r="AP115" i="3"/>
  <c r="AP116" i="3"/>
  <c r="AP117" i="3"/>
  <c r="AP118" i="3"/>
  <c r="AP119" i="3"/>
  <c r="AP120" i="3"/>
  <c r="AP121" i="3"/>
  <c r="AP122" i="3"/>
  <c r="AP123" i="3"/>
  <c r="AP124" i="3"/>
  <c r="AP125" i="3"/>
  <c r="AP126" i="3"/>
  <c r="AP127" i="3"/>
  <c r="AP128" i="3"/>
  <c r="AP129" i="3"/>
  <c r="AP130" i="3"/>
  <c r="AP131" i="3"/>
  <c r="AP132" i="3"/>
  <c r="AP133" i="3"/>
  <c r="AP134" i="3"/>
  <c r="AP135" i="3"/>
  <c r="AP136" i="3"/>
  <c r="AP137" i="3"/>
  <c r="AP138" i="3"/>
  <c r="AP139" i="3"/>
  <c r="AP140" i="3"/>
  <c r="AP141" i="3"/>
  <c r="AP142" i="3"/>
  <c r="AP143" i="3"/>
  <c r="AP144" i="3"/>
  <c r="AP145" i="3"/>
  <c r="AP146" i="3"/>
  <c r="AP147" i="3"/>
  <c r="AP148" i="3"/>
  <c r="AP149" i="3"/>
  <c r="AP150" i="3"/>
  <c r="AP151" i="3"/>
  <c r="AP152" i="3"/>
  <c r="AP153" i="3"/>
  <c r="AP154" i="3"/>
  <c r="AP155" i="3"/>
  <c r="AP156" i="3"/>
  <c r="AP157" i="3"/>
  <c r="AP158" i="3"/>
  <c r="AP159" i="3"/>
  <c r="AP160" i="3"/>
  <c r="AP161" i="3"/>
  <c r="AP162" i="3"/>
  <c r="AP163" i="3"/>
  <c r="AP164" i="3"/>
  <c r="AP165" i="3"/>
  <c r="AP166" i="3"/>
  <c r="AP167" i="3"/>
  <c r="AP168" i="3"/>
  <c r="AP169" i="3"/>
  <c r="AP170" i="3"/>
  <c r="AP171" i="3"/>
  <c r="AP172" i="3"/>
  <c r="AP173" i="3"/>
  <c r="AP174" i="3"/>
  <c r="AP175" i="3"/>
  <c r="AP176" i="3"/>
  <c r="AP177" i="3"/>
  <c r="AP178" i="3"/>
  <c r="AP179" i="3"/>
  <c r="AP180" i="3"/>
  <c r="AP181" i="3"/>
  <c r="AP182" i="3"/>
  <c r="AP183" i="3"/>
  <c r="AP184" i="3"/>
  <c r="AP185" i="3"/>
  <c r="AP186" i="3"/>
  <c r="AP187" i="3"/>
  <c r="AP188" i="3"/>
  <c r="AP189" i="3"/>
  <c r="AP190" i="3"/>
  <c r="AP191" i="3"/>
  <c r="AP192" i="3"/>
  <c r="AP193" i="3"/>
  <c r="AP194" i="3"/>
  <c r="AP195" i="3"/>
  <c r="AP196" i="3"/>
  <c r="AP197" i="3"/>
  <c r="AP198" i="3"/>
  <c r="AP199" i="3"/>
  <c r="AP200" i="3"/>
  <c r="AP201" i="3"/>
  <c r="AP202" i="3"/>
  <c r="AP203" i="3"/>
  <c r="AP204" i="3"/>
  <c r="AP205" i="3"/>
  <c r="AP206" i="3"/>
  <c r="AP207" i="3"/>
  <c r="AP208" i="3"/>
  <c r="AP209" i="3"/>
  <c r="AP210" i="3"/>
  <c r="AP211" i="3"/>
  <c r="AP212" i="3"/>
  <c r="AP213" i="3"/>
  <c r="AP214" i="3"/>
  <c r="AP215" i="3"/>
  <c r="AP216" i="3"/>
  <c r="AP217" i="3"/>
  <c r="AP218" i="3"/>
  <c r="AP219" i="3"/>
  <c r="AP220" i="3"/>
  <c r="AP221" i="3"/>
  <c r="AP222" i="3"/>
  <c r="AP223" i="3"/>
  <c r="AP224" i="3"/>
  <c r="AP225" i="3"/>
  <c r="AP226" i="3"/>
  <c r="AP227" i="3"/>
  <c r="AP228" i="3"/>
  <c r="AP229" i="3"/>
  <c r="AP230" i="3"/>
  <c r="AP231" i="3"/>
  <c r="AP232" i="3"/>
  <c r="AP233" i="3"/>
  <c r="AP234" i="3"/>
  <c r="AP235" i="3"/>
  <c r="AP236" i="3"/>
  <c r="AP237" i="3"/>
  <c r="AP238" i="3"/>
  <c r="AP239" i="3"/>
  <c r="AP240" i="3"/>
  <c r="AP241" i="3"/>
  <c r="AP242" i="3"/>
  <c r="AP243" i="3"/>
  <c r="AP244" i="3"/>
  <c r="AP245" i="3"/>
  <c r="AP246" i="3"/>
  <c r="AP247" i="3"/>
  <c r="AP248" i="3"/>
  <c r="AP249" i="3"/>
  <c r="AP250" i="3"/>
  <c r="AP251" i="3"/>
  <c r="AP252" i="3"/>
  <c r="AP253" i="3"/>
  <c r="AP254" i="3"/>
  <c r="AP255" i="3"/>
  <c r="AP256" i="3"/>
  <c r="AP257" i="3"/>
  <c r="AP258" i="3"/>
  <c r="AP259" i="3"/>
  <c r="AP260" i="3"/>
  <c r="AP261" i="3"/>
  <c r="AP262" i="3"/>
  <c r="AP263" i="3"/>
  <c r="AP264" i="3"/>
  <c r="AP265" i="3"/>
  <c r="AP266" i="3"/>
  <c r="AP267" i="3"/>
  <c r="AP268" i="3"/>
  <c r="AP269" i="3"/>
  <c r="AP270" i="3"/>
  <c r="AP271" i="3"/>
  <c r="AP272" i="3"/>
  <c r="AP273" i="3"/>
  <c r="AP274" i="3"/>
  <c r="AP275" i="3"/>
  <c r="AP276" i="3"/>
  <c r="AP277" i="3"/>
  <c r="AP278" i="3"/>
  <c r="AP279" i="3"/>
  <c r="AP280" i="3"/>
  <c r="AP281" i="3"/>
  <c r="AP282" i="3"/>
  <c r="AP283" i="3"/>
  <c r="AP284" i="3"/>
  <c r="AP285" i="3"/>
  <c r="AP286" i="3"/>
  <c r="AP287" i="3"/>
  <c r="AP288" i="3"/>
  <c r="AP289" i="3"/>
  <c r="AP290" i="3"/>
  <c r="AP291" i="3"/>
  <c r="AP292" i="3"/>
  <c r="AP293" i="3"/>
  <c r="AP294" i="3"/>
  <c r="AP295" i="3"/>
  <c r="AP296" i="3"/>
  <c r="AP297" i="3"/>
  <c r="AP298" i="3"/>
  <c r="AP299" i="3"/>
  <c r="AP300" i="3"/>
  <c r="AP301" i="3"/>
  <c r="AP302" i="3"/>
  <c r="AP303" i="3"/>
  <c r="AP304" i="3"/>
  <c r="AP305" i="3"/>
  <c r="AP306" i="3"/>
  <c r="AP307" i="3"/>
  <c r="AP308" i="3"/>
  <c r="AP309" i="3"/>
  <c r="AP310" i="3"/>
  <c r="AP311" i="3"/>
  <c r="AP312" i="3"/>
  <c r="AP313" i="3"/>
  <c r="AP314" i="3"/>
  <c r="AP315" i="3"/>
  <c r="AP316" i="3"/>
  <c r="AP317" i="3"/>
  <c r="AP318" i="3"/>
  <c r="AP319" i="3"/>
  <c r="AP320" i="3"/>
  <c r="AP321" i="3"/>
  <c r="AP322" i="3"/>
  <c r="AP323" i="3"/>
  <c r="AP324" i="3"/>
  <c r="AP325" i="3"/>
  <c r="AP326" i="3"/>
  <c r="AP327" i="3"/>
  <c r="AP328" i="3"/>
  <c r="AP329" i="3"/>
  <c r="AP330" i="3"/>
  <c r="AP331" i="3"/>
  <c r="AP332" i="3"/>
  <c r="AP333" i="3"/>
  <c r="AP334" i="3"/>
  <c r="AP335" i="3"/>
  <c r="AP336" i="3"/>
  <c r="AP337" i="3"/>
  <c r="AP338" i="3"/>
  <c r="AP339" i="3"/>
  <c r="AP340" i="3"/>
  <c r="AP341" i="3"/>
  <c r="AP342" i="3"/>
  <c r="AP343" i="3"/>
  <c r="AP344" i="3"/>
  <c r="AP345" i="3"/>
  <c r="AP346" i="3"/>
  <c r="AP347" i="3"/>
  <c r="AP348" i="3"/>
  <c r="AP349" i="3"/>
  <c r="AP350" i="3"/>
  <c r="AP351" i="3"/>
  <c r="AP352" i="3"/>
  <c r="AP353" i="3"/>
  <c r="AP354" i="3"/>
  <c r="AP355" i="3"/>
  <c r="AP356" i="3"/>
  <c r="AP357" i="3"/>
  <c r="AP358" i="3"/>
  <c r="AP359" i="3"/>
  <c r="AP360" i="3"/>
  <c r="AP361" i="3"/>
  <c r="AP362" i="3"/>
  <c r="AP363" i="3"/>
  <c r="AP364" i="3"/>
  <c r="AP365" i="3"/>
  <c r="AP366" i="3"/>
  <c r="AP367" i="3"/>
  <c r="AP368" i="3"/>
  <c r="AP369" i="3"/>
  <c r="AP370" i="3"/>
  <c r="AP371" i="3"/>
  <c r="AP372" i="3"/>
  <c r="AP373" i="3"/>
  <c r="AP374" i="3"/>
  <c r="AP375" i="3"/>
  <c r="AP376" i="3"/>
  <c r="AP377" i="3"/>
  <c r="AP378" i="3"/>
  <c r="AP379" i="3"/>
  <c r="AP380" i="3"/>
  <c r="AP381" i="3"/>
  <c r="AP382" i="3"/>
  <c r="AP383" i="3"/>
  <c r="AP384" i="3"/>
  <c r="AP385" i="3"/>
  <c r="AP386" i="3"/>
  <c r="AP387" i="3"/>
  <c r="AP388" i="3"/>
  <c r="AP389" i="3"/>
  <c r="AP390" i="3"/>
  <c r="AP391" i="3"/>
  <c r="AP392" i="3"/>
  <c r="AP393" i="3"/>
  <c r="AP394" i="3"/>
  <c r="AP395" i="3"/>
  <c r="AP396" i="3"/>
  <c r="AP397" i="3"/>
  <c r="AP398" i="3"/>
  <c r="AP399" i="3"/>
  <c r="AP400" i="3"/>
  <c r="AP401" i="3"/>
  <c r="AP402" i="3"/>
  <c r="AP403" i="3"/>
  <c r="AP404" i="3"/>
  <c r="AP405" i="3"/>
  <c r="AP406" i="3"/>
  <c r="AP407" i="3"/>
  <c r="AP408" i="3"/>
  <c r="AP409" i="3"/>
  <c r="AP410" i="3"/>
  <c r="AP411" i="3"/>
  <c r="AP412" i="3"/>
  <c r="AP413" i="3"/>
  <c r="AP414" i="3"/>
  <c r="AP415" i="3"/>
  <c r="AP416" i="3"/>
  <c r="AP417" i="3"/>
  <c r="AP418" i="3"/>
  <c r="AP419" i="3"/>
  <c r="AP420" i="3"/>
  <c r="AP421" i="3"/>
  <c r="AP422" i="3"/>
  <c r="AP423" i="3"/>
  <c r="AP424" i="3"/>
  <c r="AP425" i="3"/>
  <c r="AP426" i="3"/>
  <c r="AP427" i="3"/>
  <c r="AP428" i="3"/>
  <c r="AP429" i="3"/>
  <c r="AP430" i="3"/>
  <c r="AP431" i="3"/>
  <c r="AP432" i="3"/>
  <c r="AP433" i="3"/>
  <c r="AP434" i="3"/>
  <c r="AP435" i="3"/>
  <c r="AP436" i="3"/>
  <c r="AP437" i="3"/>
  <c r="AP438" i="3"/>
  <c r="AP439" i="3"/>
  <c r="AP440" i="3"/>
  <c r="AP441" i="3"/>
  <c r="AP442" i="3"/>
  <c r="AP443" i="3"/>
  <c r="AP444" i="3"/>
  <c r="AP445" i="3"/>
  <c r="AP446" i="3"/>
  <c r="AP447" i="3"/>
  <c r="AP448" i="3"/>
  <c r="AP449" i="3"/>
  <c r="AP450" i="3"/>
  <c r="AP451" i="3"/>
  <c r="AP452" i="3"/>
  <c r="AP453" i="3"/>
  <c r="AP454" i="3"/>
  <c r="AP455" i="3"/>
  <c r="AP456" i="3"/>
  <c r="AP457" i="3"/>
  <c r="AP458" i="3"/>
  <c r="AP459" i="3"/>
  <c r="AP460" i="3"/>
  <c r="AP461" i="3"/>
  <c r="AP462" i="3"/>
  <c r="AP463" i="3"/>
  <c r="AP464" i="3"/>
  <c r="AP465" i="3"/>
  <c r="AP466" i="3"/>
  <c r="AP467" i="3"/>
  <c r="AP468" i="3"/>
  <c r="AP469" i="3"/>
  <c r="AP470" i="3"/>
  <c r="AP471" i="3"/>
  <c r="AP472" i="3"/>
  <c r="AP473" i="3"/>
  <c r="AP474" i="3"/>
  <c r="AP475" i="3"/>
  <c r="AP476" i="3"/>
  <c r="AP477" i="3"/>
  <c r="AP478" i="3"/>
  <c r="AP479" i="3"/>
  <c r="AP480" i="3"/>
  <c r="AP481" i="3"/>
  <c r="AP482" i="3"/>
  <c r="AP483" i="3"/>
  <c r="AP484" i="3"/>
  <c r="AP485" i="3"/>
  <c r="AP486" i="3"/>
  <c r="AP487" i="3"/>
  <c r="AP488" i="3"/>
  <c r="AP489" i="3"/>
  <c r="AP490" i="3"/>
  <c r="AP491" i="3"/>
  <c r="AP492" i="3"/>
  <c r="AP493" i="3"/>
  <c r="AP494" i="3"/>
  <c r="AP495" i="3"/>
  <c r="AP496" i="3"/>
  <c r="AP497" i="3"/>
  <c r="AP498" i="3"/>
  <c r="AP499" i="3"/>
  <c r="AP500" i="3"/>
  <c r="AP501" i="3"/>
  <c r="AP502" i="3"/>
  <c r="AP503" i="3"/>
  <c r="AP504" i="3"/>
  <c r="AP505" i="3"/>
  <c r="AP506" i="3"/>
  <c r="AP507" i="3"/>
  <c r="AP508" i="3"/>
  <c r="AP509" i="3"/>
  <c r="AP510" i="3"/>
  <c r="AP511" i="3"/>
  <c r="AP512" i="3"/>
  <c r="AP513" i="3"/>
  <c r="AP514" i="3"/>
  <c r="AP515" i="3"/>
  <c r="AP516" i="3"/>
  <c r="AP517" i="3"/>
  <c r="AP518" i="3"/>
  <c r="AP519" i="3"/>
  <c r="AP520" i="3"/>
  <c r="AP521" i="3"/>
  <c r="AP522" i="3"/>
  <c r="AP523" i="3"/>
  <c r="AP524" i="3"/>
  <c r="AP525" i="3"/>
  <c r="AP526" i="3"/>
  <c r="AP527" i="3"/>
  <c r="AP528" i="3"/>
  <c r="AP529" i="3"/>
  <c r="AP530" i="3"/>
  <c r="AP531" i="3"/>
  <c r="AP532" i="3"/>
  <c r="AP533" i="3"/>
  <c r="AP534" i="3"/>
  <c r="AP535" i="3"/>
  <c r="AP536" i="3"/>
  <c r="AP537" i="3"/>
  <c r="AP538" i="3"/>
  <c r="AP539" i="3"/>
  <c r="AP540" i="3"/>
  <c r="AP541" i="3"/>
  <c r="AP542" i="3"/>
  <c r="AP543" i="3"/>
  <c r="AP544" i="3"/>
  <c r="AP545" i="3"/>
  <c r="AP546" i="3"/>
  <c r="AP547" i="3"/>
  <c r="AP548" i="3"/>
  <c r="AP549" i="3"/>
  <c r="AP550" i="3"/>
  <c r="AP551" i="3"/>
  <c r="AP552" i="3"/>
  <c r="AP553" i="3"/>
  <c r="AP554" i="3"/>
  <c r="AP555" i="3"/>
  <c r="AP556" i="3"/>
  <c r="AP557" i="3"/>
  <c r="AP558" i="3"/>
  <c r="AP559" i="3"/>
  <c r="AP560" i="3"/>
  <c r="AP561" i="3"/>
  <c r="AP562" i="3"/>
  <c r="AP563" i="3"/>
  <c r="AP564" i="3"/>
  <c r="AP565" i="3"/>
  <c r="AP566" i="3"/>
  <c r="AP567" i="3"/>
  <c r="AP568" i="3"/>
  <c r="AP569" i="3"/>
  <c r="AP570" i="3"/>
  <c r="AP571" i="3"/>
  <c r="AP572" i="3"/>
  <c r="AP573" i="3"/>
  <c r="AP574" i="3"/>
  <c r="AP575" i="3"/>
  <c r="AP576" i="3"/>
  <c r="AP577" i="3"/>
  <c r="AP578" i="3"/>
  <c r="AP579" i="3"/>
  <c r="AP580" i="3"/>
  <c r="AP581" i="3"/>
  <c r="AP582" i="3"/>
  <c r="AP583" i="3"/>
  <c r="AP584" i="3"/>
  <c r="AP585" i="3"/>
  <c r="AP586" i="3"/>
  <c r="AP587" i="3"/>
  <c r="AP588" i="3"/>
  <c r="AP589" i="3"/>
  <c r="AP590" i="3"/>
  <c r="AP591" i="3"/>
  <c r="AP592" i="3"/>
  <c r="AP593" i="3"/>
  <c r="AP594" i="3"/>
  <c r="AP595" i="3"/>
  <c r="AP596" i="3"/>
  <c r="AP597" i="3"/>
  <c r="AP598" i="3"/>
  <c r="AP599" i="3"/>
  <c r="AP600" i="3"/>
  <c r="AP601" i="3"/>
  <c r="AP602" i="3"/>
  <c r="AP603" i="3"/>
  <c r="AP604" i="3"/>
  <c r="AP605" i="3"/>
  <c r="AP606" i="3"/>
  <c r="AP607" i="3"/>
  <c r="AP608" i="3"/>
  <c r="AP609" i="3"/>
  <c r="AP610" i="3"/>
  <c r="AP611" i="3"/>
  <c r="AP612" i="3"/>
  <c r="AP613" i="3"/>
  <c r="AP614" i="3"/>
  <c r="AP615" i="3"/>
  <c r="AP616" i="3"/>
  <c r="AP617" i="3"/>
  <c r="AP618" i="3"/>
  <c r="AP619" i="3"/>
  <c r="AP620" i="3"/>
  <c r="AP621" i="3"/>
  <c r="AP622" i="3"/>
  <c r="AP623" i="3"/>
  <c r="AP624" i="3"/>
  <c r="AP625" i="3"/>
  <c r="AP626" i="3"/>
  <c r="AP627" i="3"/>
  <c r="AP628" i="3"/>
  <c r="AP629" i="3"/>
  <c r="AP630" i="3"/>
  <c r="AP631" i="3"/>
  <c r="AP632" i="3"/>
  <c r="AP633" i="3"/>
  <c r="AE2" i="3"/>
  <c r="AE3" i="3"/>
  <c r="AE4" i="3"/>
  <c r="AE5" i="3"/>
  <c r="AE6" i="3"/>
  <c r="AK6" i="3" s="1"/>
  <c r="AE7" i="3"/>
  <c r="AE8" i="3"/>
  <c r="AE9" i="3"/>
  <c r="AE10" i="3"/>
  <c r="AE11" i="3"/>
  <c r="AK11" i="3" s="1"/>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K38" i="3" s="1"/>
  <c r="AE39" i="3"/>
  <c r="AE40" i="3"/>
  <c r="AE41" i="3"/>
  <c r="AE42" i="3"/>
  <c r="AE43" i="3"/>
  <c r="AK43" i="3" s="1"/>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K70" i="3" s="1"/>
  <c r="AE71" i="3"/>
  <c r="AE72" i="3"/>
  <c r="AE73" i="3"/>
  <c r="AE74" i="3"/>
  <c r="AE75" i="3"/>
  <c r="AK75" i="3" s="1"/>
  <c r="AO75" i="3" s="1"/>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K102" i="3" s="1"/>
  <c r="AE103" i="3"/>
  <c r="AE104" i="3"/>
  <c r="AE105" i="3"/>
  <c r="AE106" i="3"/>
  <c r="AE107" i="3"/>
  <c r="AK107" i="3" s="1"/>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K134" i="3" s="1"/>
  <c r="AE135" i="3"/>
  <c r="AE136" i="3"/>
  <c r="AE137" i="3"/>
  <c r="AE138" i="3"/>
  <c r="AE139" i="3"/>
  <c r="AK139" i="3" s="1"/>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K166" i="3" s="1"/>
  <c r="AE167" i="3"/>
  <c r="AE168" i="3"/>
  <c r="AE169" i="3"/>
  <c r="AE170" i="3"/>
  <c r="AE171" i="3"/>
  <c r="AK171" i="3" s="1"/>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K198" i="3" s="1"/>
  <c r="AE199" i="3"/>
  <c r="AE200" i="3"/>
  <c r="AE201" i="3"/>
  <c r="AE202" i="3"/>
  <c r="AE203" i="3"/>
  <c r="AK203" i="3" s="1"/>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K230" i="3" s="1"/>
  <c r="AE231" i="3"/>
  <c r="AE232" i="3"/>
  <c r="AE233" i="3"/>
  <c r="AE234" i="3"/>
  <c r="AE235" i="3"/>
  <c r="AK235" i="3" s="1"/>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K262" i="3" s="1"/>
  <c r="AE263" i="3"/>
  <c r="AE264" i="3"/>
  <c r="AE265" i="3"/>
  <c r="AE266" i="3"/>
  <c r="AE267" i="3"/>
  <c r="AK267" i="3" s="1"/>
  <c r="AO267" i="3" s="1"/>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K294" i="3" s="1"/>
  <c r="AE295" i="3"/>
  <c r="AE296" i="3"/>
  <c r="AE297" i="3"/>
  <c r="AE298" i="3"/>
  <c r="AE299" i="3"/>
  <c r="AK299" i="3" s="1"/>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K326" i="3" s="1"/>
  <c r="AE327" i="3"/>
  <c r="AE328" i="3"/>
  <c r="AE329" i="3"/>
  <c r="AE330" i="3"/>
  <c r="AE331" i="3"/>
  <c r="AK331" i="3" s="1"/>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356" i="3"/>
  <c r="AE357" i="3"/>
  <c r="AE358" i="3"/>
  <c r="AK358" i="3" s="1"/>
  <c r="AE359" i="3"/>
  <c r="AE360" i="3"/>
  <c r="AE361" i="3"/>
  <c r="AE362" i="3"/>
  <c r="AE363" i="3"/>
  <c r="AK363" i="3" s="1"/>
  <c r="AE364" i="3"/>
  <c r="AE365" i="3"/>
  <c r="AE366" i="3"/>
  <c r="AE367" i="3"/>
  <c r="AE368" i="3"/>
  <c r="AE369" i="3"/>
  <c r="AE370" i="3"/>
  <c r="AE371" i="3"/>
  <c r="AE372" i="3"/>
  <c r="AE373" i="3"/>
  <c r="AE374" i="3"/>
  <c r="AE375" i="3"/>
  <c r="AE376" i="3"/>
  <c r="AE377" i="3"/>
  <c r="AE378" i="3"/>
  <c r="AE379" i="3"/>
  <c r="AE380" i="3"/>
  <c r="AE381" i="3"/>
  <c r="AE382" i="3"/>
  <c r="AE383" i="3"/>
  <c r="AE384" i="3"/>
  <c r="AE385" i="3"/>
  <c r="AE386" i="3"/>
  <c r="AE387" i="3"/>
  <c r="AE388" i="3"/>
  <c r="AE389" i="3"/>
  <c r="AE390" i="3"/>
  <c r="AK390" i="3" s="1"/>
  <c r="AE391" i="3"/>
  <c r="AE392" i="3"/>
  <c r="AE393" i="3"/>
  <c r="AE394" i="3"/>
  <c r="AE395" i="3"/>
  <c r="AK395" i="3" s="1"/>
  <c r="AE396" i="3"/>
  <c r="AE397" i="3"/>
  <c r="AE398" i="3"/>
  <c r="AE399" i="3"/>
  <c r="AE400" i="3"/>
  <c r="AE401" i="3"/>
  <c r="AE402" i="3"/>
  <c r="AE403" i="3"/>
  <c r="AE404" i="3"/>
  <c r="AE405" i="3"/>
  <c r="AE406" i="3"/>
  <c r="AE407" i="3"/>
  <c r="AE408" i="3"/>
  <c r="AE409" i="3"/>
  <c r="AE410" i="3"/>
  <c r="AE411" i="3"/>
  <c r="AE412" i="3"/>
  <c r="AE413" i="3"/>
  <c r="AE414" i="3"/>
  <c r="AE415" i="3"/>
  <c r="AE416" i="3"/>
  <c r="AE417" i="3"/>
  <c r="AE418" i="3"/>
  <c r="AE419" i="3"/>
  <c r="AE420" i="3"/>
  <c r="AE421" i="3"/>
  <c r="AE422" i="3"/>
  <c r="AK422" i="3" s="1"/>
  <c r="AE423" i="3"/>
  <c r="AE424" i="3"/>
  <c r="AE425" i="3"/>
  <c r="AE426" i="3"/>
  <c r="AE427" i="3"/>
  <c r="AK427" i="3" s="1"/>
  <c r="AE428" i="3"/>
  <c r="AE429" i="3"/>
  <c r="AE430" i="3"/>
  <c r="AE431" i="3"/>
  <c r="AE432" i="3"/>
  <c r="AE433" i="3"/>
  <c r="AE434" i="3"/>
  <c r="AE435" i="3"/>
  <c r="AE436" i="3"/>
  <c r="AE437" i="3"/>
  <c r="AE438" i="3"/>
  <c r="AE439" i="3"/>
  <c r="AE440" i="3"/>
  <c r="AE441" i="3"/>
  <c r="AE442" i="3"/>
  <c r="AE443" i="3"/>
  <c r="AE444" i="3"/>
  <c r="AE445" i="3"/>
  <c r="AE446" i="3"/>
  <c r="AE447" i="3"/>
  <c r="AE448" i="3"/>
  <c r="AE449" i="3"/>
  <c r="AE450" i="3"/>
  <c r="AE451" i="3"/>
  <c r="AE452" i="3"/>
  <c r="AE453" i="3"/>
  <c r="AE454" i="3"/>
  <c r="AK454" i="3" s="1"/>
  <c r="AE455" i="3"/>
  <c r="AE456" i="3"/>
  <c r="AE457" i="3"/>
  <c r="AE458" i="3"/>
  <c r="AE459" i="3"/>
  <c r="AK459" i="3" s="1"/>
  <c r="AE460" i="3"/>
  <c r="AE461" i="3"/>
  <c r="AE462" i="3"/>
  <c r="AE463" i="3"/>
  <c r="AE464" i="3"/>
  <c r="AE465" i="3"/>
  <c r="AE466" i="3"/>
  <c r="AE467" i="3"/>
  <c r="AE468" i="3"/>
  <c r="AE469" i="3"/>
  <c r="AE470" i="3"/>
  <c r="AE471" i="3"/>
  <c r="AE472" i="3"/>
  <c r="AE473" i="3"/>
  <c r="AE474" i="3"/>
  <c r="AE475" i="3"/>
  <c r="AE476" i="3"/>
  <c r="AE477" i="3"/>
  <c r="AE478" i="3"/>
  <c r="AE479" i="3"/>
  <c r="AE480" i="3"/>
  <c r="AE481" i="3"/>
  <c r="AE482" i="3"/>
  <c r="AE483" i="3"/>
  <c r="AE484" i="3"/>
  <c r="AE485" i="3"/>
  <c r="AE486" i="3"/>
  <c r="AK486" i="3" s="1"/>
  <c r="AE487" i="3"/>
  <c r="AE488" i="3"/>
  <c r="AE489" i="3"/>
  <c r="AE490" i="3"/>
  <c r="AE491" i="3"/>
  <c r="AK491" i="3" s="1"/>
  <c r="AE492" i="3"/>
  <c r="AE493" i="3"/>
  <c r="AE494" i="3"/>
  <c r="AE495" i="3"/>
  <c r="AE496" i="3"/>
  <c r="AE497" i="3"/>
  <c r="AE498" i="3"/>
  <c r="AE499" i="3"/>
  <c r="AE500" i="3"/>
  <c r="AE501" i="3"/>
  <c r="AE502" i="3"/>
  <c r="AE503" i="3"/>
  <c r="AE504" i="3"/>
  <c r="AE505" i="3"/>
  <c r="AE506" i="3"/>
  <c r="AE507" i="3"/>
  <c r="AE508" i="3"/>
  <c r="AE509" i="3"/>
  <c r="AE510" i="3"/>
  <c r="AE511" i="3"/>
  <c r="AE512" i="3"/>
  <c r="AE513" i="3"/>
  <c r="AE514" i="3"/>
  <c r="AE515" i="3"/>
  <c r="AE516" i="3"/>
  <c r="AE517" i="3"/>
  <c r="AE518" i="3"/>
  <c r="AK518" i="3" s="1"/>
  <c r="AE519" i="3"/>
  <c r="AE520" i="3"/>
  <c r="AE521" i="3"/>
  <c r="AE522" i="3"/>
  <c r="AE523" i="3"/>
  <c r="AK523" i="3" s="1"/>
  <c r="AE524" i="3"/>
  <c r="AE525" i="3"/>
  <c r="AE526" i="3"/>
  <c r="AE527" i="3"/>
  <c r="AE528" i="3"/>
  <c r="AE529" i="3"/>
  <c r="AE530" i="3"/>
  <c r="AE531" i="3"/>
  <c r="AE532" i="3"/>
  <c r="AE533" i="3"/>
  <c r="AE534" i="3"/>
  <c r="AE535" i="3"/>
  <c r="AE536" i="3"/>
  <c r="AE537" i="3"/>
  <c r="AE538" i="3"/>
  <c r="AE539" i="3"/>
  <c r="AE540" i="3"/>
  <c r="AE541" i="3"/>
  <c r="AE542" i="3"/>
  <c r="AE543" i="3"/>
  <c r="AE544" i="3"/>
  <c r="AE545" i="3"/>
  <c r="AE546" i="3"/>
  <c r="AE547" i="3"/>
  <c r="AE548" i="3"/>
  <c r="AE549" i="3"/>
  <c r="AE550" i="3"/>
  <c r="AK550" i="3" s="1"/>
  <c r="AE551" i="3"/>
  <c r="AE552" i="3"/>
  <c r="AE553" i="3"/>
  <c r="AE554" i="3"/>
  <c r="AE555" i="3"/>
  <c r="AK555" i="3" s="1"/>
  <c r="AE556" i="3"/>
  <c r="AE557" i="3"/>
  <c r="AE558" i="3"/>
  <c r="AE559" i="3"/>
  <c r="AE560" i="3"/>
  <c r="AE561" i="3"/>
  <c r="AE562" i="3"/>
  <c r="AE563" i="3"/>
  <c r="AE564" i="3"/>
  <c r="AE565" i="3"/>
  <c r="AE566" i="3"/>
  <c r="AE567" i="3"/>
  <c r="AE568" i="3"/>
  <c r="AE569" i="3"/>
  <c r="AE570" i="3"/>
  <c r="AE571" i="3"/>
  <c r="AE572" i="3"/>
  <c r="AE573" i="3"/>
  <c r="AE574" i="3"/>
  <c r="AE575" i="3"/>
  <c r="AE576" i="3"/>
  <c r="AE577" i="3"/>
  <c r="AE578" i="3"/>
  <c r="AE579" i="3"/>
  <c r="AE580" i="3"/>
  <c r="AE581" i="3"/>
  <c r="AE582" i="3"/>
  <c r="AK582" i="3" s="1"/>
  <c r="AO582" i="3" s="1"/>
  <c r="AE583" i="3"/>
  <c r="AE584" i="3"/>
  <c r="AE585" i="3"/>
  <c r="AE586" i="3"/>
  <c r="AE587" i="3"/>
  <c r="AK587" i="3" s="1"/>
  <c r="AE588" i="3"/>
  <c r="AE589" i="3"/>
  <c r="AE590" i="3"/>
  <c r="AE591" i="3"/>
  <c r="AE592" i="3"/>
  <c r="AE593" i="3"/>
  <c r="AE594" i="3"/>
  <c r="AE595" i="3"/>
  <c r="AE596" i="3"/>
  <c r="AE597" i="3"/>
  <c r="AE598" i="3"/>
  <c r="AE599" i="3"/>
  <c r="AE600" i="3"/>
  <c r="AE601" i="3"/>
  <c r="AE602" i="3"/>
  <c r="AE603" i="3"/>
  <c r="AE604" i="3"/>
  <c r="AE605" i="3"/>
  <c r="AE606" i="3"/>
  <c r="AE607" i="3"/>
  <c r="AE608" i="3"/>
  <c r="AE609" i="3"/>
  <c r="AE610" i="3"/>
  <c r="AE611" i="3"/>
  <c r="AE612" i="3"/>
  <c r="AE613" i="3"/>
  <c r="AE614" i="3"/>
  <c r="AK614" i="3" s="1"/>
  <c r="AE615" i="3"/>
  <c r="AE616" i="3"/>
  <c r="AE617" i="3"/>
  <c r="AE618" i="3"/>
  <c r="AE619" i="3"/>
  <c r="AK619" i="3" s="1"/>
  <c r="AE620" i="3"/>
  <c r="AE621" i="3"/>
  <c r="AE622" i="3"/>
  <c r="AE623" i="3"/>
  <c r="AE624" i="3"/>
  <c r="AE625" i="3"/>
  <c r="AE626" i="3"/>
  <c r="AE627" i="3"/>
  <c r="AE628" i="3"/>
  <c r="AE629" i="3"/>
  <c r="AE630" i="3"/>
  <c r="AE631" i="3"/>
  <c r="AE632" i="3"/>
  <c r="AE633" i="3"/>
  <c r="AB2" i="3"/>
  <c r="AB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135" i="3"/>
  <c r="AB136" i="3"/>
  <c r="AB137" i="3"/>
  <c r="AB138" i="3"/>
  <c r="AB139" i="3"/>
  <c r="AB140" i="3"/>
  <c r="AB141" i="3"/>
  <c r="AB142" i="3"/>
  <c r="AB143" i="3"/>
  <c r="AB144" i="3"/>
  <c r="AB145" i="3"/>
  <c r="AB146" i="3"/>
  <c r="AB147" i="3"/>
  <c r="AB148" i="3"/>
  <c r="AB149" i="3"/>
  <c r="AB150" i="3"/>
  <c r="AB151" i="3"/>
  <c r="AB152" i="3"/>
  <c r="AB153" i="3"/>
  <c r="AB154" i="3"/>
  <c r="AB155" i="3"/>
  <c r="AB156" i="3"/>
  <c r="AB157" i="3"/>
  <c r="AB158" i="3"/>
  <c r="AB159" i="3"/>
  <c r="AB160" i="3"/>
  <c r="AB161" i="3"/>
  <c r="AB162" i="3"/>
  <c r="AB163" i="3"/>
  <c r="AB164" i="3"/>
  <c r="AB165" i="3"/>
  <c r="AB166" i="3"/>
  <c r="AB167" i="3"/>
  <c r="AB168" i="3"/>
  <c r="AB169" i="3"/>
  <c r="AB170" i="3"/>
  <c r="AB171" i="3"/>
  <c r="AB172" i="3"/>
  <c r="AB173" i="3"/>
  <c r="AB174" i="3"/>
  <c r="AB175" i="3"/>
  <c r="AB176" i="3"/>
  <c r="AB177" i="3"/>
  <c r="AB178" i="3"/>
  <c r="AB179" i="3"/>
  <c r="AB180" i="3"/>
  <c r="AB181" i="3"/>
  <c r="AB182" i="3"/>
  <c r="AB183" i="3"/>
  <c r="AB184" i="3"/>
  <c r="AB185" i="3"/>
  <c r="AB186" i="3"/>
  <c r="AB187" i="3"/>
  <c r="AB188" i="3"/>
  <c r="AB189" i="3"/>
  <c r="AB190" i="3"/>
  <c r="AB191" i="3"/>
  <c r="AB192" i="3"/>
  <c r="AB193" i="3"/>
  <c r="AB194" i="3"/>
  <c r="AB195" i="3"/>
  <c r="AB196" i="3"/>
  <c r="AB197" i="3"/>
  <c r="AB198" i="3"/>
  <c r="AB199" i="3"/>
  <c r="AB200" i="3"/>
  <c r="AB201" i="3"/>
  <c r="AB202" i="3"/>
  <c r="AB203" i="3"/>
  <c r="AB204" i="3"/>
  <c r="AB205" i="3"/>
  <c r="AB206" i="3"/>
  <c r="AB207" i="3"/>
  <c r="AB208" i="3"/>
  <c r="AB209" i="3"/>
  <c r="AB210" i="3"/>
  <c r="AB211" i="3"/>
  <c r="AB212" i="3"/>
  <c r="AB213" i="3"/>
  <c r="AB214" i="3"/>
  <c r="AB215" i="3"/>
  <c r="AB216" i="3"/>
  <c r="AB217" i="3"/>
  <c r="AB218" i="3"/>
  <c r="AB219" i="3"/>
  <c r="AB220" i="3"/>
  <c r="AB221" i="3"/>
  <c r="AB222" i="3"/>
  <c r="AB223" i="3"/>
  <c r="AB224" i="3"/>
  <c r="AB225" i="3"/>
  <c r="AB226" i="3"/>
  <c r="AB227" i="3"/>
  <c r="AB228" i="3"/>
  <c r="AB229" i="3"/>
  <c r="AB230" i="3"/>
  <c r="AB231" i="3"/>
  <c r="AB232" i="3"/>
  <c r="AB233" i="3"/>
  <c r="AB234" i="3"/>
  <c r="AB235" i="3"/>
  <c r="AB236" i="3"/>
  <c r="AB237" i="3"/>
  <c r="AB238" i="3"/>
  <c r="AB239" i="3"/>
  <c r="AB240" i="3"/>
  <c r="AB241" i="3"/>
  <c r="AB242" i="3"/>
  <c r="AB243" i="3"/>
  <c r="AB244" i="3"/>
  <c r="AB245" i="3"/>
  <c r="AB246" i="3"/>
  <c r="AB247" i="3"/>
  <c r="AB248" i="3"/>
  <c r="AB249" i="3"/>
  <c r="AB250" i="3"/>
  <c r="AB251" i="3"/>
  <c r="AB252" i="3"/>
  <c r="AB253" i="3"/>
  <c r="AB254" i="3"/>
  <c r="AB255" i="3"/>
  <c r="AB256" i="3"/>
  <c r="AB257" i="3"/>
  <c r="AB258" i="3"/>
  <c r="AB259" i="3"/>
  <c r="AB260" i="3"/>
  <c r="AB261" i="3"/>
  <c r="AB262" i="3"/>
  <c r="AB263" i="3"/>
  <c r="AB264" i="3"/>
  <c r="AB265" i="3"/>
  <c r="AB266" i="3"/>
  <c r="AB267" i="3"/>
  <c r="AB268" i="3"/>
  <c r="AB269" i="3"/>
  <c r="AB270" i="3"/>
  <c r="AB271" i="3"/>
  <c r="AB272" i="3"/>
  <c r="AB273" i="3"/>
  <c r="AB274" i="3"/>
  <c r="AB275" i="3"/>
  <c r="AB276" i="3"/>
  <c r="AB277" i="3"/>
  <c r="AB278" i="3"/>
  <c r="AB279" i="3"/>
  <c r="AB280" i="3"/>
  <c r="AB281" i="3"/>
  <c r="AB282" i="3"/>
  <c r="AB283" i="3"/>
  <c r="AB284" i="3"/>
  <c r="AB285" i="3"/>
  <c r="AB286" i="3"/>
  <c r="AB287" i="3"/>
  <c r="AB288" i="3"/>
  <c r="AB289" i="3"/>
  <c r="AB290" i="3"/>
  <c r="AB291" i="3"/>
  <c r="AB292" i="3"/>
  <c r="AB293" i="3"/>
  <c r="AB294" i="3"/>
  <c r="AB295" i="3"/>
  <c r="AB296" i="3"/>
  <c r="AB297" i="3"/>
  <c r="AB298" i="3"/>
  <c r="AB299" i="3"/>
  <c r="AB300" i="3"/>
  <c r="AB301" i="3"/>
  <c r="AB302" i="3"/>
  <c r="AB303" i="3"/>
  <c r="AB304" i="3"/>
  <c r="AB305" i="3"/>
  <c r="AB306" i="3"/>
  <c r="AB307" i="3"/>
  <c r="AB308" i="3"/>
  <c r="AB309" i="3"/>
  <c r="AB310" i="3"/>
  <c r="AB311" i="3"/>
  <c r="AB312" i="3"/>
  <c r="AB313" i="3"/>
  <c r="AB314" i="3"/>
  <c r="AB315" i="3"/>
  <c r="AB316" i="3"/>
  <c r="AB317" i="3"/>
  <c r="AB318" i="3"/>
  <c r="AB319" i="3"/>
  <c r="AB320" i="3"/>
  <c r="AB321" i="3"/>
  <c r="AB322" i="3"/>
  <c r="AB323" i="3"/>
  <c r="AB324" i="3"/>
  <c r="AB325" i="3"/>
  <c r="AB326" i="3"/>
  <c r="AB327" i="3"/>
  <c r="AB328" i="3"/>
  <c r="AB329" i="3"/>
  <c r="AB330" i="3"/>
  <c r="AB331" i="3"/>
  <c r="AB332" i="3"/>
  <c r="AB333" i="3"/>
  <c r="AB334" i="3"/>
  <c r="AB335" i="3"/>
  <c r="AB336" i="3"/>
  <c r="AB337" i="3"/>
  <c r="AB338" i="3"/>
  <c r="AB339" i="3"/>
  <c r="AB340" i="3"/>
  <c r="AB341" i="3"/>
  <c r="AB342" i="3"/>
  <c r="AB343" i="3"/>
  <c r="AB344" i="3"/>
  <c r="AB345" i="3"/>
  <c r="AB346" i="3"/>
  <c r="AB347" i="3"/>
  <c r="AB348" i="3"/>
  <c r="AB349" i="3"/>
  <c r="AB350" i="3"/>
  <c r="AB351" i="3"/>
  <c r="AB352" i="3"/>
  <c r="AB353" i="3"/>
  <c r="AB354" i="3"/>
  <c r="AB355" i="3"/>
  <c r="AB356" i="3"/>
  <c r="AB357" i="3"/>
  <c r="AB358" i="3"/>
  <c r="AB359" i="3"/>
  <c r="AB360" i="3"/>
  <c r="AB361" i="3"/>
  <c r="AB362" i="3"/>
  <c r="AB363" i="3"/>
  <c r="AB364" i="3"/>
  <c r="AB365" i="3"/>
  <c r="AB366" i="3"/>
  <c r="AB367" i="3"/>
  <c r="AB368" i="3"/>
  <c r="AB369" i="3"/>
  <c r="AB370" i="3"/>
  <c r="AB371" i="3"/>
  <c r="AB372" i="3"/>
  <c r="AB373" i="3"/>
  <c r="AB374" i="3"/>
  <c r="AB375" i="3"/>
  <c r="AB376" i="3"/>
  <c r="AB377" i="3"/>
  <c r="AB378" i="3"/>
  <c r="AB379" i="3"/>
  <c r="AB380" i="3"/>
  <c r="AB381" i="3"/>
  <c r="AB382" i="3"/>
  <c r="AB383" i="3"/>
  <c r="AB384" i="3"/>
  <c r="AB385" i="3"/>
  <c r="AB386" i="3"/>
  <c r="AB387" i="3"/>
  <c r="AB388" i="3"/>
  <c r="AB389" i="3"/>
  <c r="AB390" i="3"/>
  <c r="AB391" i="3"/>
  <c r="AB392" i="3"/>
  <c r="AB393" i="3"/>
  <c r="AB394" i="3"/>
  <c r="AB395" i="3"/>
  <c r="AB396" i="3"/>
  <c r="AB397" i="3"/>
  <c r="AB398" i="3"/>
  <c r="AB399" i="3"/>
  <c r="AB400" i="3"/>
  <c r="AB401" i="3"/>
  <c r="AB402" i="3"/>
  <c r="AB403" i="3"/>
  <c r="AB404" i="3"/>
  <c r="AB405" i="3"/>
  <c r="AB406" i="3"/>
  <c r="AB407" i="3"/>
  <c r="AB408" i="3"/>
  <c r="AB409" i="3"/>
  <c r="AB410" i="3"/>
  <c r="AB411" i="3"/>
  <c r="AB412" i="3"/>
  <c r="AB413" i="3"/>
  <c r="AB414" i="3"/>
  <c r="AB415" i="3"/>
  <c r="AB416" i="3"/>
  <c r="AB417" i="3"/>
  <c r="AB418" i="3"/>
  <c r="AB419" i="3"/>
  <c r="AB420" i="3"/>
  <c r="AB421" i="3"/>
  <c r="AB422" i="3"/>
  <c r="AB423" i="3"/>
  <c r="AB424" i="3"/>
  <c r="AB425" i="3"/>
  <c r="AB426" i="3"/>
  <c r="AB427" i="3"/>
  <c r="AB428" i="3"/>
  <c r="AB429" i="3"/>
  <c r="AB430" i="3"/>
  <c r="AB431" i="3"/>
  <c r="AB432" i="3"/>
  <c r="AB433" i="3"/>
  <c r="AB434" i="3"/>
  <c r="AB435" i="3"/>
  <c r="AB436" i="3"/>
  <c r="AB437" i="3"/>
  <c r="AB438" i="3"/>
  <c r="AB439" i="3"/>
  <c r="AB440" i="3"/>
  <c r="AB441" i="3"/>
  <c r="AB442" i="3"/>
  <c r="AB443" i="3"/>
  <c r="AB444" i="3"/>
  <c r="AB445" i="3"/>
  <c r="AB446" i="3"/>
  <c r="AB447" i="3"/>
  <c r="AB448" i="3"/>
  <c r="AB449" i="3"/>
  <c r="AB450" i="3"/>
  <c r="AB451" i="3"/>
  <c r="AB452" i="3"/>
  <c r="AB453" i="3"/>
  <c r="AB454" i="3"/>
  <c r="AB455" i="3"/>
  <c r="AB456" i="3"/>
  <c r="AB457" i="3"/>
  <c r="AB458" i="3"/>
  <c r="AB459" i="3"/>
  <c r="AB460" i="3"/>
  <c r="AB461" i="3"/>
  <c r="AB462" i="3"/>
  <c r="AB463" i="3"/>
  <c r="AB464" i="3"/>
  <c r="AB465" i="3"/>
  <c r="AB466" i="3"/>
  <c r="AB467" i="3"/>
  <c r="AB468" i="3"/>
  <c r="AB469" i="3"/>
  <c r="AB470" i="3"/>
  <c r="AB471" i="3"/>
  <c r="AB472" i="3"/>
  <c r="AB473" i="3"/>
  <c r="AB474" i="3"/>
  <c r="AB475" i="3"/>
  <c r="AB476" i="3"/>
  <c r="AB477" i="3"/>
  <c r="AB478" i="3"/>
  <c r="AB479" i="3"/>
  <c r="AB480" i="3"/>
  <c r="AB481" i="3"/>
  <c r="AB482" i="3"/>
  <c r="AB483" i="3"/>
  <c r="AB484" i="3"/>
  <c r="AB485" i="3"/>
  <c r="AB486" i="3"/>
  <c r="AB487" i="3"/>
  <c r="AB488" i="3"/>
  <c r="AB489" i="3"/>
  <c r="AB490" i="3"/>
  <c r="AB491" i="3"/>
  <c r="AB492" i="3"/>
  <c r="AB493" i="3"/>
  <c r="AB494" i="3"/>
  <c r="AB495" i="3"/>
  <c r="AB496" i="3"/>
  <c r="AB497" i="3"/>
  <c r="AB498" i="3"/>
  <c r="AB499" i="3"/>
  <c r="AB500" i="3"/>
  <c r="AB501" i="3"/>
  <c r="AB502" i="3"/>
  <c r="AB503" i="3"/>
  <c r="AB504" i="3"/>
  <c r="AB505" i="3"/>
  <c r="AB506" i="3"/>
  <c r="AB507" i="3"/>
  <c r="AB508" i="3"/>
  <c r="AB509" i="3"/>
  <c r="AB510" i="3"/>
  <c r="AB511" i="3"/>
  <c r="AB512" i="3"/>
  <c r="AB513" i="3"/>
  <c r="AB514" i="3"/>
  <c r="AB515" i="3"/>
  <c r="AB516" i="3"/>
  <c r="AB517" i="3"/>
  <c r="AB518" i="3"/>
  <c r="AB519" i="3"/>
  <c r="AB520" i="3"/>
  <c r="AB521" i="3"/>
  <c r="AB522" i="3"/>
  <c r="AB523" i="3"/>
  <c r="AB524" i="3"/>
  <c r="AB525" i="3"/>
  <c r="AB526" i="3"/>
  <c r="AB527" i="3"/>
  <c r="AB528" i="3"/>
  <c r="AB529" i="3"/>
  <c r="AB530" i="3"/>
  <c r="AB531" i="3"/>
  <c r="AB532" i="3"/>
  <c r="AB533" i="3"/>
  <c r="AB534" i="3"/>
  <c r="AB535" i="3"/>
  <c r="AB536" i="3"/>
  <c r="AB537" i="3"/>
  <c r="AB538" i="3"/>
  <c r="AB539" i="3"/>
  <c r="AB540" i="3"/>
  <c r="AB541" i="3"/>
  <c r="AB542" i="3"/>
  <c r="AB543" i="3"/>
  <c r="AB544" i="3"/>
  <c r="AB545" i="3"/>
  <c r="AB546" i="3"/>
  <c r="AB547" i="3"/>
  <c r="AB548" i="3"/>
  <c r="AB549" i="3"/>
  <c r="AB550" i="3"/>
  <c r="AB551" i="3"/>
  <c r="AB552" i="3"/>
  <c r="AB553" i="3"/>
  <c r="AB554" i="3"/>
  <c r="AB555" i="3"/>
  <c r="AB556" i="3"/>
  <c r="AB557" i="3"/>
  <c r="AB558" i="3"/>
  <c r="AB559" i="3"/>
  <c r="AB560" i="3"/>
  <c r="AB561" i="3"/>
  <c r="AB562" i="3"/>
  <c r="AB563" i="3"/>
  <c r="AB564" i="3"/>
  <c r="AB565" i="3"/>
  <c r="AB566" i="3"/>
  <c r="AB567" i="3"/>
  <c r="AB568" i="3"/>
  <c r="AB569" i="3"/>
  <c r="AB570" i="3"/>
  <c r="AB571" i="3"/>
  <c r="AB572" i="3"/>
  <c r="AB573" i="3"/>
  <c r="AB574" i="3"/>
  <c r="AB575" i="3"/>
  <c r="AB576" i="3"/>
  <c r="AB577" i="3"/>
  <c r="AB578" i="3"/>
  <c r="AB579" i="3"/>
  <c r="AB580" i="3"/>
  <c r="AB581" i="3"/>
  <c r="AB582" i="3"/>
  <c r="AB583" i="3"/>
  <c r="AB584" i="3"/>
  <c r="AB585" i="3"/>
  <c r="AB586" i="3"/>
  <c r="AB587" i="3"/>
  <c r="AB588" i="3"/>
  <c r="AB589" i="3"/>
  <c r="AB590" i="3"/>
  <c r="AB591" i="3"/>
  <c r="AB592" i="3"/>
  <c r="AB593" i="3"/>
  <c r="AB594" i="3"/>
  <c r="AB595" i="3"/>
  <c r="AB596" i="3"/>
  <c r="AB597" i="3"/>
  <c r="AB598" i="3"/>
  <c r="AB599" i="3"/>
  <c r="AB600" i="3"/>
  <c r="AB601" i="3"/>
  <c r="AB602" i="3"/>
  <c r="AB603" i="3"/>
  <c r="AB604" i="3"/>
  <c r="AB605" i="3"/>
  <c r="AB606" i="3"/>
  <c r="AB607" i="3"/>
  <c r="AB608" i="3"/>
  <c r="AB609" i="3"/>
  <c r="AB610" i="3"/>
  <c r="AB611" i="3"/>
  <c r="AB612" i="3"/>
  <c r="AB613" i="3"/>
  <c r="AB614" i="3"/>
  <c r="AB615" i="3"/>
  <c r="AB616" i="3"/>
  <c r="AB617" i="3"/>
  <c r="AB618" i="3"/>
  <c r="AB619" i="3"/>
  <c r="AB620" i="3"/>
  <c r="AB621" i="3"/>
  <c r="AB622" i="3"/>
  <c r="AB623" i="3"/>
  <c r="AB624" i="3"/>
  <c r="AB625" i="3"/>
  <c r="AB626" i="3"/>
  <c r="AB627" i="3"/>
  <c r="AB628" i="3"/>
  <c r="AB629" i="3"/>
  <c r="AB630" i="3"/>
  <c r="AB631" i="3"/>
  <c r="AB632" i="3"/>
  <c r="AB633" i="3"/>
  <c r="X2" i="3"/>
  <c r="X3" i="3"/>
  <c r="X4" i="3"/>
  <c r="X5" i="3"/>
  <c r="X6" i="3"/>
  <c r="X7" i="3"/>
  <c r="X8" i="3"/>
  <c r="AK8" i="3" s="1"/>
  <c r="X9" i="3"/>
  <c r="AK9" i="3" s="1"/>
  <c r="X10" i="3"/>
  <c r="X11" i="3"/>
  <c r="X12" i="3"/>
  <c r="X13" i="3"/>
  <c r="X14" i="3"/>
  <c r="X15" i="3"/>
  <c r="X16" i="3"/>
  <c r="AK16" i="3" s="1"/>
  <c r="X17" i="3"/>
  <c r="AK17" i="3" s="1"/>
  <c r="X18" i="3"/>
  <c r="X19" i="3"/>
  <c r="X20" i="3"/>
  <c r="X21" i="3"/>
  <c r="X22" i="3"/>
  <c r="X23" i="3"/>
  <c r="X24" i="3"/>
  <c r="AK24" i="3" s="1"/>
  <c r="X25" i="3"/>
  <c r="AK25" i="3" s="1"/>
  <c r="X26" i="3"/>
  <c r="X27" i="3"/>
  <c r="X28" i="3"/>
  <c r="X29" i="3"/>
  <c r="X30" i="3"/>
  <c r="X31" i="3"/>
  <c r="X32" i="3"/>
  <c r="AK32" i="3" s="1"/>
  <c r="X33" i="3"/>
  <c r="AK33" i="3" s="1"/>
  <c r="X34" i="3"/>
  <c r="X35" i="3"/>
  <c r="X36" i="3"/>
  <c r="X37" i="3"/>
  <c r="X38" i="3"/>
  <c r="X39" i="3"/>
  <c r="X40" i="3"/>
  <c r="AK40" i="3" s="1"/>
  <c r="X41" i="3"/>
  <c r="AK41" i="3" s="1"/>
  <c r="X42" i="3"/>
  <c r="X43" i="3"/>
  <c r="X44" i="3"/>
  <c r="X45" i="3"/>
  <c r="X46" i="3"/>
  <c r="X47" i="3"/>
  <c r="X48" i="3"/>
  <c r="AK48" i="3" s="1"/>
  <c r="X49" i="3"/>
  <c r="AK49" i="3" s="1"/>
  <c r="X50" i="3"/>
  <c r="X51" i="3"/>
  <c r="X52" i="3"/>
  <c r="X53" i="3"/>
  <c r="X54" i="3"/>
  <c r="X55" i="3"/>
  <c r="X56" i="3"/>
  <c r="AK56" i="3" s="1"/>
  <c r="X57" i="3"/>
  <c r="AK57" i="3" s="1"/>
  <c r="X58" i="3"/>
  <c r="X59" i="3"/>
  <c r="X60" i="3"/>
  <c r="X61" i="3"/>
  <c r="X62" i="3"/>
  <c r="X63" i="3"/>
  <c r="X64" i="3"/>
  <c r="AK64" i="3" s="1"/>
  <c r="X65" i="3"/>
  <c r="AK65" i="3" s="1"/>
  <c r="X66" i="3"/>
  <c r="X67" i="3"/>
  <c r="X68" i="3"/>
  <c r="X69" i="3"/>
  <c r="X70" i="3"/>
  <c r="X71" i="3"/>
  <c r="X72" i="3"/>
  <c r="AK72" i="3" s="1"/>
  <c r="X73" i="3"/>
  <c r="AK73" i="3" s="1"/>
  <c r="X74" i="3"/>
  <c r="X75" i="3"/>
  <c r="X76" i="3"/>
  <c r="X77" i="3"/>
  <c r="X78" i="3"/>
  <c r="X79" i="3"/>
  <c r="X80" i="3"/>
  <c r="AK80" i="3" s="1"/>
  <c r="X81" i="3"/>
  <c r="AK81" i="3" s="1"/>
  <c r="X82" i="3"/>
  <c r="X83" i="3"/>
  <c r="X84" i="3"/>
  <c r="X85" i="3"/>
  <c r="X86" i="3"/>
  <c r="X87" i="3"/>
  <c r="X88" i="3"/>
  <c r="AK88" i="3" s="1"/>
  <c r="X89" i="3"/>
  <c r="AK89" i="3" s="1"/>
  <c r="X90" i="3"/>
  <c r="X91" i="3"/>
  <c r="X92" i="3"/>
  <c r="X93" i="3"/>
  <c r="X94" i="3"/>
  <c r="X95" i="3"/>
  <c r="X96" i="3"/>
  <c r="AK96" i="3" s="1"/>
  <c r="X97" i="3"/>
  <c r="AK97" i="3" s="1"/>
  <c r="X98" i="3"/>
  <c r="X99" i="3"/>
  <c r="X100" i="3"/>
  <c r="X101" i="3"/>
  <c r="X102" i="3"/>
  <c r="X103" i="3"/>
  <c r="X104" i="3"/>
  <c r="AK104" i="3" s="1"/>
  <c r="X105" i="3"/>
  <c r="AK105" i="3" s="1"/>
  <c r="X106" i="3"/>
  <c r="X107" i="3"/>
  <c r="X108" i="3"/>
  <c r="X109" i="3"/>
  <c r="X110" i="3"/>
  <c r="X111" i="3"/>
  <c r="X112" i="3"/>
  <c r="AK112" i="3" s="1"/>
  <c r="X113" i="3"/>
  <c r="AK113" i="3" s="1"/>
  <c r="X114" i="3"/>
  <c r="X115" i="3"/>
  <c r="X116" i="3"/>
  <c r="X117" i="3"/>
  <c r="X118" i="3"/>
  <c r="X119" i="3"/>
  <c r="X120" i="3"/>
  <c r="AK120" i="3" s="1"/>
  <c r="X121" i="3"/>
  <c r="AK121" i="3" s="1"/>
  <c r="X122" i="3"/>
  <c r="X123" i="3"/>
  <c r="X124" i="3"/>
  <c r="X125" i="3"/>
  <c r="X126" i="3"/>
  <c r="X127" i="3"/>
  <c r="X128" i="3"/>
  <c r="AK128" i="3" s="1"/>
  <c r="X129" i="3"/>
  <c r="AK129" i="3" s="1"/>
  <c r="X130" i="3"/>
  <c r="X131" i="3"/>
  <c r="X132" i="3"/>
  <c r="X133" i="3"/>
  <c r="X134" i="3"/>
  <c r="X135" i="3"/>
  <c r="X136" i="3"/>
  <c r="AK136" i="3" s="1"/>
  <c r="X137" i="3"/>
  <c r="AK137" i="3" s="1"/>
  <c r="X138" i="3"/>
  <c r="X139" i="3"/>
  <c r="X140" i="3"/>
  <c r="X141" i="3"/>
  <c r="X142" i="3"/>
  <c r="X143" i="3"/>
  <c r="X144" i="3"/>
  <c r="AK144" i="3" s="1"/>
  <c r="X145" i="3"/>
  <c r="AK145" i="3" s="1"/>
  <c r="X146" i="3"/>
  <c r="X147" i="3"/>
  <c r="X148" i="3"/>
  <c r="X149" i="3"/>
  <c r="X150" i="3"/>
  <c r="X151" i="3"/>
  <c r="X152" i="3"/>
  <c r="AK152" i="3" s="1"/>
  <c r="X153" i="3"/>
  <c r="AK153" i="3" s="1"/>
  <c r="X154" i="3"/>
  <c r="X155" i="3"/>
  <c r="X156" i="3"/>
  <c r="X157" i="3"/>
  <c r="X158" i="3"/>
  <c r="X159" i="3"/>
  <c r="X160" i="3"/>
  <c r="AK160" i="3" s="1"/>
  <c r="X161" i="3"/>
  <c r="AK161" i="3" s="1"/>
  <c r="X162" i="3"/>
  <c r="X163" i="3"/>
  <c r="X164" i="3"/>
  <c r="X165" i="3"/>
  <c r="X166" i="3"/>
  <c r="X167" i="3"/>
  <c r="X168" i="3"/>
  <c r="AK168" i="3" s="1"/>
  <c r="X169" i="3"/>
  <c r="AK169" i="3" s="1"/>
  <c r="X170" i="3"/>
  <c r="X171" i="3"/>
  <c r="X172" i="3"/>
  <c r="X173" i="3"/>
  <c r="X174" i="3"/>
  <c r="X175" i="3"/>
  <c r="X176" i="3"/>
  <c r="AK176" i="3" s="1"/>
  <c r="X177" i="3"/>
  <c r="AK177" i="3" s="1"/>
  <c r="X178" i="3"/>
  <c r="X179" i="3"/>
  <c r="X180" i="3"/>
  <c r="X181" i="3"/>
  <c r="X182" i="3"/>
  <c r="X183" i="3"/>
  <c r="X184" i="3"/>
  <c r="AK184" i="3" s="1"/>
  <c r="X185" i="3"/>
  <c r="AK185" i="3" s="1"/>
  <c r="X186" i="3"/>
  <c r="X187" i="3"/>
  <c r="X188" i="3"/>
  <c r="X189" i="3"/>
  <c r="X190" i="3"/>
  <c r="X191" i="3"/>
  <c r="X192" i="3"/>
  <c r="AK192" i="3" s="1"/>
  <c r="X193" i="3"/>
  <c r="AK193" i="3" s="1"/>
  <c r="X194" i="3"/>
  <c r="X195" i="3"/>
  <c r="X196" i="3"/>
  <c r="X197" i="3"/>
  <c r="X198" i="3"/>
  <c r="X199" i="3"/>
  <c r="X200" i="3"/>
  <c r="AK200" i="3" s="1"/>
  <c r="X201" i="3"/>
  <c r="AK201" i="3" s="1"/>
  <c r="X202" i="3"/>
  <c r="X203" i="3"/>
  <c r="X204" i="3"/>
  <c r="X205" i="3"/>
  <c r="X206" i="3"/>
  <c r="X207" i="3"/>
  <c r="X208" i="3"/>
  <c r="AK208" i="3" s="1"/>
  <c r="X209" i="3"/>
  <c r="AK209" i="3" s="1"/>
  <c r="X210" i="3"/>
  <c r="X211" i="3"/>
  <c r="X212" i="3"/>
  <c r="X213" i="3"/>
  <c r="X214" i="3"/>
  <c r="X215" i="3"/>
  <c r="X216" i="3"/>
  <c r="AK216" i="3" s="1"/>
  <c r="X217" i="3"/>
  <c r="AK217" i="3" s="1"/>
  <c r="X218" i="3"/>
  <c r="X219" i="3"/>
  <c r="X220" i="3"/>
  <c r="X221" i="3"/>
  <c r="X222" i="3"/>
  <c r="X223" i="3"/>
  <c r="X224" i="3"/>
  <c r="AK224" i="3" s="1"/>
  <c r="X225" i="3"/>
  <c r="AK225" i="3" s="1"/>
  <c r="X226" i="3"/>
  <c r="X227" i="3"/>
  <c r="X228" i="3"/>
  <c r="X229" i="3"/>
  <c r="X230" i="3"/>
  <c r="X231" i="3"/>
  <c r="X232" i="3"/>
  <c r="AK232" i="3" s="1"/>
  <c r="X233" i="3"/>
  <c r="AK233" i="3" s="1"/>
  <c r="X234" i="3"/>
  <c r="X235" i="3"/>
  <c r="X236" i="3"/>
  <c r="X237" i="3"/>
  <c r="X238" i="3"/>
  <c r="X239" i="3"/>
  <c r="X240" i="3"/>
  <c r="AK240" i="3" s="1"/>
  <c r="X241" i="3"/>
  <c r="AK241" i="3" s="1"/>
  <c r="X242" i="3"/>
  <c r="X243" i="3"/>
  <c r="X244" i="3"/>
  <c r="X245" i="3"/>
  <c r="X246" i="3"/>
  <c r="X247" i="3"/>
  <c r="X248" i="3"/>
  <c r="AK248" i="3" s="1"/>
  <c r="X249" i="3"/>
  <c r="AK249" i="3" s="1"/>
  <c r="X250" i="3"/>
  <c r="X251" i="3"/>
  <c r="X252" i="3"/>
  <c r="X253" i="3"/>
  <c r="X254" i="3"/>
  <c r="X255" i="3"/>
  <c r="X256" i="3"/>
  <c r="AK256" i="3" s="1"/>
  <c r="X257" i="3"/>
  <c r="AK257" i="3" s="1"/>
  <c r="X258" i="3"/>
  <c r="X259" i="3"/>
  <c r="X260" i="3"/>
  <c r="X261" i="3"/>
  <c r="X262" i="3"/>
  <c r="X263" i="3"/>
  <c r="X264" i="3"/>
  <c r="AK264" i="3" s="1"/>
  <c r="X265" i="3"/>
  <c r="AK265" i="3" s="1"/>
  <c r="X266" i="3"/>
  <c r="X267" i="3"/>
  <c r="X268" i="3"/>
  <c r="X269" i="3"/>
  <c r="X270" i="3"/>
  <c r="X271" i="3"/>
  <c r="X272" i="3"/>
  <c r="AK272" i="3" s="1"/>
  <c r="X273" i="3"/>
  <c r="AK273" i="3" s="1"/>
  <c r="X274" i="3"/>
  <c r="X275" i="3"/>
  <c r="X276" i="3"/>
  <c r="X277" i="3"/>
  <c r="X278" i="3"/>
  <c r="X279" i="3"/>
  <c r="X280" i="3"/>
  <c r="AK280" i="3" s="1"/>
  <c r="X281" i="3"/>
  <c r="AK281" i="3" s="1"/>
  <c r="X282" i="3"/>
  <c r="X283" i="3"/>
  <c r="X284" i="3"/>
  <c r="X285" i="3"/>
  <c r="X286" i="3"/>
  <c r="X287" i="3"/>
  <c r="X288" i="3"/>
  <c r="AK288" i="3" s="1"/>
  <c r="X289" i="3"/>
  <c r="AK289" i="3" s="1"/>
  <c r="X290" i="3"/>
  <c r="X291" i="3"/>
  <c r="X292" i="3"/>
  <c r="X293" i="3"/>
  <c r="X294" i="3"/>
  <c r="X295" i="3"/>
  <c r="X296" i="3"/>
  <c r="AK296" i="3" s="1"/>
  <c r="X297" i="3"/>
  <c r="AK297" i="3" s="1"/>
  <c r="X298" i="3"/>
  <c r="X299" i="3"/>
  <c r="X300" i="3"/>
  <c r="X301" i="3"/>
  <c r="X302" i="3"/>
  <c r="X303" i="3"/>
  <c r="X304" i="3"/>
  <c r="AK304" i="3" s="1"/>
  <c r="X305" i="3"/>
  <c r="AK305" i="3" s="1"/>
  <c r="X306" i="3"/>
  <c r="X307" i="3"/>
  <c r="X308" i="3"/>
  <c r="X309" i="3"/>
  <c r="X310" i="3"/>
  <c r="X311" i="3"/>
  <c r="X312" i="3"/>
  <c r="AK312" i="3" s="1"/>
  <c r="X313" i="3"/>
  <c r="AK313" i="3" s="1"/>
  <c r="X314" i="3"/>
  <c r="X315" i="3"/>
  <c r="X316" i="3"/>
  <c r="X317" i="3"/>
  <c r="X318" i="3"/>
  <c r="X319" i="3"/>
  <c r="X320" i="3"/>
  <c r="AK320" i="3" s="1"/>
  <c r="X321" i="3"/>
  <c r="AK321" i="3" s="1"/>
  <c r="X322" i="3"/>
  <c r="X323" i="3"/>
  <c r="X324" i="3"/>
  <c r="X325" i="3"/>
  <c r="X326" i="3"/>
  <c r="X327" i="3"/>
  <c r="X328" i="3"/>
  <c r="AK328" i="3" s="1"/>
  <c r="X329" i="3"/>
  <c r="AK329" i="3" s="1"/>
  <c r="X330" i="3"/>
  <c r="X331" i="3"/>
  <c r="X332" i="3"/>
  <c r="X333" i="3"/>
  <c r="X334" i="3"/>
  <c r="X335" i="3"/>
  <c r="X336" i="3"/>
  <c r="AK336" i="3" s="1"/>
  <c r="X337" i="3"/>
  <c r="AK337" i="3" s="1"/>
  <c r="X338" i="3"/>
  <c r="X339" i="3"/>
  <c r="X340" i="3"/>
  <c r="X341" i="3"/>
  <c r="X342" i="3"/>
  <c r="X343" i="3"/>
  <c r="X344" i="3"/>
  <c r="AK344" i="3" s="1"/>
  <c r="X345" i="3"/>
  <c r="AK345" i="3" s="1"/>
  <c r="X346" i="3"/>
  <c r="X347" i="3"/>
  <c r="X348" i="3"/>
  <c r="X349" i="3"/>
  <c r="X350" i="3"/>
  <c r="X351" i="3"/>
  <c r="X352" i="3"/>
  <c r="AK352" i="3" s="1"/>
  <c r="X353" i="3"/>
  <c r="AK353" i="3" s="1"/>
  <c r="X354" i="3"/>
  <c r="X355" i="3"/>
  <c r="X356" i="3"/>
  <c r="X357" i="3"/>
  <c r="X358" i="3"/>
  <c r="X359" i="3"/>
  <c r="X360" i="3"/>
  <c r="AK360" i="3" s="1"/>
  <c r="X361" i="3"/>
  <c r="AK361" i="3" s="1"/>
  <c r="X362" i="3"/>
  <c r="X363" i="3"/>
  <c r="X364" i="3"/>
  <c r="X365" i="3"/>
  <c r="X366" i="3"/>
  <c r="X367" i="3"/>
  <c r="X368" i="3"/>
  <c r="AK368" i="3" s="1"/>
  <c r="X369" i="3"/>
  <c r="AK369" i="3" s="1"/>
  <c r="X370" i="3"/>
  <c r="X371" i="3"/>
  <c r="X372" i="3"/>
  <c r="X373" i="3"/>
  <c r="X374" i="3"/>
  <c r="X375" i="3"/>
  <c r="X376" i="3"/>
  <c r="AK376" i="3" s="1"/>
  <c r="X377" i="3"/>
  <c r="AK377" i="3" s="1"/>
  <c r="X378" i="3"/>
  <c r="X379" i="3"/>
  <c r="X380" i="3"/>
  <c r="X381" i="3"/>
  <c r="X382" i="3"/>
  <c r="X383" i="3"/>
  <c r="X384" i="3"/>
  <c r="AK384" i="3" s="1"/>
  <c r="X385" i="3"/>
  <c r="AK385" i="3" s="1"/>
  <c r="X386" i="3"/>
  <c r="X387" i="3"/>
  <c r="X388" i="3"/>
  <c r="X389" i="3"/>
  <c r="X390" i="3"/>
  <c r="X391" i="3"/>
  <c r="X392" i="3"/>
  <c r="AK392" i="3" s="1"/>
  <c r="X393" i="3"/>
  <c r="AK393" i="3" s="1"/>
  <c r="X394" i="3"/>
  <c r="X395" i="3"/>
  <c r="X396" i="3"/>
  <c r="X397" i="3"/>
  <c r="X398" i="3"/>
  <c r="X399" i="3"/>
  <c r="X400" i="3"/>
  <c r="AK400" i="3" s="1"/>
  <c r="X401" i="3"/>
  <c r="AK401" i="3" s="1"/>
  <c r="X402" i="3"/>
  <c r="X403" i="3"/>
  <c r="X404" i="3"/>
  <c r="X405" i="3"/>
  <c r="X406" i="3"/>
  <c r="X407" i="3"/>
  <c r="X408" i="3"/>
  <c r="AK408" i="3" s="1"/>
  <c r="X409" i="3"/>
  <c r="AK409" i="3" s="1"/>
  <c r="X410" i="3"/>
  <c r="X411" i="3"/>
  <c r="X412" i="3"/>
  <c r="X413" i="3"/>
  <c r="X414" i="3"/>
  <c r="X415" i="3"/>
  <c r="X416" i="3"/>
  <c r="AK416" i="3" s="1"/>
  <c r="X417" i="3"/>
  <c r="AK417" i="3" s="1"/>
  <c r="X418" i="3"/>
  <c r="X419" i="3"/>
  <c r="X420" i="3"/>
  <c r="X421" i="3"/>
  <c r="X422" i="3"/>
  <c r="X423" i="3"/>
  <c r="X424" i="3"/>
  <c r="AK424" i="3" s="1"/>
  <c r="X425" i="3"/>
  <c r="AK425" i="3" s="1"/>
  <c r="X426" i="3"/>
  <c r="X427" i="3"/>
  <c r="X428" i="3"/>
  <c r="X429" i="3"/>
  <c r="X430" i="3"/>
  <c r="X431" i="3"/>
  <c r="X432" i="3"/>
  <c r="AK432" i="3" s="1"/>
  <c r="X433" i="3"/>
  <c r="AK433" i="3" s="1"/>
  <c r="X434" i="3"/>
  <c r="X435" i="3"/>
  <c r="X436" i="3"/>
  <c r="X437" i="3"/>
  <c r="X438" i="3"/>
  <c r="X439" i="3"/>
  <c r="X440" i="3"/>
  <c r="AK440" i="3" s="1"/>
  <c r="X441" i="3"/>
  <c r="AK441" i="3" s="1"/>
  <c r="X442" i="3"/>
  <c r="X443" i="3"/>
  <c r="X444" i="3"/>
  <c r="X445" i="3"/>
  <c r="X446" i="3"/>
  <c r="X447" i="3"/>
  <c r="X448" i="3"/>
  <c r="AK448" i="3" s="1"/>
  <c r="X449" i="3"/>
  <c r="AK449" i="3" s="1"/>
  <c r="X450" i="3"/>
  <c r="X451" i="3"/>
  <c r="X452" i="3"/>
  <c r="X453" i="3"/>
  <c r="X454" i="3"/>
  <c r="X455" i="3"/>
  <c r="X456" i="3"/>
  <c r="AK456" i="3" s="1"/>
  <c r="X457" i="3"/>
  <c r="AK457" i="3" s="1"/>
  <c r="X458" i="3"/>
  <c r="X459" i="3"/>
  <c r="X460" i="3"/>
  <c r="X461" i="3"/>
  <c r="X462" i="3"/>
  <c r="X463" i="3"/>
  <c r="X464" i="3"/>
  <c r="AK464" i="3" s="1"/>
  <c r="X465" i="3"/>
  <c r="AK465" i="3" s="1"/>
  <c r="X466" i="3"/>
  <c r="X467" i="3"/>
  <c r="X468" i="3"/>
  <c r="X469" i="3"/>
  <c r="X470" i="3"/>
  <c r="X471" i="3"/>
  <c r="X472" i="3"/>
  <c r="AK472" i="3" s="1"/>
  <c r="X473" i="3"/>
  <c r="AK473" i="3" s="1"/>
  <c r="X474" i="3"/>
  <c r="X475" i="3"/>
  <c r="X476" i="3"/>
  <c r="X477" i="3"/>
  <c r="X478" i="3"/>
  <c r="X479" i="3"/>
  <c r="X480" i="3"/>
  <c r="AK480" i="3" s="1"/>
  <c r="X481" i="3"/>
  <c r="AK481" i="3" s="1"/>
  <c r="X482" i="3"/>
  <c r="X483" i="3"/>
  <c r="X484" i="3"/>
  <c r="X485" i="3"/>
  <c r="X486" i="3"/>
  <c r="X487" i="3"/>
  <c r="X488" i="3"/>
  <c r="AK488" i="3" s="1"/>
  <c r="X489" i="3"/>
  <c r="AK489" i="3" s="1"/>
  <c r="X490" i="3"/>
  <c r="X491" i="3"/>
  <c r="X492" i="3"/>
  <c r="X493" i="3"/>
  <c r="X494" i="3"/>
  <c r="X495" i="3"/>
  <c r="X496" i="3"/>
  <c r="AK496" i="3" s="1"/>
  <c r="X497" i="3"/>
  <c r="AK497" i="3" s="1"/>
  <c r="X498" i="3"/>
  <c r="X499" i="3"/>
  <c r="X500" i="3"/>
  <c r="X501" i="3"/>
  <c r="X502" i="3"/>
  <c r="X503" i="3"/>
  <c r="X504" i="3"/>
  <c r="AK504" i="3" s="1"/>
  <c r="X505" i="3"/>
  <c r="AK505" i="3" s="1"/>
  <c r="X506" i="3"/>
  <c r="X507" i="3"/>
  <c r="X508" i="3"/>
  <c r="X509" i="3"/>
  <c r="X510" i="3"/>
  <c r="X511" i="3"/>
  <c r="X512" i="3"/>
  <c r="AK512" i="3" s="1"/>
  <c r="X513" i="3"/>
  <c r="AK513" i="3" s="1"/>
  <c r="X514" i="3"/>
  <c r="X515" i="3"/>
  <c r="X516" i="3"/>
  <c r="X517" i="3"/>
  <c r="X518" i="3"/>
  <c r="X519" i="3"/>
  <c r="X520" i="3"/>
  <c r="AK520" i="3" s="1"/>
  <c r="X521" i="3"/>
  <c r="AK521" i="3" s="1"/>
  <c r="X522" i="3"/>
  <c r="X523" i="3"/>
  <c r="X524" i="3"/>
  <c r="X525" i="3"/>
  <c r="X526" i="3"/>
  <c r="X527" i="3"/>
  <c r="X528" i="3"/>
  <c r="AK528" i="3" s="1"/>
  <c r="X529" i="3"/>
  <c r="AK529" i="3" s="1"/>
  <c r="X530" i="3"/>
  <c r="X531" i="3"/>
  <c r="X532" i="3"/>
  <c r="X533" i="3"/>
  <c r="X534" i="3"/>
  <c r="X535" i="3"/>
  <c r="X536" i="3"/>
  <c r="AK536" i="3" s="1"/>
  <c r="X537" i="3"/>
  <c r="AK537" i="3" s="1"/>
  <c r="X538" i="3"/>
  <c r="X539" i="3"/>
  <c r="X540" i="3"/>
  <c r="X541" i="3"/>
  <c r="X542" i="3"/>
  <c r="X543" i="3"/>
  <c r="X544" i="3"/>
  <c r="AK544" i="3" s="1"/>
  <c r="X545" i="3"/>
  <c r="AK545" i="3" s="1"/>
  <c r="X546" i="3"/>
  <c r="X547" i="3"/>
  <c r="X548" i="3"/>
  <c r="X549" i="3"/>
  <c r="X550" i="3"/>
  <c r="X551" i="3"/>
  <c r="X552" i="3"/>
  <c r="AK552" i="3" s="1"/>
  <c r="X553" i="3"/>
  <c r="AK553" i="3" s="1"/>
  <c r="X554" i="3"/>
  <c r="X555" i="3"/>
  <c r="X556" i="3"/>
  <c r="X557" i="3"/>
  <c r="X558" i="3"/>
  <c r="X559" i="3"/>
  <c r="X560" i="3"/>
  <c r="AK560" i="3" s="1"/>
  <c r="X561" i="3"/>
  <c r="AK561" i="3" s="1"/>
  <c r="X562" i="3"/>
  <c r="X563" i="3"/>
  <c r="X564" i="3"/>
  <c r="X565" i="3"/>
  <c r="X566" i="3"/>
  <c r="X567" i="3"/>
  <c r="X568" i="3"/>
  <c r="AK568" i="3" s="1"/>
  <c r="X569" i="3"/>
  <c r="AK569" i="3" s="1"/>
  <c r="X570" i="3"/>
  <c r="X571" i="3"/>
  <c r="X572" i="3"/>
  <c r="X573" i="3"/>
  <c r="X574" i="3"/>
  <c r="X575" i="3"/>
  <c r="X576" i="3"/>
  <c r="AK576" i="3" s="1"/>
  <c r="X577" i="3"/>
  <c r="AK577" i="3" s="1"/>
  <c r="X578" i="3"/>
  <c r="X579" i="3"/>
  <c r="X580" i="3"/>
  <c r="X581" i="3"/>
  <c r="X582" i="3"/>
  <c r="X583" i="3"/>
  <c r="X584" i="3"/>
  <c r="AK584" i="3" s="1"/>
  <c r="X585" i="3"/>
  <c r="AK585" i="3" s="1"/>
  <c r="X586" i="3"/>
  <c r="X587" i="3"/>
  <c r="X588" i="3"/>
  <c r="X589" i="3"/>
  <c r="X590" i="3"/>
  <c r="X591" i="3"/>
  <c r="X592" i="3"/>
  <c r="AK592" i="3" s="1"/>
  <c r="X593" i="3"/>
  <c r="AK593" i="3" s="1"/>
  <c r="X594" i="3"/>
  <c r="X595" i="3"/>
  <c r="X596" i="3"/>
  <c r="X597" i="3"/>
  <c r="X598" i="3"/>
  <c r="X599" i="3"/>
  <c r="X600" i="3"/>
  <c r="AK600" i="3" s="1"/>
  <c r="X601" i="3"/>
  <c r="AK601" i="3" s="1"/>
  <c r="X602" i="3"/>
  <c r="X603" i="3"/>
  <c r="X604" i="3"/>
  <c r="X605" i="3"/>
  <c r="X606" i="3"/>
  <c r="X607" i="3"/>
  <c r="X608" i="3"/>
  <c r="AK608" i="3" s="1"/>
  <c r="X609" i="3"/>
  <c r="AK609" i="3" s="1"/>
  <c r="X610" i="3"/>
  <c r="X611" i="3"/>
  <c r="X612" i="3"/>
  <c r="X613" i="3"/>
  <c r="X614" i="3"/>
  <c r="X615" i="3"/>
  <c r="X616" i="3"/>
  <c r="AK616" i="3" s="1"/>
  <c r="X617" i="3"/>
  <c r="AK617" i="3" s="1"/>
  <c r="X618" i="3"/>
  <c r="X619" i="3"/>
  <c r="X620" i="3"/>
  <c r="X621" i="3"/>
  <c r="X622" i="3"/>
  <c r="X623" i="3"/>
  <c r="X624" i="3"/>
  <c r="AK624" i="3" s="1"/>
  <c r="X625" i="3"/>
  <c r="AK625" i="3" s="1"/>
  <c r="X626" i="3"/>
  <c r="X627" i="3"/>
  <c r="X628" i="3"/>
  <c r="X629" i="3"/>
  <c r="X630" i="3"/>
  <c r="X631" i="3"/>
  <c r="X632" i="3"/>
  <c r="AK632" i="3" s="1"/>
  <c r="X633" i="3"/>
  <c r="AK633" i="3" s="1"/>
  <c r="AO50" i="3"/>
  <c r="AO251" i="3"/>
  <c r="AO627" i="3"/>
  <c r="AK3" i="3"/>
  <c r="AK4" i="3"/>
  <c r="AK5" i="3"/>
  <c r="AK7" i="3"/>
  <c r="AK10" i="3"/>
  <c r="AK12" i="3"/>
  <c r="AO12" i="3" s="1"/>
  <c r="AK13" i="3"/>
  <c r="AK14" i="3"/>
  <c r="AK15" i="3"/>
  <c r="AK18" i="3"/>
  <c r="AK19" i="3"/>
  <c r="AK20" i="3"/>
  <c r="AK21" i="3"/>
  <c r="AK22" i="3"/>
  <c r="AK23" i="3"/>
  <c r="AK26" i="3"/>
  <c r="AK27" i="3"/>
  <c r="AK28" i="3"/>
  <c r="AK29" i="3"/>
  <c r="AK30" i="3"/>
  <c r="AK31" i="3"/>
  <c r="AK34" i="3"/>
  <c r="AK35" i="3"/>
  <c r="AK36" i="3"/>
  <c r="AK37" i="3"/>
  <c r="AK39" i="3"/>
  <c r="AK42" i="3"/>
  <c r="AK44" i="3"/>
  <c r="AO44" i="3" s="1"/>
  <c r="AK45" i="3"/>
  <c r="AK46" i="3"/>
  <c r="AK47" i="3"/>
  <c r="AK50" i="3"/>
  <c r="AK51" i="3"/>
  <c r="AK52" i="3"/>
  <c r="AK53" i="3"/>
  <c r="AK54" i="3"/>
  <c r="AK55" i="3"/>
  <c r="AK58" i="3"/>
  <c r="AK59" i="3"/>
  <c r="AK60" i="3"/>
  <c r="AK61" i="3"/>
  <c r="AK62" i="3"/>
  <c r="AK63" i="3"/>
  <c r="AK66" i="3"/>
  <c r="AO66" i="3" s="1"/>
  <c r="AK67" i="3"/>
  <c r="AK68" i="3"/>
  <c r="AK69" i="3"/>
  <c r="AK71" i="3"/>
  <c r="AO71" i="3" s="1"/>
  <c r="AK74" i="3"/>
  <c r="AK76" i="3"/>
  <c r="AO76" i="3" s="1"/>
  <c r="AK77" i="3"/>
  <c r="AK78" i="3"/>
  <c r="AK79" i="3"/>
  <c r="AK82" i="3"/>
  <c r="AK83" i="3"/>
  <c r="AK84" i="3"/>
  <c r="AK85" i="3"/>
  <c r="AK86" i="3"/>
  <c r="AK87" i="3"/>
  <c r="AK90" i="3"/>
  <c r="AK91" i="3"/>
  <c r="AK92" i="3"/>
  <c r="AK93" i="3"/>
  <c r="AK94" i="3"/>
  <c r="AK95" i="3"/>
  <c r="AK98" i="3"/>
  <c r="AO98" i="3" s="1"/>
  <c r="AK99" i="3"/>
  <c r="AK100" i="3"/>
  <c r="AK101" i="3"/>
  <c r="AK103" i="3"/>
  <c r="AK106" i="3"/>
  <c r="AK108" i="3"/>
  <c r="AO108" i="3" s="1"/>
  <c r="AK109" i="3"/>
  <c r="AK110" i="3"/>
  <c r="AK111" i="3"/>
  <c r="AK114" i="3"/>
  <c r="AK115" i="3"/>
  <c r="AK116" i="3"/>
  <c r="AK117" i="3"/>
  <c r="AK118" i="3"/>
  <c r="AK119" i="3"/>
  <c r="AK122" i="3"/>
  <c r="AK123" i="3"/>
  <c r="AK124" i="3"/>
  <c r="AK125" i="3"/>
  <c r="AK126" i="3"/>
  <c r="AK127" i="3"/>
  <c r="AK130" i="3"/>
  <c r="AO130" i="3" s="1"/>
  <c r="AK131" i="3"/>
  <c r="AK132" i="3"/>
  <c r="AK133" i="3"/>
  <c r="AK135" i="3"/>
  <c r="AK138" i="3"/>
  <c r="AK140" i="3"/>
  <c r="AO140" i="3" s="1"/>
  <c r="AK141" i="3"/>
  <c r="AK142" i="3"/>
  <c r="AK143" i="3"/>
  <c r="AK146" i="3"/>
  <c r="AK147" i="3"/>
  <c r="AK148" i="3"/>
  <c r="AK149" i="3"/>
  <c r="AK150" i="3"/>
  <c r="AK151" i="3"/>
  <c r="AO151" i="3" s="1"/>
  <c r="AK154" i="3"/>
  <c r="AK155" i="3"/>
  <c r="AK156" i="3"/>
  <c r="AK157" i="3"/>
  <c r="AK158" i="3"/>
  <c r="AK159" i="3"/>
  <c r="AK162" i="3"/>
  <c r="AO162" i="3" s="1"/>
  <c r="AK163" i="3"/>
  <c r="AK164" i="3"/>
  <c r="AK165" i="3"/>
  <c r="AK167" i="3"/>
  <c r="AO167" i="3" s="1"/>
  <c r="AK170" i="3"/>
  <c r="AK172" i="3"/>
  <c r="AO172" i="3" s="1"/>
  <c r="AK173" i="3"/>
  <c r="AK174" i="3"/>
  <c r="AK175" i="3"/>
  <c r="AK178" i="3"/>
  <c r="AK179" i="3"/>
  <c r="AK180" i="3"/>
  <c r="AK181" i="3"/>
  <c r="AK182" i="3"/>
  <c r="AK183" i="3"/>
  <c r="AO183" i="3" s="1"/>
  <c r="AK186" i="3"/>
  <c r="AK187" i="3"/>
  <c r="AK188" i="3"/>
  <c r="AK189" i="3"/>
  <c r="AK190" i="3"/>
  <c r="AK191" i="3"/>
  <c r="AK194" i="3"/>
  <c r="AO194" i="3" s="1"/>
  <c r="AK195" i="3"/>
  <c r="AK196" i="3"/>
  <c r="AK197" i="3"/>
  <c r="AK199" i="3"/>
  <c r="AO199" i="3" s="1"/>
  <c r="AK202" i="3"/>
  <c r="AK204" i="3"/>
  <c r="AO204" i="3" s="1"/>
  <c r="AK205" i="3"/>
  <c r="AK206" i="3"/>
  <c r="AK207" i="3"/>
  <c r="AK210" i="3"/>
  <c r="AK211" i="3"/>
  <c r="AK212" i="3"/>
  <c r="AK213" i="3"/>
  <c r="AK214" i="3"/>
  <c r="AK215" i="3"/>
  <c r="AK218" i="3"/>
  <c r="AK219" i="3"/>
  <c r="AK220" i="3"/>
  <c r="AK221" i="3"/>
  <c r="AK222" i="3"/>
  <c r="AK223" i="3"/>
  <c r="AK226" i="3"/>
  <c r="AK227" i="3"/>
  <c r="AK228" i="3"/>
  <c r="AK229" i="3"/>
  <c r="AK231" i="3"/>
  <c r="AK234" i="3"/>
  <c r="AK236" i="3"/>
  <c r="AK237" i="3"/>
  <c r="AK238" i="3"/>
  <c r="AK239" i="3"/>
  <c r="AK242" i="3"/>
  <c r="AK243" i="3"/>
  <c r="AK244" i="3"/>
  <c r="AK245" i="3"/>
  <c r="AK246" i="3"/>
  <c r="AK247" i="3"/>
  <c r="AK250" i="3"/>
  <c r="AK251" i="3"/>
  <c r="AK252" i="3"/>
  <c r="AK253" i="3"/>
  <c r="AK254" i="3"/>
  <c r="AK255" i="3"/>
  <c r="AK258" i="3"/>
  <c r="AO258" i="3" s="1"/>
  <c r="AK259" i="3"/>
  <c r="AK260" i="3"/>
  <c r="AK261" i="3"/>
  <c r="AK263" i="3"/>
  <c r="AK266" i="3"/>
  <c r="AK268" i="3"/>
  <c r="AK269" i="3"/>
  <c r="AK270" i="3"/>
  <c r="AK271" i="3"/>
  <c r="AK274" i="3"/>
  <c r="AK275" i="3"/>
  <c r="AK276" i="3"/>
  <c r="AK277" i="3"/>
  <c r="AK278" i="3"/>
  <c r="AK279" i="3"/>
  <c r="AK282" i="3"/>
  <c r="AK283" i="3"/>
  <c r="AK284" i="3"/>
  <c r="AK285" i="3"/>
  <c r="AK286" i="3"/>
  <c r="AK287" i="3"/>
  <c r="AK290" i="3"/>
  <c r="AO290" i="3" s="1"/>
  <c r="AK291" i="3"/>
  <c r="AK292" i="3"/>
  <c r="AK293" i="3"/>
  <c r="AK295" i="3"/>
  <c r="AK298" i="3"/>
  <c r="AK300" i="3"/>
  <c r="AO300" i="3" s="1"/>
  <c r="AK301" i="3"/>
  <c r="AK302" i="3"/>
  <c r="AK303" i="3"/>
  <c r="AK306" i="3"/>
  <c r="AK307" i="3"/>
  <c r="AK308" i="3"/>
  <c r="AK309" i="3"/>
  <c r="AK310" i="3"/>
  <c r="AK311" i="3"/>
  <c r="AK314" i="3"/>
  <c r="AK315" i="3"/>
  <c r="AK316" i="3"/>
  <c r="AK317" i="3"/>
  <c r="AK318" i="3"/>
  <c r="AK319" i="3"/>
  <c r="AK322" i="3"/>
  <c r="AK323" i="3"/>
  <c r="AK324" i="3"/>
  <c r="AK325" i="3"/>
  <c r="AK327" i="3"/>
  <c r="AK330" i="3"/>
  <c r="AK332" i="3"/>
  <c r="AO332" i="3" s="1"/>
  <c r="AK333" i="3"/>
  <c r="AK334" i="3"/>
  <c r="AK335" i="3"/>
  <c r="AK338" i="3"/>
  <c r="AK339" i="3"/>
  <c r="AK340" i="3"/>
  <c r="AK341" i="3"/>
  <c r="AK342" i="3"/>
  <c r="AK343" i="3"/>
  <c r="AO343" i="3" s="1"/>
  <c r="AK346" i="3"/>
  <c r="AK347" i="3"/>
  <c r="AK348" i="3"/>
  <c r="AK349" i="3"/>
  <c r="AK350" i="3"/>
  <c r="AK351" i="3"/>
  <c r="AK354" i="3"/>
  <c r="AO354" i="3" s="1"/>
  <c r="AK355" i="3"/>
  <c r="AK356" i="3"/>
  <c r="AK357" i="3"/>
  <c r="AK359" i="3"/>
  <c r="AK362" i="3"/>
  <c r="AK364" i="3"/>
  <c r="AO364" i="3" s="1"/>
  <c r="AK365" i="3"/>
  <c r="AK366" i="3"/>
  <c r="AK367" i="3"/>
  <c r="AK370" i="3"/>
  <c r="AK371" i="3"/>
  <c r="AK372" i="3"/>
  <c r="AK373" i="3"/>
  <c r="AK374" i="3"/>
  <c r="AK375" i="3"/>
  <c r="AK378" i="3"/>
  <c r="AK379" i="3"/>
  <c r="AK380" i="3"/>
  <c r="AK381" i="3"/>
  <c r="AK382" i="3"/>
  <c r="AK383" i="3"/>
  <c r="AK386" i="3"/>
  <c r="AK387" i="3"/>
  <c r="AK388" i="3"/>
  <c r="AK389" i="3"/>
  <c r="AK391" i="3"/>
  <c r="AK394" i="3"/>
  <c r="AO394" i="3" s="1"/>
  <c r="AK396" i="3"/>
  <c r="AO396" i="3" s="1"/>
  <c r="AK397" i="3"/>
  <c r="AK398" i="3"/>
  <c r="AK399" i="3"/>
  <c r="AK402" i="3"/>
  <c r="AK403" i="3"/>
  <c r="AK404" i="3"/>
  <c r="AK405" i="3"/>
  <c r="AK406" i="3"/>
  <c r="AK407" i="3"/>
  <c r="AK410" i="3"/>
  <c r="AK411" i="3"/>
  <c r="AK412" i="3"/>
  <c r="AK413" i="3"/>
  <c r="AK414" i="3"/>
  <c r="AK415" i="3"/>
  <c r="AK418" i="3"/>
  <c r="AO418" i="3" s="1"/>
  <c r="AK419" i="3"/>
  <c r="AK420" i="3"/>
  <c r="AK421" i="3"/>
  <c r="AK423" i="3"/>
  <c r="AK426" i="3"/>
  <c r="AO426" i="3" s="1"/>
  <c r="AK428" i="3"/>
  <c r="AK429" i="3"/>
  <c r="AK430" i="3"/>
  <c r="AK431" i="3"/>
  <c r="AK434" i="3"/>
  <c r="AK435" i="3"/>
  <c r="AK436" i="3"/>
  <c r="AK437" i="3"/>
  <c r="AK438" i="3"/>
  <c r="AK439" i="3"/>
  <c r="AK442" i="3"/>
  <c r="AK443" i="3"/>
  <c r="AK444" i="3"/>
  <c r="AK445" i="3"/>
  <c r="AK446" i="3"/>
  <c r="AK447" i="3"/>
  <c r="AK450" i="3"/>
  <c r="AK451" i="3"/>
  <c r="AK452" i="3"/>
  <c r="AK453" i="3"/>
  <c r="AK455" i="3"/>
  <c r="AK458" i="3"/>
  <c r="AK460" i="3"/>
  <c r="AK461" i="3"/>
  <c r="AK462" i="3"/>
  <c r="AK463" i="3"/>
  <c r="AK466" i="3"/>
  <c r="AK467" i="3"/>
  <c r="AK468" i="3"/>
  <c r="AK469" i="3"/>
  <c r="AK470" i="3"/>
  <c r="AK471" i="3"/>
  <c r="AO471" i="3" s="1"/>
  <c r="AK474" i="3"/>
  <c r="AK475" i="3"/>
  <c r="AK476" i="3"/>
  <c r="AK477" i="3"/>
  <c r="AK478" i="3"/>
  <c r="AK479" i="3"/>
  <c r="AK482" i="3"/>
  <c r="AK483" i="3"/>
  <c r="AK484" i="3"/>
  <c r="AK485" i="3"/>
  <c r="AK487" i="3"/>
  <c r="AK490" i="3"/>
  <c r="AO490" i="3" s="1"/>
  <c r="AK492" i="3"/>
  <c r="AK493" i="3"/>
  <c r="AK494" i="3"/>
  <c r="AK495" i="3"/>
  <c r="AK498" i="3"/>
  <c r="AK499" i="3"/>
  <c r="AK500" i="3"/>
  <c r="AO500" i="3" s="1"/>
  <c r="AK501" i="3"/>
  <c r="AK502" i="3"/>
  <c r="AK503" i="3"/>
  <c r="AK506" i="3"/>
  <c r="AK507" i="3"/>
  <c r="AK508" i="3"/>
  <c r="AK509" i="3"/>
  <c r="AK510" i="3"/>
  <c r="AK511" i="3"/>
  <c r="AK514" i="3"/>
  <c r="AO514" i="3" s="1"/>
  <c r="AK515" i="3"/>
  <c r="AK516" i="3"/>
  <c r="AK517" i="3"/>
  <c r="AK519" i="3"/>
  <c r="AK522" i="3"/>
  <c r="AO522" i="3" s="1"/>
  <c r="AK524" i="3"/>
  <c r="AK525" i="3"/>
  <c r="AK526" i="3"/>
  <c r="AK527" i="3"/>
  <c r="AK530" i="3"/>
  <c r="AK531" i="3"/>
  <c r="AK532" i="3"/>
  <c r="AK533" i="3"/>
  <c r="AK534" i="3"/>
  <c r="AO534" i="3" s="1"/>
  <c r="AK535" i="3"/>
  <c r="AO535" i="3" s="1"/>
  <c r="AK538" i="3"/>
  <c r="AK539" i="3"/>
  <c r="AK540" i="3"/>
  <c r="AK541" i="3"/>
  <c r="AK542" i="3"/>
  <c r="AO542" i="3" s="1"/>
  <c r="AK543" i="3"/>
  <c r="AK546" i="3"/>
  <c r="AK547" i="3"/>
  <c r="AK548" i="3"/>
  <c r="AK549" i="3"/>
  <c r="AK551" i="3"/>
  <c r="AO551" i="3" s="1"/>
  <c r="AK554" i="3"/>
  <c r="AK556" i="3"/>
  <c r="AK557" i="3"/>
  <c r="AK558" i="3"/>
  <c r="AK559" i="3"/>
  <c r="AK562" i="3"/>
  <c r="AK563" i="3"/>
  <c r="AK564" i="3"/>
  <c r="AK565" i="3"/>
  <c r="AK566" i="3"/>
  <c r="AK567" i="3"/>
  <c r="AK570" i="3"/>
  <c r="AK571" i="3"/>
  <c r="AK572" i="3"/>
  <c r="AK573" i="3"/>
  <c r="AK574" i="3"/>
  <c r="AO574" i="3" s="1"/>
  <c r="AK575" i="3"/>
  <c r="AK578" i="3"/>
  <c r="AO578" i="3" s="1"/>
  <c r="AK579" i="3"/>
  <c r="AK580" i="3"/>
  <c r="AK581" i="3"/>
  <c r="AK583" i="3"/>
  <c r="AK586" i="3"/>
  <c r="AK588" i="3"/>
  <c r="AK589" i="3"/>
  <c r="AK590" i="3"/>
  <c r="AK591" i="3"/>
  <c r="AK594" i="3"/>
  <c r="AK595" i="3"/>
  <c r="AK596" i="3"/>
  <c r="AK597" i="3"/>
  <c r="AK598" i="3"/>
  <c r="AO598" i="3" s="1"/>
  <c r="AK599" i="3"/>
  <c r="AK602" i="3"/>
  <c r="AK603" i="3"/>
  <c r="AK604" i="3"/>
  <c r="AK605" i="3"/>
  <c r="AK606" i="3"/>
  <c r="AK607" i="3"/>
  <c r="AK610" i="3"/>
  <c r="AO610" i="3" s="1"/>
  <c r="AK611" i="3"/>
  <c r="AK612" i="3"/>
  <c r="AK613" i="3"/>
  <c r="AK615" i="3"/>
  <c r="AK618" i="3"/>
  <c r="AK620" i="3"/>
  <c r="AO620" i="3" s="1"/>
  <c r="AK621" i="3"/>
  <c r="AK622" i="3"/>
  <c r="AK623" i="3"/>
  <c r="AK626" i="3"/>
  <c r="AK627" i="3"/>
  <c r="AK628" i="3"/>
  <c r="AK629" i="3"/>
  <c r="AK630" i="3"/>
  <c r="AO630" i="3" s="1"/>
  <c r="AK631" i="3"/>
  <c r="AK2" i="3"/>
  <c r="AL5" i="3"/>
  <c r="AO5" i="3" s="1"/>
  <c r="AL13" i="3"/>
  <c r="AO13" i="3" s="1"/>
  <c r="AL21" i="3"/>
  <c r="AO21" i="3" s="1"/>
  <c r="AL24" i="3"/>
  <c r="AL56" i="3"/>
  <c r="AL61" i="3"/>
  <c r="AL69" i="3"/>
  <c r="AL77" i="3"/>
  <c r="AL85" i="3"/>
  <c r="AL93" i="3"/>
  <c r="AL96" i="3"/>
  <c r="AL101" i="3"/>
  <c r="AL117" i="3"/>
  <c r="AL144" i="3"/>
  <c r="AL152" i="3"/>
  <c r="AL165" i="3"/>
  <c r="AL181" i="3"/>
  <c r="AL205" i="3"/>
  <c r="AL208" i="3"/>
  <c r="AL229" i="3"/>
  <c r="AL245" i="3"/>
  <c r="AL261" i="3"/>
  <c r="AL272" i="3"/>
  <c r="AL280" i="3"/>
  <c r="AL293" i="3"/>
  <c r="AL309" i="3"/>
  <c r="AL336" i="3"/>
  <c r="AL344" i="3"/>
  <c r="AL349" i="3"/>
  <c r="AL357" i="3"/>
  <c r="AL373" i="3"/>
  <c r="AL381" i="3"/>
  <c r="AL400" i="3"/>
  <c r="AL405" i="3"/>
  <c r="AL408" i="3"/>
  <c r="AL421" i="3"/>
  <c r="AL437" i="3"/>
  <c r="AL461" i="3"/>
  <c r="AL464" i="3"/>
  <c r="AL469" i="3"/>
  <c r="AL472" i="3"/>
  <c r="AL477" i="3"/>
  <c r="AL485" i="3"/>
  <c r="AL501" i="3"/>
  <c r="AL517" i="3"/>
  <c r="AL525" i="3"/>
  <c r="AL528" i="3"/>
  <c r="AL533" i="3"/>
  <c r="AL536" i="3"/>
  <c r="AL541" i="3"/>
  <c r="AL565" i="3"/>
  <c r="AL581" i="3"/>
  <c r="AL589" i="3"/>
  <c r="AL592" i="3"/>
  <c r="AL600" i="3"/>
  <c r="AL605" i="3"/>
  <c r="AL621" i="3"/>
  <c r="AL629" i="3"/>
  <c r="AL3" i="3"/>
  <c r="AL7" i="3"/>
  <c r="AL10" i="3"/>
  <c r="AL11" i="3"/>
  <c r="AL15" i="3"/>
  <c r="AL18" i="3"/>
  <c r="AO18" i="3" s="1"/>
  <c r="AL19" i="3"/>
  <c r="AO19" i="3" s="1"/>
  <c r="AL23" i="3"/>
  <c r="AL26" i="3"/>
  <c r="AO26" i="3" s="1"/>
  <c r="AL27" i="3"/>
  <c r="AO27" i="3" s="1"/>
  <c r="AL31" i="3"/>
  <c r="AL35" i="3"/>
  <c r="AO35" i="3" s="1"/>
  <c r="AL39" i="3"/>
  <c r="AL42" i="3"/>
  <c r="AO42" i="3" s="1"/>
  <c r="AL43" i="3"/>
  <c r="AL47" i="3"/>
  <c r="AL50" i="3"/>
  <c r="AL51" i="3"/>
  <c r="AO51" i="3" s="1"/>
  <c r="AL55" i="3"/>
  <c r="AL58" i="3"/>
  <c r="AO58" i="3" s="1"/>
  <c r="AL59" i="3"/>
  <c r="AO59" i="3" s="1"/>
  <c r="AL66" i="3"/>
  <c r="AL67" i="3"/>
  <c r="AL71" i="3"/>
  <c r="AL74" i="3"/>
  <c r="AO74" i="3" s="1"/>
  <c r="AL75" i="3"/>
  <c r="AL79" i="3"/>
  <c r="AL87" i="3"/>
  <c r="AL90" i="3"/>
  <c r="AO90" i="3" s="1"/>
  <c r="AL91" i="3"/>
  <c r="AO91" i="3" s="1"/>
  <c r="AL95" i="3"/>
  <c r="AL98" i="3"/>
  <c r="AL99" i="3"/>
  <c r="AO99" i="3" s="1"/>
  <c r="AL103" i="3"/>
  <c r="AL106" i="3"/>
  <c r="AL107" i="3"/>
  <c r="AL111" i="3"/>
  <c r="AL114" i="3"/>
  <c r="AL119" i="3"/>
  <c r="AL122" i="3"/>
  <c r="AL123" i="3"/>
  <c r="AO123" i="3" s="1"/>
  <c r="AL127" i="3"/>
  <c r="AL130" i="3"/>
  <c r="AL131" i="3"/>
  <c r="AO131" i="3" s="1"/>
  <c r="AL135" i="3"/>
  <c r="AL138" i="3"/>
  <c r="AO138" i="3" s="1"/>
  <c r="AL139" i="3"/>
  <c r="AL146" i="3"/>
  <c r="AL147" i="3"/>
  <c r="AO147" i="3" s="1"/>
  <c r="AL151" i="3"/>
  <c r="AL154" i="3"/>
  <c r="AL155" i="3"/>
  <c r="AO155" i="3" s="1"/>
  <c r="AL159" i="3"/>
  <c r="AL162" i="3"/>
  <c r="AL163" i="3"/>
  <c r="AL167" i="3"/>
  <c r="AL170" i="3"/>
  <c r="AO170" i="3" s="1"/>
  <c r="AL171" i="3"/>
  <c r="AL175" i="3"/>
  <c r="AL178" i="3"/>
  <c r="AL179" i="3"/>
  <c r="AO179" i="3" s="1"/>
  <c r="AL183" i="3"/>
  <c r="AL186" i="3"/>
  <c r="AO186" i="3" s="1"/>
  <c r="AL187" i="3"/>
  <c r="AL191" i="3"/>
  <c r="AL195" i="3"/>
  <c r="AO195" i="3" s="1"/>
  <c r="AL199" i="3"/>
  <c r="AL202" i="3"/>
  <c r="AO202" i="3" s="1"/>
  <c r="AL203" i="3"/>
  <c r="AL207" i="3"/>
  <c r="AL210" i="3"/>
  <c r="AL211" i="3"/>
  <c r="AL215" i="3"/>
  <c r="AL218" i="3"/>
  <c r="AO218" i="3" s="1"/>
  <c r="AL219" i="3"/>
  <c r="AL223" i="3"/>
  <c r="AL226" i="3"/>
  <c r="AL231" i="3"/>
  <c r="AL234" i="3"/>
  <c r="AO234" i="3" s="1"/>
  <c r="AL235" i="3"/>
  <c r="AL239" i="3"/>
  <c r="AL242" i="3"/>
  <c r="AL243" i="3"/>
  <c r="AO243" i="3" s="1"/>
  <c r="AL247" i="3"/>
  <c r="AL250" i="3"/>
  <c r="AL251" i="3"/>
  <c r="AL255" i="3"/>
  <c r="AL259" i="3"/>
  <c r="AL263" i="3"/>
  <c r="AL266" i="3"/>
  <c r="AO266" i="3" s="1"/>
  <c r="AL267" i="3"/>
  <c r="AL271" i="3"/>
  <c r="AL274" i="3"/>
  <c r="AL275" i="3"/>
  <c r="AO275" i="3" s="1"/>
  <c r="AL279" i="3"/>
  <c r="AL282" i="3"/>
  <c r="AL283" i="3"/>
  <c r="AO283" i="3" s="1"/>
  <c r="AL287" i="3"/>
  <c r="AL290" i="3"/>
  <c r="AL291" i="3"/>
  <c r="AO291" i="3" s="1"/>
  <c r="AL295" i="3"/>
  <c r="AL298" i="3"/>
  <c r="AL299" i="3"/>
  <c r="AL303" i="3"/>
  <c r="AL306" i="3"/>
  <c r="AL307" i="3"/>
  <c r="AO307" i="3" s="1"/>
  <c r="AL311" i="3"/>
  <c r="AL314" i="3"/>
  <c r="AL315" i="3"/>
  <c r="AO315" i="3" s="1"/>
  <c r="AL319" i="3"/>
  <c r="AL322" i="3"/>
  <c r="AL323" i="3"/>
  <c r="AL327" i="3"/>
  <c r="AL330" i="3"/>
  <c r="AL331" i="3"/>
  <c r="AL338" i="3"/>
  <c r="AL339" i="3"/>
  <c r="AO339" i="3" s="1"/>
  <c r="AL343" i="3"/>
  <c r="AL346" i="3"/>
  <c r="AL347" i="3"/>
  <c r="AL351" i="3"/>
  <c r="AL354" i="3"/>
  <c r="AL355" i="3"/>
  <c r="AL359" i="3"/>
  <c r="AL362" i="3"/>
  <c r="AL363" i="3"/>
  <c r="AL367" i="3"/>
  <c r="AL370" i="3"/>
  <c r="AL375" i="3"/>
  <c r="AL378" i="3"/>
  <c r="AL379" i="3"/>
  <c r="AL383" i="3"/>
  <c r="AL386" i="3"/>
  <c r="AL387" i="3"/>
  <c r="AO387" i="3" s="1"/>
  <c r="AL391" i="3"/>
  <c r="AL394" i="3"/>
  <c r="AL395" i="3"/>
  <c r="AL402" i="3"/>
  <c r="AL403" i="3"/>
  <c r="AL407" i="3"/>
  <c r="AL410" i="3"/>
  <c r="AL411" i="3"/>
  <c r="AO411" i="3" s="1"/>
  <c r="AL415" i="3"/>
  <c r="AL418" i="3"/>
  <c r="AL419" i="3"/>
  <c r="AL423" i="3"/>
  <c r="AL426" i="3"/>
  <c r="AL427" i="3"/>
  <c r="AL431" i="3"/>
  <c r="AL434" i="3"/>
  <c r="AL435" i="3"/>
  <c r="AO435" i="3" s="1"/>
  <c r="AL439" i="3"/>
  <c r="AL442" i="3"/>
  <c r="AL443" i="3"/>
  <c r="AO443" i="3" s="1"/>
  <c r="AL447" i="3"/>
  <c r="AL451" i="3"/>
  <c r="AO451" i="3" s="1"/>
  <c r="AL455" i="3"/>
  <c r="AL458" i="3"/>
  <c r="AL459" i="3"/>
  <c r="AL466" i="3"/>
  <c r="AL467" i="3"/>
  <c r="AO467" i="3" s="1"/>
  <c r="AL471" i="3"/>
  <c r="AL474" i="3"/>
  <c r="AL479" i="3"/>
  <c r="AL482" i="3"/>
  <c r="AL483" i="3"/>
  <c r="AO483" i="3" s="1"/>
  <c r="AL487" i="3"/>
  <c r="AL490" i="3"/>
  <c r="AL491" i="3"/>
  <c r="AL495" i="3"/>
  <c r="AL499" i="3"/>
  <c r="AL503" i="3"/>
  <c r="AL506" i="3"/>
  <c r="AL507" i="3"/>
  <c r="AO507" i="3" s="1"/>
  <c r="AL511" i="3"/>
  <c r="AL515" i="3"/>
  <c r="AL518" i="3"/>
  <c r="AL519" i="3"/>
  <c r="AL522" i="3"/>
  <c r="AL523" i="3"/>
  <c r="AL526" i="3"/>
  <c r="AL527" i="3"/>
  <c r="AL530" i="3"/>
  <c r="AL531" i="3"/>
  <c r="AL534" i="3"/>
  <c r="AL535" i="3"/>
  <c r="AL542" i="3"/>
  <c r="AL543" i="3"/>
  <c r="AL546" i="3"/>
  <c r="AL547" i="3"/>
  <c r="AL550" i="3"/>
  <c r="AL551" i="3"/>
  <c r="AL554" i="3"/>
  <c r="AL555" i="3"/>
  <c r="AL558" i="3"/>
  <c r="AL559" i="3"/>
  <c r="AL562" i="3"/>
  <c r="AL563" i="3"/>
  <c r="AO563" i="3" s="1"/>
  <c r="AL566" i="3"/>
  <c r="AL567" i="3"/>
  <c r="AL570" i="3"/>
  <c r="AL571" i="3"/>
  <c r="AO571" i="3" s="1"/>
  <c r="AL574" i="3"/>
  <c r="AL575" i="3"/>
  <c r="AL579" i="3"/>
  <c r="AO579" i="3" s="1"/>
  <c r="AL582" i="3"/>
  <c r="AL586" i="3"/>
  <c r="AL590" i="3"/>
  <c r="AL594" i="3"/>
  <c r="AL595" i="3"/>
  <c r="AO595" i="3" s="1"/>
  <c r="AL598" i="3"/>
  <c r="AL606" i="3"/>
  <c r="AL607" i="3"/>
  <c r="AL610" i="3"/>
  <c r="AL611" i="3"/>
  <c r="AL614" i="3"/>
  <c r="AL615" i="3"/>
  <c r="AL619" i="3"/>
  <c r="AL622" i="3"/>
  <c r="AL623" i="3"/>
  <c r="AL626" i="3"/>
  <c r="AL630" i="3"/>
  <c r="AL631" i="3"/>
  <c r="AL4" i="3"/>
  <c r="AL12" i="3"/>
  <c r="AL20" i="3"/>
  <c r="AL28" i="3"/>
  <c r="AL29" i="3"/>
  <c r="AO29" i="3" s="1"/>
  <c r="AL34" i="3"/>
  <c r="AO34" i="3" s="1"/>
  <c r="AL36" i="3"/>
  <c r="AL37" i="3"/>
  <c r="AO37" i="3" s="1"/>
  <c r="AL44" i="3"/>
  <c r="AL45" i="3"/>
  <c r="AL52" i="3"/>
  <c r="AL53" i="3"/>
  <c r="AL60" i="3"/>
  <c r="AL63" i="3"/>
  <c r="AL64" i="3"/>
  <c r="AL68" i="3"/>
  <c r="AL76" i="3"/>
  <c r="AL82" i="3"/>
  <c r="AL83" i="3"/>
  <c r="AO83" i="3" s="1"/>
  <c r="AL84" i="3"/>
  <c r="AL92" i="3"/>
  <c r="AL100" i="3"/>
  <c r="AL108" i="3"/>
  <c r="AL109" i="3"/>
  <c r="AL115" i="3"/>
  <c r="AO115" i="3" s="1"/>
  <c r="AL116" i="3"/>
  <c r="AL124" i="3"/>
  <c r="AL125" i="3"/>
  <c r="AL132" i="3"/>
  <c r="AL133" i="3"/>
  <c r="AL140" i="3"/>
  <c r="AL141" i="3"/>
  <c r="AL143" i="3"/>
  <c r="AL148" i="3"/>
  <c r="AL149" i="3"/>
  <c r="AL156" i="3"/>
  <c r="AL157" i="3"/>
  <c r="AL164" i="3"/>
  <c r="AL172" i="3"/>
  <c r="AL173" i="3"/>
  <c r="AL180" i="3"/>
  <c r="AL188" i="3"/>
  <c r="AL189" i="3"/>
  <c r="AL194" i="3"/>
  <c r="AL196" i="3"/>
  <c r="AL197" i="3"/>
  <c r="AL204" i="3"/>
  <c r="AL212" i="3"/>
  <c r="AL213" i="3"/>
  <c r="AL220" i="3"/>
  <c r="AL221" i="3"/>
  <c r="AL227" i="3"/>
  <c r="AL228" i="3"/>
  <c r="AL236" i="3"/>
  <c r="AL237" i="3"/>
  <c r="AL244" i="3"/>
  <c r="AL252" i="3"/>
  <c r="AL253" i="3"/>
  <c r="AL258" i="3"/>
  <c r="AL260" i="3"/>
  <c r="AL268" i="3"/>
  <c r="AL269" i="3"/>
  <c r="AL276" i="3"/>
  <c r="AL277" i="3"/>
  <c r="AL284" i="3"/>
  <c r="AL285" i="3"/>
  <c r="AL292" i="3"/>
  <c r="AL300" i="3"/>
  <c r="AL301" i="3"/>
  <c r="AL308" i="3"/>
  <c r="AL316" i="3"/>
  <c r="AL317" i="3"/>
  <c r="AL324" i="3"/>
  <c r="AL325" i="3"/>
  <c r="AL332" i="3"/>
  <c r="AL333" i="3"/>
  <c r="AL335" i="3"/>
  <c r="AL340" i="3"/>
  <c r="AL341" i="3"/>
  <c r="AL348" i="3"/>
  <c r="AL356" i="3"/>
  <c r="AL364" i="3"/>
  <c r="AL365" i="3"/>
  <c r="AL371" i="3"/>
  <c r="AO371" i="3" s="1"/>
  <c r="AL372" i="3"/>
  <c r="AL380" i="3"/>
  <c r="AL388" i="3"/>
  <c r="AL389" i="3"/>
  <c r="AL396" i="3"/>
  <c r="AL397" i="3"/>
  <c r="AL399" i="3"/>
  <c r="AL404" i="3"/>
  <c r="AL412" i="3"/>
  <c r="AL413" i="3"/>
  <c r="AL420" i="3"/>
  <c r="AL428" i="3"/>
  <c r="AL429" i="3"/>
  <c r="AL436" i="3"/>
  <c r="AL444" i="3"/>
  <c r="AL445" i="3"/>
  <c r="AL450" i="3"/>
  <c r="AL452" i="3"/>
  <c r="AL453" i="3"/>
  <c r="AL460" i="3"/>
  <c r="AL463" i="3"/>
  <c r="AL468" i="3"/>
  <c r="AL475" i="3"/>
  <c r="AO475" i="3" s="1"/>
  <c r="AL476" i="3"/>
  <c r="AL484" i="3"/>
  <c r="AL492" i="3"/>
  <c r="AL493" i="3"/>
  <c r="AL498" i="3"/>
  <c r="AL500" i="3"/>
  <c r="AL508" i="3"/>
  <c r="AL509" i="3"/>
  <c r="AL514" i="3"/>
  <c r="AL516" i="3"/>
  <c r="AL524" i="3"/>
  <c r="AL532" i="3"/>
  <c r="AL538" i="3"/>
  <c r="AL539" i="3"/>
  <c r="AL540" i="3"/>
  <c r="AL548" i="3"/>
  <c r="AL549" i="3"/>
  <c r="AL556" i="3"/>
  <c r="AL557" i="3"/>
  <c r="AL564" i="3"/>
  <c r="AL572" i="3"/>
  <c r="AL573" i="3"/>
  <c r="AL578" i="3"/>
  <c r="AL580" i="3"/>
  <c r="AL583" i="3"/>
  <c r="AL587" i="3"/>
  <c r="AL588" i="3"/>
  <c r="AL591" i="3"/>
  <c r="AL596" i="3"/>
  <c r="AL597" i="3"/>
  <c r="AL599" i="3"/>
  <c r="AL602" i="3"/>
  <c r="AL603" i="3"/>
  <c r="AL604" i="3"/>
  <c r="AL612" i="3"/>
  <c r="AL613" i="3"/>
  <c r="AL618" i="3"/>
  <c r="AL620" i="3"/>
  <c r="AL627" i="3"/>
  <c r="AL628" i="3"/>
  <c r="AL2" i="3"/>
  <c r="D22" i="3"/>
  <c r="E22" i="3" s="1"/>
  <c r="C22" i="3"/>
  <c r="G22" i="3"/>
  <c r="H22" i="3"/>
  <c r="I22" i="3" s="1"/>
  <c r="J22" i="3"/>
  <c r="AC22" i="3"/>
  <c r="AF22" i="3"/>
  <c r="AM22" i="3"/>
  <c r="C23" i="3"/>
  <c r="D23" i="3"/>
  <c r="E23" i="3" s="1"/>
  <c r="G23" i="3"/>
  <c r="H23" i="3"/>
  <c r="J23" i="3"/>
  <c r="K23" i="3" s="1"/>
  <c r="AC23" i="3"/>
  <c r="AF23" i="3"/>
  <c r="AM23" i="3"/>
  <c r="C24" i="3"/>
  <c r="D24" i="3"/>
  <c r="E24" i="3" s="1"/>
  <c r="G24" i="3"/>
  <c r="H24" i="3"/>
  <c r="J24" i="3"/>
  <c r="K24" i="3" s="1"/>
  <c r="AC24" i="3"/>
  <c r="AF24" i="3"/>
  <c r="AM24" i="3"/>
  <c r="C25" i="3"/>
  <c r="D25" i="3"/>
  <c r="E25" i="3" s="1"/>
  <c r="G25" i="3"/>
  <c r="H25" i="3"/>
  <c r="J25" i="3"/>
  <c r="K25" i="3" s="1"/>
  <c r="AC25" i="3"/>
  <c r="AF25" i="3"/>
  <c r="AM25" i="3"/>
  <c r="C26" i="3"/>
  <c r="D26" i="3"/>
  <c r="E26" i="3" s="1"/>
  <c r="G26" i="3"/>
  <c r="H26" i="3"/>
  <c r="J26" i="3"/>
  <c r="N26" i="3" s="1"/>
  <c r="AC26" i="3"/>
  <c r="AF26" i="3"/>
  <c r="AM26" i="3"/>
  <c r="AN26" i="3" s="1"/>
  <c r="C27" i="3"/>
  <c r="D27" i="3"/>
  <c r="E27" i="3" s="1"/>
  <c r="G27" i="3"/>
  <c r="H27" i="3"/>
  <c r="J27" i="3"/>
  <c r="N27" i="3" s="1"/>
  <c r="AC27" i="3"/>
  <c r="AF27" i="3"/>
  <c r="AM27" i="3"/>
  <c r="C28" i="3"/>
  <c r="D28" i="3"/>
  <c r="E28" i="3" s="1"/>
  <c r="G28" i="3"/>
  <c r="H28" i="3"/>
  <c r="J28" i="3"/>
  <c r="K28" i="3" s="1"/>
  <c r="AC28" i="3"/>
  <c r="AF28" i="3"/>
  <c r="AM28" i="3"/>
  <c r="C29" i="3"/>
  <c r="D29" i="3"/>
  <c r="E29" i="3" s="1"/>
  <c r="G29" i="3"/>
  <c r="H29" i="3"/>
  <c r="J29" i="3"/>
  <c r="K29" i="3" s="1"/>
  <c r="AC29" i="3"/>
  <c r="AF29" i="3"/>
  <c r="AM29" i="3"/>
  <c r="C30" i="3"/>
  <c r="D30" i="3"/>
  <c r="E30" i="3" s="1"/>
  <c r="G30" i="3"/>
  <c r="H30" i="3"/>
  <c r="J30" i="3"/>
  <c r="K30" i="3" s="1"/>
  <c r="AC30" i="3"/>
  <c r="AF30" i="3"/>
  <c r="AM30" i="3"/>
  <c r="C31" i="3"/>
  <c r="D31" i="3"/>
  <c r="E31" i="3" s="1"/>
  <c r="G31" i="3"/>
  <c r="H31" i="3"/>
  <c r="J31" i="3"/>
  <c r="K31" i="3" s="1"/>
  <c r="AC31" i="3"/>
  <c r="AF31" i="3"/>
  <c r="AM31" i="3"/>
  <c r="C32" i="3"/>
  <c r="D32" i="3"/>
  <c r="E32" i="3" s="1"/>
  <c r="G32" i="3"/>
  <c r="H32" i="3"/>
  <c r="J32" i="3"/>
  <c r="K32" i="3" s="1"/>
  <c r="AC32" i="3"/>
  <c r="AF32" i="3"/>
  <c r="AM32" i="3"/>
  <c r="C33" i="3"/>
  <c r="I33" i="3" s="1"/>
  <c r="D33" i="3"/>
  <c r="E33" i="3" s="1"/>
  <c r="G33" i="3"/>
  <c r="H33" i="3"/>
  <c r="J33" i="3"/>
  <c r="K33" i="3" s="1"/>
  <c r="AC33" i="3"/>
  <c r="AF33" i="3"/>
  <c r="AM33" i="3"/>
  <c r="AN33" i="3" s="1"/>
  <c r="C34" i="3"/>
  <c r="I34" i="3" s="1"/>
  <c r="D34" i="3"/>
  <c r="E34" i="3" s="1"/>
  <c r="G34" i="3"/>
  <c r="H34" i="3"/>
  <c r="J34" i="3"/>
  <c r="N34" i="3" s="1"/>
  <c r="AC34" i="3"/>
  <c r="AF34" i="3"/>
  <c r="AM34" i="3"/>
  <c r="C35" i="3"/>
  <c r="D35" i="3"/>
  <c r="E35" i="3" s="1"/>
  <c r="G35" i="3"/>
  <c r="H35" i="3"/>
  <c r="J35" i="3"/>
  <c r="N35" i="3" s="1"/>
  <c r="AC35" i="3"/>
  <c r="AF35" i="3"/>
  <c r="AM35" i="3"/>
  <c r="AN35" i="3" s="1"/>
  <c r="C36" i="3"/>
  <c r="D36" i="3"/>
  <c r="E36" i="3" s="1"/>
  <c r="G36" i="3"/>
  <c r="H36" i="3"/>
  <c r="J36" i="3"/>
  <c r="K36" i="3" s="1"/>
  <c r="N36" i="3"/>
  <c r="AC36" i="3"/>
  <c r="AF36" i="3"/>
  <c r="AM36" i="3"/>
  <c r="C37" i="3"/>
  <c r="D37" i="3"/>
  <c r="E37" i="3" s="1"/>
  <c r="G37" i="3"/>
  <c r="H37" i="3"/>
  <c r="J37" i="3"/>
  <c r="K37" i="3" s="1"/>
  <c r="AC37" i="3"/>
  <c r="AF37" i="3"/>
  <c r="AM37" i="3"/>
  <c r="C38" i="3"/>
  <c r="D38" i="3"/>
  <c r="E38" i="3" s="1"/>
  <c r="G38" i="3"/>
  <c r="H38" i="3"/>
  <c r="J38" i="3"/>
  <c r="K38" i="3" s="1"/>
  <c r="AC38" i="3"/>
  <c r="AF38" i="3"/>
  <c r="AM38" i="3"/>
  <c r="C39" i="3"/>
  <c r="D39" i="3"/>
  <c r="E39" i="3" s="1"/>
  <c r="G39" i="3"/>
  <c r="H39" i="3"/>
  <c r="J39" i="3"/>
  <c r="K39" i="3" s="1"/>
  <c r="AC39" i="3"/>
  <c r="AF39" i="3"/>
  <c r="AM39" i="3"/>
  <c r="C40" i="3"/>
  <c r="D40" i="3"/>
  <c r="E40" i="3" s="1"/>
  <c r="G40" i="3"/>
  <c r="H40" i="3"/>
  <c r="J40" i="3"/>
  <c r="K40" i="3" s="1"/>
  <c r="AC40" i="3"/>
  <c r="AF40" i="3"/>
  <c r="AM40" i="3"/>
  <c r="C41" i="3"/>
  <c r="D41" i="3"/>
  <c r="E41" i="3" s="1"/>
  <c r="G41" i="3"/>
  <c r="H41" i="3"/>
  <c r="J41" i="3"/>
  <c r="N41" i="3" s="1"/>
  <c r="AC41" i="3"/>
  <c r="AF41" i="3"/>
  <c r="AM41" i="3"/>
  <c r="A17" i="8" a="1"/>
  <c r="B24" i="8" s="1"/>
  <c r="G109" i="3"/>
  <c r="B3" i="4"/>
  <c r="B2" i="4"/>
  <c r="AF105" i="3"/>
  <c r="AF467" i="3"/>
  <c r="AF17" i="3"/>
  <c r="AF451" i="3"/>
  <c r="AF543" i="3"/>
  <c r="AF86" i="3"/>
  <c r="AF452" i="3"/>
  <c r="AF357" i="3"/>
  <c r="AF564" i="3"/>
  <c r="AF486" i="3"/>
  <c r="AF203" i="3"/>
  <c r="AF405" i="3"/>
  <c r="AF527" i="3"/>
  <c r="AF276" i="3"/>
  <c r="AF285" i="3"/>
  <c r="AF481" i="3"/>
  <c r="AF207" i="3"/>
  <c r="AF381" i="3"/>
  <c r="AF209" i="3"/>
  <c r="AF576" i="3"/>
  <c r="AF516" i="3"/>
  <c r="AF510" i="3"/>
  <c r="AF475" i="3"/>
  <c r="AF473" i="3"/>
  <c r="AF462" i="3"/>
  <c r="AF132" i="3"/>
  <c r="AF606" i="3"/>
  <c r="AF100" i="3"/>
  <c r="AF210" i="3"/>
  <c r="AF582" i="3"/>
  <c r="AF362" i="3"/>
  <c r="AF239" i="3"/>
  <c r="AF247" i="3"/>
  <c r="AF162" i="3"/>
  <c r="AF534" i="3"/>
  <c r="AF522" i="3"/>
  <c r="AF72" i="3"/>
  <c r="AF577" i="3"/>
  <c r="AF204" i="3"/>
  <c r="AF250" i="3"/>
  <c r="AF14" i="3"/>
  <c r="AF55" i="3"/>
  <c r="AF476" i="3"/>
  <c r="AF215" i="3"/>
  <c r="AF49" i="3"/>
  <c r="AF158" i="3"/>
  <c r="AF227" i="3"/>
  <c r="AF392" i="3"/>
  <c r="AF519" i="3"/>
  <c r="AF363" i="3"/>
  <c r="AF551" i="3"/>
  <c r="AF505" i="3"/>
  <c r="AF77" i="3"/>
  <c r="AF531" i="3"/>
  <c r="AF286" i="3"/>
  <c r="AF617" i="3"/>
  <c r="AF18" i="3"/>
  <c r="AF45" i="3"/>
  <c r="AF353" i="3"/>
  <c r="AF511" i="3"/>
  <c r="AF302" i="3"/>
  <c r="AF199" i="3"/>
  <c r="AF488" i="3"/>
  <c r="AF523" i="3"/>
  <c r="AF106" i="3"/>
  <c r="AF492" i="3"/>
  <c r="AF391" i="3"/>
  <c r="AF60" i="3"/>
  <c r="AF565" i="3"/>
  <c r="AF47" i="3"/>
  <c r="AF69" i="3"/>
  <c r="AF236" i="3"/>
  <c r="AF310" i="3"/>
  <c r="AF15" i="3"/>
  <c r="AF109" i="3"/>
  <c r="AF50" i="3"/>
  <c r="AF591" i="3"/>
  <c r="AF578" i="3"/>
  <c r="AF51" i="3"/>
  <c r="AF555" i="3"/>
  <c r="AF306" i="3"/>
  <c r="AF454" i="3"/>
  <c r="AF165" i="3"/>
  <c r="AF229" i="3"/>
  <c r="AF154" i="3"/>
  <c r="AF61" i="3"/>
  <c r="AF73" i="3"/>
  <c r="AF251" i="3"/>
  <c r="AF248" i="3"/>
  <c r="AF463" i="3"/>
  <c r="AF20" i="3"/>
  <c r="AF155" i="3"/>
  <c r="AF2" i="3"/>
  <c r="AF237" i="3"/>
  <c r="AF438" i="3"/>
  <c r="AF96" i="3"/>
  <c r="AF364" i="3"/>
  <c r="AF97" i="3"/>
  <c r="AF175" i="3"/>
  <c r="AF124" i="3"/>
  <c r="AF9" i="3"/>
  <c r="AF544" i="3"/>
  <c r="AF399" i="3"/>
  <c r="AF259" i="3"/>
  <c r="AF298" i="3"/>
  <c r="AF74" i="3"/>
  <c r="AF540" i="3"/>
  <c r="AF532" i="3"/>
  <c r="AF101" i="3"/>
  <c r="AF371" i="3"/>
  <c r="AF166" i="3"/>
  <c r="AF382" i="3"/>
  <c r="AF186" i="3"/>
  <c r="AF126" i="3"/>
  <c r="AF418" i="3"/>
  <c r="AF506" i="3"/>
  <c r="AF291" i="3"/>
  <c r="AF64" i="3"/>
  <c r="AF349" i="3"/>
  <c r="AF125" i="3"/>
  <c r="AF164" i="3"/>
  <c r="AF319" i="3"/>
  <c r="AF65" i="3"/>
  <c r="AF410" i="3"/>
  <c r="AF623" i="3"/>
  <c r="AF524" i="3"/>
  <c r="AF419" i="3"/>
  <c r="AF120" i="3"/>
  <c r="AF184" i="3"/>
  <c r="AF354" i="3"/>
  <c r="AF200" i="3"/>
  <c r="AF114" i="3"/>
  <c r="AF252" i="3"/>
  <c r="AF231" i="3"/>
  <c r="AF557" i="3"/>
  <c r="AF468" i="3"/>
  <c r="AF173" i="3"/>
  <c r="AF328" i="3"/>
  <c r="AF238" i="3"/>
  <c r="AF277" i="3"/>
  <c r="AF507" i="3"/>
  <c r="AF141" i="3"/>
  <c r="AF62" i="3"/>
  <c r="AF56" i="3"/>
  <c r="AF21" i="3"/>
  <c r="AF320" i="3"/>
  <c r="AF228" i="3"/>
  <c r="AF268" i="3"/>
  <c r="AF393" i="3"/>
  <c r="AF428" i="3"/>
  <c r="AF459" i="3"/>
  <c r="AF287" i="3"/>
  <c r="AF87" i="3"/>
  <c r="AF493" i="3"/>
  <c r="AF81" i="3"/>
  <c r="AF432" i="3"/>
  <c r="AF75" i="3"/>
  <c r="AF374" i="3"/>
  <c r="AF136" i="3"/>
  <c r="AF447" i="3"/>
  <c r="AF426" i="3"/>
  <c r="AF82" i="3"/>
  <c r="AF220" i="3"/>
  <c r="AF338" i="3"/>
  <c r="AF167" i="3"/>
  <c r="AF263" i="3"/>
  <c r="AF448" i="3"/>
  <c r="AF614" i="3"/>
  <c r="AF63" i="3"/>
  <c r="AF346" i="3"/>
  <c r="AF566" i="3"/>
  <c r="AF449" i="3"/>
  <c r="AF477" i="3"/>
  <c r="AF376" i="3"/>
  <c r="AF579" i="3"/>
  <c r="AF607" i="3"/>
  <c r="AF343" i="3"/>
  <c r="AF403" i="3"/>
  <c r="AF292" i="3"/>
  <c r="AF294" i="3"/>
  <c r="AF255" i="3"/>
  <c r="AF406" i="3"/>
  <c r="AF146" i="3"/>
  <c r="AF90" i="3"/>
  <c r="AF224" i="3"/>
  <c r="AF315" i="3"/>
  <c r="AF299" i="3"/>
  <c r="AF450" i="3"/>
  <c r="AF188" i="3"/>
  <c r="AF594" i="3"/>
  <c r="AF429" i="3"/>
  <c r="AF440" i="3"/>
  <c r="AF102" i="3"/>
  <c r="AF121" i="3"/>
  <c r="AF324" i="3"/>
  <c r="AF609" i="3"/>
  <c r="AF400" i="3"/>
  <c r="AF433" i="3"/>
  <c r="AF455" i="3"/>
  <c r="AF494" i="3"/>
  <c r="AF545" i="3"/>
  <c r="AF445" i="3"/>
  <c r="AF176" i="3"/>
  <c r="AF599" i="3"/>
  <c r="AF339" i="3"/>
  <c r="AF195" i="3"/>
  <c r="AF216" i="3"/>
  <c r="AF350" i="3"/>
  <c r="AF421" i="3"/>
  <c r="AF330" i="3"/>
  <c r="AF422" i="3"/>
  <c r="AF181" i="3"/>
  <c r="AF603" i="3"/>
  <c r="AF560" i="3"/>
  <c r="AF613" i="3"/>
  <c r="AF70" i="3"/>
  <c r="AF260" i="3"/>
  <c r="AF133" i="3"/>
  <c r="AF574" i="3"/>
  <c r="AF618" i="3"/>
  <c r="AF293" i="3"/>
  <c r="AF83" i="3"/>
  <c r="AF273" i="3"/>
  <c r="AF142" i="3"/>
  <c r="AF567" i="3"/>
  <c r="AF115" i="3"/>
  <c r="AF624" i="3"/>
  <c r="AF245" i="3"/>
  <c r="AF479" i="3"/>
  <c r="AF331" i="3"/>
  <c r="AF159" i="3"/>
  <c r="AF281" i="3"/>
  <c r="AF552" i="3"/>
  <c r="AF147" i="3"/>
  <c r="AF604" i="3"/>
  <c r="AF625" i="3"/>
  <c r="AF601" i="3"/>
  <c r="AF191" i="3"/>
  <c r="AF436" i="3"/>
  <c r="AF521" i="3"/>
  <c r="AF583" i="3"/>
  <c r="AF211" i="3"/>
  <c r="AF197" i="3"/>
  <c r="AF122" i="3"/>
  <c r="AF347" i="3"/>
  <c r="AF282" i="3"/>
  <c r="AF483" i="3"/>
  <c r="AF443" i="3"/>
  <c r="AF464" i="3"/>
  <c r="AF344" i="3"/>
  <c r="AF295" i="3"/>
  <c r="AF498" i="3"/>
  <c r="AF608" i="3"/>
  <c r="AF546" i="3"/>
  <c r="AF205" i="3"/>
  <c r="AF444" i="3"/>
  <c r="AF541" i="3"/>
  <c r="AF369" i="3"/>
  <c r="AF561" i="3"/>
  <c r="AF107" i="3"/>
  <c r="AF214" i="3"/>
  <c r="AF307" i="3"/>
  <c r="AF76" i="3"/>
  <c r="AF91" i="3"/>
  <c r="AF525" i="3"/>
  <c r="AF84" i="3"/>
  <c r="AF562" i="3"/>
  <c r="AF411" i="3"/>
  <c r="AF256" i="3"/>
  <c r="AF430" i="3"/>
  <c r="AF423" i="3"/>
  <c r="AF278" i="3"/>
  <c r="AF129" i="3"/>
  <c r="AF373" i="3"/>
  <c r="AF512" i="3"/>
  <c r="AF619" i="3"/>
  <c r="AF325" i="3"/>
  <c r="AF465" i="3"/>
  <c r="AF358" i="3"/>
  <c r="AF589" i="3"/>
  <c r="AF414" i="3"/>
  <c r="AF85" i="3"/>
  <c r="AF610" i="3"/>
  <c r="AF375" i="3"/>
  <c r="AF348" i="3"/>
  <c r="AF321" i="3"/>
  <c r="AF415" i="3"/>
  <c r="AF456" i="3"/>
  <c r="AF489" i="3"/>
  <c r="AF103" i="3"/>
  <c r="AF365" i="3"/>
  <c r="AF345" i="3"/>
  <c r="AF484" i="3"/>
  <c r="AF11" i="3"/>
  <c r="AF480" i="3"/>
  <c r="AF503" i="3"/>
  <c r="AF457" i="3"/>
  <c r="AF257" i="3"/>
  <c r="AF269" i="3"/>
  <c r="AF6" i="3"/>
  <c r="AF549" i="3"/>
  <c r="AF386" i="3"/>
  <c r="AF615" i="3"/>
  <c r="AF152" i="3"/>
  <c r="AF535" i="3"/>
  <c r="AF407" i="3"/>
  <c r="AF153" i="3"/>
  <c r="AF156" i="3"/>
  <c r="AF110" i="3"/>
  <c r="AF217" i="3"/>
  <c r="AF177" i="3"/>
  <c r="AF514" i="3"/>
  <c r="AF558" i="3"/>
  <c r="AF575" i="3"/>
  <c r="AF168" i="3"/>
  <c r="AF629" i="3"/>
  <c r="AF412" i="3"/>
  <c r="AF179" i="3"/>
  <c r="AF332" i="3"/>
  <c r="AF394" i="3"/>
  <c r="AF288" i="3"/>
  <c r="AF434" i="3"/>
  <c r="AF351" i="3"/>
  <c r="AF416" i="3"/>
  <c r="AF398" i="3"/>
  <c r="AF420" i="3"/>
  <c r="AF487" i="3"/>
  <c r="AF116" i="3"/>
  <c r="AF137" i="3"/>
  <c r="AF130" i="3"/>
  <c r="AF240" i="3"/>
  <c r="AF612" i="3"/>
  <c r="AF192" i="3"/>
  <c r="AF631" i="3"/>
  <c r="AF568" i="3"/>
  <c r="AF469" i="3"/>
  <c r="AF279" i="3"/>
  <c r="AF221" i="3"/>
  <c r="AF533" i="3"/>
  <c r="AF595" i="3"/>
  <c r="AF311" i="3"/>
  <c r="AF304" i="3"/>
  <c r="AF3" i="3"/>
  <c r="AF626" i="3"/>
  <c r="AF180" i="3"/>
  <c r="AF261" i="3"/>
  <c r="AF230" i="3"/>
  <c r="AF226" i="3"/>
  <c r="AF379" i="3"/>
  <c r="AF499" i="3"/>
  <c r="AF396" i="3"/>
  <c r="AF458" i="3"/>
  <c r="AF112" i="3"/>
  <c r="AF333" i="3"/>
  <c r="AF542" i="3"/>
  <c r="AF66" i="3"/>
  <c r="AF134" i="3"/>
  <c r="AF536" i="3"/>
  <c r="AF390" i="3"/>
  <c r="AF178" i="3"/>
  <c r="AF274" i="3"/>
  <c r="AF334" i="3"/>
  <c r="AF119" i="3"/>
  <c r="AF264" i="3"/>
  <c r="AF529" i="3"/>
  <c r="AF316" i="3"/>
  <c r="AF78" i="3"/>
  <c r="AF453" i="3"/>
  <c r="AF232" i="3"/>
  <c r="AF241" i="3"/>
  <c r="AF584" i="3"/>
  <c r="AF52" i="3"/>
  <c r="AF517" i="3"/>
  <c r="AF620" i="3"/>
  <c r="AF16" i="3"/>
  <c r="AF335" i="3"/>
  <c r="AF138" i="3"/>
  <c r="AF441" i="3"/>
  <c r="AF504" i="3"/>
  <c r="AF355" i="3"/>
  <c r="AF98" i="3"/>
  <c r="AF600" i="3"/>
  <c r="AF383" i="3"/>
  <c r="AF94" i="3"/>
  <c r="AF308" i="3"/>
  <c r="AF99" i="3"/>
  <c r="AF270" i="3"/>
  <c r="AF387" i="3"/>
  <c r="AF143" i="3"/>
  <c r="AF193" i="3"/>
  <c r="AF471" i="3"/>
  <c r="AF367" i="3"/>
  <c r="AF218" i="3"/>
  <c r="AF246" i="3"/>
  <c r="AF242" i="3"/>
  <c r="AF59" i="3"/>
  <c r="AF490" i="3"/>
  <c r="AF340" i="3"/>
  <c r="AF495" i="3"/>
  <c r="AF79" i="3"/>
  <c r="AF283" i="3"/>
  <c r="AF336" i="3"/>
  <c r="AF404" i="3"/>
  <c r="AF370" i="3"/>
  <c r="AF427" i="3"/>
  <c r="AF539" i="3"/>
  <c r="AF341" i="3"/>
  <c r="AF300" i="3"/>
  <c r="AF513" i="3"/>
  <c r="AF380" i="3"/>
  <c r="AF258" i="3"/>
  <c r="AF208" i="3"/>
  <c r="AF526" i="3"/>
  <c r="AF92" i="3"/>
  <c r="AF262" i="3"/>
  <c r="AF500" i="3"/>
  <c r="AF442" i="3"/>
  <c r="AF53" i="3"/>
  <c r="AF359" i="3"/>
  <c r="AF5" i="3"/>
  <c r="AF528" i="3"/>
  <c r="AF632" i="3"/>
  <c r="AF482" i="3"/>
  <c r="AF515" i="3"/>
  <c r="AF388" i="3"/>
  <c r="AF384" i="3"/>
  <c r="AF265" i="3"/>
  <c r="AF474" i="3"/>
  <c r="AF296" i="3"/>
  <c r="AF233" i="3"/>
  <c r="AF144" i="3"/>
  <c r="AF478" i="3"/>
  <c r="AF385" i="3"/>
  <c r="AF48" i="3"/>
  <c r="AF496" i="3"/>
  <c r="AF368" i="3"/>
  <c r="AF145" i="3"/>
  <c r="AF212" i="3"/>
  <c r="AF592" i="3"/>
  <c r="AF222" i="3"/>
  <c r="AF160" i="3"/>
  <c r="AF439" i="3"/>
  <c r="AF633" i="3"/>
  <c r="AF19" i="3"/>
  <c r="AF174" i="3"/>
  <c r="AF401" i="3"/>
  <c r="AF585" i="3"/>
  <c r="AF139" i="3"/>
  <c r="AF219" i="3"/>
  <c r="AF169" i="3"/>
  <c r="AF148" i="3"/>
  <c r="AF563" i="3"/>
  <c r="AF621" i="3"/>
  <c r="AF470" i="3"/>
  <c r="AF460" i="3"/>
  <c r="AF289" i="3"/>
  <c r="AF596" i="3"/>
  <c r="AF593" i="3"/>
  <c r="AF408" i="3"/>
  <c r="AF225" i="3"/>
  <c r="AF111" i="3"/>
  <c r="AF271" i="3"/>
  <c r="AF337" i="3"/>
  <c r="AF630" i="3"/>
  <c r="AF71" i="3"/>
  <c r="AF42" i="3"/>
  <c r="AF322" i="3"/>
  <c r="AF182" i="3"/>
  <c r="AF553" i="3"/>
  <c r="AF189" i="3"/>
  <c r="AF627" i="3"/>
  <c r="AF135" i="3"/>
  <c r="AF123" i="3"/>
  <c r="AF243" i="3"/>
  <c r="AF326" i="3"/>
  <c r="AF309" i="3"/>
  <c r="AF46" i="3"/>
  <c r="AF547" i="3"/>
  <c r="AF590" i="3"/>
  <c r="AF586" i="3"/>
  <c r="AF622" i="3"/>
  <c r="AF54" i="3"/>
  <c r="AF312" i="3"/>
  <c r="AF290" i="3"/>
  <c r="AF548" i="3"/>
  <c r="AF366" i="3"/>
  <c r="AF297" i="3"/>
  <c r="AF569" i="3"/>
  <c r="AF213" i="3"/>
  <c r="AF559" i="3"/>
  <c r="AF280" i="3"/>
  <c r="AF7" i="3"/>
  <c r="AF113" i="3"/>
  <c r="AF249" i="3"/>
  <c r="AF118" i="3"/>
  <c r="AF157" i="3"/>
  <c r="AF163" i="3"/>
  <c r="AF57" i="3"/>
  <c r="AF501" i="3"/>
  <c r="AF149" i="3"/>
  <c r="AF587" i="3"/>
  <c r="AF372" i="3"/>
  <c r="AF317" i="3"/>
  <c r="AF554" i="3"/>
  <c r="AF150" i="3"/>
  <c r="AF518" i="3"/>
  <c r="AF530" i="3"/>
  <c r="AF431" i="3"/>
  <c r="AF424" i="3"/>
  <c r="AF435" i="3"/>
  <c r="AF131" i="3"/>
  <c r="AF10" i="3"/>
  <c r="AF301" i="3"/>
  <c r="AF602" i="3"/>
  <c r="AF185" i="3"/>
  <c r="AF117" i="3"/>
  <c r="AF485" i="3"/>
  <c r="AF266" i="3"/>
  <c r="AF303" i="3"/>
  <c r="AF327" i="3"/>
  <c r="AF67" i="3"/>
  <c r="AF58" i="3"/>
  <c r="AF342" i="3"/>
  <c r="AF597" i="3"/>
  <c r="AF502" i="3"/>
  <c r="AF377" i="3"/>
  <c r="AF491" i="3"/>
  <c r="AF360" i="3"/>
  <c r="AF223" i="3"/>
  <c r="AF13" i="3"/>
  <c r="AF43" i="3"/>
  <c r="AF104" i="3"/>
  <c r="AF571" i="3"/>
  <c r="AF588" i="3"/>
  <c r="AF201" i="3"/>
  <c r="AF284" i="3"/>
  <c r="AF190" i="3"/>
  <c r="AF466" i="3"/>
  <c r="AF272" i="3"/>
  <c r="AF275" i="3"/>
  <c r="AF580" i="3"/>
  <c r="AF570" i="3"/>
  <c r="AF550" i="3"/>
  <c r="AF93" i="3"/>
  <c r="AF520" i="3"/>
  <c r="AF253" i="3"/>
  <c r="AF537" i="3"/>
  <c r="AF95" i="3"/>
  <c r="AF108" i="3"/>
  <c r="AF437" i="3"/>
  <c r="AF12" i="3"/>
  <c r="AF361" i="3"/>
  <c r="AF267" i="3"/>
  <c r="AF329" i="3"/>
  <c r="AF497" i="3"/>
  <c r="AF234" i="3"/>
  <c r="AF446" i="3"/>
  <c r="AF187" i="3"/>
  <c r="AF151" i="3"/>
  <c r="AF44" i="3"/>
  <c r="AF235" i="3"/>
  <c r="AF378" i="3"/>
  <c r="AF206" i="3"/>
  <c r="AF323" i="3"/>
  <c r="AF352" i="3"/>
  <c r="AF318" i="3"/>
  <c r="AF172" i="3"/>
  <c r="AF244" i="3"/>
  <c r="AF508" i="3"/>
  <c r="AF616" i="3"/>
  <c r="AF598" i="3"/>
  <c r="AF611" i="3"/>
  <c r="AF202" i="3"/>
  <c r="AF198" i="3"/>
  <c r="AF409" i="3"/>
  <c r="AF161" i="3"/>
  <c r="AF628" i="3"/>
  <c r="AF417" i="3"/>
  <c r="AF305" i="3"/>
  <c r="AF88" i="3"/>
  <c r="AF80" i="3"/>
  <c r="AF509" i="3"/>
  <c r="AF581" i="3"/>
  <c r="AF425" i="3"/>
  <c r="AF140" i="3"/>
  <c r="AF170" i="3"/>
  <c r="AF4" i="3"/>
  <c r="AF389" i="3"/>
  <c r="AF461" i="3"/>
  <c r="AF397" i="3"/>
  <c r="AF395" i="3"/>
  <c r="AF572" i="3"/>
  <c r="AF605" i="3"/>
  <c r="AF171" i="3"/>
  <c r="AF573" i="3"/>
  <c r="AF472" i="3"/>
  <c r="AF183" i="3"/>
  <c r="AF127" i="3"/>
  <c r="AF314" i="3"/>
  <c r="AF89" i="3"/>
  <c r="AF538" i="3"/>
  <c r="AF8" i="3"/>
  <c r="AF356" i="3"/>
  <c r="AF254" i="3"/>
  <c r="AF556" i="3"/>
  <c r="AF128" i="3"/>
  <c r="AF402" i="3"/>
  <c r="AF194" i="3"/>
  <c r="AF68" i="3"/>
  <c r="AF196" i="3"/>
  <c r="AF313" i="3"/>
  <c r="AF413" i="3"/>
  <c r="AC105" i="3"/>
  <c r="AC467" i="3"/>
  <c r="AC17" i="3"/>
  <c r="AC451" i="3"/>
  <c r="AC543" i="3"/>
  <c r="AC86" i="3"/>
  <c r="AC452" i="3"/>
  <c r="AC357" i="3"/>
  <c r="AC564" i="3"/>
  <c r="AC486" i="3"/>
  <c r="AC203" i="3"/>
  <c r="AC405" i="3"/>
  <c r="AC527" i="3"/>
  <c r="AC276" i="3"/>
  <c r="AC285" i="3"/>
  <c r="AC481" i="3"/>
  <c r="AC207" i="3"/>
  <c r="AC381" i="3"/>
  <c r="AC209" i="3"/>
  <c r="AC576" i="3"/>
  <c r="AC516" i="3"/>
  <c r="AC510" i="3"/>
  <c r="AC475" i="3"/>
  <c r="AC473" i="3"/>
  <c r="AC462" i="3"/>
  <c r="AC132" i="3"/>
  <c r="AC606" i="3"/>
  <c r="AC100" i="3"/>
  <c r="AC210" i="3"/>
  <c r="AC582" i="3"/>
  <c r="AC362" i="3"/>
  <c r="AC239" i="3"/>
  <c r="AC247" i="3"/>
  <c r="AC162" i="3"/>
  <c r="AC534" i="3"/>
  <c r="AC522" i="3"/>
  <c r="AC72" i="3"/>
  <c r="AC577" i="3"/>
  <c r="AC204" i="3"/>
  <c r="AC250" i="3"/>
  <c r="AC14" i="3"/>
  <c r="AC55" i="3"/>
  <c r="AC476" i="3"/>
  <c r="AC215" i="3"/>
  <c r="AC49" i="3"/>
  <c r="AC158" i="3"/>
  <c r="AC227" i="3"/>
  <c r="AC392" i="3"/>
  <c r="AC519" i="3"/>
  <c r="AC363" i="3"/>
  <c r="AC551" i="3"/>
  <c r="AC505" i="3"/>
  <c r="AC77" i="3"/>
  <c r="AC531" i="3"/>
  <c r="AC286" i="3"/>
  <c r="AC617" i="3"/>
  <c r="AC18" i="3"/>
  <c r="AC45" i="3"/>
  <c r="AC353" i="3"/>
  <c r="AC511" i="3"/>
  <c r="AC302" i="3"/>
  <c r="AC199" i="3"/>
  <c r="AC488" i="3"/>
  <c r="AC523" i="3"/>
  <c r="AC106" i="3"/>
  <c r="AC492" i="3"/>
  <c r="AC391" i="3"/>
  <c r="AC60" i="3"/>
  <c r="AC565" i="3"/>
  <c r="AC47" i="3"/>
  <c r="AC69" i="3"/>
  <c r="AC236" i="3"/>
  <c r="AC310" i="3"/>
  <c r="AC15" i="3"/>
  <c r="AC109" i="3"/>
  <c r="AC50" i="3"/>
  <c r="AC591" i="3"/>
  <c r="AC578" i="3"/>
  <c r="AC51" i="3"/>
  <c r="AC555" i="3"/>
  <c r="AC306" i="3"/>
  <c r="AC454" i="3"/>
  <c r="AC165" i="3"/>
  <c r="AC229" i="3"/>
  <c r="AC154" i="3"/>
  <c r="AC61" i="3"/>
  <c r="AC73" i="3"/>
  <c r="AC251" i="3"/>
  <c r="AC248" i="3"/>
  <c r="AC463" i="3"/>
  <c r="AC20" i="3"/>
  <c r="AC155" i="3"/>
  <c r="AC2" i="3"/>
  <c r="AC237" i="3"/>
  <c r="AC438" i="3"/>
  <c r="AC96" i="3"/>
  <c r="AC364" i="3"/>
  <c r="AC97" i="3"/>
  <c r="AC175" i="3"/>
  <c r="AC124" i="3"/>
  <c r="AC9" i="3"/>
  <c r="AC544" i="3"/>
  <c r="AC399" i="3"/>
  <c r="AC259" i="3"/>
  <c r="AC298" i="3"/>
  <c r="AC74" i="3"/>
  <c r="AC540" i="3"/>
  <c r="AC532" i="3"/>
  <c r="AC101" i="3"/>
  <c r="AC371" i="3"/>
  <c r="AC166" i="3"/>
  <c r="AC382" i="3"/>
  <c r="AC186" i="3"/>
  <c r="AC126" i="3"/>
  <c r="AC418" i="3"/>
  <c r="AC506" i="3"/>
  <c r="AC291" i="3"/>
  <c r="AC64" i="3"/>
  <c r="AC349" i="3"/>
  <c r="AC125" i="3"/>
  <c r="AC164" i="3"/>
  <c r="AC319" i="3"/>
  <c r="AC65" i="3"/>
  <c r="AC410" i="3"/>
  <c r="AC623" i="3"/>
  <c r="AC524" i="3"/>
  <c r="AC419" i="3"/>
  <c r="AC120" i="3"/>
  <c r="AC184" i="3"/>
  <c r="AC354" i="3"/>
  <c r="AC200" i="3"/>
  <c r="AC114" i="3"/>
  <c r="AC252" i="3"/>
  <c r="AC231" i="3"/>
  <c r="AC557" i="3"/>
  <c r="AC468" i="3"/>
  <c r="AC173" i="3"/>
  <c r="AC328" i="3"/>
  <c r="AC238" i="3"/>
  <c r="AC277" i="3"/>
  <c r="AC507" i="3"/>
  <c r="AC141" i="3"/>
  <c r="AC62" i="3"/>
  <c r="AC56" i="3"/>
  <c r="AC21" i="3"/>
  <c r="AC320" i="3"/>
  <c r="AC228" i="3"/>
  <c r="AC268" i="3"/>
  <c r="AC393" i="3"/>
  <c r="AC428" i="3"/>
  <c r="AC459" i="3"/>
  <c r="AC287" i="3"/>
  <c r="AC87" i="3"/>
  <c r="AC493" i="3"/>
  <c r="AC81" i="3"/>
  <c r="AC432" i="3"/>
  <c r="AC75" i="3"/>
  <c r="AC374" i="3"/>
  <c r="AC136" i="3"/>
  <c r="AC447" i="3"/>
  <c r="AC426" i="3"/>
  <c r="AC82" i="3"/>
  <c r="AC220" i="3"/>
  <c r="AC338" i="3"/>
  <c r="AC167" i="3"/>
  <c r="AC263" i="3"/>
  <c r="AC448" i="3"/>
  <c r="AC614" i="3"/>
  <c r="AC63" i="3"/>
  <c r="AC346" i="3"/>
  <c r="AC566" i="3"/>
  <c r="AC449" i="3"/>
  <c r="AC477" i="3"/>
  <c r="AC376" i="3"/>
  <c r="AC579" i="3"/>
  <c r="AC607" i="3"/>
  <c r="AC343" i="3"/>
  <c r="AC403" i="3"/>
  <c r="AC292" i="3"/>
  <c r="AC294" i="3"/>
  <c r="AC255" i="3"/>
  <c r="AC406" i="3"/>
  <c r="AC146" i="3"/>
  <c r="AC90" i="3"/>
  <c r="AC224" i="3"/>
  <c r="AC315" i="3"/>
  <c r="AC299" i="3"/>
  <c r="AC450" i="3"/>
  <c r="AC188" i="3"/>
  <c r="AC594" i="3"/>
  <c r="AC429" i="3"/>
  <c r="AC440" i="3"/>
  <c r="AC102" i="3"/>
  <c r="AC121" i="3"/>
  <c r="AC324" i="3"/>
  <c r="AC609" i="3"/>
  <c r="AC400" i="3"/>
  <c r="AC433" i="3"/>
  <c r="AC455" i="3"/>
  <c r="AC494" i="3"/>
  <c r="AC545" i="3"/>
  <c r="AC445" i="3"/>
  <c r="AC176" i="3"/>
  <c r="AC599" i="3"/>
  <c r="AC339" i="3"/>
  <c r="AC195" i="3"/>
  <c r="AC216" i="3"/>
  <c r="AC350" i="3"/>
  <c r="AC421" i="3"/>
  <c r="AC330" i="3"/>
  <c r="AC422" i="3"/>
  <c r="AC181" i="3"/>
  <c r="AC603" i="3"/>
  <c r="AC560" i="3"/>
  <c r="AC613" i="3"/>
  <c r="AC70" i="3"/>
  <c r="AC260" i="3"/>
  <c r="AC133" i="3"/>
  <c r="AC574" i="3"/>
  <c r="AC618" i="3"/>
  <c r="AC293" i="3"/>
  <c r="AC83" i="3"/>
  <c r="AC273" i="3"/>
  <c r="AC142" i="3"/>
  <c r="AC567" i="3"/>
  <c r="AC115" i="3"/>
  <c r="AC624" i="3"/>
  <c r="AC245" i="3"/>
  <c r="AC479" i="3"/>
  <c r="AC331" i="3"/>
  <c r="AC159" i="3"/>
  <c r="AC281" i="3"/>
  <c r="AC552" i="3"/>
  <c r="AC147" i="3"/>
  <c r="AC604" i="3"/>
  <c r="AC625" i="3"/>
  <c r="AC601" i="3"/>
  <c r="AC191" i="3"/>
  <c r="AC436" i="3"/>
  <c r="AC521" i="3"/>
  <c r="AC583" i="3"/>
  <c r="AC211" i="3"/>
  <c r="AC197" i="3"/>
  <c r="AC122" i="3"/>
  <c r="AC347" i="3"/>
  <c r="AC282" i="3"/>
  <c r="AC483" i="3"/>
  <c r="AC443" i="3"/>
  <c r="AC464" i="3"/>
  <c r="AC344" i="3"/>
  <c r="AC295" i="3"/>
  <c r="AC498" i="3"/>
  <c r="AC608" i="3"/>
  <c r="AC546" i="3"/>
  <c r="AC205" i="3"/>
  <c r="AC444" i="3"/>
  <c r="AC541" i="3"/>
  <c r="AC369" i="3"/>
  <c r="AC561" i="3"/>
  <c r="AC107" i="3"/>
  <c r="AC214" i="3"/>
  <c r="AC307" i="3"/>
  <c r="AC76" i="3"/>
  <c r="AC91" i="3"/>
  <c r="AC525" i="3"/>
  <c r="AC84" i="3"/>
  <c r="AC562" i="3"/>
  <c r="AC411" i="3"/>
  <c r="AC256" i="3"/>
  <c r="AC430" i="3"/>
  <c r="AC423" i="3"/>
  <c r="AC278" i="3"/>
  <c r="AC129" i="3"/>
  <c r="AC373" i="3"/>
  <c r="AC512" i="3"/>
  <c r="AC619" i="3"/>
  <c r="AC325" i="3"/>
  <c r="AC465" i="3"/>
  <c r="AC358" i="3"/>
  <c r="AC589" i="3"/>
  <c r="AC414" i="3"/>
  <c r="AC85" i="3"/>
  <c r="AC610" i="3"/>
  <c r="AC375" i="3"/>
  <c r="AC348" i="3"/>
  <c r="AC321" i="3"/>
  <c r="AC415" i="3"/>
  <c r="AC456" i="3"/>
  <c r="AC489" i="3"/>
  <c r="AC103" i="3"/>
  <c r="AC365" i="3"/>
  <c r="AC345" i="3"/>
  <c r="AC484" i="3"/>
  <c r="AC11" i="3"/>
  <c r="AC480" i="3"/>
  <c r="AC503" i="3"/>
  <c r="AC457" i="3"/>
  <c r="AC257" i="3"/>
  <c r="AC269" i="3"/>
  <c r="AC6" i="3"/>
  <c r="AC549" i="3"/>
  <c r="AC386" i="3"/>
  <c r="AC615" i="3"/>
  <c r="AC152" i="3"/>
  <c r="AC535" i="3"/>
  <c r="AC407" i="3"/>
  <c r="AC153" i="3"/>
  <c r="AC156" i="3"/>
  <c r="AC110" i="3"/>
  <c r="AC217" i="3"/>
  <c r="AC177" i="3"/>
  <c r="AC514" i="3"/>
  <c r="AC558" i="3"/>
  <c r="AC575" i="3"/>
  <c r="AC168" i="3"/>
  <c r="AC629" i="3"/>
  <c r="AC412" i="3"/>
  <c r="AC179" i="3"/>
  <c r="AC332" i="3"/>
  <c r="AC394" i="3"/>
  <c r="AC288" i="3"/>
  <c r="AC434" i="3"/>
  <c r="AC351" i="3"/>
  <c r="AC416" i="3"/>
  <c r="AC398" i="3"/>
  <c r="AC420" i="3"/>
  <c r="AC487" i="3"/>
  <c r="AC116" i="3"/>
  <c r="AC137" i="3"/>
  <c r="AC130" i="3"/>
  <c r="AC240" i="3"/>
  <c r="AC612" i="3"/>
  <c r="AC192" i="3"/>
  <c r="AC631" i="3"/>
  <c r="AC568" i="3"/>
  <c r="AC469" i="3"/>
  <c r="AC279" i="3"/>
  <c r="AC221" i="3"/>
  <c r="AC533" i="3"/>
  <c r="AC595" i="3"/>
  <c r="AC311" i="3"/>
  <c r="AC304" i="3"/>
  <c r="AC3" i="3"/>
  <c r="AC626" i="3"/>
  <c r="AC180" i="3"/>
  <c r="AC261" i="3"/>
  <c r="AC230" i="3"/>
  <c r="AC226" i="3"/>
  <c r="AC379" i="3"/>
  <c r="AC499" i="3"/>
  <c r="AC396" i="3"/>
  <c r="AC458" i="3"/>
  <c r="AC112" i="3"/>
  <c r="AC333" i="3"/>
  <c r="AC542" i="3"/>
  <c r="AC66" i="3"/>
  <c r="AC134" i="3"/>
  <c r="AC536" i="3"/>
  <c r="AC390" i="3"/>
  <c r="AC178" i="3"/>
  <c r="AC274" i="3"/>
  <c r="AC334" i="3"/>
  <c r="AC119" i="3"/>
  <c r="AC264" i="3"/>
  <c r="AC529" i="3"/>
  <c r="AC316" i="3"/>
  <c r="AC78" i="3"/>
  <c r="AC453" i="3"/>
  <c r="AC232" i="3"/>
  <c r="AC241" i="3"/>
  <c r="AC584" i="3"/>
  <c r="AC52" i="3"/>
  <c r="AC517" i="3"/>
  <c r="AC620" i="3"/>
  <c r="AC16" i="3"/>
  <c r="AC335" i="3"/>
  <c r="AC138" i="3"/>
  <c r="AC441" i="3"/>
  <c r="AC504" i="3"/>
  <c r="AC355" i="3"/>
  <c r="AC98" i="3"/>
  <c r="AC600" i="3"/>
  <c r="AC383" i="3"/>
  <c r="AC94" i="3"/>
  <c r="AC308" i="3"/>
  <c r="AC99" i="3"/>
  <c r="AC270" i="3"/>
  <c r="AC387" i="3"/>
  <c r="AC143" i="3"/>
  <c r="AC193" i="3"/>
  <c r="AC471" i="3"/>
  <c r="AC367" i="3"/>
  <c r="AC218" i="3"/>
  <c r="AC246" i="3"/>
  <c r="AC242" i="3"/>
  <c r="AC59" i="3"/>
  <c r="AC490" i="3"/>
  <c r="AC340" i="3"/>
  <c r="AC495" i="3"/>
  <c r="AC79" i="3"/>
  <c r="AC283" i="3"/>
  <c r="AC336" i="3"/>
  <c r="AC404" i="3"/>
  <c r="AC370" i="3"/>
  <c r="AC427" i="3"/>
  <c r="AC539" i="3"/>
  <c r="AC341" i="3"/>
  <c r="AC300" i="3"/>
  <c r="AC513" i="3"/>
  <c r="AC380" i="3"/>
  <c r="AC258" i="3"/>
  <c r="AC208" i="3"/>
  <c r="AC526" i="3"/>
  <c r="AC92" i="3"/>
  <c r="AC262" i="3"/>
  <c r="AC500" i="3"/>
  <c r="AC442" i="3"/>
  <c r="AC53" i="3"/>
  <c r="AC359" i="3"/>
  <c r="AC5" i="3"/>
  <c r="AC528" i="3"/>
  <c r="AC632" i="3"/>
  <c r="AC482" i="3"/>
  <c r="AC515" i="3"/>
  <c r="AC388" i="3"/>
  <c r="AC384" i="3"/>
  <c r="AC265" i="3"/>
  <c r="AC474" i="3"/>
  <c r="AC296" i="3"/>
  <c r="AC233" i="3"/>
  <c r="AC144" i="3"/>
  <c r="AC478" i="3"/>
  <c r="AC385" i="3"/>
  <c r="AC48" i="3"/>
  <c r="AC496" i="3"/>
  <c r="AC368" i="3"/>
  <c r="AC145" i="3"/>
  <c r="AC212" i="3"/>
  <c r="AC592" i="3"/>
  <c r="AC222" i="3"/>
  <c r="AC160" i="3"/>
  <c r="AC439" i="3"/>
  <c r="AC633" i="3"/>
  <c r="AC19" i="3"/>
  <c r="AC174" i="3"/>
  <c r="AC401" i="3"/>
  <c r="AC585" i="3"/>
  <c r="AC139" i="3"/>
  <c r="AC219" i="3"/>
  <c r="AC169" i="3"/>
  <c r="AC148" i="3"/>
  <c r="AC563" i="3"/>
  <c r="AC621" i="3"/>
  <c r="AC470" i="3"/>
  <c r="AC460" i="3"/>
  <c r="AC289" i="3"/>
  <c r="AC596" i="3"/>
  <c r="AC593" i="3"/>
  <c r="AC408" i="3"/>
  <c r="AC225" i="3"/>
  <c r="AC111" i="3"/>
  <c r="AC271" i="3"/>
  <c r="AC337" i="3"/>
  <c r="AC630" i="3"/>
  <c r="AC71" i="3"/>
  <c r="AC42" i="3"/>
  <c r="AC322" i="3"/>
  <c r="AC182" i="3"/>
  <c r="AC553" i="3"/>
  <c r="AC189" i="3"/>
  <c r="AC627" i="3"/>
  <c r="AC135" i="3"/>
  <c r="AC123" i="3"/>
  <c r="AC243" i="3"/>
  <c r="AC326" i="3"/>
  <c r="AC309" i="3"/>
  <c r="AC46" i="3"/>
  <c r="AC547" i="3"/>
  <c r="AC590" i="3"/>
  <c r="AC586" i="3"/>
  <c r="AC622" i="3"/>
  <c r="AC54" i="3"/>
  <c r="AC312" i="3"/>
  <c r="AC290" i="3"/>
  <c r="AC548" i="3"/>
  <c r="AC366" i="3"/>
  <c r="AC297" i="3"/>
  <c r="AC569" i="3"/>
  <c r="AC213" i="3"/>
  <c r="AC559" i="3"/>
  <c r="AC280" i="3"/>
  <c r="AC7" i="3"/>
  <c r="AC113" i="3"/>
  <c r="AC249" i="3"/>
  <c r="AC118" i="3"/>
  <c r="AC157" i="3"/>
  <c r="AC163" i="3"/>
  <c r="AC57" i="3"/>
  <c r="AC501" i="3"/>
  <c r="AC149" i="3"/>
  <c r="AC587" i="3"/>
  <c r="AC372" i="3"/>
  <c r="AC317" i="3"/>
  <c r="AC554" i="3"/>
  <c r="AC150" i="3"/>
  <c r="AC518" i="3"/>
  <c r="AC530" i="3"/>
  <c r="AC431" i="3"/>
  <c r="AC424" i="3"/>
  <c r="AC435" i="3"/>
  <c r="AC131" i="3"/>
  <c r="AC10" i="3"/>
  <c r="AC301" i="3"/>
  <c r="AC602" i="3"/>
  <c r="AC185" i="3"/>
  <c r="AC117" i="3"/>
  <c r="AC485" i="3"/>
  <c r="AC266" i="3"/>
  <c r="AC303" i="3"/>
  <c r="AC327" i="3"/>
  <c r="AC67" i="3"/>
  <c r="AC58" i="3"/>
  <c r="AC342" i="3"/>
  <c r="AC597" i="3"/>
  <c r="AC502" i="3"/>
  <c r="AC377" i="3"/>
  <c r="AC491" i="3"/>
  <c r="AC360" i="3"/>
  <c r="AC223" i="3"/>
  <c r="AC13" i="3"/>
  <c r="AC43" i="3"/>
  <c r="AC104" i="3"/>
  <c r="AC571" i="3"/>
  <c r="AC588" i="3"/>
  <c r="AC201" i="3"/>
  <c r="AC284" i="3"/>
  <c r="AC190" i="3"/>
  <c r="AC466" i="3"/>
  <c r="AC272" i="3"/>
  <c r="AC275" i="3"/>
  <c r="AC580" i="3"/>
  <c r="AC570" i="3"/>
  <c r="AC550" i="3"/>
  <c r="AC93" i="3"/>
  <c r="AC520" i="3"/>
  <c r="AC253" i="3"/>
  <c r="AC537" i="3"/>
  <c r="AC95" i="3"/>
  <c r="AC108" i="3"/>
  <c r="AC437" i="3"/>
  <c r="AC12" i="3"/>
  <c r="AC361" i="3"/>
  <c r="AC267" i="3"/>
  <c r="AC329" i="3"/>
  <c r="AC497" i="3"/>
  <c r="AC234" i="3"/>
  <c r="AC446" i="3"/>
  <c r="AC187" i="3"/>
  <c r="AC151" i="3"/>
  <c r="AC44" i="3"/>
  <c r="AC235" i="3"/>
  <c r="AC378" i="3"/>
  <c r="AC206" i="3"/>
  <c r="AC323" i="3"/>
  <c r="AC352" i="3"/>
  <c r="AC318" i="3"/>
  <c r="AC172" i="3"/>
  <c r="AC244" i="3"/>
  <c r="AC508" i="3"/>
  <c r="AC616" i="3"/>
  <c r="AC598" i="3"/>
  <c r="AC611" i="3"/>
  <c r="AC202" i="3"/>
  <c r="AC198" i="3"/>
  <c r="AC409" i="3"/>
  <c r="AC161" i="3"/>
  <c r="AC628" i="3"/>
  <c r="AC417" i="3"/>
  <c r="AC305" i="3"/>
  <c r="AC88" i="3"/>
  <c r="AC80" i="3"/>
  <c r="AC509" i="3"/>
  <c r="AC581" i="3"/>
  <c r="AC425" i="3"/>
  <c r="AC140" i="3"/>
  <c r="AC170" i="3"/>
  <c r="AC4" i="3"/>
  <c r="AC389" i="3"/>
  <c r="AC461" i="3"/>
  <c r="AC397" i="3"/>
  <c r="AC395" i="3"/>
  <c r="AC572" i="3"/>
  <c r="AC605" i="3"/>
  <c r="AC171" i="3"/>
  <c r="AC573" i="3"/>
  <c r="AC472" i="3"/>
  <c r="AC183" i="3"/>
  <c r="AC127" i="3"/>
  <c r="AC314" i="3"/>
  <c r="AC89" i="3"/>
  <c r="AC538" i="3"/>
  <c r="AC8" i="3"/>
  <c r="AC356" i="3"/>
  <c r="AC254" i="3"/>
  <c r="AC556" i="3"/>
  <c r="AC128" i="3"/>
  <c r="AC402" i="3"/>
  <c r="AC194" i="3"/>
  <c r="AC68" i="3"/>
  <c r="AC196" i="3"/>
  <c r="AC313" i="3"/>
  <c r="AC413" i="3"/>
  <c r="AM105" i="3"/>
  <c r="AN105" i="3" s="1"/>
  <c r="AM467" i="3"/>
  <c r="AN467" i="3" s="1"/>
  <c r="AM17" i="3"/>
  <c r="AN17" i="3" s="1"/>
  <c r="AM451" i="3"/>
  <c r="AN451" i="3" s="1"/>
  <c r="AM543" i="3"/>
  <c r="AN543" i="3" s="1"/>
  <c r="AM86" i="3"/>
  <c r="AN86" i="3" s="1"/>
  <c r="AM452" i="3"/>
  <c r="AN452" i="3" s="1"/>
  <c r="AM357" i="3"/>
  <c r="AM564" i="3"/>
  <c r="AN564" i="3" s="1"/>
  <c r="AM486" i="3"/>
  <c r="AN486" i="3" s="1"/>
  <c r="AM203" i="3"/>
  <c r="AN203" i="3" s="1"/>
  <c r="AM405" i="3"/>
  <c r="AN405" i="3" s="1"/>
  <c r="AM527" i="3"/>
  <c r="AN527" i="3" s="1"/>
  <c r="AM276" i="3"/>
  <c r="AN276" i="3" s="1"/>
  <c r="AM285" i="3"/>
  <c r="AN285" i="3" s="1"/>
  <c r="AM481" i="3"/>
  <c r="AN481" i="3" s="1"/>
  <c r="AM207" i="3"/>
  <c r="AN207" i="3" s="1"/>
  <c r="AM381" i="3"/>
  <c r="AN381" i="3" s="1"/>
  <c r="AM209" i="3"/>
  <c r="AN209" i="3" s="1"/>
  <c r="AM576" i="3"/>
  <c r="AM516" i="3"/>
  <c r="AM510" i="3"/>
  <c r="AN510" i="3" s="1"/>
  <c r="AM475" i="3"/>
  <c r="AN475" i="3" s="1"/>
  <c r="AM473" i="3"/>
  <c r="AM462" i="3"/>
  <c r="AN462" i="3" s="1"/>
  <c r="AM132" i="3"/>
  <c r="AN132" i="3" s="1"/>
  <c r="AM606" i="3"/>
  <c r="AN606" i="3" s="1"/>
  <c r="AM100" i="3"/>
  <c r="AN100" i="3" s="1"/>
  <c r="AM210" i="3"/>
  <c r="AM582" i="3"/>
  <c r="AN582" i="3" s="1"/>
  <c r="AM362" i="3"/>
  <c r="AN362" i="3" s="1"/>
  <c r="AM239" i="3"/>
  <c r="AM247" i="3"/>
  <c r="AN247" i="3" s="1"/>
  <c r="AM162" i="3"/>
  <c r="AN162" i="3" s="1"/>
  <c r="AM534" i="3"/>
  <c r="AN534" i="3" s="1"/>
  <c r="AM522" i="3"/>
  <c r="AN522" i="3" s="1"/>
  <c r="AM72" i="3"/>
  <c r="AM577" i="3"/>
  <c r="AN577" i="3" s="1"/>
  <c r="AM204" i="3"/>
  <c r="AN204" i="3" s="1"/>
  <c r="AM250" i="3"/>
  <c r="AN250" i="3" s="1"/>
  <c r="AM14" i="3"/>
  <c r="AM55" i="3"/>
  <c r="AN55" i="3" s="1"/>
  <c r="AM476" i="3"/>
  <c r="AN476" i="3" s="1"/>
  <c r="AM215" i="3"/>
  <c r="AN215" i="3" s="1"/>
  <c r="AM49" i="3"/>
  <c r="AN49" i="3" s="1"/>
  <c r="AM158" i="3"/>
  <c r="AN158" i="3" s="1"/>
  <c r="AM227" i="3"/>
  <c r="AN227" i="3" s="1"/>
  <c r="AM392" i="3"/>
  <c r="AN392" i="3" s="1"/>
  <c r="AM519" i="3"/>
  <c r="AN519" i="3" s="1"/>
  <c r="AM363" i="3"/>
  <c r="AN363" i="3" s="1"/>
  <c r="AM551" i="3"/>
  <c r="AN551" i="3" s="1"/>
  <c r="AM505" i="3"/>
  <c r="AN505" i="3" s="1"/>
  <c r="AM77" i="3"/>
  <c r="AN77" i="3" s="1"/>
  <c r="AM531" i="3"/>
  <c r="AM286" i="3"/>
  <c r="AN286" i="3" s="1"/>
  <c r="AM617" i="3"/>
  <c r="AN617" i="3" s="1"/>
  <c r="AM18" i="3"/>
  <c r="AN18" i="3" s="1"/>
  <c r="AM45" i="3"/>
  <c r="AN45" i="3" s="1"/>
  <c r="AM353" i="3"/>
  <c r="AN353" i="3" s="1"/>
  <c r="AM511" i="3"/>
  <c r="AN511" i="3" s="1"/>
  <c r="AM302" i="3"/>
  <c r="AN302" i="3" s="1"/>
  <c r="AM199" i="3"/>
  <c r="AN199" i="3" s="1"/>
  <c r="AM488" i="3"/>
  <c r="AN488" i="3" s="1"/>
  <c r="AM523" i="3"/>
  <c r="AN523" i="3" s="1"/>
  <c r="AM106" i="3"/>
  <c r="AN106" i="3" s="1"/>
  <c r="AM492" i="3"/>
  <c r="AN492" i="3" s="1"/>
  <c r="AM391" i="3"/>
  <c r="AN391" i="3" s="1"/>
  <c r="AM60" i="3"/>
  <c r="AN60" i="3" s="1"/>
  <c r="AM565" i="3"/>
  <c r="AN565" i="3" s="1"/>
  <c r="AM47" i="3"/>
  <c r="AN47" i="3" s="1"/>
  <c r="AM69" i="3"/>
  <c r="AN69" i="3" s="1"/>
  <c r="AM236" i="3"/>
  <c r="AN236" i="3" s="1"/>
  <c r="AM310" i="3"/>
  <c r="AN310" i="3" s="1"/>
  <c r="AM15" i="3"/>
  <c r="AN15" i="3" s="1"/>
  <c r="AM109" i="3"/>
  <c r="AN109" i="3" s="1"/>
  <c r="AM50" i="3"/>
  <c r="AN50" i="3" s="1"/>
  <c r="AM591" i="3"/>
  <c r="AN591" i="3" s="1"/>
  <c r="AM578" i="3"/>
  <c r="AN578" i="3" s="1"/>
  <c r="AM51" i="3"/>
  <c r="AN51" i="3" s="1"/>
  <c r="AM555" i="3"/>
  <c r="AN555" i="3" s="1"/>
  <c r="AM306" i="3"/>
  <c r="AN306" i="3" s="1"/>
  <c r="AM454" i="3"/>
  <c r="AN454" i="3" s="1"/>
  <c r="AM165" i="3"/>
  <c r="AN165" i="3" s="1"/>
  <c r="AM229" i="3"/>
  <c r="AN229" i="3" s="1"/>
  <c r="AM154" i="3"/>
  <c r="AN154" i="3" s="1"/>
  <c r="AM61" i="3"/>
  <c r="AN61" i="3" s="1"/>
  <c r="AM73" i="3"/>
  <c r="AN73" i="3" s="1"/>
  <c r="AM251" i="3"/>
  <c r="AN251" i="3" s="1"/>
  <c r="AM248" i="3"/>
  <c r="AN248" i="3" s="1"/>
  <c r="AM463" i="3"/>
  <c r="AN463" i="3" s="1"/>
  <c r="AM20" i="3"/>
  <c r="AN20" i="3" s="1"/>
  <c r="AM155" i="3"/>
  <c r="AN155" i="3" s="1"/>
  <c r="AM2" i="3"/>
  <c r="G1" i="9" s="1"/>
  <c r="AM237" i="3"/>
  <c r="AN237" i="3" s="1"/>
  <c r="AM438" i="3"/>
  <c r="AN438" i="3" s="1"/>
  <c r="AM96" i="3"/>
  <c r="AN96" i="3" s="1"/>
  <c r="AM364" i="3"/>
  <c r="AN364" i="3" s="1"/>
  <c r="AM97" i="3"/>
  <c r="AN97" i="3" s="1"/>
  <c r="AM175" i="3"/>
  <c r="AN175" i="3" s="1"/>
  <c r="AM124" i="3"/>
  <c r="AN124" i="3" s="1"/>
  <c r="AM9" i="3"/>
  <c r="AM544" i="3"/>
  <c r="AN544" i="3" s="1"/>
  <c r="AM399" i="3"/>
  <c r="AN399" i="3" s="1"/>
  <c r="AM259" i="3"/>
  <c r="AN259" i="3" s="1"/>
  <c r="AM298" i="3"/>
  <c r="AN298" i="3" s="1"/>
  <c r="AM74" i="3"/>
  <c r="AN74" i="3" s="1"/>
  <c r="AM540" i="3"/>
  <c r="AN540" i="3" s="1"/>
  <c r="AM532" i="3"/>
  <c r="AN532" i="3" s="1"/>
  <c r="AM101" i="3"/>
  <c r="AN101" i="3" s="1"/>
  <c r="AM371" i="3"/>
  <c r="AN371" i="3" s="1"/>
  <c r="AM166" i="3"/>
  <c r="AN166" i="3" s="1"/>
  <c r="AM382" i="3"/>
  <c r="AN382" i="3" s="1"/>
  <c r="AM186" i="3"/>
  <c r="AN186" i="3" s="1"/>
  <c r="AM126" i="3"/>
  <c r="AN126" i="3" s="1"/>
  <c r="AM418" i="3"/>
  <c r="AN418" i="3" s="1"/>
  <c r="AM506" i="3"/>
  <c r="AN506" i="3" s="1"/>
  <c r="AM291" i="3"/>
  <c r="AN291" i="3" s="1"/>
  <c r="AM64" i="3"/>
  <c r="AN64" i="3" s="1"/>
  <c r="AM349" i="3"/>
  <c r="AN349" i="3" s="1"/>
  <c r="AM125" i="3"/>
  <c r="AN125" i="3" s="1"/>
  <c r="AM164" i="3"/>
  <c r="AN164" i="3" s="1"/>
  <c r="AM319" i="3"/>
  <c r="AN319" i="3" s="1"/>
  <c r="AM65" i="3"/>
  <c r="AN65" i="3" s="1"/>
  <c r="AM410" i="3"/>
  <c r="AN410" i="3" s="1"/>
  <c r="AM623" i="3"/>
  <c r="AN623" i="3" s="1"/>
  <c r="AM524" i="3"/>
  <c r="AN524" i="3" s="1"/>
  <c r="AM419" i="3"/>
  <c r="AN419" i="3" s="1"/>
  <c r="AM120" i="3"/>
  <c r="AN120" i="3" s="1"/>
  <c r="AM184" i="3"/>
  <c r="AN184" i="3" s="1"/>
  <c r="AM354" i="3"/>
  <c r="AN354" i="3" s="1"/>
  <c r="AM200" i="3"/>
  <c r="AN200" i="3" s="1"/>
  <c r="AM114" i="3"/>
  <c r="AN114" i="3" s="1"/>
  <c r="AM252" i="3"/>
  <c r="AN252" i="3" s="1"/>
  <c r="AM231" i="3"/>
  <c r="AN231" i="3" s="1"/>
  <c r="AM557" i="3"/>
  <c r="AN557" i="3" s="1"/>
  <c r="AM468" i="3"/>
  <c r="AN468" i="3" s="1"/>
  <c r="AM173" i="3"/>
  <c r="AN173" i="3" s="1"/>
  <c r="AM328" i="3"/>
  <c r="AN328" i="3" s="1"/>
  <c r="AM238" i="3"/>
  <c r="AN238" i="3" s="1"/>
  <c r="AM277" i="3"/>
  <c r="AN277" i="3" s="1"/>
  <c r="AM507" i="3"/>
  <c r="AN507" i="3" s="1"/>
  <c r="AM141" i="3"/>
  <c r="AN141" i="3" s="1"/>
  <c r="AM62" i="3"/>
  <c r="AN62" i="3" s="1"/>
  <c r="AM56" i="3"/>
  <c r="AN56" i="3" s="1"/>
  <c r="AM21" i="3"/>
  <c r="AM320" i="3"/>
  <c r="AN320" i="3" s="1"/>
  <c r="AM228" i="3"/>
  <c r="AN228" i="3" s="1"/>
  <c r="AM268" i="3"/>
  <c r="AN268" i="3" s="1"/>
  <c r="AM393" i="3"/>
  <c r="AN393" i="3" s="1"/>
  <c r="AM428" i="3"/>
  <c r="AN428" i="3" s="1"/>
  <c r="AM459" i="3"/>
  <c r="AN459" i="3" s="1"/>
  <c r="AM287" i="3"/>
  <c r="AN287" i="3" s="1"/>
  <c r="AM87" i="3"/>
  <c r="AN87" i="3" s="1"/>
  <c r="AM493" i="3"/>
  <c r="AN493" i="3" s="1"/>
  <c r="AM81" i="3"/>
  <c r="AN81" i="3" s="1"/>
  <c r="AM432" i="3"/>
  <c r="AN432" i="3" s="1"/>
  <c r="AM75" i="3"/>
  <c r="AN75" i="3" s="1"/>
  <c r="AM374" i="3"/>
  <c r="AN374" i="3" s="1"/>
  <c r="AM136" i="3"/>
  <c r="AN136" i="3" s="1"/>
  <c r="AM447" i="3"/>
  <c r="AN447" i="3" s="1"/>
  <c r="AM426" i="3"/>
  <c r="AN426" i="3" s="1"/>
  <c r="AM82" i="3"/>
  <c r="AN82" i="3" s="1"/>
  <c r="AM220" i="3"/>
  <c r="AN220" i="3" s="1"/>
  <c r="AM338" i="3"/>
  <c r="AN338" i="3" s="1"/>
  <c r="AM167" i="3"/>
  <c r="AN167" i="3" s="1"/>
  <c r="AM263" i="3"/>
  <c r="AM448" i="3"/>
  <c r="AN448" i="3" s="1"/>
  <c r="AM614" i="3"/>
  <c r="AN614" i="3" s="1"/>
  <c r="AM63" i="3"/>
  <c r="AN63" i="3" s="1"/>
  <c r="AM346" i="3"/>
  <c r="AN346" i="3" s="1"/>
  <c r="AM566" i="3"/>
  <c r="AN566" i="3" s="1"/>
  <c r="AM449" i="3"/>
  <c r="AN449" i="3" s="1"/>
  <c r="AM477" i="3"/>
  <c r="AN477" i="3" s="1"/>
  <c r="AM376" i="3"/>
  <c r="AN376" i="3" s="1"/>
  <c r="AM579" i="3"/>
  <c r="AN579" i="3" s="1"/>
  <c r="AM607" i="3"/>
  <c r="AN607" i="3" s="1"/>
  <c r="AM343" i="3"/>
  <c r="AN343" i="3" s="1"/>
  <c r="AM403" i="3"/>
  <c r="AN403" i="3" s="1"/>
  <c r="AM292" i="3"/>
  <c r="AN292" i="3" s="1"/>
  <c r="AM294" i="3"/>
  <c r="AN294" i="3" s="1"/>
  <c r="AM255" i="3"/>
  <c r="AN255" i="3" s="1"/>
  <c r="AM406" i="3"/>
  <c r="AN406" i="3" s="1"/>
  <c r="AM146" i="3"/>
  <c r="AN146" i="3" s="1"/>
  <c r="AM90" i="3"/>
  <c r="AM224" i="3"/>
  <c r="AN224" i="3" s="1"/>
  <c r="AM315" i="3"/>
  <c r="AN315" i="3" s="1"/>
  <c r="AM299" i="3"/>
  <c r="AN299" i="3" s="1"/>
  <c r="AM450" i="3"/>
  <c r="AN450" i="3" s="1"/>
  <c r="AM188" i="3"/>
  <c r="AN188" i="3" s="1"/>
  <c r="AM594" i="3"/>
  <c r="AN594" i="3" s="1"/>
  <c r="AM429" i="3"/>
  <c r="AN429" i="3" s="1"/>
  <c r="AM440" i="3"/>
  <c r="AN440" i="3" s="1"/>
  <c r="AM102" i="3"/>
  <c r="AN102" i="3" s="1"/>
  <c r="AM121" i="3"/>
  <c r="AN121" i="3" s="1"/>
  <c r="AM324" i="3"/>
  <c r="AN324" i="3" s="1"/>
  <c r="AM609" i="3"/>
  <c r="AN609" i="3" s="1"/>
  <c r="AM400" i="3"/>
  <c r="AN400" i="3" s="1"/>
  <c r="AM433" i="3"/>
  <c r="AN433" i="3" s="1"/>
  <c r="AM455" i="3"/>
  <c r="AN455" i="3" s="1"/>
  <c r="AM494" i="3"/>
  <c r="AN494" i="3" s="1"/>
  <c r="AM545" i="3"/>
  <c r="AN545" i="3" s="1"/>
  <c r="AM445" i="3"/>
  <c r="AN445" i="3" s="1"/>
  <c r="AM176" i="3"/>
  <c r="AN176" i="3" s="1"/>
  <c r="AM599" i="3"/>
  <c r="AN599" i="3" s="1"/>
  <c r="AM339" i="3"/>
  <c r="AN339" i="3" s="1"/>
  <c r="AM195" i="3"/>
  <c r="AN195" i="3" s="1"/>
  <c r="AM216" i="3"/>
  <c r="AN216" i="3" s="1"/>
  <c r="AM350" i="3"/>
  <c r="AN350" i="3" s="1"/>
  <c r="AM421" i="3"/>
  <c r="AN421" i="3" s="1"/>
  <c r="AM330" i="3"/>
  <c r="AN330" i="3" s="1"/>
  <c r="AM422" i="3"/>
  <c r="AN422" i="3" s="1"/>
  <c r="AM181" i="3"/>
  <c r="AM603" i="3"/>
  <c r="AN603" i="3" s="1"/>
  <c r="AM560" i="3"/>
  <c r="AN560" i="3" s="1"/>
  <c r="AM613" i="3"/>
  <c r="AN613" i="3" s="1"/>
  <c r="AM70" i="3"/>
  <c r="AN70" i="3" s="1"/>
  <c r="AM260" i="3"/>
  <c r="AN260" i="3" s="1"/>
  <c r="AM133" i="3"/>
  <c r="AN133" i="3" s="1"/>
  <c r="AM574" i="3"/>
  <c r="AN574" i="3" s="1"/>
  <c r="AM618" i="3"/>
  <c r="AN618" i="3" s="1"/>
  <c r="AM293" i="3"/>
  <c r="AN293" i="3" s="1"/>
  <c r="AM83" i="3"/>
  <c r="AN83" i="3" s="1"/>
  <c r="AM273" i="3"/>
  <c r="AN273" i="3" s="1"/>
  <c r="AM142" i="3"/>
  <c r="AN142" i="3" s="1"/>
  <c r="AM567" i="3"/>
  <c r="AN567" i="3" s="1"/>
  <c r="AM115" i="3"/>
  <c r="AN115" i="3" s="1"/>
  <c r="AM624" i="3"/>
  <c r="AN624" i="3" s="1"/>
  <c r="AM245" i="3"/>
  <c r="AN245" i="3" s="1"/>
  <c r="AM479" i="3"/>
  <c r="AN479" i="3" s="1"/>
  <c r="AM331" i="3"/>
  <c r="AN331" i="3" s="1"/>
  <c r="AM159" i="3"/>
  <c r="AN159" i="3" s="1"/>
  <c r="AM281" i="3"/>
  <c r="AN281" i="3" s="1"/>
  <c r="AM552" i="3"/>
  <c r="AN552" i="3" s="1"/>
  <c r="AM147" i="3"/>
  <c r="AN147" i="3" s="1"/>
  <c r="AM604" i="3"/>
  <c r="AN604" i="3" s="1"/>
  <c r="AM625" i="3"/>
  <c r="AN625" i="3" s="1"/>
  <c r="AM601" i="3"/>
  <c r="AN601" i="3" s="1"/>
  <c r="AM191" i="3"/>
  <c r="AN191" i="3" s="1"/>
  <c r="AM436" i="3"/>
  <c r="AN436" i="3" s="1"/>
  <c r="AM521" i="3"/>
  <c r="AN521" i="3" s="1"/>
  <c r="AM583" i="3"/>
  <c r="AN583" i="3" s="1"/>
  <c r="AM211" i="3"/>
  <c r="AN211" i="3" s="1"/>
  <c r="AM197" i="3"/>
  <c r="AN197" i="3" s="1"/>
  <c r="AM122" i="3"/>
  <c r="AN122" i="3" s="1"/>
  <c r="AM347" i="3"/>
  <c r="AN347" i="3" s="1"/>
  <c r="AM282" i="3"/>
  <c r="AN282" i="3" s="1"/>
  <c r="AM483" i="3"/>
  <c r="AN483" i="3" s="1"/>
  <c r="AM443" i="3"/>
  <c r="AM464" i="3"/>
  <c r="AN464" i="3" s="1"/>
  <c r="AM344" i="3"/>
  <c r="AN344" i="3" s="1"/>
  <c r="AM295" i="3"/>
  <c r="AN295" i="3" s="1"/>
  <c r="AM498" i="3"/>
  <c r="AN498" i="3" s="1"/>
  <c r="AM608" i="3"/>
  <c r="AN608" i="3" s="1"/>
  <c r="AM546" i="3"/>
  <c r="AN546" i="3" s="1"/>
  <c r="AM205" i="3"/>
  <c r="AN205" i="3" s="1"/>
  <c r="AM444" i="3"/>
  <c r="AN444" i="3" s="1"/>
  <c r="AM541" i="3"/>
  <c r="AN541" i="3" s="1"/>
  <c r="AM369" i="3"/>
  <c r="AN369" i="3" s="1"/>
  <c r="AM561" i="3"/>
  <c r="AN561" i="3" s="1"/>
  <c r="AM107" i="3"/>
  <c r="AN107" i="3" s="1"/>
  <c r="AM214" i="3"/>
  <c r="AN214" i="3" s="1"/>
  <c r="AM307" i="3"/>
  <c r="AN307" i="3" s="1"/>
  <c r="AM76" i="3"/>
  <c r="AN76" i="3" s="1"/>
  <c r="AM91" i="3"/>
  <c r="AN91" i="3" s="1"/>
  <c r="AM525" i="3"/>
  <c r="AN525" i="3" s="1"/>
  <c r="AM84" i="3"/>
  <c r="AN84" i="3" s="1"/>
  <c r="AM562" i="3"/>
  <c r="AN562" i="3" s="1"/>
  <c r="AM411" i="3"/>
  <c r="AN411" i="3" s="1"/>
  <c r="AM256" i="3"/>
  <c r="AN256" i="3" s="1"/>
  <c r="AM430" i="3"/>
  <c r="AN430" i="3" s="1"/>
  <c r="AM423" i="3"/>
  <c r="AN423" i="3" s="1"/>
  <c r="AM278" i="3"/>
  <c r="AN278" i="3" s="1"/>
  <c r="AM129" i="3"/>
  <c r="AN129" i="3" s="1"/>
  <c r="AM373" i="3"/>
  <c r="AN373" i="3" s="1"/>
  <c r="AM512" i="3"/>
  <c r="AN512" i="3" s="1"/>
  <c r="AM619" i="3"/>
  <c r="AN619" i="3" s="1"/>
  <c r="AM325" i="3"/>
  <c r="AN325" i="3" s="1"/>
  <c r="AM465" i="3"/>
  <c r="AN465" i="3" s="1"/>
  <c r="AM358" i="3"/>
  <c r="AN358" i="3" s="1"/>
  <c r="AM589" i="3"/>
  <c r="AN589" i="3" s="1"/>
  <c r="AM414" i="3"/>
  <c r="AN414" i="3" s="1"/>
  <c r="AM85" i="3"/>
  <c r="AN85" i="3" s="1"/>
  <c r="AM610" i="3"/>
  <c r="AN610" i="3" s="1"/>
  <c r="AM375" i="3"/>
  <c r="AN375" i="3" s="1"/>
  <c r="AM348" i="3"/>
  <c r="AN348" i="3" s="1"/>
  <c r="AM321" i="3"/>
  <c r="AN321" i="3" s="1"/>
  <c r="AM415" i="3"/>
  <c r="AN415" i="3" s="1"/>
  <c r="AM456" i="3"/>
  <c r="AN456" i="3" s="1"/>
  <c r="AM489" i="3"/>
  <c r="AN489" i="3" s="1"/>
  <c r="AM103" i="3"/>
  <c r="AN103" i="3" s="1"/>
  <c r="AM365" i="3"/>
  <c r="AN365" i="3" s="1"/>
  <c r="AM345" i="3"/>
  <c r="AN345" i="3" s="1"/>
  <c r="AM484" i="3"/>
  <c r="AN484" i="3" s="1"/>
  <c r="AM11" i="3"/>
  <c r="AN11" i="3" s="1"/>
  <c r="AM480" i="3"/>
  <c r="AN480" i="3" s="1"/>
  <c r="AM503" i="3"/>
  <c r="AN503" i="3" s="1"/>
  <c r="AM457" i="3"/>
  <c r="AN457" i="3" s="1"/>
  <c r="AM257" i="3"/>
  <c r="AN257" i="3" s="1"/>
  <c r="AM269" i="3"/>
  <c r="AN269" i="3" s="1"/>
  <c r="AM6" i="3"/>
  <c r="AN6" i="3" s="1"/>
  <c r="AM549" i="3"/>
  <c r="AN549" i="3" s="1"/>
  <c r="AM386" i="3"/>
  <c r="AN386" i="3" s="1"/>
  <c r="AM615" i="3"/>
  <c r="AN615" i="3" s="1"/>
  <c r="AM152" i="3"/>
  <c r="AN152" i="3" s="1"/>
  <c r="AM535" i="3"/>
  <c r="AN535" i="3" s="1"/>
  <c r="AM407" i="3"/>
  <c r="AN407" i="3" s="1"/>
  <c r="AM153" i="3"/>
  <c r="AN153" i="3" s="1"/>
  <c r="AM156" i="3"/>
  <c r="AN156" i="3" s="1"/>
  <c r="AM110" i="3"/>
  <c r="AN110" i="3" s="1"/>
  <c r="AM217" i="3"/>
  <c r="AN217" i="3" s="1"/>
  <c r="AM177" i="3"/>
  <c r="AN177" i="3" s="1"/>
  <c r="AM514" i="3"/>
  <c r="AN514" i="3" s="1"/>
  <c r="AM558" i="3"/>
  <c r="AN558" i="3" s="1"/>
  <c r="AM575" i="3"/>
  <c r="AN575" i="3" s="1"/>
  <c r="AM168" i="3"/>
  <c r="AN168" i="3" s="1"/>
  <c r="AM629" i="3"/>
  <c r="AN629" i="3" s="1"/>
  <c r="AM412" i="3"/>
  <c r="AN412" i="3" s="1"/>
  <c r="AM179" i="3"/>
  <c r="AN179" i="3" s="1"/>
  <c r="AM332" i="3"/>
  <c r="AN332" i="3" s="1"/>
  <c r="AM394" i="3"/>
  <c r="AN394" i="3" s="1"/>
  <c r="AM288" i="3"/>
  <c r="AN288" i="3" s="1"/>
  <c r="AM434" i="3"/>
  <c r="AN434" i="3" s="1"/>
  <c r="AM351" i="3"/>
  <c r="AN351" i="3" s="1"/>
  <c r="AM416" i="3"/>
  <c r="AN416" i="3" s="1"/>
  <c r="AM398" i="3"/>
  <c r="AN398" i="3" s="1"/>
  <c r="AM420" i="3"/>
  <c r="AN420" i="3" s="1"/>
  <c r="AM487" i="3"/>
  <c r="AN487" i="3" s="1"/>
  <c r="AM116" i="3"/>
  <c r="AN116" i="3" s="1"/>
  <c r="AM137" i="3"/>
  <c r="AN137" i="3" s="1"/>
  <c r="AM130" i="3"/>
  <c r="AN130" i="3" s="1"/>
  <c r="AM240" i="3"/>
  <c r="AN240" i="3" s="1"/>
  <c r="AM612" i="3"/>
  <c r="AN612" i="3" s="1"/>
  <c r="AM192" i="3"/>
  <c r="AN192" i="3" s="1"/>
  <c r="AM631" i="3"/>
  <c r="AN631" i="3" s="1"/>
  <c r="AM568" i="3"/>
  <c r="AN568" i="3" s="1"/>
  <c r="AM469" i="3"/>
  <c r="AN469" i="3" s="1"/>
  <c r="AM279" i="3"/>
  <c r="AN279" i="3" s="1"/>
  <c r="AM221" i="3"/>
  <c r="AN221" i="3" s="1"/>
  <c r="AM533" i="3"/>
  <c r="AN533" i="3" s="1"/>
  <c r="AM595" i="3"/>
  <c r="AN595" i="3" s="1"/>
  <c r="AM311" i="3"/>
  <c r="AN311" i="3" s="1"/>
  <c r="AM304" i="3"/>
  <c r="AN304" i="3" s="1"/>
  <c r="AM3" i="3"/>
  <c r="AM626" i="3"/>
  <c r="AN626" i="3" s="1"/>
  <c r="AM180" i="3"/>
  <c r="AN180" i="3" s="1"/>
  <c r="AM261" i="3"/>
  <c r="AN261" i="3" s="1"/>
  <c r="AM230" i="3"/>
  <c r="AN230" i="3" s="1"/>
  <c r="AM226" i="3"/>
  <c r="AN226" i="3" s="1"/>
  <c r="AM379" i="3"/>
  <c r="AN379" i="3" s="1"/>
  <c r="AM499" i="3"/>
  <c r="AN499" i="3" s="1"/>
  <c r="AM396" i="3"/>
  <c r="AN396" i="3" s="1"/>
  <c r="AM458" i="3"/>
  <c r="AN458" i="3" s="1"/>
  <c r="AM112" i="3"/>
  <c r="AN112" i="3" s="1"/>
  <c r="AM333" i="3"/>
  <c r="AN333" i="3" s="1"/>
  <c r="AM542" i="3"/>
  <c r="AN542" i="3" s="1"/>
  <c r="AM66" i="3"/>
  <c r="AM134" i="3"/>
  <c r="AN134" i="3" s="1"/>
  <c r="AM536" i="3"/>
  <c r="AN536" i="3" s="1"/>
  <c r="AM390" i="3"/>
  <c r="AN390" i="3" s="1"/>
  <c r="AM178" i="3"/>
  <c r="AN178" i="3" s="1"/>
  <c r="AM274" i="3"/>
  <c r="AN274" i="3" s="1"/>
  <c r="AM334" i="3"/>
  <c r="AN334" i="3" s="1"/>
  <c r="AM119" i="3"/>
  <c r="AN119" i="3" s="1"/>
  <c r="AM264" i="3"/>
  <c r="AN264" i="3" s="1"/>
  <c r="AM529" i="3"/>
  <c r="AN529" i="3" s="1"/>
  <c r="AM316" i="3"/>
  <c r="AN316" i="3" s="1"/>
  <c r="AM78" i="3"/>
  <c r="AN78" i="3" s="1"/>
  <c r="AM453" i="3"/>
  <c r="AN453" i="3" s="1"/>
  <c r="AM232" i="3"/>
  <c r="AN232" i="3" s="1"/>
  <c r="AM241" i="3"/>
  <c r="AN241" i="3" s="1"/>
  <c r="AM584" i="3"/>
  <c r="AN584" i="3" s="1"/>
  <c r="AM52" i="3"/>
  <c r="AN52" i="3" s="1"/>
  <c r="AM517" i="3"/>
  <c r="AN517" i="3" s="1"/>
  <c r="AM620" i="3"/>
  <c r="AN620" i="3" s="1"/>
  <c r="AM16" i="3"/>
  <c r="AN16" i="3" s="1"/>
  <c r="AM335" i="3"/>
  <c r="AN335" i="3" s="1"/>
  <c r="AM138" i="3"/>
  <c r="AN138" i="3" s="1"/>
  <c r="AM441" i="3"/>
  <c r="AN441" i="3" s="1"/>
  <c r="AM504" i="3"/>
  <c r="AN504" i="3" s="1"/>
  <c r="AM355" i="3"/>
  <c r="AN355" i="3" s="1"/>
  <c r="AM98" i="3"/>
  <c r="AN98" i="3" s="1"/>
  <c r="AM600" i="3"/>
  <c r="AN600" i="3" s="1"/>
  <c r="AM383" i="3"/>
  <c r="AN383" i="3" s="1"/>
  <c r="AM94" i="3"/>
  <c r="AN94" i="3" s="1"/>
  <c r="AM308" i="3"/>
  <c r="AN308" i="3" s="1"/>
  <c r="AM99" i="3"/>
  <c r="AN99" i="3" s="1"/>
  <c r="AM270" i="3"/>
  <c r="AN270" i="3" s="1"/>
  <c r="AM387" i="3"/>
  <c r="AN387" i="3" s="1"/>
  <c r="AM143" i="3"/>
  <c r="AN143" i="3" s="1"/>
  <c r="AM193" i="3"/>
  <c r="AN193" i="3" s="1"/>
  <c r="AM471" i="3"/>
  <c r="AN471" i="3" s="1"/>
  <c r="AM367" i="3"/>
  <c r="AN367" i="3" s="1"/>
  <c r="AM218" i="3"/>
  <c r="AN218" i="3" s="1"/>
  <c r="AM246" i="3"/>
  <c r="AN246" i="3" s="1"/>
  <c r="AM242" i="3"/>
  <c r="AN242" i="3" s="1"/>
  <c r="AM59" i="3"/>
  <c r="AN59" i="3" s="1"/>
  <c r="AM490" i="3"/>
  <c r="AN490" i="3" s="1"/>
  <c r="AM340" i="3"/>
  <c r="AN340" i="3" s="1"/>
  <c r="AM495" i="3"/>
  <c r="AN495" i="3" s="1"/>
  <c r="AM79" i="3"/>
  <c r="AN79" i="3" s="1"/>
  <c r="AM283" i="3"/>
  <c r="AN283" i="3" s="1"/>
  <c r="AM336" i="3"/>
  <c r="AN336" i="3" s="1"/>
  <c r="AM404" i="3"/>
  <c r="AN404" i="3" s="1"/>
  <c r="AM370" i="3"/>
  <c r="AN370" i="3" s="1"/>
  <c r="AM427" i="3"/>
  <c r="AN427" i="3" s="1"/>
  <c r="AM539" i="3"/>
  <c r="AN539" i="3" s="1"/>
  <c r="AM341" i="3"/>
  <c r="AN341" i="3" s="1"/>
  <c r="AM300" i="3"/>
  <c r="AN300" i="3" s="1"/>
  <c r="AM513" i="3"/>
  <c r="AN513" i="3" s="1"/>
  <c r="AM380" i="3"/>
  <c r="AN380" i="3" s="1"/>
  <c r="AM258" i="3"/>
  <c r="AN258" i="3" s="1"/>
  <c r="AM208" i="3"/>
  <c r="AN208" i="3" s="1"/>
  <c r="AM526" i="3"/>
  <c r="AN526" i="3" s="1"/>
  <c r="AM92" i="3"/>
  <c r="AN92" i="3" s="1"/>
  <c r="AM262" i="3"/>
  <c r="AN262" i="3" s="1"/>
  <c r="AM500" i="3"/>
  <c r="AN500" i="3" s="1"/>
  <c r="AM442" i="3"/>
  <c r="AN442" i="3" s="1"/>
  <c r="AM53" i="3"/>
  <c r="AN53" i="3" s="1"/>
  <c r="AM359" i="3"/>
  <c r="AN359" i="3" s="1"/>
  <c r="AM5" i="3"/>
  <c r="AN5" i="3" s="1"/>
  <c r="AM528" i="3"/>
  <c r="AN528" i="3" s="1"/>
  <c r="AM632" i="3"/>
  <c r="AN632" i="3" s="1"/>
  <c r="AM482" i="3"/>
  <c r="AN482" i="3" s="1"/>
  <c r="AM515" i="3"/>
  <c r="AN515" i="3" s="1"/>
  <c r="AM388" i="3"/>
  <c r="AN388" i="3" s="1"/>
  <c r="AM384" i="3"/>
  <c r="AN384" i="3" s="1"/>
  <c r="AM265" i="3"/>
  <c r="AN265" i="3" s="1"/>
  <c r="AM474" i="3"/>
  <c r="AN474" i="3" s="1"/>
  <c r="AM296" i="3"/>
  <c r="AN296" i="3" s="1"/>
  <c r="AM233" i="3"/>
  <c r="AN233" i="3" s="1"/>
  <c r="AM144" i="3"/>
  <c r="AN144" i="3" s="1"/>
  <c r="AM478" i="3"/>
  <c r="AN478" i="3" s="1"/>
  <c r="AM385" i="3"/>
  <c r="AN385" i="3" s="1"/>
  <c r="AM48" i="3"/>
  <c r="AN48" i="3" s="1"/>
  <c r="AM496" i="3"/>
  <c r="AN496" i="3" s="1"/>
  <c r="AM368" i="3"/>
  <c r="AN368" i="3" s="1"/>
  <c r="AM145" i="3"/>
  <c r="AN145" i="3" s="1"/>
  <c r="AM212" i="3"/>
  <c r="AN212" i="3" s="1"/>
  <c r="AM592" i="3"/>
  <c r="AN592" i="3" s="1"/>
  <c r="AM222" i="3"/>
  <c r="AN222" i="3" s="1"/>
  <c r="AM160" i="3"/>
  <c r="AN160" i="3" s="1"/>
  <c r="AM439" i="3"/>
  <c r="AN439" i="3" s="1"/>
  <c r="AM633" i="3"/>
  <c r="AN633" i="3" s="1"/>
  <c r="AM19" i="3"/>
  <c r="AN19" i="3" s="1"/>
  <c r="AM174" i="3"/>
  <c r="AN174" i="3" s="1"/>
  <c r="AM401" i="3"/>
  <c r="AN401" i="3" s="1"/>
  <c r="AM585" i="3"/>
  <c r="AN585" i="3" s="1"/>
  <c r="AM139" i="3"/>
  <c r="AN139" i="3" s="1"/>
  <c r="AM219" i="3"/>
  <c r="AN219" i="3" s="1"/>
  <c r="AM169" i="3"/>
  <c r="AN169" i="3" s="1"/>
  <c r="AM148" i="3"/>
  <c r="AN148" i="3" s="1"/>
  <c r="AM563" i="3"/>
  <c r="AN563" i="3" s="1"/>
  <c r="AM621" i="3"/>
  <c r="AN621" i="3" s="1"/>
  <c r="AM470" i="3"/>
  <c r="AN470" i="3" s="1"/>
  <c r="AM460" i="3"/>
  <c r="AN460" i="3" s="1"/>
  <c r="AM289" i="3"/>
  <c r="AN289" i="3" s="1"/>
  <c r="AM596" i="3"/>
  <c r="AN596" i="3" s="1"/>
  <c r="AM593" i="3"/>
  <c r="AN593" i="3" s="1"/>
  <c r="AM408" i="3"/>
  <c r="AN408" i="3" s="1"/>
  <c r="AM225" i="3"/>
  <c r="AN225" i="3" s="1"/>
  <c r="AM111" i="3"/>
  <c r="AN111" i="3" s="1"/>
  <c r="AM271" i="3"/>
  <c r="AN271" i="3" s="1"/>
  <c r="AM337" i="3"/>
  <c r="AN337" i="3" s="1"/>
  <c r="AM630" i="3"/>
  <c r="AN630" i="3" s="1"/>
  <c r="AM71" i="3"/>
  <c r="AN71" i="3" s="1"/>
  <c r="AM42" i="3"/>
  <c r="AN42" i="3" s="1"/>
  <c r="AM322" i="3"/>
  <c r="AN322" i="3" s="1"/>
  <c r="AM182" i="3"/>
  <c r="AN182" i="3" s="1"/>
  <c r="AM553" i="3"/>
  <c r="AN553" i="3" s="1"/>
  <c r="AM189" i="3"/>
  <c r="AN189" i="3" s="1"/>
  <c r="AM627" i="3"/>
  <c r="AN627" i="3" s="1"/>
  <c r="AM135" i="3"/>
  <c r="AN135" i="3" s="1"/>
  <c r="AM123" i="3"/>
  <c r="AN123" i="3" s="1"/>
  <c r="AM243" i="3"/>
  <c r="AN243" i="3" s="1"/>
  <c r="AM326" i="3"/>
  <c r="AN326" i="3" s="1"/>
  <c r="AM309" i="3"/>
  <c r="AN309" i="3" s="1"/>
  <c r="AM46" i="3"/>
  <c r="AN46" i="3" s="1"/>
  <c r="AM547" i="3"/>
  <c r="AN547" i="3" s="1"/>
  <c r="AM590" i="3"/>
  <c r="AN590" i="3" s="1"/>
  <c r="AM586" i="3"/>
  <c r="AN586" i="3" s="1"/>
  <c r="AM622" i="3"/>
  <c r="AN622" i="3" s="1"/>
  <c r="AM54" i="3"/>
  <c r="AN54" i="3" s="1"/>
  <c r="AM312" i="3"/>
  <c r="AN312" i="3" s="1"/>
  <c r="AM290" i="3"/>
  <c r="AN290" i="3" s="1"/>
  <c r="AM548" i="3"/>
  <c r="AN548" i="3" s="1"/>
  <c r="AM366" i="3"/>
  <c r="AN366" i="3" s="1"/>
  <c r="AM297" i="3"/>
  <c r="AN297" i="3" s="1"/>
  <c r="AM569" i="3"/>
  <c r="AN569" i="3" s="1"/>
  <c r="AM213" i="3"/>
  <c r="AN213" i="3" s="1"/>
  <c r="AM559" i="3"/>
  <c r="AN559" i="3" s="1"/>
  <c r="AM280" i="3"/>
  <c r="AN280" i="3" s="1"/>
  <c r="AM7" i="3"/>
  <c r="AM113" i="3"/>
  <c r="AN113" i="3" s="1"/>
  <c r="AM249" i="3"/>
  <c r="AN249" i="3" s="1"/>
  <c r="AM118" i="3"/>
  <c r="AN118" i="3" s="1"/>
  <c r="AM157" i="3"/>
  <c r="AN157" i="3" s="1"/>
  <c r="AM163" i="3"/>
  <c r="AN163" i="3" s="1"/>
  <c r="AM57" i="3"/>
  <c r="AN57" i="3" s="1"/>
  <c r="AM501" i="3"/>
  <c r="AN501" i="3" s="1"/>
  <c r="AM149" i="3"/>
  <c r="AN149" i="3" s="1"/>
  <c r="AM587" i="3"/>
  <c r="AN587" i="3" s="1"/>
  <c r="AM372" i="3"/>
  <c r="AN372" i="3" s="1"/>
  <c r="AM317" i="3"/>
  <c r="AN317" i="3" s="1"/>
  <c r="AM554" i="3"/>
  <c r="AN554" i="3" s="1"/>
  <c r="AM150" i="3"/>
  <c r="AN150" i="3" s="1"/>
  <c r="AM518" i="3"/>
  <c r="AN518" i="3" s="1"/>
  <c r="AM530" i="3"/>
  <c r="AN530" i="3" s="1"/>
  <c r="AM431" i="3"/>
  <c r="AN431" i="3" s="1"/>
  <c r="AM424" i="3"/>
  <c r="AN424" i="3" s="1"/>
  <c r="AM435" i="3"/>
  <c r="AN435" i="3" s="1"/>
  <c r="AM131" i="3"/>
  <c r="AN131" i="3" s="1"/>
  <c r="AM10" i="3"/>
  <c r="AN10" i="3" s="1"/>
  <c r="AM301" i="3"/>
  <c r="AN301" i="3" s="1"/>
  <c r="AM602" i="3"/>
  <c r="AN602" i="3" s="1"/>
  <c r="AM185" i="3"/>
  <c r="AN185" i="3" s="1"/>
  <c r="AM117" i="3"/>
  <c r="AN117" i="3" s="1"/>
  <c r="AM485" i="3"/>
  <c r="AN485" i="3" s="1"/>
  <c r="AM266" i="3"/>
  <c r="AN266" i="3" s="1"/>
  <c r="AM303" i="3"/>
  <c r="AN303" i="3" s="1"/>
  <c r="AM327" i="3"/>
  <c r="AN327" i="3" s="1"/>
  <c r="AM67" i="3"/>
  <c r="AN67" i="3" s="1"/>
  <c r="AM58" i="3"/>
  <c r="AN58" i="3" s="1"/>
  <c r="AM342" i="3"/>
  <c r="AN342" i="3" s="1"/>
  <c r="AM597" i="3"/>
  <c r="AN597" i="3" s="1"/>
  <c r="AM502" i="3"/>
  <c r="AN502" i="3" s="1"/>
  <c r="AM377" i="3"/>
  <c r="AN377" i="3" s="1"/>
  <c r="AM491" i="3"/>
  <c r="AN491" i="3" s="1"/>
  <c r="AM360" i="3"/>
  <c r="AN360" i="3" s="1"/>
  <c r="AM223" i="3"/>
  <c r="AN223" i="3" s="1"/>
  <c r="AM13" i="3"/>
  <c r="AM43" i="3"/>
  <c r="AN43" i="3" s="1"/>
  <c r="AM104" i="3"/>
  <c r="AN104" i="3" s="1"/>
  <c r="AM571" i="3"/>
  <c r="AN571" i="3" s="1"/>
  <c r="AM588" i="3"/>
  <c r="AN588" i="3" s="1"/>
  <c r="AM201" i="3"/>
  <c r="AN201" i="3" s="1"/>
  <c r="AM284" i="3"/>
  <c r="AN284" i="3" s="1"/>
  <c r="AM190" i="3"/>
  <c r="AN190" i="3" s="1"/>
  <c r="AM466" i="3"/>
  <c r="AN466" i="3" s="1"/>
  <c r="AM272" i="3"/>
  <c r="AN272" i="3" s="1"/>
  <c r="AM275" i="3"/>
  <c r="AN275" i="3" s="1"/>
  <c r="AM580" i="3"/>
  <c r="AN580" i="3" s="1"/>
  <c r="AM570" i="3"/>
  <c r="AN570" i="3" s="1"/>
  <c r="AM550" i="3"/>
  <c r="AN550" i="3" s="1"/>
  <c r="AM93" i="3"/>
  <c r="AN93" i="3" s="1"/>
  <c r="AM520" i="3"/>
  <c r="AN520" i="3" s="1"/>
  <c r="AM253" i="3"/>
  <c r="AN253" i="3" s="1"/>
  <c r="AM537" i="3"/>
  <c r="AN537" i="3" s="1"/>
  <c r="AM95" i="3"/>
  <c r="AN95" i="3" s="1"/>
  <c r="AM108" i="3"/>
  <c r="AN108" i="3" s="1"/>
  <c r="AM437" i="3"/>
  <c r="AN437" i="3" s="1"/>
  <c r="AM12" i="3"/>
  <c r="AM361" i="3"/>
  <c r="AN361" i="3" s="1"/>
  <c r="AM267" i="3"/>
  <c r="AN267" i="3" s="1"/>
  <c r="AM329" i="3"/>
  <c r="AN329" i="3" s="1"/>
  <c r="AM497" i="3"/>
  <c r="AN497" i="3" s="1"/>
  <c r="AM234" i="3"/>
  <c r="AN234" i="3" s="1"/>
  <c r="AM446" i="3"/>
  <c r="AN446" i="3" s="1"/>
  <c r="AM187" i="3"/>
  <c r="AN187" i="3" s="1"/>
  <c r="AM151" i="3"/>
  <c r="AN151" i="3" s="1"/>
  <c r="AM44" i="3"/>
  <c r="AN44" i="3" s="1"/>
  <c r="AM235" i="3"/>
  <c r="AN235" i="3" s="1"/>
  <c r="AM378" i="3"/>
  <c r="AN378" i="3" s="1"/>
  <c r="AM206" i="3"/>
  <c r="AN206" i="3" s="1"/>
  <c r="AM323" i="3"/>
  <c r="AN323" i="3" s="1"/>
  <c r="AM352" i="3"/>
  <c r="AN352" i="3" s="1"/>
  <c r="AM318" i="3"/>
  <c r="AN318" i="3" s="1"/>
  <c r="AM172" i="3"/>
  <c r="AN172" i="3" s="1"/>
  <c r="AM244" i="3"/>
  <c r="AN244" i="3" s="1"/>
  <c r="AM508" i="3"/>
  <c r="AN508" i="3" s="1"/>
  <c r="AM616" i="3"/>
  <c r="AN616" i="3" s="1"/>
  <c r="AM598" i="3"/>
  <c r="AN598" i="3" s="1"/>
  <c r="AM611" i="3"/>
  <c r="AN611" i="3" s="1"/>
  <c r="AM202" i="3"/>
  <c r="AN202" i="3" s="1"/>
  <c r="AM198" i="3"/>
  <c r="AN198" i="3" s="1"/>
  <c r="AM409" i="3"/>
  <c r="AN409" i="3" s="1"/>
  <c r="AM161" i="3"/>
  <c r="AN161" i="3" s="1"/>
  <c r="AM628" i="3"/>
  <c r="AN628" i="3" s="1"/>
  <c r="AM417" i="3"/>
  <c r="AN417" i="3" s="1"/>
  <c r="AM305" i="3"/>
  <c r="AN305" i="3" s="1"/>
  <c r="AM88" i="3"/>
  <c r="AN88" i="3" s="1"/>
  <c r="AM80" i="3"/>
  <c r="AN80" i="3" s="1"/>
  <c r="AM509" i="3"/>
  <c r="AN509" i="3" s="1"/>
  <c r="AM581" i="3"/>
  <c r="AN581" i="3" s="1"/>
  <c r="AM425" i="3"/>
  <c r="AN425" i="3" s="1"/>
  <c r="AM140" i="3"/>
  <c r="AN140" i="3" s="1"/>
  <c r="AM170" i="3"/>
  <c r="AN170" i="3" s="1"/>
  <c r="AM4" i="3"/>
  <c r="AN4" i="3" s="1"/>
  <c r="AM389" i="3"/>
  <c r="AN389" i="3" s="1"/>
  <c r="AM461" i="3"/>
  <c r="AN461" i="3" s="1"/>
  <c r="AM397" i="3"/>
  <c r="AN397" i="3" s="1"/>
  <c r="AM395" i="3"/>
  <c r="AN395" i="3" s="1"/>
  <c r="AM572" i="3"/>
  <c r="AN572" i="3" s="1"/>
  <c r="AM605" i="3"/>
  <c r="AN605" i="3" s="1"/>
  <c r="AM171" i="3"/>
  <c r="AN171" i="3" s="1"/>
  <c r="AM573" i="3"/>
  <c r="AN573" i="3" s="1"/>
  <c r="AM472" i="3"/>
  <c r="AN472" i="3" s="1"/>
  <c r="AM183" i="3"/>
  <c r="AN183" i="3" s="1"/>
  <c r="AM127" i="3"/>
  <c r="AN127" i="3" s="1"/>
  <c r="AM314" i="3"/>
  <c r="AN314" i="3" s="1"/>
  <c r="AM89" i="3"/>
  <c r="AN89" i="3" s="1"/>
  <c r="AM538" i="3"/>
  <c r="AN538" i="3" s="1"/>
  <c r="AM8" i="3"/>
  <c r="AN8" i="3" s="1"/>
  <c r="AM356" i="3"/>
  <c r="AN356" i="3" s="1"/>
  <c r="AM254" i="3"/>
  <c r="AN254" i="3" s="1"/>
  <c r="AM556" i="3"/>
  <c r="AN556" i="3" s="1"/>
  <c r="AM128" i="3"/>
  <c r="AN128" i="3" s="1"/>
  <c r="AM402" i="3"/>
  <c r="AN402" i="3" s="1"/>
  <c r="AM194" i="3"/>
  <c r="AN194" i="3" s="1"/>
  <c r="AM68" i="3"/>
  <c r="AM196" i="3"/>
  <c r="AN196" i="3" s="1"/>
  <c r="AM313" i="3"/>
  <c r="AN313" i="3" s="1"/>
  <c r="AM413" i="3"/>
  <c r="AN413" i="3" s="1"/>
  <c r="J105" i="3"/>
  <c r="K105" i="3" s="1"/>
  <c r="J578" i="3"/>
  <c r="J362" i="3"/>
  <c r="K362" i="3" s="1"/>
  <c r="J492" i="3"/>
  <c r="K492" i="3" s="1"/>
  <c r="J632" i="3"/>
  <c r="K632" i="3" s="1"/>
  <c r="J181" i="3"/>
  <c r="K181" i="3" s="1"/>
  <c r="J311" i="3"/>
  <c r="K311" i="3" s="1"/>
  <c r="J531" i="3"/>
  <c r="J286" i="3"/>
  <c r="K286" i="3" s="1"/>
  <c r="J146" i="3"/>
  <c r="K146" i="3" s="1"/>
  <c r="J10" i="3"/>
  <c r="K10" i="3" s="1"/>
  <c r="J482" i="3"/>
  <c r="K482" i="3" s="1"/>
  <c r="J141" i="3"/>
  <c r="K141" i="3" s="1"/>
  <c r="J547" i="3"/>
  <c r="K547" i="3" s="1"/>
  <c r="J62" i="3"/>
  <c r="K62" i="3" s="1"/>
  <c r="J239" i="3"/>
  <c r="J590" i="3"/>
  <c r="K590" i="3" s="1"/>
  <c r="J515" i="3"/>
  <c r="K515" i="3" s="1"/>
  <c r="J56" i="3"/>
  <c r="K56" i="3" s="1"/>
  <c r="J235" i="3"/>
  <c r="J209" i="3"/>
  <c r="J416" i="3"/>
  <c r="K416" i="3" s="1"/>
  <c r="J51" i="3"/>
  <c r="K51" i="3" s="1"/>
  <c r="J205" i="3"/>
  <c r="K205" i="3" s="1"/>
  <c r="J90" i="3"/>
  <c r="K90" i="3" s="1"/>
  <c r="J21" i="3"/>
  <c r="K21" i="3" s="1"/>
  <c r="J586" i="3"/>
  <c r="K586" i="3" s="1"/>
  <c r="J467" i="3"/>
  <c r="K467" i="3" s="1"/>
  <c r="J476" i="3"/>
  <c r="K476" i="3" s="1"/>
  <c r="J408" i="3"/>
  <c r="K408" i="3" s="1"/>
  <c r="J134" i="3"/>
  <c r="K134" i="3" s="1"/>
  <c r="J445" i="3"/>
  <c r="K445" i="3" s="1"/>
  <c r="J419" i="3"/>
  <c r="K419" i="3" s="1"/>
  <c r="J198" i="3"/>
  <c r="K198" i="3" s="1"/>
  <c r="J120" i="3"/>
  <c r="J536" i="3"/>
  <c r="K536" i="3" s="1"/>
  <c r="J108" i="3"/>
  <c r="K108" i="3" s="1"/>
  <c r="J153" i="3"/>
  <c r="K153" i="3" s="1"/>
  <c r="J555" i="3"/>
  <c r="K555" i="3" s="1"/>
  <c r="J619" i="3"/>
  <c r="K619" i="3" s="1"/>
  <c r="J301" i="3"/>
  <c r="K301" i="3" s="1"/>
  <c r="J371" i="3"/>
  <c r="K371" i="3" s="1"/>
  <c r="J576" i="3"/>
  <c r="K576" i="3" s="1"/>
  <c r="J602" i="3"/>
  <c r="K602" i="3" s="1"/>
  <c r="J115" i="3"/>
  <c r="K115" i="3" s="1"/>
  <c r="J390" i="3"/>
  <c r="K390" i="3" s="1"/>
  <c r="J617" i="3"/>
  <c r="K617" i="3" s="1"/>
  <c r="J378" i="3"/>
  <c r="K378" i="3" s="1"/>
  <c r="J391" i="3"/>
  <c r="K391" i="3" s="1"/>
  <c r="J622" i="3"/>
  <c r="K622" i="3" s="1"/>
  <c r="J304" i="3"/>
  <c r="K304" i="3" s="1"/>
  <c r="J215" i="3"/>
  <c r="K215" i="3" s="1"/>
  <c r="J225" i="3"/>
  <c r="K225" i="3" s="1"/>
  <c r="J437" i="3"/>
  <c r="K437" i="3" s="1"/>
  <c r="J320" i="3"/>
  <c r="K320" i="3" s="1"/>
  <c r="J224" i="3"/>
  <c r="K224" i="3" s="1"/>
  <c r="J54" i="3"/>
  <c r="K54" i="3" s="1"/>
  <c r="J49" i="3"/>
  <c r="K49" i="3" s="1"/>
  <c r="J111" i="3"/>
  <c r="K111" i="3" s="1"/>
  <c r="J160" i="3"/>
  <c r="K160" i="3" s="1"/>
  <c r="J501" i="3"/>
  <c r="K501" i="3" s="1"/>
  <c r="J308" i="3"/>
  <c r="K308" i="3" s="1"/>
  <c r="J184" i="3"/>
  <c r="K184" i="3" s="1"/>
  <c r="J448" i="3"/>
  <c r="K448" i="3" s="1"/>
  <c r="J283" i="3"/>
  <c r="K283" i="3" s="1"/>
  <c r="J354" i="3"/>
  <c r="K354" i="3" s="1"/>
  <c r="J156" i="3"/>
  <c r="K156" i="3" s="1"/>
  <c r="J12" i="3"/>
  <c r="K12" i="3" s="1"/>
  <c r="J228" i="3"/>
  <c r="K228" i="3" s="1"/>
  <c r="J200" i="3"/>
  <c r="K200" i="3" s="1"/>
  <c r="J398" i="3"/>
  <c r="K398" i="3" s="1"/>
  <c r="J166" i="3"/>
  <c r="J178" i="3"/>
  <c r="K178" i="3" s="1"/>
  <c r="J171" i="3"/>
  <c r="K171" i="3" s="1"/>
  <c r="J312" i="3"/>
  <c r="K312" i="3" s="1"/>
  <c r="J364" i="3"/>
  <c r="K364" i="3" s="1"/>
  <c r="J624" i="3"/>
  <c r="K624" i="3" s="1"/>
  <c r="J149" i="3"/>
  <c r="K149" i="3" s="1"/>
  <c r="J325" i="3"/>
  <c r="J409" i="3"/>
  <c r="K409" i="3" s="1"/>
  <c r="J97" i="3"/>
  <c r="K97" i="3" s="1"/>
  <c r="J110" i="3"/>
  <c r="K110" i="3" s="1"/>
  <c r="J158" i="3"/>
  <c r="K158" i="3" s="1"/>
  <c r="J274" i="3"/>
  <c r="K274" i="3" s="1"/>
  <c r="J336" i="3"/>
  <c r="K336" i="3" s="1"/>
  <c r="J404" i="3"/>
  <c r="K404" i="3" s="1"/>
  <c r="J504" i="3"/>
  <c r="K504" i="3" s="1"/>
  <c r="J614" i="3"/>
  <c r="J516" i="3"/>
  <c r="K516" i="3" s="1"/>
  <c r="J573" i="3"/>
  <c r="K573" i="3" s="1"/>
  <c r="J340" i="3"/>
  <c r="K340" i="3" s="1"/>
  <c r="J18" i="3"/>
  <c r="J420" i="3"/>
  <c r="K420" i="3" s="1"/>
  <c r="J185" i="3"/>
  <c r="K185" i="3" s="1"/>
  <c r="J487" i="3"/>
  <c r="K487" i="3" s="1"/>
  <c r="J99" i="3"/>
  <c r="K99" i="3" s="1"/>
  <c r="J227" i="3"/>
  <c r="K227" i="3" s="1"/>
  <c r="J217" i="3"/>
  <c r="K217" i="3" s="1"/>
  <c r="J114" i="3"/>
  <c r="K114" i="3" s="1"/>
  <c r="J510" i="3"/>
  <c r="K510" i="3" s="1"/>
  <c r="J472" i="3"/>
  <c r="K472" i="3" s="1"/>
  <c r="J388" i="3"/>
  <c r="K388" i="3" s="1"/>
  <c r="J17" i="3"/>
  <c r="K17" i="3" s="1"/>
  <c r="J116" i="3"/>
  <c r="K116" i="3" s="1"/>
  <c r="J206" i="3"/>
  <c r="K206" i="3" s="1"/>
  <c r="J382" i="3"/>
  <c r="K382" i="3" s="1"/>
  <c r="J439" i="3"/>
  <c r="K439" i="3" s="1"/>
  <c r="J268" i="3"/>
  <c r="K268" i="3" s="1"/>
  <c r="J603" i="3"/>
  <c r="K603" i="3" s="1"/>
  <c r="J223" i="3"/>
  <c r="K223" i="3" s="1"/>
  <c r="J345" i="3"/>
  <c r="K345" i="3" s="1"/>
  <c r="J245" i="3"/>
  <c r="K245" i="3" s="1"/>
  <c r="J413" i="3"/>
  <c r="K413" i="3" s="1"/>
  <c r="J271" i="3"/>
  <c r="K271" i="3" s="1"/>
  <c r="J451" i="3"/>
  <c r="K451" i="3" s="1"/>
  <c r="J393" i="3"/>
  <c r="K393" i="3" s="1"/>
  <c r="J176" i="3"/>
  <c r="K176" i="3" s="1"/>
  <c r="J177" i="3"/>
  <c r="K177" i="3" s="1"/>
  <c r="J117" i="3"/>
  <c r="K117" i="3" s="1"/>
  <c r="J161" i="3"/>
  <c r="K161" i="3" s="1"/>
  <c r="J465" i="3"/>
  <c r="K465" i="3" s="1"/>
  <c r="J358" i="3"/>
  <c r="K358" i="3" s="1"/>
  <c r="J315" i="3"/>
  <c r="K315" i="3" s="1"/>
  <c r="J45" i="3"/>
  <c r="K45" i="3" s="1"/>
  <c r="J183" i="3"/>
  <c r="K183" i="3" s="1"/>
  <c r="J484" i="3"/>
  <c r="K484" i="3" s="1"/>
  <c r="J589" i="3"/>
  <c r="K589" i="3" s="1"/>
  <c r="J337" i="3"/>
  <c r="K337" i="3" s="1"/>
  <c r="J137" i="3"/>
  <c r="K137" i="3" s="1"/>
  <c r="J475" i="3"/>
  <c r="K475" i="3" s="1"/>
  <c r="J587" i="3"/>
  <c r="K587" i="3" s="1"/>
  <c r="J11" i="3"/>
  <c r="K11" i="3" s="1"/>
  <c r="J334" i="3"/>
  <c r="K334" i="3" s="1"/>
  <c r="J485" i="3"/>
  <c r="K485" i="3" s="1"/>
  <c r="J76" i="3"/>
  <c r="K76" i="3" s="1"/>
  <c r="J560" i="3"/>
  <c r="K560" i="3" s="1"/>
  <c r="J428" i="3"/>
  <c r="K428" i="3" s="1"/>
  <c r="J186" i="3"/>
  <c r="J247" i="3"/>
  <c r="K247" i="3" s="1"/>
  <c r="J13" i="3"/>
  <c r="K13" i="3" s="1"/>
  <c r="J630" i="3"/>
  <c r="K630" i="3" s="1"/>
  <c r="J479" i="3"/>
  <c r="K479" i="3" s="1"/>
  <c r="J599" i="3"/>
  <c r="K599" i="3" s="1"/>
  <c r="J252" i="3"/>
  <c r="K252" i="3" s="1"/>
  <c r="J633" i="3"/>
  <c r="J543" i="3"/>
  <c r="K543" i="3" s="1"/>
  <c r="J86" i="3"/>
  <c r="K86" i="3" s="1"/>
  <c r="J384" i="3"/>
  <c r="K384" i="3" s="1"/>
  <c r="J372" i="3"/>
  <c r="K372" i="3" s="1"/>
  <c r="J119" i="3"/>
  <c r="K119" i="3" s="1"/>
  <c r="J43" i="3"/>
  <c r="K43" i="3" s="1"/>
  <c r="J514" i="3"/>
  <c r="K514" i="3" s="1"/>
  <c r="J264" i="3"/>
  <c r="K264" i="3" s="1"/>
  <c r="J130" i="3"/>
  <c r="K130" i="3" s="1"/>
  <c r="J459" i="3"/>
  <c r="K459" i="3" s="1"/>
  <c r="J265" i="3"/>
  <c r="K265" i="3" s="1"/>
  <c r="J558" i="3"/>
  <c r="K558" i="3" s="1"/>
  <c r="J266" i="3"/>
  <c r="K266" i="3" s="1"/>
  <c r="J240" i="3"/>
  <c r="K240" i="3" s="1"/>
  <c r="J290" i="3"/>
  <c r="K290" i="3" s="1"/>
  <c r="J355" i="3"/>
  <c r="K355" i="3" s="1"/>
  <c r="J127" i="3"/>
  <c r="K127" i="3" s="1"/>
  <c r="J19" i="3"/>
  <c r="K19" i="3" s="1"/>
  <c r="J174" i="3"/>
  <c r="K174" i="3" s="1"/>
  <c r="J91" i="3"/>
  <c r="K91" i="3" s="1"/>
  <c r="J231" i="3"/>
  <c r="J557" i="3"/>
  <c r="K557" i="3" s="1"/>
  <c r="J323" i="3"/>
  <c r="K323" i="3" s="1"/>
  <c r="J628" i="3"/>
  <c r="K628" i="3" s="1"/>
  <c r="J104" i="3"/>
  <c r="K104" i="3" s="1"/>
  <c r="J331" i="3"/>
  <c r="K331" i="3" s="1"/>
  <c r="J612" i="3"/>
  <c r="K612" i="3" s="1"/>
  <c r="J63" i="3"/>
  <c r="K63" i="3" s="1"/>
  <c r="J480" i="3"/>
  <c r="K480" i="3" s="1"/>
  <c r="J353" i="3"/>
  <c r="K353" i="3" s="1"/>
  <c r="J306" i="3"/>
  <c r="K306" i="3" s="1"/>
  <c r="J71" i="3"/>
  <c r="K71" i="3" s="1"/>
  <c r="J317" i="3"/>
  <c r="K317" i="3" s="1"/>
  <c r="J3" i="3"/>
  <c r="K3" i="3" s="1"/>
  <c r="J346" i="3"/>
  <c r="K346" i="3" s="1"/>
  <c r="J287" i="3"/>
  <c r="K287" i="3" s="1"/>
  <c r="J192" i="3"/>
  <c r="K192" i="3" s="1"/>
  <c r="J352" i="3"/>
  <c r="K352" i="3" s="1"/>
  <c r="J211" i="3"/>
  <c r="K211" i="3" s="1"/>
  <c r="J631" i="3"/>
  <c r="K631" i="3" s="1"/>
  <c r="J414" i="3"/>
  <c r="K414" i="3" s="1"/>
  <c r="J299" i="3"/>
  <c r="K299" i="3" s="1"/>
  <c r="J474" i="3"/>
  <c r="K474" i="3" s="1"/>
  <c r="J452" i="3"/>
  <c r="K452" i="3" s="1"/>
  <c r="J361" i="3"/>
  <c r="K361" i="3" s="1"/>
  <c r="J571" i="3"/>
  <c r="K571" i="3" s="1"/>
  <c r="J444" i="3"/>
  <c r="K444" i="3" s="1"/>
  <c r="J541" i="3"/>
  <c r="K541" i="3" s="1"/>
  <c r="J525" i="3"/>
  <c r="K525" i="3" s="1"/>
  <c r="J357" i="3"/>
  <c r="K357" i="3" s="1"/>
  <c r="J318" i="3"/>
  <c r="K318" i="3" s="1"/>
  <c r="J303" i="3"/>
  <c r="K303" i="3" s="1"/>
  <c r="J172" i="3"/>
  <c r="K172" i="3" s="1"/>
  <c r="J564" i="3"/>
  <c r="K564" i="3" s="1"/>
  <c r="J60" i="3"/>
  <c r="K60" i="3" s="1"/>
  <c r="J126" i="3"/>
  <c r="K126" i="3" s="1"/>
  <c r="J339" i="3"/>
  <c r="K339" i="3" s="1"/>
  <c r="J568" i="3"/>
  <c r="K568" i="3" s="1"/>
  <c r="J486" i="3"/>
  <c r="K486" i="3" s="1"/>
  <c r="J87" i="3"/>
  <c r="K87" i="3" s="1"/>
  <c r="J370" i="3"/>
  <c r="K370" i="3" s="1"/>
  <c r="J270" i="3"/>
  <c r="K270" i="3" s="1"/>
  <c r="J267" i="3"/>
  <c r="J575" i="3"/>
  <c r="K575" i="3" s="1"/>
  <c r="J566" i="3"/>
  <c r="K566" i="3" s="1"/>
  <c r="J162" i="3"/>
  <c r="K162" i="3" s="1"/>
  <c r="J84" i="3"/>
  <c r="K84" i="3" s="1"/>
  <c r="J175" i="3"/>
  <c r="K175" i="3" s="1"/>
  <c r="J418" i="3"/>
  <c r="K418" i="3" s="1"/>
  <c r="J244" i="3"/>
  <c r="K244" i="3" s="1"/>
  <c r="J449" i="3"/>
  <c r="K449" i="3" s="1"/>
  <c r="J427" i="3"/>
  <c r="K427" i="3" s="1"/>
  <c r="J85" i="3"/>
  <c r="K85" i="3" s="1"/>
  <c r="J610" i="3"/>
  <c r="K610" i="3" s="1"/>
  <c r="J534" i="3"/>
  <c r="K534" i="3" s="1"/>
  <c r="J168" i="3"/>
  <c r="K168" i="3" s="1"/>
  <c r="J493" i="3"/>
  <c r="K493" i="3" s="1"/>
  <c r="J565" i="3"/>
  <c r="K565" i="3" s="1"/>
  <c r="J296" i="3"/>
  <c r="K296" i="3" s="1"/>
  <c r="J124" i="3"/>
  <c r="K124" i="3" s="1"/>
  <c r="J539" i="3"/>
  <c r="K539" i="3" s="1"/>
  <c r="J473" i="3"/>
  <c r="K473" i="3" s="1"/>
  <c r="J159" i="3"/>
  <c r="K159" i="3" s="1"/>
  <c r="J529" i="3"/>
  <c r="K529" i="3" s="1"/>
  <c r="J197" i="3"/>
  <c r="K197" i="3" s="1"/>
  <c r="J626" i="3"/>
  <c r="K626" i="3" s="1"/>
  <c r="J503" i="3"/>
  <c r="K503" i="3" s="1"/>
  <c r="J233" i="3"/>
  <c r="K233" i="3" s="1"/>
  <c r="J588" i="3"/>
  <c r="K588" i="3" s="1"/>
  <c r="J477" i="3"/>
  <c r="K477" i="3" s="1"/>
  <c r="J454" i="3"/>
  <c r="K454" i="3" s="1"/>
  <c r="J195" i="3"/>
  <c r="K195" i="3" s="1"/>
  <c r="J327" i="3"/>
  <c r="K327" i="3" s="1"/>
  <c r="J392" i="3"/>
  <c r="K392" i="3" s="1"/>
  <c r="J341" i="3"/>
  <c r="K341" i="3" s="1"/>
  <c r="J122" i="3"/>
  <c r="K122" i="3" s="1"/>
  <c r="J216" i="3"/>
  <c r="K216" i="3" s="1"/>
  <c r="J281" i="3"/>
  <c r="K281" i="3" s="1"/>
  <c r="J562" i="3"/>
  <c r="K562" i="3" s="1"/>
  <c r="J300" i="3"/>
  <c r="K300" i="3" s="1"/>
  <c r="J201" i="3"/>
  <c r="K201" i="3" s="1"/>
  <c r="J180" i="3"/>
  <c r="K180" i="3" s="1"/>
  <c r="J417" i="3"/>
  <c r="K417" i="3" s="1"/>
  <c r="J329" i="3"/>
  <c r="K329" i="3" s="1"/>
  <c r="J81" i="3"/>
  <c r="K81" i="3" s="1"/>
  <c r="J165" i="3"/>
  <c r="K165" i="3" s="1"/>
  <c r="J67" i="3"/>
  <c r="K67" i="3" s="1"/>
  <c r="J432" i="3"/>
  <c r="K432" i="3" s="1"/>
  <c r="J506" i="3"/>
  <c r="K506" i="3" s="1"/>
  <c r="J229" i="3"/>
  <c r="K229" i="3" s="1"/>
  <c r="J613" i="3"/>
  <c r="K613" i="3" s="1"/>
  <c r="J305" i="3"/>
  <c r="K305" i="3" s="1"/>
  <c r="J154" i="3"/>
  <c r="J450" i="3"/>
  <c r="K450" i="3" s="1"/>
  <c r="J548" i="3"/>
  <c r="K548" i="3" s="1"/>
  <c r="J75" i="3"/>
  <c r="K75" i="3" s="1"/>
  <c r="J316" i="3"/>
  <c r="K316" i="3" s="1"/>
  <c r="J284" i="3"/>
  <c r="K284" i="3" s="1"/>
  <c r="J350" i="3"/>
  <c r="K350" i="3" s="1"/>
  <c r="J554" i="3"/>
  <c r="K554" i="3" s="1"/>
  <c r="J188" i="3"/>
  <c r="K188" i="3" s="1"/>
  <c r="J375" i="3"/>
  <c r="K375" i="3" s="1"/>
  <c r="J58" i="3"/>
  <c r="K58" i="3" s="1"/>
  <c r="J468" i="3"/>
  <c r="K468" i="3" s="1"/>
  <c r="J261" i="3"/>
  <c r="K261" i="3" s="1"/>
  <c r="J348" i="3"/>
  <c r="K348" i="3" s="1"/>
  <c r="J401" i="3"/>
  <c r="K401" i="3" s="1"/>
  <c r="J522" i="3"/>
  <c r="K522" i="3" s="1"/>
  <c r="J230" i="3"/>
  <c r="K230" i="3" s="1"/>
  <c r="J190" i="3"/>
  <c r="K190" i="3" s="1"/>
  <c r="J513" i="3"/>
  <c r="K513" i="3" s="1"/>
  <c r="J497" i="3"/>
  <c r="K497" i="3" s="1"/>
  <c r="J387" i="3"/>
  <c r="K387" i="3" s="1"/>
  <c r="J9" i="3"/>
  <c r="K9" i="3" s="1"/>
  <c r="J173" i="3"/>
  <c r="K173" i="3" s="1"/>
  <c r="J61" i="3"/>
  <c r="J594" i="3"/>
  <c r="K594" i="3" s="1"/>
  <c r="J88" i="3"/>
  <c r="K88" i="3" s="1"/>
  <c r="J80" i="3"/>
  <c r="K80" i="3" s="1"/>
  <c r="J144" i="3"/>
  <c r="K144" i="3" s="1"/>
  <c r="J234" i="3"/>
  <c r="K234" i="3" s="1"/>
  <c r="J552" i="3"/>
  <c r="K552" i="3" s="1"/>
  <c r="J347" i="3"/>
  <c r="K347" i="3" s="1"/>
  <c r="J282" i="3"/>
  <c r="K282" i="3" s="1"/>
  <c r="J42" i="3"/>
  <c r="K42" i="3" s="1"/>
  <c r="J147" i="3"/>
  <c r="K147" i="3" s="1"/>
  <c r="J629" i="3"/>
  <c r="K629" i="3" s="1"/>
  <c r="J429" i="3"/>
  <c r="K429" i="3" s="1"/>
  <c r="J509" i="3"/>
  <c r="K509" i="3" s="1"/>
  <c r="J203" i="3"/>
  <c r="K203" i="3" s="1"/>
  <c r="J322" i="3"/>
  <c r="K322" i="3" s="1"/>
  <c r="J47" i="3"/>
  <c r="K47" i="3" s="1"/>
  <c r="J411" i="3"/>
  <c r="K411" i="3" s="1"/>
  <c r="J585" i="3"/>
  <c r="K585" i="3" s="1"/>
  <c r="J182" i="3"/>
  <c r="K182" i="3" s="1"/>
  <c r="J314" i="3"/>
  <c r="K314" i="3" s="1"/>
  <c r="J376" i="3"/>
  <c r="K376" i="3" s="1"/>
  <c r="J70" i="3"/>
  <c r="J581" i="3"/>
  <c r="K581" i="3" s="1"/>
  <c r="J291" i="3"/>
  <c r="K291" i="3" s="1"/>
  <c r="J150" i="3"/>
  <c r="K150" i="3" s="1"/>
  <c r="J478" i="3"/>
  <c r="K478" i="3" s="1"/>
  <c r="J440" i="3"/>
  <c r="K440" i="3" s="1"/>
  <c r="J321" i="3"/>
  <c r="K321" i="3" s="1"/>
  <c r="J466" i="3"/>
  <c r="K466" i="3" s="1"/>
  <c r="J369" i="3"/>
  <c r="J366" i="3"/>
  <c r="J102" i="3"/>
  <c r="K102" i="3" s="1"/>
  <c r="J121" i="3"/>
  <c r="K121" i="3" s="1"/>
  <c r="J64" i="3"/>
  <c r="K64" i="3" s="1"/>
  <c r="J98" i="3"/>
  <c r="K98" i="3" s="1"/>
  <c r="J519" i="3"/>
  <c r="K519" i="3" s="1"/>
  <c r="J324" i="3"/>
  <c r="J260" i="3"/>
  <c r="K260" i="3" s="1"/>
  <c r="J483" i="3"/>
  <c r="K483" i="3" s="1"/>
  <c r="J425" i="3"/>
  <c r="K425" i="3" s="1"/>
  <c r="J78" i="3"/>
  <c r="K78" i="3" s="1"/>
  <c r="J89" i="3"/>
  <c r="K89" i="3" s="1"/>
  <c r="J495" i="3"/>
  <c r="K495" i="3" s="1"/>
  <c r="J553" i="3"/>
  <c r="K553" i="3" s="1"/>
  <c r="J469" i="3"/>
  <c r="K469" i="3" s="1"/>
  <c r="J545" i="3"/>
  <c r="K545" i="3" s="1"/>
  <c r="J73" i="3"/>
  <c r="K73" i="3" s="1"/>
  <c r="J349" i="3"/>
  <c r="K349" i="3" s="1"/>
  <c r="J72" i="3"/>
  <c r="K72" i="3" s="1"/>
  <c r="J415" i="3"/>
  <c r="J577" i="3"/>
  <c r="K577" i="3" s="1"/>
  <c r="J453" i="3"/>
  <c r="K453" i="3" s="1"/>
  <c r="J380" i="3"/>
  <c r="J258" i="3"/>
  <c r="K258" i="3" s="1"/>
  <c r="J511" i="3"/>
  <c r="K511" i="3" s="1"/>
  <c r="J96" i="3"/>
  <c r="K96" i="3" s="1"/>
  <c r="J232" i="3"/>
  <c r="K232" i="3" s="1"/>
  <c r="J538" i="3"/>
  <c r="K538" i="3" s="1"/>
  <c r="J272" i="3"/>
  <c r="K272" i="3" s="1"/>
  <c r="J69" i="3"/>
  <c r="K69" i="3" s="1"/>
  <c r="J385" i="3"/>
  <c r="K385" i="3" s="1"/>
  <c r="J579" i="3"/>
  <c r="K579" i="3" s="1"/>
  <c r="J8" i="3"/>
  <c r="K8" i="3" s="1"/>
  <c r="J609" i="3"/>
  <c r="K609" i="3" s="1"/>
  <c r="J374" i="3"/>
  <c r="K374" i="3" s="1"/>
  <c r="J544" i="3"/>
  <c r="K544" i="3" s="1"/>
  <c r="J508" i="3"/>
  <c r="K508" i="3" s="1"/>
  <c r="J251" i="3"/>
  <c r="K251" i="3" s="1"/>
  <c r="J279" i="3"/>
  <c r="K279" i="3" s="1"/>
  <c r="J616" i="3"/>
  <c r="K616" i="3" s="1"/>
  <c r="J139" i="3"/>
  <c r="K139" i="3" s="1"/>
  <c r="J462" i="3"/>
  <c r="K462" i="3" s="1"/>
  <c r="J143" i="3"/>
  <c r="K143" i="3" s="1"/>
  <c r="J256" i="3"/>
  <c r="K256" i="3" s="1"/>
  <c r="J604" i="3"/>
  <c r="K604" i="3" s="1"/>
  <c r="J189" i="3"/>
  <c r="K189" i="3" s="1"/>
  <c r="J443" i="3"/>
  <c r="K443" i="3" s="1"/>
  <c r="J302" i="3"/>
  <c r="K302" i="3" s="1"/>
  <c r="J598" i="3"/>
  <c r="K598" i="3" s="1"/>
  <c r="J464" i="3"/>
  <c r="K464" i="3" s="1"/>
  <c r="J457" i="3"/>
  <c r="K457" i="3" s="1"/>
  <c r="J412" i="3"/>
  <c r="K412" i="3" s="1"/>
  <c r="J125" i="3"/>
  <c r="K125" i="3" s="1"/>
  <c r="J399" i="3"/>
  <c r="K399" i="3" s="1"/>
  <c r="J400" i="3"/>
  <c r="K400" i="3" s="1"/>
  <c r="J140" i="3"/>
  <c r="K140" i="3" s="1"/>
  <c r="J421" i="3"/>
  <c r="K421" i="3" s="1"/>
  <c r="J611" i="3"/>
  <c r="K611" i="3" s="1"/>
  <c r="J430" i="3"/>
  <c r="K430" i="3" s="1"/>
  <c r="J297" i="3"/>
  <c r="K297" i="3" s="1"/>
  <c r="J241" i="3"/>
  <c r="K241" i="3" s="1"/>
  <c r="J600" i="3"/>
  <c r="K600" i="3" s="1"/>
  <c r="J199" i="3"/>
  <c r="K199" i="3" s="1"/>
  <c r="J257" i="3"/>
  <c r="K257" i="3" s="1"/>
  <c r="J259" i="3"/>
  <c r="K259" i="3" s="1"/>
  <c r="J328" i="3"/>
  <c r="K328" i="3" s="1"/>
  <c r="J569" i="3"/>
  <c r="K569" i="3" s="1"/>
  <c r="J179" i="3"/>
  <c r="K179" i="3" s="1"/>
  <c r="J456" i="3"/>
  <c r="K456" i="3" s="1"/>
  <c r="J170" i="3"/>
  <c r="K170" i="3" s="1"/>
  <c r="J48" i="3"/>
  <c r="K48" i="3" s="1"/>
  <c r="J342" i="3"/>
  <c r="K342" i="3" s="1"/>
  <c r="J219" i="3"/>
  <c r="K219" i="3" s="1"/>
  <c r="J164" i="3"/>
  <c r="K164" i="3" s="1"/>
  <c r="J298" i="3"/>
  <c r="K298" i="3" s="1"/>
  <c r="J405" i="3"/>
  <c r="K405" i="3" s="1"/>
  <c r="J561" i="3"/>
  <c r="K561" i="3" s="1"/>
  <c r="J133" i="3"/>
  <c r="K133" i="3" s="1"/>
  <c r="J213" i="3"/>
  <c r="K213" i="3" s="1"/>
  <c r="J136" i="3"/>
  <c r="K136" i="3" s="1"/>
  <c r="J269" i="3"/>
  <c r="K269" i="3" s="1"/>
  <c r="J584" i="3"/>
  <c r="K584" i="3" s="1"/>
  <c r="J488" i="3"/>
  <c r="K488" i="3" s="1"/>
  <c r="J226" i="3"/>
  <c r="K226" i="3" s="1"/>
  <c r="J6" i="3"/>
  <c r="K6" i="3" s="1"/>
  <c r="J208" i="3"/>
  <c r="K208" i="3" s="1"/>
  <c r="J559" i="3"/>
  <c r="K559" i="3" s="1"/>
  <c r="J446" i="3"/>
  <c r="K446" i="3" s="1"/>
  <c r="J523" i="3"/>
  <c r="K523" i="3" s="1"/>
  <c r="J379" i="3"/>
  <c r="K379" i="3" s="1"/>
  <c r="J625" i="3"/>
  <c r="K625" i="3" s="1"/>
  <c r="J52" i="3"/>
  <c r="K52" i="3" s="1"/>
  <c r="J595" i="3"/>
  <c r="K595" i="3" s="1"/>
  <c r="J275" i="3"/>
  <c r="K275" i="3" s="1"/>
  <c r="J526" i="3"/>
  <c r="K526" i="3" s="1"/>
  <c r="J489" i="3"/>
  <c r="K489" i="3" s="1"/>
  <c r="J236" i="3"/>
  <c r="K236" i="3" s="1"/>
  <c r="J517" i="3"/>
  <c r="K517" i="3" s="1"/>
  <c r="J549" i="3"/>
  <c r="K549" i="3" s="1"/>
  <c r="J193" i="3"/>
  <c r="K193" i="3" s="1"/>
  <c r="J248" i="3"/>
  <c r="K248" i="3" s="1"/>
  <c r="J471" i="3"/>
  <c r="K471" i="3" s="1"/>
  <c r="J280" i="3"/>
  <c r="K280" i="3" s="1"/>
  <c r="J499" i="3"/>
  <c r="K499" i="3" s="1"/>
  <c r="J580" i="3"/>
  <c r="K580" i="3" s="1"/>
  <c r="J221" i="3"/>
  <c r="K221" i="3" s="1"/>
  <c r="J356" i="3"/>
  <c r="K356" i="3" s="1"/>
  <c r="J310" i="3"/>
  <c r="K310" i="3" s="1"/>
  <c r="J386" i="3"/>
  <c r="K386" i="3" s="1"/>
  <c r="J527" i="3"/>
  <c r="K527" i="3" s="1"/>
  <c r="J396" i="3"/>
  <c r="K396" i="3" s="1"/>
  <c r="J92" i="3"/>
  <c r="J7" i="3"/>
  <c r="K7" i="3" s="1"/>
  <c r="J363" i="3"/>
  <c r="K363" i="3" s="1"/>
  <c r="J615" i="3"/>
  <c r="K615" i="3" s="1"/>
  <c r="J458" i="3"/>
  <c r="K458" i="3" s="1"/>
  <c r="J79" i="3"/>
  <c r="K79" i="3" s="1"/>
  <c r="J570" i="3"/>
  <c r="K570" i="3" s="1"/>
  <c r="J574" i="3"/>
  <c r="K574" i="3" s="1"/>
  <c r="J618" i="3"/>
  <c r="K618" i="3" s="1"/>
  <c r="J262" i="3"/>
  <c r="K262" i="3" s="1"/>
  <c r="J319" i="3"/>
  <c r="K319" i="3" s="1"/>
  <c r="J293" i="3"/>
  <c r="K293" i="3" s="1"/>
  <c r="J463" i="3"/>
  <c r="K463" i="3" s="1"/>
  <c r="J620" i="3"/>
  <c r="J4" i="3"/>
  <c r="K4" i="3" s="1"/>
  <c r="J112" i="3"/>
  <c r="K112" i="3" s="1"/>
  <c r="J500" i="3"/>
  <c r="K500" i="3" s="1"/>
  <c r="J344" i="3"/>
  <c r="K344" i="3" s="1"/>
  <c r="J447" i="3"/>
  <c r="K447" i="3" s="1"/>
  <c r="J332" i="3"/>
  <c r="K332" i="3" s="1"/>
  <c r="J187" i="3"/>
  <c r="K187" i="3" s="1"/>
  <c r="J113" i="3"/>
  <c r="K113" i="3" s="1"/>
  <c r="J169" i="3"/>
  <c r="K169" i="3" s="1"/>
  <c r="J65" i="3"/>
  <c r="K65" i="3" s="1"/>
  <c r="J550" i="3"/>
  <c r="K550" i="3" s="1"/>
  <c r="J410" i="3"/>
  <c r="K410" i="3" s="1"/>
  <c r="J148" i="3"/>
  <c r="K148" i="3" s="1"/>
  <c r="J132" i="3"/>
  <c r="K132" i="3" s="1"/>
  <c r="J20" i="3"/>
  <c r="K20" i="3" s="1"/>
  <c r="J367" i="3"/>
  <c r="K367" i="3" s="1"/>
  <c r="J151" i="3"/>
  <c r="K151" i="3" s="1"/>
  <c r="J597" i="3"/>
  <c r="K597" i="3" s="1"/>
  <c r="J606" i="3"/>
  <c r="K606" i="3" s="1"/>
  <c r="J627" i="3"/>
  <c r="K627" i="3" s="1"/>
  <c r="J152" i="3"/>
  <c r="K152" i="3" s="1"/>
  <c r="J276" i="3"/>
  <c r="K276" i="3" s="1"/>
  <c r="J518" i="3"/>
  <c r="K518" i="3" s="1"/>
  <c r="J607" i="3"/>
  <c r="K607" i="3" s="1"/>
  <c r="J202" i="3"/>
  <c r="K202" i="3" s="1"/>
  <c r="J93" i="3"/>
  <c r="K93" i="3" s="1"/>
  <c r="J254" i="3"/>
  <c r="K254" i="3" s="1"/>
  <c r="J442" i="3"/>
  <c r="K442" i="3" s="1"/>
  <c r="J563" i="3"/>
  <c r="K563" i="3" s="1"/>
  <c r="J249" i="3"/>
  <c r="K249" i="3" s="1"/>
  <c r="J502" i="3"/>
  <c r="K502" i="3" s="1"/>
  <c r="J433" i="3"/>
  <c r="K433" i="3" s="1"/>
  <c r="J135" i="3"/>
  <c r="K135" i="3" s="1"/>
  <c r="J530" i="3"/>
  <c r="K530" i="3" s="1"/>
  <c r="J583" i="3"/>
  <c r="K583" i="3" s="1"/>
  <c r="J556" i="3"/>
  <c r="K556" i="3" s="1"/>
  <c r="J496" i="3"/>
  <c r="K496" i="3" s="1"/>
  <c r="J15" i="3"/>
  <c r="K15" i="3" s="1"/>
  <c r="J123" i="3"/>
  <c r="K123" i="3" s="1"/>
  <c r="J53" i="3"/>
  <c r="K53" i="3" s="1"/>
  <c r="J455" i="3"/>
  <c r="J16" i="3"/>
  <c r="K16" i="3" s="1"/>
  <c r="J295" i="3"/>
  <c r="K295" i="3" s="1"/>
  <c r="J426" i="3"/>
  <c r="K426" i="3" s="1"/>
  <c r="J389" i="3"/>
  <c r="K389" i="3" s="1"/>
  <c r="J82" i="3"/>
  <c r="K82" i="3" s="1"/>
  <c r="J343" i="3"/>
  <c r="K343" i="3" s="1"/>
  <c r="J333" i="3"/>
  <c r="K333" i="3" s="1"/>
  <c r="J461" i="3"/>
  <c r="J535" i="3"/>
  <c r="K535" i="3" s="1"/>
  <c r="J407" i="3"/>
  <c r="K407" i="3" s="1"/>
  <c r="J403" i="3"/>
  <c r="K403" i="3" s="1"/>
  <c r="J109" i="3"/>
  <c r="K109" i="3" s="1"/>
  <c r="J498" i="3"/>
  <c r="K498" i="3" s="1"/>
  <c r="J394" i="3"/>
  <c r="K394" i="3" s="1"/>
  <c r="J243" i="3"/>
  <c r="K243" i="3" s="1"/>
  <c r="J218" i="3"/>
  <c r="K218" i="3" s="1"/>
  <c r="J335" i="3"/>
  <c r="K335" i="3" s="1"/>
  <c r="J107" i="3"/>
  <c r="K107" i="3" s="1"/>
  <c r="J128" i="3"/>
  <c r="K128" i="3" s="1"/>
  <c r="J520" i="3"/>
  <c r="K520" i="3" s="1"/>
  <c r="J138" i="3"/>
  <c r="K138" i="3" s="1"/>
  <c r="J246" i="3"/>
  <c r="K246" i="3" s="1"/>
  <c r="J621" i="3"/>
  <c r="K621" i="3" s="1"/>
  <c r="J50" i="3"/>
  <c r="K50" i="3" s="1"/>
  <c r="J377" i="3"/>
  <c r="K377" i="3" s="1"/>
  <c r="J155" i="3"/>
  <c r="K155" i="3" s="1"/>
  <c r="J118" i="3"/>
  <c r="K118" i="3" s="1"/>
  <c r="J242" i="3"/>
  <c r="K242" i="3" s="1"/>
  <c r="J285" i="3"/>
  <c r="K285" i="3" s="1"/>
  <c r="J103" i="3"/>
  <c r="K103" i="3" s="1"/>
  <c r="J551" i="3"/>
  <c r="K551" i="3" s="1"/>
  <c r="J591" i="3"/>
  <c r="K591" i="3" s="1"/>
  <c r="J533" i="3"/>
  <c r="K533" i="3" s="1"/>
  <c r="J204" i="3"/>
  <c r="K204" i="3" s="1"/>
  <c r="J623" i="3"/>
  <c r="K623" i="3" s="1"/>
  <c r="J368" i="3"/>
  <c r="K368" i="3" s="1"/>
  <c r="J491" i="3"/>
  <c r="K491" i="3" s="1"/>
  <c r="J326" i="3"/>
  <c r="K326" i="3" s="1"/>
  <c r="J524" i="3"/>
  <c r="K524" i="3" s="1"/>
  <c r="J238" i="3"/>
  <c r="K238" i="3" s="1"/>
  <c r="J220" i="3"/>
  <c r="K220" i="3" s="1"/>
  <c r="J431" i="3"/>
  <c r="K431" i="3" s="1"/>
  <c r="J214" i="3"/>
  <c r="K214" i="3" s="1"/>
  <c r="J74" i="3"/>
  <c r="K74" i="3" s="1"/>
  <c r="J540" i="3"/>
  <c r="K540" i="3" s="1"/>
  <c r="J360" i="3"/>
  <c r="K360" i="3" s="1"/>
  <c r="J250" i="3"/>
  <c r="K250" i="3" s="1"/>
  <c r="J288" i="3"/>
  <c r="K288" i="3" s="1"/>
  <c r="J2" i="3"/>
  <c r="K2" i="3" s="1"/>
  <c r="J253" i="3"/>
  <c r="K253" i="3" s="1"/>
  <c r="J423" i="3"/>
  <c r="K423" i="3" s="1"/>
  <c r="J277" i="3"/>
  <c r="K277" i="3" s="1"/>
  <c r="J83" i="3"/>
  <c r="K83" i="3" s="1"/>
  <c r="J537" i="3"/>
  <c r="K537" i="3" s="1"/>
  <c r="J292" i="3"/>
  <c r="K292" i="3" s="1"/>
  <c r="J397" i="3"/>
  <c r="K397" i="3" s="1"/>
  <c r="J338" i="3"/>
  <c r="K338" i="3" s="1"/>
  <c r="J359" i="3"/>
  <c r="K359" i="3" s="1"/>
  <c r="J44" i="3"/>
  <c r="K44" i="3" s="1"/>
  <c r="J470" i="3"/>
  <c r="K470" i="3" s="1"/>
  <c r="J59" i="3"/>
  <c r="K59" i="3" s="1"/>
  <c r="J601" i="3"/>
  <c r="J278" i="3"/>
  <c r="K278" i="3" s="1"/>
  <c r="J14" i="3"/>
  <c r="K14" i="3" s="1"/>
  <c r="J542" i="3"/>
  <c r="K542" i="3" s="1"/>
  <c r="J129" i="3"/>
  <c r="K129" i="3" s="1"/>
  <c r="J481" i="3"/>
  <c r="K481" i="3" s="1"/>
  <c r="J330" i="3"/>
  <c r="K330" i="3" s="1"/>
  <c r="J402" i="3"/>
  <c r="K402" i="3" s="1"/>
  <c r="J194" i="3"/>
  <c r="K194" i="3" s="1"/>
  <c r="J100" i="3"/>
  <c r="K100" i="3" s="1"/>
  <c r="J237" i="3"/>
  <c r="K237" i="3" s="1"/>
  <c r="J309" i="3"/>
  <c r="K309" i="3" s="1"/>
  <c r="J373" i="3"/>
  <c r="K373" i="3" s="1"/>
  <c r="J145" i="3"/>
  <c r="K145" i="3" s="1"/>
  <c r="J66" i="3"/>
  <c r="K66" i="3" s="1"/>
  <c r="J490" i="3"/>
  <c r="K490" i="3" s="1"/>
  <c r="J191" i="3"/>
  <c r="K191" i="3" s="1"/>
  <c r="J273" i="3"/>
  <c r="K273" i="3" s="1"/>
  <c r="J157" i="3"/>
  <c r="K157" i="3" s="1"/>
  <c r="J422" i="3"/>
  <c r="K422" i="3" s="1"/>
  <c r="J436" i="3"/>
  <c r="K436" i="3" s="1"/>
  <c r="J68" i="3"/>
  <c r="K68" i="3" s="1"/>
  <c r="J395" i="3"/>
  <c r="K395" i="3" s="1"/>
  <c r="J505" i="3"/>
  <c r="K505" i="3" s="1"/>
  <c r="J167" i="3"/>
  <c r="K167" i="3" s="1"/>
  <c r="J263" i="3"/>
  <c r="K263" i="3" s="1"/>
  <c r="J212" i="3"/>
  <c r="J210" i="3"/>
  <c r="K210" i="3" s="1"/>
  <c r="J494" i="3"/>
  <c r="K494" i="3" s="1"/>
  <c r="J512" i="3"/>
  <c r="K512" i="3" s="1"/>
  <c r="J106" i="3"/>
  <c r="K106" i="3" s="1"/>
  <c r="J460" i="3"/>
  <c r="K460" i="3" s="1"/>
  <c r="J46" i="3"/>
  <c r="K46" i="3" s="1"/>
  <c r="J163" i="3"/>
  <c r="K163" i="3" s="1"/>
  <c r="J365" i="3"/>
  <c r="J289" i="3"/>
  <c r="K289" i="3" s="1"/>
  <c r="J57" i="3"/>
  <c r="K57" i="3" s="1"/>
  <c r="J207" i="3"/>
  <c r="K207" i="3" s="1"/>
  <c r="J142" i="3"/>
  <c r="J532" i="3"/>
  <c r="K532" i="3" s="1"/>
  <c r="J592" i="3"/>
  <c r="K592" i="3" s="1"/>
  <c r="J294" i="3"/>
  <c r="J196" i="3"/>
  <c r="K196" i="3" s="1"/>
  <c r="J567" i="3"/>
  <c r="K567" i="3" s="1"/>
  <c r="J424" i="3"/>
  <c r="K424" i="3" s="1"/>
  <c r="J596" i="3"/>
  <c r="K596" i="3" s="1"/>
  <c r="J572" i="3"/>
  <c r="K572" i="3" s="1"/>
  <c r="J255" i="3"/>
  <c r="K255" i="3" s="1"/>
  <c r="J5" i="3"/>
  <c r="K5" i="3" s="1"/>
  <c r="J507" i="3"/>
  <c r="K507" i="3" s="1"/>
  <c r="J582" i="3"/>
  <c r="K582" i="3" s="1"/>
  <c r="J101" i="3"/>
  <c r="J608" i="3"/>
  <c r="K608" i="3" s="1"/>
  <c r="J546" i="3"/>
  <c r="K546" i="3" s="1"/>
  <c r="J307" i="3"/>
  <c r="K307" i="3" s="1"/>
  <c r="J381" i="3"/>
  <c r="K381" i="3" s="1"/>
  <c r="J435" i="3"/>
  <c r="K435" i="3" s="1"/>
  <c r="J593" i="3"/>
  <c r="K593" i="3" s="1"/>
  <c r="J438" i="3"/>
  <c r="K438" i="3" s="1"/>
  <c r="J313" i="3"/>
  <c r="K313" i="3" s="1"/>
  <c r="J605" i="3"/>
  <c r="K605" i="3" s="1"/>
  <c r="J131" i="3"/>
  <c r="K131" i="3" s="1"/>
  <c r="J77" i="3"/>
  <c r="K77" i="3" s="1"/>
  <c r="J406" i="3"/>
  <c r="K406" i="3" s="1"/>
  <c r="J383" i="3"/>
  <c r="K383" i="3" s="1"/>
  <c r="J55" i="3"/>
  <c r="K55" i="3" s="1"/>
  <c r="J434" i="3"/>
  <c r="J441" i="3"/>
  <c r="K441" i="3" s="1"/>
  <c r="J94" i="3"/>
  <c r="K94" i="3" s="1"/>
  <c r="J351" i="3"/>
  <c r="K351" i="3" s="1"/>
  <c r="J521" i="3"/>
  <c r="K521" i="3" s="1"/>
  <c r="J95" i="3"/>
  <c r="K95" i="3" s="1"/>
  <c r="J528" i="3"/>
  <c r="K528" i="3" s="1"/>
  <c r="J222" i="3"/>
  <c r="K222" i="3" s="1"/>
  <c r="H105" i="3"/>
  <c r="H578" i="3"/>
  <c r="H362" i="3"/>
  <c r="H492" i="3"/>
  <c r="H632" i="3"/>
  <c r="H181" i="3"/>
  <c r="H311" i="3"/>
  <c r="H531" i="3"/>
  <c r="H286" i="3"/>
  <c r="H146" i="3"/>
  <c r="H10" i="3"/>
  <c r="H482" i="3"/>
  <c r="H141" i="3"/>
  <c r="H547" i="3"/>
  <c r="H62" i="3"/>
  <c r="H239" i="3"/>
  <c r="H590" i="3"/>
  <c r="H515" i="3"/>
  <c r="H56" i="3"/>
  <c r="H235" i="3"/>
  <c r="H209" i="3"/>
  <c r="H416" i="3"/>
  <c r="H51" i="3"/>
  <c r="H205" i="3"/>
  <c r="H90" i="3"/>
  <c r="H21" i="3"/>
  <c r="H586" i="3"/>
  <c r="H467" i="3"/>
  <c r="H476" i="3"/>
  <c r="H408" i="3"/>
  <c r="H134" i="3"/>
  <c r="H445" i="3"/>
  <c r="H419" i="3"/>
  <c r="H198" i="3"/>
  <c r="H120" i="3"/>
  <c r="H536" i="3"/>
  <c r="H108" i="3"/>
  <c r="H153" i="3"/>
  <c r="H555" i="3"/>
  <c r="H619" i="3"/>
  <c r="H301" i="3"/>
  <c r="H371" i="3"/>
  <c r="H576" i="3"/>
  <c r="H602" i="3"/>
  <c r="H115" i="3"/>
  <c r="H390" i="3"/>
  <c r="H617" i="3"/>
  <c r="H378" i="3"/>
  <c r="H391" i="3"/>
  <c r="H622" i="3"/>
  <c r="H304" i="3"/>
  <c r="H215" i="3"/>
  <c r="H225" i="3"/>
  <c r="H437" i="3"/>
  <c r="H320" i="3"/>
  <c r="H224" i="3"/>
  <c r="H54" i="3"/>
  <c r="H49" i="3"/>
  <c r="H111" i="3"/>
  <c r="H160" i="3"/>
  <c r="H501" i="3"/>
  <c r="H308" i="3"/>
  <c r="H184" i="3"/>
  <c r="H448" i="3"/>
  <c r="H283" i="3"/>
  <c r="H354" i="3"/>
  <c r="H156" i="3"/>
  <c r="H12" i="3"/>
  <c r="H228" i="3"/>
  <c r="H200" i="3"/>
  <c r="H398" i="3"/>
  <c r="H166" i="3"/>
  <c r="H178" i="3"/>
  <c r="H171" i="3"/>
  <c r="H312" i="3"/>
  <c r="H364" i="3"/>
  <c r="H624" i="3"/>
  <c r="H149" i="3"/>
  <c r="H325" i="3"/>
  <c r="H409" i="3"/>
  <c r="H97" i="3"/>
  <c r="H110" i="3"/>
  <c r="H158" i="3"/>
  <c r="H274" i="3"/>
  <c r="H336" i="3"/>
  <c r="H404" i="3"/>
  <c r="H504" i="3"/>
  <c r="H614" i="3"/>
  <c r="H516" i="3"/>
  <c r="H573" i="3"/>
  <c r="H340" i="3"/>
  <c r="H18" i="3"/>
  <c r="H420" i="3"/>
  <c r="H185" i="3"/>
  <c r="H487" i="3"/>
  <c r="H99" i="3"/>
  <c r="H227" i="3"/>
  <c r="H217" i="3"/>
  <c r="H114" i="3"/>
  <c r="H510" i="3"/>
  <c r="H472" i="3"/>
  <c r="H388" i="3"/>
  <c r="H17" i="3"/>
  <c r="H116" i="3"/>
  <c r="H206" i="3"/>
  <c r="H382" i="3"/>
  <c r="H439" i="3"/>
  <c r="H268" i="3"/>
  <c r="H603" i="3"/>
  <c r="H223" i="3"/>
  <c r="H345" i="3"/>
  <c r="H245" i="3"/>
  <c r="H413" i="3"/>
  <c r="H271" i="3"/>
  <c r="H451" i="3"/>
  <c r="H393" i="3"/>
  <c r="H176" i="3"/>
  <c r="H177" i="3"/>
  <c r="H117" i="3"/>
  <c r="H161" i="3"/>
  <c r="H465" i="3"/>
  <c r="H358" i="3"/>
  <c r="H315" i="3"/>
  <c r="H45" i="3"/>
  <c r="H183" i="3"/>
  <c r="H484" i="3"/>
  <c r="H589" i="3"/>
  <c r="H337" i="3"/>
  <c r="H137" i="3"/>
  <c r="H475" i="3"/>
  <c r="H587" i="3"/>
  <c r="H11" i="3"/>
  <c r="H334" i="3"/>
  <c r="H485" i="3"/>
  <c r="H76" i="3"/>
  <c r="H560" i="3"/>
  <c r="H428" i="3"/>
  <c r="H186" i="3"/>
  <c r="H247" i="3"/>
  <c r="H13" i="3"/>
  <c r="H630" i="3"/>
  <c r="H479" i="3"/>
  <c r="H599" i="3"/>
  <c r="H252" i="3"/>
  <c r="H633" i="3"/>
  <c r="H543" i="3"/>
  <c r="H86" i="3"/>
  <c r="H384" i="3"/>
  <c r="H372" i="3"/>
  <c r="H119" i="3"/>
  <c r="H43" i="3"/>
  <c r="H514" i="3"/>
  <c r="H264" i="3"/>
  <c r="H130" i="3"/>
  <c r="H459" i="3"/>
  <c r="H265" i="3"/>
  <c r="H558" i="3"/>
  <c r="H266" i="3"/>
  <c r="H240" i="3"/>
  <c r="H290" i="3"/>
  <c r="H355" i="3"/>
  <c r="H127" i="3"/>
  <c r="H19" i="3"/>
  <c r="H174" i="3"/>
  <c r="H91" i="3"/>
  <c r="H231" i="3"/>
  <c r="H557" i="3"/>
  <c r="H323" i="3"/>
  <c r="H628" i="3"/>
  <c r="H104" i="3"/>
  <c r="H331" i="3"/>
  <c r="H612" i="3"/>
  <c r="H63" i="3"/>
  <c r="H480" i="3"/>
  <c r="H353" i="3"/>
  <c r="H306" i="3"/>
  <c r="H71" i="3"/>
  <c r="H317" i="3"/>
  <c r="H3" i="3"/>
  <c r="H346" i="3"/>
  <c r="H287" i="3"/>
  <c r="H192" i="3"/>
  <c r="H352" i="3"/>
  <c r="H211" i="3"/>
  <c r="H631" i="3"/>
  <c r="H414" i="3"/>
  <c r="H299" i="3"/>
  <c r="H474" i="3"/>
  <c r="H452" i="3"/>
  <c r="H361" i="3"/>
  <c r="H571" i="3"/>
  <c r="H444" i="3"/>
  <c r="H541" i="3"/>
  <c r="H525" i="3"/>
  <c r="H357" i="3"/>
  <c r="H318" i="3"/>
  <c r="H303" i="3"/>
  <c r="H172" i="3"/>
  <c r="H564" i="3"/>
  <c r="H60" i="3"/>
  <c r="H126" i="3"/>
  <c r="H339" i="3"/>
  <c r="H568" i="3"/>
  <c r="H486" i="3"/>
  <c r="H87" i="3"/>
  <c r="H370" i="3"/>
  <c r="H270" i="3"/>
  <c r="H267" i="3"/>
  <c r="H575" i="3"/>
  <c r="H566" i="3"/>
  <c r="H162" i="3"/>
  <c r="H84" i="3"/>
  <c r="H175" i="3"/>
  <c r="H418" i="3"/>
  <c r="H244" i="3"/>
  <c r="H449" i="3"/>
  <c r="H427" i="3"/>
  <c r="H85" i="3"/>
  <c r="H610" i="3"/>
  <c r="H534" i="3"/>
  <c r="H168" i="3"/>
  <c r="H493" i="3"/>
  <c r="H565" i="3"/>
  <c r="H296" i="3"/>
  <c r="H124" i="3"/>
  <c r="H539" i="3"/>
  <c r="H473" i="3"/>
  <c r="H159" i="3"/>
  <c r="H529" i="3"/>
  <c r="H197" i="3"/>
  <c r="H626" i="3"/>
  <c r="H503" i="3"/>
  <c r="H233" i="3"/>
  <c r="H588" i="3"/>
  <c r="H477" i="3"/>
  <c r="H454" i="3"/>
  <c r="H195" i="3"/>
  <c r="H327" i="3"/>
  <c r="H392" i="3"/>
  <c r="H341" i="3"/>
  <c r="H122" i="3"/>
  <c r="H216" i="3"/>
  <c r="H281" i="3"/>
  <c r="H562" i="3"/>
  <c r="H300" i="3"/>
  <c r="H201" i="3"/>
  <c r="H180" i="3"/>
  <c r="H417" i="3"/>
  <c r="H329" i="3"/>
  <c r="H81" i="3"/>
  <c r="H165" i="3"/>
  <c r="H67" i="3"/>
  <c r="H432" i="3"/>
  <c r="H506" i="3"/>
  <c r="H229" i="3"/>
  <c r="H613" i="3"/>
  <c r="H305" i="3"/>
  <c r="H154" i="3"/>
  <c r="H450" i="3"/>
  <c r="H548" i="3"/>
  <c r="H75" i="3"/>
  <c r="H316" i="3"/>
  <c r="H284" i="3"/>
  <c r="H350" i="3"/>
  <c r="H554" i="3"/>
  <c r="H188" i="3"/>
  <c r="H375" i="3"/>
  <c r="H58" i="3"/>
  <c r="H468" i="3"/>
  <c r="H261" i="3"/>
  <c r="H348" i="3"/>
  <c r="H401" i="3"/>
  <c r="H522" i="3"/>
  <c r="H230" i="3"/>
  <c r="H190" i="3"/>
  <c r="H513" i="3"/>
  <c r="H497" i="3"/>
  <c r="H387" i="3"/>
  <c r="H9" i="3"/>
  <c r="H173" i="3"/>
  <c r="H61" i="3"/>
  <c r="H594" i="3"/>
  <c r="H88" i="3"/>
  <c r="H80" i="3"/>
  <c r="H144" i="3"/>
  <c r="H234" i="3"/>
  <c r="H552" i="3"/>
  <c r="H347" i="3"/>
  <c r="H282" i="3"/>
  <c r="H42" i="3"/>
  <c r="H147" i="3"/>
  <c r="H629" i="3"/>
  <c r="H429" i="3"/>
  <c r="H509" i="3"/>
  <c r="H203" i="3"/>
  <c r="H322" i="3"/>
  <c r="H47" i="3"/>
  <c r="H411" i="3"/>
  <c r="H585" i="3"/>
  <c r="H182" i="3"/>
  <c r="H314" i="3"/>
  <c r="H376" i="3"/>
  <c r="H70" i="3"/>
  <c r="H581" i="3"/>
  <c r="H291" i="3"/>
  <c r="H150" i="3"/>
  <c r="H478" i="3"/>
  <c r="H440" i="3"/>
  <c r="H321" i="3"/>
  <c r="H466" i="3"/>
  <c r="H369" i="3"/>
  <c r="H366" i="3"/>
  <c r="H102" i="3"/>
  <c r="H121" i="3"/>
  <c r="H64" i="3"/>
  <c r="H98" i="3"/>
  <c r="H519" i="3"/>
  <c r="H324" i="3"/>
  <c r="H260" i="3"/>
  <c r="H483" i="3"/>
  <c r="H425" i="3"/>
  <c r="H78" i="3"/>
  <c r="H89" i="3"/>
  <c r="H495" i="3"/>
  <c r="H553" i="3"/>
  <c r="H469" i="3"/>
  <c r="H545" i="3"/>
  <c r="H73" i="3"/>
  <c r="H349" i="3"/>
  <c r="H72" i="3"/>
  <c r="H415" i="3"/>
  <c r="H577" i="3"/>
  <c r="H453" i="3"/>
  <c r="H380" i="3"/>
  <c r="H258" i="3"/>
  <c r="H511" i="3"/>
  <c r="H96" i="3"/>
  <c r="H232" i="3"/>
  <c r="H538" i="3"/>
  <c r="H272" i="3"/>
  <c r="H69" i="3"/>
  <c r="H385" i="3"/>
  <c r="H579" i="3"/>
  <c r="H8" i="3"/>
  <c r="H609" i="3"/>
  <c r="H374" i="3"/>
  <c r="H544" i="3"/>
  <c r="H508" i="3"/>
  <c r="H251" i="3"/>
  <c r="H279" i="3"/>
  <c r="H616" i="3"/>
  <c r="H139" i="3"/>
  <c r="H462" i="3"/>
  <c r="H143" i="3"/>
  <c r="H256" i="3"/>
  <c r="H604" i="3"/>
  <c r="H189" i="3"/>
  <c r="H443" i="3"/>
  <c r="H302" i="3"/>
  <c r="H598" i="3"/>
  <c r="H464" i="3"/>
  <c r="H457" i="3"/>
  <c r="H412" i="3"/>
  <c r="H125" i="3"/>
  <c r="H399" i="3"/>
  <c r="H400" i="3"/>
  <c r="H140" i="3"/>
  <c r="H421" i="3"/>
  <c r="H611" i="3"/>
  <c r="H430" i="3"/>
  <c r="H297" i="3"/>
  <c r="H241" i="3"/>
  <c r="H600" i="3"/>
  <c r="H199" i="3"/>
  <c r="H257" i="3"/>
  <c r="H259" i="3"/>
  <c r="H328" i="3"/>
  <c r="H569" i="3"/>
  <c r="H179" i="3"/>
  <c r="H456" i="3"/>
  <c r="H170" i="3"/>
  <c r="H48" i="3"/>
  <c r="H342" i="3"/>
  <c r="H219" i="3"/>
  <c r="H164" i="3"/>
  <c r="H298" i="3"/>
  <c r="H405" i="3"/>
  <c r="H561" i="3"/>
  <c r="H133" i="3"/>
  <c r="H213" i="3"/>
  <c r="H136" i="3"/>
  <c r="H269" i="3"/>
  <c r="H584" i="3"/>
  <c r="H488" i="3"/>
  <c r="H226" i="3"/>
  <c r="H6" i="3"/>
  <c r="H208" i="3"/>
  <c r="H559" i="3"/>
  <c r="H446" i="3"/>
  <c r="H523" i="3"/>
  <c r="H379" i="3"/>
  <c r="H625" i="3"/>
  <c r="H52" i="3"/>
  <c r="H595" i="3"/>
  <c r="H275" i="3"/>
  <c r="H526" i="3"/>
  <c r="H489" i="3"/>
  <c r="H236" i="3"/>
  <c r="H517" i="3"/>
  <c r="H549" i="3"/>
  <c r="H193" i="3"/>
  <c r="H248" i="3"/>
  <c r="H471" i="3"/>
  <c r="H280" i="3"/>
  <c r="H499" i="3"/>
  <c r="H580" i="3"/>
  <c r="H221" i="3"/>
  <c r="H356" i="3"/>
  <c r="H310" i="3"/>
  <c r="H386" i="3"/>
  <c r="H527" i="3"/>
  <c r="H396" i="3"/>
  <c r="H92" i="3"/>
  <c r="H7" i="3"/>
  <c r="H363" i="3"/>
  <c r="H615" i="3"/>
  <c r="H458" i="3"/>
  <c r="H79" i="3"/>
  <c r="H570" i="3"/>
  <c r="H574" i="3"/>
  <c r="H618" i="3"/>
  <c r="H262" i="3"/>
  <c r="H319" i="3"/>
  <c r="H293" i="3"/>
  <c r="H463" i="3"/>
  <c r="H620" i="3"/>
  <c r="H4" i="3"/>
  <c r="H112" i="3"/>
  <c r="H500" i="3"/>
  <c r="H344" i="3"/>
  <c r="H447" i="3"/>
  <c r="H332" i="3"/>
  <c r="H187" i="3"/>
  <c r="H113" i="3"/>
  <c r="H169" i="3"/>
  <c r="H65" i="3"/>
  <c r="H550" i="3"/>
  <c r="H410" i="3"/>
  <c r="H148" i="3"/>
  <c r="H132" i="3"/>
  <c r="H20" i="3"/>
  <c r="H367" i="3"/>
  <c r="H151" i="3"/>
  <c r="H597" i="3"/>
  <c r="H606" i="3"/>
  <c r="H627" i="3"/>
  <c r="H152" i="3"/>
  <c r="H276" i="3"/>
  <c r="H518" i="3"/>
  <c r="H607" i="3"/>
  <c r="H202" i="3"/>
  <c r="H93" i="3"/>
  <c r="H254" i="3"/>
  <c r="H442" i="3"/>
  <c r="H563" i="3"/>
  <c r="H249" i="3"/>
  <c r="H502" i="3"/>
  <c r="H433" i="3"/>
  <c r="H135" i="3"/>
  <c r="H530" i="3"/>
  <c r="H583" i="3"/>
  <c r="H556" i="3"/>
  <c r="H496" i="3"/>
  <c r="H15" i="3"/>
  <c r="H123" i="3"/>
  <c r="H53" i="3"/>
  <c r="H455" i="3"/>
  <c r="H16" i="3"/>
  <c r="H295" i="3"/>
  <c r="H426" i="3"/>
  <c r="H389" i="3"/>
  <c r="H82" i="3"/>
  <c r="H343" i="3"/>
  <c r="H333" i="3"/>
  <c r="H461" i="3"/>
  <c r="H535" i="3"/>
  <c r="H407" i="3"/>
  <c r="H403" i="3"/>
  <c r="H109" i="3"/>
  <c r="H498" i="3"/>
  <c r="H394" i="3"/>
  <c r="H243" i="3"/>
  <c r="H218" i="3"/>
  <c r="H335" i="3"/>
  <c r="H107" i="3"/>
  <c r="H128" i="3"/>
  <c r="H520" i="3"/>
  <c r="H138" i="3"/>
  <c r="H246" i="3"/>
  <c r="H621" i="3"/>
  <c r="H50" i="3"/>
  <c r="H377" i="3"/>
  <c r="H155" i="3"/>
  <c r="H118" i="3"/>
  <c r="H242" i="3"/>
  <c r="H285" i="3"/>
  <c r="H103" i="3"/>
  <c r="H551" i="3"/>
  <c r="H591" i="3"/>
  <c r="H533" i="3"/>
  <c r="H204" i="3"/>
  <c r="H623" i="3"/>
  <c r="H368" i="3"/>
  <c r="H491" i="3"/>
  <c r="H326" i="3"/>
  <c r="H524" i="3"/>
  <c r="H238" i="3"/>
  <c r="H220" i="3"/>
  <c r="H431" i="3"/>
  <c r="H214" i="3"/>
  <c r="H74" i="3"/>
  <c r="H540" i="3"/>
  <c r="H360" i="3"/>
  <c r="H250" i="3"/>
  <c r="H288" i="3"/>
  <c r="H2" i="3"/>
  <c r="H253" i="3"/>
  <c r="H423" i="3"/>
  <c r="H277" i="3"/>
  <c r="H83" i="3"/>
  <c r="H537" i="3"/>
  <c r="H292" i="3"/>
  <c r="H397" i="3"/>
  <c r="H338" i="3"/>
  <c r="H359" i="3"/>
  <c r="H44" i="3"/>
  <c r="H470" i="3"/>
  <c r="H59" i="3"/>
  <c r="H601" i="3"/>
  <c r="H278" i="3"/>
  <c r="H14" i="3"/>
  <c r="H542" i="3"/>
  <c r="H129" i="3"/>
  <c r="H481" i="3"/>
  <c r="H330" i="3"/>
  <c r="H402" i="3"/>
  <c r="H194" i="3"/>
  <c r="H100" i="3"/>
  <c r="H237" i="3"/>
  <c r="H309" i="3"/>
  <c r="H373" i="3"/>
  <c r="H145" i="3"/>
  <c r="H66" i="3"/>
  <c r="H490" i="3"/>
  <c r="H191" i="3"/>
  <c r="H273" i="3"/>
  <c r="H157" i="3"/>
  <c r="H422" i="3"/>
  <c r="H436" i="3"/>
  <c r="H68" i="3"/>
  <c r="H395" i="3"/>
  <c r="H505" i="3"/>
  <c r="H167" i="3"/>
  <c r="H263" i="3"/>
  <c r="H212" i="3"/>
  <c r="H210" i="3"/>
  <c r="H494" i="3"/>
  <c r="H512" i="3"/>
  <c r="H106" i="3"/>
  <c r="H460" i="3"/>
  <c r="H46" i="3"/>
  <c r="H163" i="3"/>
  <c r="H365" i="3"/>
  <c r="H289" i="3"/>
  <c r="H57" i="3"/>
  <c r="H207" i="3"/>
  <c r="H142" i="3"/>
  <c r="H532" i="3"/>
  <c r="H592" i="3"/>
  <c r="H294" i="3"/>
  <c r="H196" i="3"/>
  <c r="H567" i="3"/>
  <c r="H424" i="3"/>
  <c r="H596" i="3"/>
  <c r="H572" i="3"/>
  <c r="H255" i="3"/>
  <c r="H5" i="3"/>
  <c r="H507" i="3"/>
  <c r="H582" i="3"/>
  <c r="H101" i="3"/>
  <c r="H608" i="3"/>
  <c r="H546" i="3"/>
  <c r="H307" i="3"/>
  <c r="H381" i="3"/>
  <c r="H435" i="3"/>
  <c r="H593" i="3"/>
  <c r="H438" i="3"/>
  <c r="H313" i="3"/>
  <c r="H605" i="3"/>
  <c r="H131" i="3"/>
  <c r="H77" i="3"/>
  <c r="H406" i="3"/>
  <c r="H383" i="3"/>
  <c r="H55" i="3"/>
  <c r="H434" i="3"/>
  <c r="H441" i="3"/>
  <c r="H94" i="3"/>
  <c r="H351" i="3"/>
  <c r="H521" i="3"/>
  <c r="H95" i="3"/>
  <c r="H528" i="3"/>
  <c r="H222" i="3"/>
  <c r="G105" i="3"/>
  <c r="G578" i="3"/>
  <c r="G362" i="3"/>
  <c r="G492" i="3"/>
  <c r="G632" i="3"/>
  <c r="G181" i="3"/>
  <c r="G311" i="3"/>
  <c r="G531" i="3"/>
  <c r="G286" i="3"/>
  <c r="G146" i="3"/>
  <c r="G10" i="3"/>
  <c r="G482" i="3"/>
  <c r="G141" i="3"/>
  <c r="G547" i="3"/>
  <c r="G62" i="3"/>
  <c r="G239" i="3"/>
  <c r="G590" i="3"/>
  <c r="G515" i="3"/>
  <c r="G56" i="3"/>
  <c r="G235" i="3"/>
  <c r="G209" i="3"/>
  <c r="G416" i="3"/>
  <c r="G51" i="3"/>
  <c r="G205" i="3"/>
  <c r="G90" i="3"/>
  <c r="G21" i="3"/>
  <c r="G586" i="3"/>
  <c r="G467" i="3"/>
  <c r="G476" i="3"/>
  <c r="G408" i="3"/>
  <c r="G134" i="3"/>
  <c r="G445" i="3"/>
  <c r="G419" i="3"/>
  <c r="G198" i="3"/>
  <c r="G120" i="3"/>
  <c r="G536" i="3"/>
  <c r="G108" i="3"/>
  <c r="G153" i="3"/>
  <c r="G555" i="3"/>
  <c r="G619" i="3"/>
  <c r="G301" i="3"/>
  <c r="G371" i="3"/>
  <c r="G576" i="3"/>
  <c r="G602" i="3"/>
  <c r="G115" i="3"/>
  <c r="G390" i="3"/>
  <c r="G617" i="3"/>
  <c r="G378" i="3"/>
  <c r="G391" i="3"/>
  <c r="G622" i="3"/>
  <c r="G304" i="3"/>
  <c r="G215" i="3"/>
  <c r="G225" i="3"/>
  <c r="G437" i="3"/>
  <c r="G320" i="3"/>
  <c r="G224" i="3"/>
  <c r="G54" i="3"/>
  <c r="G49" i="3"/>
  <c r="G111" i="3"/>
  <c r="G160" i="3"/>
  <c r="G501" i="3"/>
  <c r="G308" i="3"/>
  <c r="G184" i="3"/>
  <c r="G448" i="3"/>
  <c r="G283" i="3"/>
  <c r="G354" i="3"/>
  <c r="G156" i="3"/>
  <c r="G12" i="3"/>
  <c r="G228" i="3"/>
  <c r="G200" i="3"/>
  <c r="G398" i="3"/>
  <c r="G166" i="3"/>
  <c r="G178" i="3"/>
  <c r="G171" i="3"/>
  <c r="G312" i="3"/>
  <c r="G364" i="3"/>
  <c r="G624" i="3"/>
  <c r="G149" i="3"/>
  <c r="G325" i="3"/>
  <c r="G409" i="3"/>
  <c r="G97" i="3"/>
  <c r="G110" i="3"/>
  <c r="G158" i="3"/>
  <c r="G274" i="3"/>
  <c r="G336" i="3"/>
  <c r="G404" i="3"/>
  <c r="G504" i="3"/>
  <c r="G614" i="3"/>
  <c r="G516" i="3"/>
  <c r="G573" i="3"/>
  <c r="G340" i="3"/>
  <c r="G18" i="3"/>
  <c r="G420" i="3"/>
  <c r="G185" i="3"/>
  <c r="G487" i="3"/>
  <c r="G99" i="3"/>
  <c r="G227" i="3"/>
  <c r="G217" i="3"/>
  <c r="G114" i="3"/>
  <c r="G510" i="3"/>
  <c r="G472" i="3"/>
  <c r="G388" i="3"/>
  <c r="G17" i="3"/>
  <c r="G116" i="3"/>
  <c r="G206" i="3"/>
  <c r="G382" i="3"/>
  <c r="G439" i="3"/>
  <c r="G268" i="3"/>
  <c r="G603" i="3"/>
  <c r="G223" i="3"/>
  <c r="G345" i="3"/>
  <c r="G245" i="3"/>
  <c r="G413" i="3"/>
  <c r="G271" i="3"/>
  <c r="G451" i="3"/>
  <c r="G393" i="3"/>
  <c r="G176" i="3"/>
  <c r="G177" i="3"/>
  <c r="G117" i="3"/>
  <c r="G161" i="3"/>
  <c r="G465" i="3"/>
  <c r="G358" i="3"/>
  <c r="G315" i="3"/>
  <c r="G45" i="3"/>
  <c r="G183" i="3"/>
  <c r="G484" i="3"/>
  <c r="G589" i="3"/>
  <c r="G337" i="3"/>
  <c r="G137" i="3"/>
  <c r="G475" i="3"/>
  <c r="G587" i="3"/>
  <c r="G11" i="3"/>
  <c r="G334" i="3"/>
  <c r="G485" i="3"/>
  <c r="G76" i="3"/>
  <c r="G560" i="3"/>
  <c r="G428" i="3"/>
  <c r="G186" i="3"/>
  <c r="G247" i="3"/>
  <c r="G13" i="3"/>
  <c r="G630" i="3"/>
  <c r="G479" i="3"/>
  <c r="G599" i="3"/>
  <c r="G252" i="3"/>
  <c r="G633" i="3"/>
  <c r="G543" i="3"/>
  <c r="G86" i="3"/>
  <c r="G384" i="3"/>
  <c r="G372" i="3"/>
  <c r="G119" i="3"/>
  <c r="G43" i="3"/>
  <c r="G514" i="3"/>
  <c r="G264" i="3"/>
  <c r="G130" i="3"/>
  <c r="G459" i="3"/>
  <c r="G265" i="3"/>
  <c r="G558" i="3"/>
  <c r="G266" i="3"/>
  <c r="G240" i="3"/>
  <c r="G290" i="3"/>
  <c r="G355" i="3"/>
  <c r="G127" i="3"/>
  <c r="G19" i="3"/>
  <c r="G174" i="3"/>
  <c r="G91" i="3"/>
  <c r="G231" i="3"/>
  <c r="G557" i="3"/>
  <c r="G323" i="3"/>
  <c r="G628" i="3"/>
  <c r="G104" i="3"/>
  <c r="G331" i="3"/>
  <c r="G612" i="3"/>
  <c r="G63" i="3"/>
  <c r="G480" i="3"/>
  <c r="G353" i="3"/>
  <c r="G306" i="3"/>
  <c r="G71" i="3"/>
  <c r="G317" i="3"/>
  <c r="G3" i="3"/>
  <c r="G346" i="3"/>
  <c r="G287" i="3"/>
  <c r="G192" i="3"/>
  <c r="G352" i="3"/>
  <c r="G211" i="3"/>
  <c r="G631" i="3"/>
  <c r="G414" i="3"/>
  <c r="G299" i="3"/>
  <c r="G474" i="3"/>
  <c r="G452" i="3"/>
  <c r="G361" i="3"/>
  <c r="G571" i="3"/>
  <c r="G444" i="3"/>
  <c r="G541" i="3"/>
  <c r="G525" i="3"/>
  <c r="G357" i="3"/>
  <c r="G318" i="3"/>
  <c r="G303" i="3"/>
  <c r="G172" i="3"/>
  <c r="G564" i="3"/>
  <c r="G60" i="3"/>
  <c r="G126" i="3"/>
  <c r="G339" i="3"/>
  <c r="G568" i="3"/>
  <c r="G486" i="3"/>
  <c r="G87" i="3"/>
  <c r="G370" i="3"/>
  <c r="G270" i="3"/>
  <c r="G267" i="3"/>
  <c r="G575" i="3"/>
  <c r="G566" i="3"/>
  <c r="G162" i="3"/>
  <c r="G84" i="3"/>
  <c r="G175" i="3"/>
  <c r="G418" i="3"/>
  <c r="G244" i="3"/>
  <c r="G449" i="3"/>
  <c r="G427" i="3"/>
  <c r="G85" i="3"/>
  <c r="G610" i="3"/>
  <c r="G534" i="3"/>
  <c r="G168" i="3"/>
  <c r="G493" i="3"/>
  <c r="G565" i="3"/>
  <c r="G296" i="3"/>
  <c r="G124" i="3"/>
  <c r="G539" i="3"/>
  <c r="G473" i="3"/>
  <c r="G159" i="3"/>
  <c r="G529" i="3"/>
  <c r="G197" i="3"/>
  <c r="G626" i="3"/>
  <c r="G503" i="3"/>
  <c r="G233" i="3"/>
  <c r="G588" i="3"/>
  <c r="G477" i="3"/>
  <c r="G454" i="3"/>
  <c r="G195" i="3"/>
  <c r="G327" i="3"/>
  <c r="G392" i="3"/>
  <c r="G341" i="3"/>
  <c r="G122" i="3"/>
  <c r="G216" i="3"/>
  <c r="G281" i="3"/>
  <c r="G562" i="3"/>
  <c r="G300" i="3"/>
  <c r="G201" i="3"/>
  <c r="G180" i="3"/>
  <c r="G417" i="3"/>
  <c r="G329" i="3"/>
  <c r="G81" i="3"/>
  <c r="G165" i="3"/>
  <c r="G67" i="3"/>
  <c r="G432" i="3"/>
  <c r="G506" i="3"/>
  <c r="G229" i="3"/>
  <c r="G613" i="3"/>
  <c r="G305" i="3"/>
  <c r="G154" i="3"/>
  <c r="G450" i="3"/>
  <c r="G548" i="3"/>
  <c r="G75" i="3"/>
  <c r="G316" i="3"/>
  <c r="G284" i="3"/>
  <c r="G350" i="3"/>
  <c r="G554" i="3"/>
  <c r="G188" i="3"/>
  <c r="G375" i="3"/>
  <c r="G58" i="3"/>
  <c r="G468" i="3"/>
  <c r="G261" i="3"/>
  <c r="G348" i="3"/>
  <c r="G401" i="3"/>
  <c r="G522" i="3"/>
  <c r="G230" i="3"/>
  <c r="G190" i="3"/>
  <c r="G513" i="3"/>
  <c r="G497" i="3"/>
  <c r="G387" i="3"/>
  <c r="G9" i="3"/>
  <c r="G173" i="3"/>
  <c r="G61" i="3"/>
  <c r="G594" i="3"/>
  <c r="G88" i="3"/>
  <c r="G80" i="3"/>
  <c r="G144" i="3"/>
  <c r="G234" i="3"/>
  <c r="G552" i="3"/>
  <c r="G347" i="3"/>
  <c r="G282" i="3"/>
  <c r="G42" i="3"/>
  <c r="G147" i="3"/>
  <c r="G629" i="3"/>
  <c r="G429" i="3"/>
  <c r="G509" i="3"/>
  <c r="G203" i="3"/>
  <c r="G322" i="3"/>
  <c r="G47" i="3"/>
  <c r="G411" i="3"/>
  <c r="G585" i="3"/>
  <c r="G182" i="3"/>
  <c r="G314" i="3"/>
  <c r="G376" i="3"/>
  <c r="G70" i="3"/>
  <c r="G581" i="3"/>
  <c r="G291" i="3"/>
  <c r="G150" i="3"/>
  <c r="G478" i="3"/>
  <c r="G440" i="3"/>
  <c r="G321" i="3"/>
  <c r="G466" i="3"/>
  <c r="G369" i="3"/>
  <c r="G366" i="3"/>
  <c r="G102" i="3"/>
  <c r="G121" i="3"/>
  <c r="G64" i="3"/>
  <c r="G98" i="3"/>
  <c r="G519" i="3"/>
  <c r="G324" i="3"/>
  <c r="G260" i="3"/>
  <c r="G483" i="3"/>
  <c r="G425" i="3"/>
  <c r="G78" i="3"/>
  <c r="G89" i="3"/>
  <c r="G495" i="3"/>
  <c r="G553" i="3"/>
  <c r="G469" i="3"/>
  <c r="G545" i="3"/>
  <c r="G73" i="3"/>
  <c r="G349" i="3"/>
  <c r="G72" i="3"/>
  <c r="G415" i="3"/>
  <c r="G577" i="3"/>
  <c r="G453" i="3"/>
  <c r="G380" i="3"/>
  <c r="G258" i="3"/>
  <c r="G511" i="3"/>
  <c r="G96" i="3"/>
  <c r="G232" i="3"/>
  <c r="G538" i="3"/>
  <c r="G272" i="3"/>
  <c r="G69" i="3"/>
  <c r="G385" i="3"/>
  <c r="G579" i="3"/>
  <c r="G8" i="3"/>
  <c r="G609" i="3"/>
  <c r="G374" i="3"/>
  <c r="G544" i="3"/>
  <c r="G508" i="3"/>
  <c r="G251" i="3"/>
  <c r="G279" i="3"/>
  <c r="G616" i="3"/>
  <c r="G139" i="3"/>
  <c r="G462" i="3"/>
  <c r="G143" i="3"/>
  <c r="G256" i="3"/>
  <c r="G604" i="3"/>
  <c r="G189" i="3"/>
  <c r="G443" i="3"/>
  <c r="G302" i="3"/>
  <c r="G598" i="3"/>
  <c r="G464" i="3"/>
  <c r="G457" i="3"/>
  <c r="G412" i="3"/>
  <c r="G125" i="3"/>
  <c r="G399" i="3"/>
  <c r="G400" i="3"/>
  <c r="G140" i="3"/>
  <c r="G421" i="3"/>
  <c r="G611" i="3"/>
  <c r="G430" i="3"/>
  <c r="G297" i="3"/>
  <c r="G241" i="3"/>
  <c r="G600" i="3"/>
  <c r="G199" i="3"/>
  <c r="G257" i="3"/>
  <c r="G259" i="3"/>
  <c r="G328" i="3"/>
  <c r="G569" i="3"/>
  <c r="G179" i="3"/>
  <c r="G456" i="3"/>
  <c r="G170" i="3"/>
  <c r="G48" i="3"/>
  <c r="G342" i="3"/>
  <c r="G219" i="3"/>
  <c r="G164" i="3"/>
  <c r="G298" i="3"/>
  <c r="G405" i="3"/>
  <c r="G561" i="3"/>
  <c r="G133" i="3"/>
  <c r="G213" i="3"/>
  <c r="G136" i="3"/>
  <c r="G269" i="3"/>
  <c r="G584" i="3"/>
  <c r="G488" i="3"/>
  <c r="G226" i="3"/>
  <c r="G6" i="3"/>
  <c r="G208" i="3"/>
  <c r="G559" i="3"/>
  <c r="G446" i="3"/>
  <c r="G523" i="3"/>
  <c r="G379" i="3"/>
  <c r="G625" i="3"/>
  <c r="G52" i="3"/>
  <c r="G595" i="3"/>
  <c r="G275" i="3"/>
  <c r="G526" i="3"/>
  <c r="G489" i="3"/>
  <c r="G236" i="3"/>
  <c r="G517" i="3"/>
  <c r="G549" i="3"/>
  <c r="G193" i="3"/>
  <c r="G248" i="3"/>
  <c r="G471" i="3"/>
  <c r="G280" i="3"/>
  <c r="G499" i="3"/>
  <c r="G580" i="3"/>
  <c r="G221" i="3"/>
  <c r="G356" i="3"/>
  <c r="G310" i="3"/>
  <c r="G386" i="3"/>
  <c r="G527" i="3"/>
  <c r="G396" i="3"/>
  <c r="G92" i="3"/>
  <c r="G7" i="3"/>
  <c r="G363" i="3"/>
  <c r="G615" i="3"/>
  <c r="G458" i="3"/>
  <c r="G79" i="3"/>
  <c r="G570" i="3"/>
  <c r="G574" i="3"/>
  <c r="G618" i="3"/>
  <c r="G262" i="3"/>
  <c r="G319" i="3"/>
  <c r="G293" i="3"/>
  <c r="G463" i="3"/>
  <c r="G620" i="3"/>
  <c r="G4" i="3"/>
  <c r="G112" i="3"/>
  <c r="G500" i="3"/>
  <c r="G344" i="3"/>
  <c r="G447" i="3"/>
  <c r="G332" i="3"/>
  <c r="G187" i="3"/>
  <c r="G113" i="3"/>
  <c r="G169" i="3"/>
  <c r="G65" i="3"/>
  <c r="G550" i="3"/>
  <c r="G410" i="3"/>
  <c r="G148" i="3"/>
  <c r="G132" i="3"/>
  <c r="G20" i="3"/>
  <c r="G367" i="3"/>
  <c r="G151" i="3"/>
  <c r="G597" i="3"/>
  <c r="G606" i="3"/>
  <c r="G627" i="3"/>
  <c r="G152" i="3"/>
  <c r="G276" i="3"/>
  <c r="G518" i="3"/>
  <c r="G607" i="3"/>
  <c r="G202" i="3"/>
  <c r="G93" i="3"/>
  <c r="G254" i="3"/>
  <c r="G442" i="3"/>
  <c r="G563" i="3"/>
  <c r="G249" i="3"/>
  <c r="G502" i="3"/>
  <c r="G433" i="3"/>
  <c r="G135" i="3"/>
  <c r="G530" i="3"/>
  <c r="G583" i="3"/>
  <c r="G556" i="3"/>
  <c r="G496" i="3"/>
  <c r="G15" i="3"/>
  <c r="G123" i="3"/>
  <c r="G53" i="3"/>
  <c r="G455" i="3"/>
  <c r="G16" i="3"/>
  <c r="G295" i="3"/>
  <c r="G426" i="3"/>
  <c r="G389" i="3"/>
  <c r="G82" i="3"/>
  <c r="G343" i="3"/>
  <c r="G333" i="3"/>
  <c r="G461" i="3"/>
  <c r="G535" i="3"/>
  <c r="G407" i="3"/>
  <c r="G403" i="3"/>
  <c r="G498" i="3"/>
  <c r="G394" i="3"/>
  <c r="G243" i="3"/>
  <c r="G218" i="3"/>
  <c r="G335" i="3"/>
  <c r="G107" i="3"/>
  <c r="G128" i="3"/>
  <c r="G520" i="3"/>
  <c r="G138" i="3"/>
  <c r="G246" i="3"/>
  <c r="G621" i="3"/>
  <c r="G50" i="3"/>
  <c r="G377" i="3"/>
  <c r="G155" i="3"/>
  <c r="G118" i="3"/>
  <c r="G242" i="3"/>
  <c r="G285" i="3"/>
  <c r="G103" i="3"/>
  <c r="G551" i="3"/>
  <c r="G591" i="3"/>
  <c r="G533" i="3"/>
  <c r="G204" i="3"/>
  <c r="G623" i="3"/>
  <c r="G368" i="3"/>
  <c r="G491" i="3"/>
  <c r="G326" i="3"/>
  <c r="G524" i="3"/>
  <c r="G238" i="3"/>
  <c r="G220" i="3"/>
  <c r="G431" i="3"/>
  <c r="G214" i="3"/>
  <c r="G74" i="3"/>
  <c r="G540" i="3"/>
  <c r="G360" i="3"/>
  <c r="G250" i="3"/>
  <c r="G288" i="3"/>
  <c r="G2" i="3"/>
  <c r="G253" i="3"/>
  <c r="G423" i="3"/>
  <c r="G277" i="3"/>
  <c r="G83" i="3"/>
  <c r="G537" i="3"/>
  <c r="G292" i="3"/>
  <c r="G397" i="3"/>
  <c r="G338" i="3"/>
  <c r="G359" i="3"/>
  <c r="G44" i="3"/>
  <c r="G470" i="3"/>
  <c r="G59" i="3"/>
  <c r="G601" i="3"/>
  <c r="G278" i="3"/>
  <c r="G14" i="3"/>
  <c r="G542" i="3"/>
  <c r="G129" i="3"/>
  <c r="G481" i="3"/>
  <c r="G330" i="3"/>
  <c r="G402" i="3"/>
  <c r="G194" i="3"/>
  <c r="G100" i="3"/>
  <c r="G237" i="3"/>
  <c r="G309" i="3"/>
  <c r="G373" i="3"/>
  <c r="G145" i="3"/>
  <c r="G66" i="3"/>
  <c r="G490" i="3"/>
  <c r="G191" i="3"/>
  <c r="G273" i="3"/>
  <c r="G157" i="3"/>
  <c r="G422" i="3"/>
  <c r="G436" i="3"/>
  <c r="G68" i="3"/>
  <c r="G395" i="3"/>
  <c r="G505" i="3"/>
  <c r="G167" i="3"/>
  <c r="G263" i="3"/>
  <c r="G212" i="3"/>
  <c r="G210" i="3"/>
  <c r="G494" i="3"/>
  <c r="G512" i="3"/>
  <c r="G106" i="3"/>
  <c r="G460" i="3"/>
  <c r="G46" i="3"/>
  <c r="G163" i="3"/>
  <c r="G365" i="3"/>
  <c r="G289" i="3"/>
  <c r="G57" i="3"/>
  <c r="G207" i="3"/>
  <c r="G142" i="3"/>
  <c r="G532" i="3"/>
  <c r="G592" i="3"/>
  <c r="G294" i="3"/>
  <c r="G196" i="3"/>
  <c r="G567" i="3"/>
  <c r="G424" i="3"/>
  <c r="G596" i="3"/>
  <c r="G572" i="3"/>
  <c r="G255" i="3"/>
  <c r="G5" i="3"/>
  <c r="G507" i="3"/>
  <c r="G582" i="3"/>
  <c r="G101" i="3"/>
  <c r="G608" i="3"/>
  <c r="G546" i="3"/>
  <c r="G307" i="3"/>
  <c r="G381" i="3"/>
  <c r="G435" i="3"/>
  <c r="G593" i="3"/>
  <c r="G438" i="3"/>
  <c r="G313" i="3"/>
  <c r="G605" i="3"/>
  <c r="G131" i="3"/>
  <c r="G77" i="3"/>
  <c r="G406" i="3"/>
  <c r="G383" i="3"/>
  <c r="G55" i="3"/>
  <c r="G434" i="3"/>
  <c r="G441" i="3"/>
  <c r="G94" i="3"/>
  <c r="G351" i="3"/>
  <c r="G521" i="3"/>
  <c r="G95" i="3"/>
  <c r="G528" i="3"/>
  <c r="G222" i="3"/>
  <c r="C105" i="3"/>
  <c r="C578" i="3"/>
  <c r="C362" i="3"/>
  <c r="C492" i="3"/>
  <c r="C632" i="3"/>
  <c r="C181" i="3"/>
  <c r="C311" i="3"/>
  <c r="C531" i="3"/>
  <c r="C286" i="3"/>
  <c r="C146" i="3"/>
  <c r="C10" i="3"/>
  <c r="C482" i="3"/>
  <c r="C141" i="3"/>
  <c r="C547" i="3"/>
  <c r="C62" i="3"/>
  <c r="C239" i="3"/>
  <c r="C590" i="3"/>
  <c r="C515" i="3"/>
  <c r="C56" i="3"/>
  <c r="C235" i="3"/>
  <c r="C209" i="3"/>
  <c r="C416" i="3"/>
  <c r="C51" i="3"/>
  <c r="C205" i="3"/>
  <c r="C90" i="3"/>
  <c r="C21" i="3"/>
  <c r="C586" i="3"/>
  <c r="C467" i="3"/>
  <c r="C476" i="3"/>
  <c r="C408" i="3"/>
  <c r="C134" i="3"/>
  <c r="C445" i="3"/>
  <c r="C419" i="3"/>
  <c r="C198" i="3"/>
  <c r="C120" i="3"/>
  <c r="C536" i="3"/>
  <c r="C108" i="3"/>
  <c r="C153" i="3"/>
  <c r="C555" i="3"/>
  <c r="C619" i="3"/>
  <c r="C301" i="3"/>
  <c r="C371" i="3"/>
  <c r="C576" i="3"/>
  <c r="C602" i="3"/>
  <c r="C115" i="3"/>
  <c r="C390" i="3"/>
  <c r="C617" i="3"/>
  <c r="C378" i="3"/>
  <c r="C391" i="3"/>
  <c r="C622" i="3"/>
  <c r="C304" i="3"/>
  <c r="C215" i="3"/>
  <c r="C225" i="3"/>
  <c r="C437" i="3"/>
  <c r="C320" i="3"/>
  <c r="C224" i="3"/>
  <c r="C54" i="3"/>
  <c r="C49" i="3"/>
  <c r="C111" i="3"/>
  <c r="C160" i="3"/>
  <c r="C501" i="3"/>
  <c r="C308" i="3"/>
  <c r="C184" i="3"/>
  <c r="C448" i="3"/>
  <c r="C283" i="3"/>
  <c r="C354" i="3"/>
  <c r="C156" i="3"/>
  <c r="C12" i="3"/>
  <c r="C228" i="3"/>
  <c r="C200" i="3"/>
  <c r="C398" i="3"/>
  <c r="C166" i="3"/>
  <c r="C178" i="3"/>
  <c r="C171" i="3"/>
  <c r="C312" i="3"/>
  <c r="C364" i="3"/>
  <c r="C624" i="3"/>
  <c r="C149" i="3"/>
  <c r="C325" i="3"/>
  <c r="C409" i="3"/>
  <c r="C97" i="3"/>
  <c r="C110" i="3"/>
  <c r="C158" i="3"/>
  <c r="C274" i="3"/>
  <c r="C336" i="3"/>
  <c r="C404" i="3"/>
  <c r="C504" i="3"/>
  <c r="C614" i="3"/>
  <c r="C516" i="3"/>
  <c r="C573" i="3"/>
  <c r="C340" i="3"/>
  <c r="C18" i="3"/>
  <c r="C420" i="3"/>
  <c r="C185" i="3"/>
  <c r="C487" i="3"/>
  <c r="C99" i="3"/>
  <c r="C227" i="3"/>
  <c r="C217" i="3"/>
  <c r="C114" i="3"/>
  <c r="C510" i="3"/>
  <c r="C472" i="3"/>
  <c r="C388" i="3"/>
  <c r="C17" i="3"/>
  <c r="C116" i="3"/>
  <c r="C206" i="3"/>
  <c r="C382" i="3"/>
  <c r="C439" i="3"/>
  <c r="C268" i="3"/>
  <c r="C603" i="3"/>
  <c r="C223" i="3"/>
  <c r="C345" i="3"/>
  <c r="C245" i="3"/>
  <c r="C413" i="3"/>
  <c r="C271" i="3"/>
  <c r="C451" i="3"/>
  <c r="C393" i="3"/>
  <c r="C176" i="3"/>
  <c r="C177" i="3"/>
  <c r="C117" i="3"/>
  <c r="C161" i="3"/>
  <c r="C465" i="3"/>
  <c r="C358" i="3"/>
  <c r="C315" i="3"/>
  <c r="C45" i="3"/>
  <c r="C183" i="3"/>
  <c r="C484" i="3"/>
  <c r="C589" i="3"/>
  <c r="C337" i="3"/>
  <c r="C137" i="3"/>
  <c r="C475" i="3"/>
  <c r="C587" i="3"/>
  <c r="C11" i="3"/>
  <c r="C334" i="3"/>
  <c r="C485" i="3"/>
  <c r="C76" i="3"/>
  <c r="C560" i="3"/>
  <c r="C428" i="3"/>
  <c r="C186" i="3"/>
  <c r="C247" i="3"/>
  <c r="C13" i="3"/>
  <c r="C630" i="3"/>
  <c r="C479" i="3"/>
  <c r="C599" i="3"/>
  <c r="C252" i="3"/>
  <c r="C633" i="3"/>
  <c r="C543" i="3"/>
  <c r="C86" i="3"/>
  <c r="C384" i="3"/>
  <c r="C372" i="3"/>
  <c r="C119" i="3"/>
  <c r="C43" i="3"/>
  <c r="C514" i="3"/>
  <c r="C264" i="3"/>
  <c r="C130" i="3"/>
  <c r="C459" i="3"/>
  <c r="C265" i="3"/>
  <c r="C558" i="3"/>
  <c r="C266" i="3"/>
  <c r="C240" i="3"/>
  <c r="C290" i="3"/>
  <c r="C355" i="3"/>
  <c r="C127" i="3"/>
  <c r="C19" i="3"/>
  <c r="C174" i="3"/>
  <c r="C91" i="3"/>
  <c r="C231" i="3"/>
  <c r="C557" i="3"/>
  <c r="C323" i="3"/>
  <c r="C628" i="3"/>
  <c r="C104" i="3"/>
  <c r="C331" i="3"/>
  <c r="C612" i="3"/>
  <c r="C63" i="3"/>
  <c r="C480" i="3"/>
  <c r="C353" i="3"/>
  <c r="C306" i="3"/>
  <c r="C71" i="3"/>
  <c r="C317" i="3"/>
  <c r="C3" i="3"/>
  <c r="C346" i="3"/>
  <c r="C287" i="3"/>
  <c r="C192" i="3"/>
  <c r="C352" i="3"/>
  <c r="C211" i="3"/>
  <c r="C631" i="3"/>
  <c r="C414" i="3"/>
  <c r="C299" i="3"/>
  <c r="C474" i="3"/>
  <c r="C452" i="3"/>
  <c r="C361" i="3"/>
  <c r="C571" i="3"/>
  <c r="C444" i="3"/>
  <c r="C541" i="3"/>
  <c r="C525" i="3"/>
  <c r="C357" i="3"/>
  <c r="C318" i="3"/>
  <c r="C303" i="3"/>
  <c r="C172" i="3"/>
  <c r="C564" i="3"/>
  <c r="C60" i="3"/>
  <c r="C126" i="3"/>
  <c r="C339" i="3"/>
  <c r="C568" i="3"/>
  <c r="C486" i="3"/>
  <c r="C87" i="3"/>
  <c r="C370" i="3"/>
  <c r="C270" i="3"/>
  <c r="C267" i="3"/>
  <c r="C575" i="3"/>
  <c r="C566" i="3"/>
  <c r="C162" i="3"/>
  <c r="C84" i="3"/>
  <c r="C175" i="3"/>
  <c r="C418" i="3"/>
  <c r="C244" i="3"/>
  <c r="C449" i="3"/>
  <c r="C427" i="3"/>
  <c r="C85" i="3"/>
  <c r="C610" i="3"/>
  <c r="C534" i="3"/>
  <c r="C168" i="3"/>
  <c r="C493" i="3"/>
  <c r="C565" i="3"/>
  <c r="C296" i="3"/>
  <c r="C124" i="3"/>
  <c r="C539" i="3"/>
  <c r="C473" i="3"/>
  <c r="C159" i="3"/>
  <c r="C529" i="3"/>
  <c r="C197" i="3"/>
  <c r="C626" i="3"/>
  <c r="C503" i="3"/>
  <c r="C233" i="3"/>
  <c r="C588" i="3"/>
  <c r="C477" i="3"/>
  <c r="C454" i="3"/>
  <c r="C195" i="3"/>
  <c r="C327" i="3"/>
  <c r="C392" i="3"/>
  <c r="C341" i="3"/>
  <c r="C122" i="3"/>
  <c r="C216" i="3"/>
  <c r="C281" i="3"/>
  <c r="C562" i="3"/>
  <c r="C300" i="3"/>
  <c r="C201" i="3"/>
  <c r="C180" i="3"/>
  <c r="C417" i="3"/>
  <c r="C329" i="3"/>
  <c r="C81" i="3"/>
  <c r="C165" i="3"/>
  <c r="C67" i="3"/>
  <c r="C432" i="3"/>
  <c r="C506" i="3"/>
  <c r="C229" i="3"/>
  <c r="C613" i="3"/>
  <c r="C305" i="3"/>
  <c r="C154" i="3"/>
  <c r="C450" i="3"/>
  <c r="C548" i="3"/>
  <c r="C75" i="3"/>
  <c r="C316" i="3"/>
  <c r="C284" i="3"/>
  <c r="C350" i="3"/>
  <c r="C554" i="3"/>
  <c r="C188" i="3"/>
  <c r="C375" i="3"/>
  <c r="C58" i="3"/>
  <c r="C468" i="3"/>
  <c r="C261" i="3"/>
  <c r="C348" i="3"/>
  <c r="C401" i="3"/>
  <c r="C522" i="3"/>
  <c r="C230" i="3"/>
  <c r="C190" i="3"/>
  <c r="C513" i="3"/>
  <c r="C497" i="3"/>
  <c r="C387" i="3"/>
  <c r="C9" i="3"/>
  <c r="C173" i="3"/>
  <c r="C61" i="3"/>
  <c r="C594" i="3"/>
  <c r="C88" i="3"/>
  <c r="C80" i="3"/>
  <c r="C144" i="3"/>
  <c r="C234" i="3"/>
  <c r="C552" i="3"/>
  <c r="C347" i="3"/>
  <c r="C282" i="3"/>
  <c r="C42" i="3"/>
  <c r="C147" i="3"/>
  <c r="C629" i="3"/>
  <c r="C429" i="3"/>
  <c r="C509" i="3"/>
  <c r="C203" i="3"/>
  <c r="C322" i="3"/>
  <c r="C47" i="3"/>
  <c r="C411" i="3"/>
  <c r="C585" i="3"/>
  <c r="C182" i="3"/>
  <c r="C314" i="3"/>
  <c r="C376" i="3"/>
  <c r="C70" i="3"/>
  <c r="C581" i="3"/>
  <c r="C291" i="3"/>
  <c r="C150" i="3"/>
  <c r="C478" i="3"/>
  <c r="C440" i="3"/>
  <c r="C321" i="3"/>
  <c r="C466" i="3"/>
  <c r="C369" i="3"/>
  <c r="C366" i="3"/>
  <c r="C102" i="3"/>
  <c r="C121" i="3"/>
  <c r="C64" i="3"/>
  <c r="C98" i="3"/>
  <c r="C519" i="3"/>
  <c r="C324" i="3"/>
  <c r="C260" i="3"/>
  <c r="C483" i="3"/>
  <c r="C425" i="3"/>
  <c r="C78" i="3"/>
  <c r="C89" i="3"/>
  <c r="C495" i="3"/>
  <c r="C553" i="3"/>
  <c r="C469" i="3"/>
  <c r="C545" i="3"/>
  <c r="C73" i="3"/>
  <c r="C349" i="3"/>
  <c r="C72" i="3"/>
  <c r="C415" i="3"/>
  <c r="C577" i="3"/>
  <c r="C453" i="3"/>
  <c r="C380" i="3"/>
  <c r="C258" i="3"/>
  <c r="C511" i="3"/>
  <c r="C96" i="3"/>
  <c r="C232" i="3"/>
  <c r="C538" i="3"/>
  <c r="C272" i="3"/>
  <c r="C69" i="3"/>
  <c r="C385" i="3"/>
  <c r="C579" i="3"/>
  <c r="C8" i="3"/>
  <c r="C609" i="3"/>
  <c r="C374" i="3"/>
  <c r="C544" i="3"/>
  <c r="C508" i="3"/>
  <c r="C251" i="3"/>
  <c r="C279" i="3"/>
  <c r="C616" i="3"/>
  <c r="C139" i="3"/>
  <c r="C462" i="3"/>
  <c r="C143" i="3"/>
  <c r="C256" i="3"/>
  <c r="C604" i="3"/>
  <c r="C189" i="3"/>
  <c r="C443" i="3"/>
  <c r="C302" i="3"/>
  <c r="C598" i="3"/>
  <c r="C464" i="3"/>
  <c r="C457" i="3"/>
  <c r="C412" i="3"/>
  <c r="C125" i="3"/>
  <c r="C399" i="3"/>
  <c r="C400" i="3"/>
  <c r="C140" i="3"/>
  <c r="C421" i="3"/>
  <c r="C611" i="3"/>
  <c r="C430" i="3"/>
  <c r="C297" i="3"/>
  <c r="C241" i="3"/>
  <c r="C600" i="3"/>
  <c r="C199" i="3"/>
  <c r="C257" i="3"/>
  <c r="C259" i="3"/>
  <c r="C328" i="3"/>
  <c r="C569" i="3"/>
  <c r="C179" i="3"/>
  <c r="C456" i="3"/>
  <c r="C170" i="3"/>
  <c r="C48" i="3"/>
  <c r="C342" i="3"/>
  <c r="C219" i="3"/>
  <c r="C164" i="3"/>
  <c r="C298" i="3"/>
  <c r="C405" i="3"/>
  <c r="C561" i="3"/>
  <c r="C133" i="3"/>
  <c r="C213" i="3"/>
  <c r="C136" i="3"/>
  <c r="C269" i="3"/>
  <c r="C584" i="3"/>
  <c r="C488" i="3"/>
  <c r="C226" i="3"/>
  <c r="C6" i="3"/>
  <c r="C208" i="3"/>
  <c r="C559" i="3"/>
  <c r="C446" i="3"/>
  <c r="C523" i="3"/>
  <c r="C379" i="3"/>
  <c r="C625" i="3"/>
  <c r="C52" i="3"/>
  <c r="C595" i="3"/>
  <c r="C275" i="3"/>
  <c r="C526" i="3"/>
  <c r="C489" i="3"/>
  <c r="C236" i="3"/>
  <c r="C517" i="3"/>
  <c r="C549" i="3"/>
  <c r="C193" i="3"/>
  <c r="C248" i="3"/>
  <c r="C471" i="3"/>
  <c r="C280" i="3"/>
  <c r="C499" i="3"/>
  <c r="C580" i="3"/>
  <c r="C221" i="3"/>
  <c r="C356" i="3"/>
  <c r="C310" i="3"/>
  <c r="C386" i="3"/>
  <c r="C527" i="3"/>
  <c r="C396" i="3"/>
  <c r="C92" i="3"/>
  <c r="C7" i="3"/>
  <c r="C363" i="3"/>
  <c r="C615" i="3"/>
  <c r="C458" i="3"/>
  <c r="C79" i="3"/>
  <c r="C570" i="3"/>
  <c r="C574" i="3"/>
  <c r="C618" i="3"/>
  <c r="C262" i="3"/>
  <c r="C319" i="3"/>
  <c r="C293" i="3"/>
  <c r="C463" i="3"/>
  <c r="C620" i="3"/>
  <c r="C4" i="3"/>
  <c r="C112" i="3"/>
  <c r="C500" i="3"/>
  <c r="C344" i="3"/>
  <c r="C447" i="3"/>
  <c r="C332" i="3"/>
  <c r="C187" i="3"/>
  <c r="C113" i="3"/>
  <c r="C169" i="3"/>
  <c r="C65" i="3"/>
  <c r="C550" i="3"/>
  <c r="C410" i="3"/>
  <c r="C148" i="3"/>
  <c r="C132" i="3"/>
  <c r="C20" i="3"/>
  <c r="C367" i="3"/>
  <c r="C151" i="3"/>
  <c r="C597" i="3"/>
  <c r="C606" i="3"/>
  <c r="C627" i="3"/>
  <c r="C152" i="3"/>
  <c r="C276" i="3"/>
  <c r="C518" i="3"/>
  <c r="C607" i="3"/>
  <c r="C202" i="3"/>
  <c r="C93" i="3"/>
  <c r="C254" i="3"/>
  <c r="C442" i="3"/>
  <c r="C563" i="3"/>
  <c r="C249" i="3"/>
  <c r="C502" i="3"/>
  <c r="C433" i="3"/>
  <c r="C135" i="3"/>
  <c r="C530" i="3"/>
  <c r="C583" i="3"/>
  <c r="C556" i="3"/>
  <c r="C496" i="3"/>
  <c r="C15" i="3"/>
  <c r="C123" i="3"/>
  <c r="C53" i="3"/>
  <c r="C455" i="3"/>
  <c r="C16" i="3"/>
  <c r="C295" i="3"/>
  <c r="C426" i="3"/>
  <c r="C389" i="3"/>
  <c r="C82" i="3"/>
  <c r="C343" i="3"/>
  <c r="C333" i="3"/>
  <c r="C461" i="3"/>
  <c r="C535" i="3"/>
  <c r="C407" i="3"/>
  <c r="C403" i="3"/>
  <c r="C109" i="3"/>
  <c r="C498" i="3"/>
  <c r="C394" i="3"/>
  <c r="C243" i="3"/>
  <c r="C218" i="3"/>
  <c r="C335" i="3"/>
  <c r="C107" i="3"/>
  <c r="C128" i="3"/>
  <c r="C520" i="3"/>
  <c r="C138" i="3"/>
  <c r="C246" i="3"/>
  <c r="C621" i="3"/>
  <c r="C50" i="3"/>
  <c r="C377" i="3"/>
  <c r="C155" i="3"/>
  <c r="C118" i="3"/>
  <c r="C242" i="3"/>
  <c r="C285" i="3"/>
  <c r="C103" i="3"/>
  <c r="C551" i="3"/>
  <c r="C591" i="3"/>
  <c r="C533" i="3"/>
  <c r="C204" i="3"/>
  <c r="C623" i="3"/>
  <c r="C368" i="3"/>
  <c r="C491" i="3"/>
  <c r="C326" i="3"/>
  <c r="C524" i="3"/>
  <c r="C238" i="3"/>
  <c r="C220" i="3"/>
  <c r="C431" i="3"/>
  <c r="C214" i="3"/>
  <c r="C74" i="3"/>
  <c r="C540" i="3"/>
  <c r="C360" i="3"/>
  <c r="C250" i="3"/>
  <c r="C288" i="3"/>
  <c r="C2" i="3"/>
  <c r="C253" i="3"/>
  <c r="C423" i="3"/>
  <c r="C277" i="3"/>
  <c r="C83" i="3"/>
  <c r="C537" i="3"/>
  <c r="C292" i="3"/>
  <c r="C397" i="3"/>
  <c r="C338" i="3"/>
  <c r="C359" i="3"/>
  <c r="C44" i="3"/>
  <c r="C470" i="3"/>
  <c r="C59" i="3"/>
  <c r="C601" i="3"/>
  <c r="C278" i="3"/>
  <c r="C14" i="3"/>
  <c r="C542" i="3"/>
  <c r="C129" i="3"/>
  <c r="C481" i="3"/>
  <c r="C330" i="3"/>
  <c r="C402" i="3"/>
  <c r="C194" i="3"/>
  <c r="C100" i="3"/>
  <c r="C237" i="3"/>
  <c r="C309" i="3"/>
  <c r="C373" i="3"/>
  <c r="C145" i="3"/>
  <c r="C66" i="3"/>
  <c r="C490" i="3"/>
  <c r="C191" i="3"/>
  <c r="C273" i="3"/>
  <c r="C157" i="3"/>
  <c r="C422" i="3"/>
  <c r="C436" i="3"/>
  <c r="C68" i="3"/>
  <c r="C395" i="3"/>
  <c r="C505" i="3"/>
  <c r="C167" i="3"/>
  <c r="C263" i="3"/>
  <c r="C212" i="3"/>
  <c r="C210" i="3"/>
  <c r="C494" i="3"/>
  <c r="C512" i="3"/>
  <c r="C106" i="3"/>
  <c r="C460" i="3"/>
  <c r="C46" i="3"/>
  <c r="C163" i="3"/>
  <c r="C365" i="3"/>
  <c r="C289" i="3"/>
  <c r="C57" i="3"/>
  <c r="C207" i="3"/>
  <c r="C142" i="3"/>
  <c r="C532" i="3"/>
  <c r="C592" i="3"/>
  <c r="C294" i="3"/>
  <c r="C196" i="3"/>
  <c r="C567" i="3"/>
  <c r="C424" i="3"/>
  <c r="C596" i="3"/>
  <c r="C572" i="3"/>
  <c r="C255" i="3"/>
  <c r="C5" i="3"/>
  <c r="C507" i="3"/>
  <c r="C582" i="3"/>
  <c r="C101" i="3"/>
  <c r="C608" i="3"/>
  <c r="C546" i="3"/>
  <c r="C307" i="3"/>
  <c r="C381" i="3"/>
  <c r="C435" i="3"/>
  <c r="C593" i="3"/>
  <c r="C438" i="3"/>
  <c r="C313" i="3"/>
  <c r="C605" i="3"/>
  <c r="C131" i="3"/>
  <c r="C77" i="3"/>
  <c r="C406" i="3"/>
  <c r="C383" i="3"/>
  <c r="C55" i="3"/>
  <c r="C434" i="3"/>
  <c r="C441" i="3"/>
  <c r="C94" i="3"/>
  <c r="C351" i="3"/>
  <c r="C521" i="3"/>
  <c r="C95" i="3"/>
  <c r="C528" i="3"/>
  <c r="C222" i="3"/>
  <c r="B105" i="3"/>
  <c r="B578" i="3"/>
  <c r="B362" i="3"/>
  <c r="B492" i="3"/>
  <c r="B632" i="3"/>
  <c r="B181" i="3"/>
  <c r="B311" i="3"/>
  <c r="B531" i="3"/>
  <c r="B286" i="3"/>
  <c r="B146" i="3"/>
  <c r="B10" i="3"/>
  <c r="B482" i="3"/>
  <c r="B141" i="3"/>
  <c r="B547" i="3"/>
  <c r="B62" i="3"/>
  <c r="B239" i="3"/>
  <c r="B590" i="3"/>
  <c r="B515" i="3"/>
  <c r="B56" i="3"/>
  <c r="B235" i="3"/>
  <c r="B209" i="3"/>
  <c r="B416" i="3"/>
  <c r="B51" i="3"/>
  <c r="B205" i="3"/>
  <c r="B90" i="3"/>
  <c r="B21" i="3"/>
  <c r="B586" i="3"/>
  <c r="B467" i="3"/>
  <c r="B476" i="3"/>
  <c r="B408" i="3"/>
  <c r="B134" i="3"/>
  <c r="B445" i="3"/>
  <c r="B419" i="3"/>
  <c r="B198" i="3"/>
  <c r="B120" i="3"/>
  <c r="B536" i="3"/>
  <c r="B108" i="3"/>
  <c r="B153" i="3"/>
  <c r="B555" i="3"/>
  <c r="B619" i="3"/>
  <c r="B301" i="3"/>
  <c r="B371" i="3"/>
  <c r="B576" i="3"/>
  <c r="B602" i="3"/>
  <c r="B115" i="3"/>
  <c r="B390" i="3"/>
  <c r="B617" i="3"/>
  <c r="B378" i="3"/>
  <c r="B391" i="3"/>
  <c r="B622" i="3"/>
  <c r="B32" i="3"/>
  <c r="B304" i="3"/>
  <c r="B215" i="3"/>
  <c r="B225" i="3"/>
  <c r="B437" i="3"/>
  <c r="B320" i="3"/>
  <c r="B224" i="3"/>
  <c r="B36" i="3"/>
  <c r="B54" i="3"/>
  <c r="B49" i="3"/>
  <c r="B111" i="3"/>
  <c r="B160" i="3"/>
  <c r="B501" i="3"/>
  <c r="B308" i="3"/>
  <c r="B184" i="3"/>
  <c r="B448" i="3"/>
  <c r="B30" i="3"/>
  <c r="B283" i="3"/>
  <c r="B354" i="3"/>
  <c r="B156" i="3"/>
  <c r="B12" i="3"/>
  <c r="B228" i="3"/>
  <c r="B200" i="3"/>
  <c r="B398" i="3"/>
  <c r="B166" i="3"/>
  <c r="B178" i="3"/>
  <c r="B25" i="3"/>
  <c r="B22" i="3"/>
  <c r="B171" i="3"/>
  <c r="B312" i="3"/>
  <c r="B364" i="3"/>
  <c r="B624" i="3"/>
  <c r="B149" i="3"/>
  <c r="B325" i="3"/>
  <c r="B409" i="3"/>
  <c r="B97" i="3"/>
  <c r="B110" i="3"/>
  <c r="B158" i="3"/>
  <c r="B274" i="3"/>
  <c r="B336" i="3"/>
  <c r="B404" i="3"/>
  <c r="B504" i="3"/>
  <c r="B614" i="3"/>
  <c r="B31" i="3"/>
  <c r="B516" i="3"/>
  <c r="B573" i="3"/>
  <c r="B340" i="3"/>
  <c r="B18" i="3"/>
  <c r="B420" i="3"/>
  <c r="B185" i="3"/>
  <c r="B487" i="3"/>
  <c r="B99" i="3"/>
  <c r="B227" i="3"/>
  <c r="B37" i="3"/>
  <c r="B217" i="3"/>
  <c r="B114" i="3"/>
  <c r="B510" i="3"/>
  <c r="B472" i="3"/>
  <c r="B388" i="3"/>
  <c r="B17" i="3"/>
  <c r="B116" i="3"/>
  <c r="B206" i="3"/>
  <c r="B382" i="3"/>
  <c r="B41" i="3"/>
  <c r="B439" i="3"/>
  <c r="B268" i="3"/>
  <c r="B603" i="3"/>
  <c r="B223" i="3"/>
  <c r="B345" i="3"/>
  <c r="B245" i="3"/>
  <c r="B413" i="3"/>
  <c r="B271" i="3"/>
  <c r="B451" i="3"/>
  <c r="B393" i="3"/>
  <c r="B176" i="3"/>
  <c r="B177" i="3"/>
  <c r="B117" i="3"/>
  <c r="B161" i="3"/>
  <c r="B465" i="3"/>
  <c r="B358" i="3"/>
  <c r="B315" i="3"/>
  <c r="B45" i="3"/>
  <c r="B183" i="3"/>
  <c r="B484" i="3"/>
  <c r="B589" i="3"/>
  <c r="B337" i="3"/>
  <c r="B137" i="3"/>
  <c r="B475" i="3"/>
  <c r="B587" i="3"/>
  <c r="B11" i="3"/>
  <c r="B334" i="3"/>
  <c r="B485" i="3"/>
  <c r="B76" i="3"/>
  <c r="B560" i="3"/>
  <c r="B428" i="3"/>
  <c r="B186" i="3"/>
  <c r="B247" i="3"/>
  <c r="B13" i="3"/>
  <c r="B630" i="3"/>
  <c r="B479" i="3"/>
  <c r="B599" i="3"/>
  <c r="B252" i="3"/>
  <c r="B633" i="3"/>
  <c r="B543" i="3"/>
  <c r="B86" i="3"/>
  <c r="B384" i="3"/>
  <c r="B372" i="3"/>
  <c r="B119" i="3"/>
  <c r="B43" i="3"/>
  <c r="B514" i="3"/>
  <c r="B264" i="3"/>
  <c r="B130" i="3"/>
  <c r="B459" i="3"/>
  <c r="B265" i="3"/>
  <c r="B558" i="3"/>
  <c r="B266" i="3"/>
  <c r="B240" i="3"/>
  <c r="B290" i="3"/>
  <c r="B355" i="3"/>
  <c r="B127" i="3"/>
  <c r="B19" i="3"/>
  <c r="B174" i="3"/>
  <c r="B91" i="3"/>
  <c r="B231" i="3"/>
  <c r="B557" i="3"/>
  <c r="B323" i="3"/>
  <c r="B628" i="3"/>
  <c r="B104" i="3"/>
  <c r="B331" i="3"/>
  <c r="B612" i="3"/>
  <c r="B63" i="3"/>
  <c r="B480" i="3"/>
  <c r="B35" i="3"/>
  <c r="B353" i="3"/>
  <c r="B306" i="3"/>
  <c r="B71" i="3"/>
  <c r="B317" i="3"/>
  <c r="B3" i="3"/>
  <c r="B346" i="3"/>
  <c r="B287" i="3"/>
  <c r="B192" i="3"/>
  <c r="B352" i="3"/>
  <c r="B211" i="3"/>
  <c r="B631" i="3"/>
  <c r="B414" i="3"/>
  <c r="B299" i="3"/>
  <c r="B474" i="3"/>
  <c r="B452" i="3"/>
  <c r="B361" i="3"/>
  <c r="B571" i="3"/>
  <c r="B444" i="3"/>
  <c r="B541" i="3"/>
  <c r="B525" i="3"/>
  <c r="B357" i="3"/>
  <c r="B318" i="3"/>
  <c r="B303" i="3"/>
  <c r="B172" i="3"/>
  <c r="B40" i="3"/>
  <c r="B564" i="3"/>
  <c r="B60" i="3"/>
  <c r="B126" i="3"/>
  <c r="B339" i="3"/>
  <c r="B568" i="3"/>
  <c r="B486" i="3"/>
  <c r="B87" i="3"/>
  <c r="B370" i="3"/>
  <c r="B270" i="3"/>
  <c r="B267" i="3"/>
  <c r="B575" i="3"/>
  <c r="B566" i="3"/>
  <c r="B162" i="3"/>
  <c r="B84" i="3"/>
  <c r="B175" i="3"/>
  <c r="B418" i="3"/>
  <c r="B244" i="3"/>
  <c r="B449" i="3"/>
  <c r="B427" i="3"/>
  <c r="B85" i="3"/>
  <c r="B610" i="3"/>
  <c r="B534" i="3"/>
  <c r="B168" i="3"/>
  <c r="B493" i="3"/>
  <c r="B565" i="3"/>
  <c r="B296" i="3"/>
  <c r="B124" i="3"/>
  <c r="B539" i="3"/>
  <c r="B473" i="3"/>
  <c r="B159" i="3"/>
  <c r="B529" i="3"/>
  <c r="B197" i="3"/>
  <c r="B626" i="3"/>
  <c r="B503" i="3"/>
  <c r="B233" i="3"/>
  <c r="B588" i="3"/>
  <c r="B477" i="3"/>
  <c r="B454" i="3"/>
  <c r="B195" i="3"/>
  <c r="B327" i="3"/>
  <c r="B392" i="3"/>
  <c r="B341" i="3"/>
  <c r="B122" i="3"/>
  <c r="B216" i="3"/>
  <c r="B281" i="3"/>
  <c r="B562" i="3"/>
  <c r="B300" i="3"/>
  <c r="B201" i="3"/>
  <c r="B180" i="3"/>
  <c r="B417" i="3"/>
  <c r="B329" i="3"/>
  <c r="B81" i="3"/>
  <c r="B165" i="3"/>
  <c r="B67" i="3"/>
  <c r="B432" i="3"/>
  <c r="B506" i="3"/>
  <c r="B229" i="3"/>
  <c r="B613" i="3"/>
  <c r="B305" i="3"/>
  <c r="B154" i="3"/>
  <c r="B450" i="3"/>
  <c r="B548" i="3"/>
  <c r="B75" i="3"/>
  <c r="B316" i="3"/>
  <c r="B284" i="3"/>
  <c r="B350" i="3"/>
  <c r="B554" i="3"/>
  <c r="B188" i="3"/>
  <c r="B375" i="3"/>
  <c r="B58" i="3"/>
  <c r="B468" i="3"/>
  <c r="B261" i="3"/>
  <c r="B348" i="3"/>
  <c r="B401" i="3"/>
  <c r="B522" i="3"/>
  <c r="B230" i="3"/>
  <c r="B190" i="3"/>
  <c r="B513" i="3"/>
  <c r="B497" i="3"/>
  <c r="B387" i="3"/>
  <c r="B9" i="3"/>
  <c r="B173" i="3"/>
  <c r="B61" i="3"/>
  <c r="B594" i="3"/>
  <c r="B88" i="3"/>
  <c r="B80" i="3"/>
  <c r="B144" i="3"/>
  <c r="B234" i="3"/>
  <c r="B552" i="3"/>
  <c r="B347" i="3"/>
  <c r="B282" i="3"/>
  <c r="B42" i="3"/>
  <c r="B147" i="3"/>
  <c r="B629" i="3"/>
  <c r="B429" i="3"/>
  <c r="B509" i="3"/>
  <c r="B203" i="3"/>
  <c r="B322" i="3"/>
  <c r="B47" i="3"/>
  <c r="B411" i="3"/>
  <c r="B585" i="3"/>
  <c r="B182" i="3"/>
  <c r="B314" i="3"/>
  <c r="B376" i="3"/>
  <c r="B70" i="3"/>
  <c r="B581" i="3"/>
  <c r="B291" i="3"/>
  <c r="B150" i="3"/>
  <c r="B478" i="3"/>
  <c r="B440" i="3"/>
  <c r="B321" i="3"/>
  <c r="B27" i="3"/>
  <c r="B466" i="3"/>
  <c r="B369" i="3"/>
  <c r="B366" i="3"/>
  <c r="B102" i="3"/>
  <c r="B121" i="3"/>
  <c r="B64" i="3"/>
  <c r="B98" i="3"/>
  <c r="B519" i="3"/>
  <c r="B324" i="3"/>
  <c r="B260" i="3"/>
  <c r="B483" i="3"/>
  <c r="B425" i="3"/>
  <c r="B78" i="3"/>
  <c r="B89" i="3"/>
  <c r="B495" i="3"/>
  <c r="B553" i="3"/>
  <c r="B469" i="3"/>
  <c r="B545" i="3"/>
  <c r="B73" i="3"/>
  <c r="B349" i="3"/>
  <c r="B72" i="3"/>
  <c r="B415" i="3"/>
  <c r="B577" i="3"/>
  <c r="B453" i="3"/>
  <c r="B380" i="3"/>
  <c r="B258" i="3"/>
  <c r="B26" i="3"/>
  <c r="B511" i="3"/>
  <c r="B96" i="3"/>
  <c r="B232" i="3"/>
  <c r="B538" i="3"/>
  <c r="B272" i="3"/>
  <c r="B69" i="3"/>
  <c r="B385" i="3"/>
  <c r="B579" i="3"/>
  <c r="B8" i="3"/>
  <c r="B609" i="3"/>
  <c r="B374" i="3"/>
  <c r="B33" i="3"/>
  <c r="B544" i="3"/>
  <c r="B24" i="3"/>
  <c r="B508" i="3"/>
  <c r="B251" i="3"/>
  <c r="B279" i="3"/>
  <c r="B616" i="3"/>
  <c r="B139" i="3"/>
  <c r="B462" i="3"/>
  <c r="B143" i="3"/>
  <c r="B256" i="3"/>
  <c r="B604" i="3"/>
  <c r="B189" i="3"/>
  <c r="B443" i="3"/>
  <c r="B302" i="3"/>
  <c r="B598" i="3"/>
  <c r="B464" i="3"/>
  <c r="B457" i="3"/>
  <c r="B412" i="3"/>
  <c r="B125" i="3"/>
  <c r="B399" i="3"/>
  <c r="B400" i="3"/>
  <c r="B140" i="3"/>
  <c r="B421" i="3"/>
  <c r="B611" i="3"/>
  <c r="B430" i="3"/>
  <c r="B297" i="3"/>
  <c r="B241" i="3"/>
  <c r="B600" i="3"/>
  <c r="B199" i="3"/>
  <c r="B257" i="3"/>
  <c r="B259" i="3"/>
  <c r="B328" i="3"/>
  <c r="B569" i="3"/>
  <c r="B179" i="3"/>
  <c r="B456" i="3"/>
  <c r="B170" i="3"/>
  <c r="B48" i="3"/>
  <c r="B342" i="3"/>
  <c r="B219" i="3"/>
  <c r="B164" i="3"/>
  <c r="B298" i="3"/>
  <c r="B405" i="3"/>
  <c r="B561" i="3"/>
  <c r="B133" i="3"/>
  <c r="B213" i="3"/>
  <c r="B136" i="3"/>
  <c r="B269" i="3"/>
  <c r="B584" i="3"/>
  <c r="B488" i="3"/>
  <c r="B226" i="3"/>
  <c r="B6" i="3"/>
  <c r="B208" i="3"/>
  <c r="B559" i="3"/>
  <c r="B446" i="3"/>
  <c r="B523" i="3"/>
  <c r="B379" i="3"/>
  <c r="B625" i="3"/>
  <c r="B34" i="3"/>
  <c r="B52" i="3"/>
  <c r="B595" i="3"/>
  <c r="B275" i="3"/>
  <c r="B526" i="3"/>
  <c r="B489" i="3"/>
  <c r="B236" i="3"/>
  <c r="B517" i="3"/>
  <c r="B549" i="3"/>
  <c r="B193" i="3"/>
  <c r="B248" i="3"/>
  <c r="B471" i="3"/>
  <c r="B280" i="3"/>
  <c r="B499" i="3"/>
  <c r="B580" i="3"/>
  <c r="B221" i="3"/>
  <c r="B356" i="3"/>
  <c r="B310" i="3"/>
  <c r="B386" i="3"/>
  <c r="B527" i="3"/>
  <c r="B396" i="3"/>
  <c r="B92" i="3"/>
  <c r="B7" i="3"/>
  <c r="B363" i="3"/>
  <c r="B615" i="3"/>
  <c r="B458" i="3"/>
  <c r="B79" i="3"/>
  <c r="B570" i="3"/>
  <c r="B574" i="3"/>
  <c r="B618" i="3"/>
  <c r="B262" i="3"/>
  <c r="B319" i="3"/>
  <c r="B293" i="3"/>
  <c r="B463" i="3"/>
  <c r="B620" i="3"/>
  <c r="B4" i="3"/>
  <c r="B112" i="3"/>
  <c r="B500" i="3"/>
  <c r="B344" i="3"/>
  <c r="B38" i="3"/>
  <c r="B447" i="3"/>
  <c r="B332" i="3"/>
  <c r="B187" i="3"/>
  <c r="B113" i="3"/>
  <c r="B169" i="3"/>
  <c r="B65" i="3"/>
  <c r="B550" i="3"/>
  <c r="B410" i="3"/>
  <c r="B148" i="3"/>
  <c r="B132" i="3"/>
  <c r="B20" i="3"/>
  <c r="B367" i="3"/>
  <c r="B151" i="3"/>
  <c r="B597" i="3"/>
  <c r="B606" i="3"/>
  <c r="B627" i="3"/>
  <c r="B152" i="3"/>
  <c r="B276" i="3"/>
  <c r="B518" i="3"/>
  <c r="B607" i="3"/>
  <c r="B202" i="3"/>
  <c r="B93" i="3"/>
  <c r="B254" i="3"/>
  <c r="B29" i="3"/>
  <c r="B442" i="3"/>
  <c r="B563" i="3"/>
  <c r="B249" i="3"/>
  <c r="B502" i="3"/>
  <c r="B433" i="3"/>
  <c r="B135" i="3"/>
  <c r="B530" i="3"/>
  <c r="B583" i="3"/>
  <c r="B556" i="3"/>
  <c r="B496" i="3"/>
  <c r="B15" i="3"/>
  <c r="B123" i="3"/>
  <c r="B53" i="3"/>
  <c r="B455" i="3"/>
  <c r="B16" i="3"/>
  <c r="B295" i="3"/>
  <c r="B426" i="3"/>
  <c r="B389" i="3"/>
  <c r="B82" i="3"/>
  <c r="B343" i="3"/>
  <c r="B333" i="3"/>
  <c r="B461" i="3"/>
  <c r="B535" i="3"/>
  <c r="B407" i="3"/>
  <c r="B403" i="3"/>
  <c r="B109" i="3"/>
  <c r="B498" i="3"/>
  <c r="B394" i="3"/>
  <c r="B243" i="3"/>
  <c r="B218" i="3"/>
  <c r="B335" i="3"/>
  <c r="B107" i="3"/>
  <c r="B128" i="3"/>
  <c r="B520" i="3"/>
  <c r="B138" i="3"/>
  <c r="B246" i="3"/>
  <c r="B621" i="3"/>
  <c r="B50" i="3"/>
  <c r="B377" i="3"/>
  <c r="B155" i="3"/>
  <c r="B118" i="3"/>
  <c r="B242" i="3"/>
  <c r="B23" i="3"/>
  <c r="B285" i="3"/>
  <c r="B103" i="3"/>
  <c r="B551" i="3"/>
  <c r="B591" i="3"/>
  <c r="B533" i="3"/>
  <c r="B204" i="3"/>
  <c r="B623" i="3"/>
  <c r="B368" i="3"/>
  <c r="B491" i="3"/>
  <c r="B326" i="3"/>
  <c r="B524" i="3"/>
  <c r="B238" i="3"/>
  <c r="B220" i="3"/>
  <c r="B431" i="3"/>
  <c r="B214" i="3"/>
  <c r="B74" i="3"/>
  <c r="B540" i="3"/>
  <c r="B360" i="3"/>
  <c r="B250" i="3"/>
  <c r="B288" i="3"/>
  <c r="B2" i="3"/>
  <c r="B253" i="3"/>
  <c r="B423" i="3"/>
  <c r="B277" i="3"/>
  <c r="B83" i="3"/>
  <c r="B537" i="3"/>
  <c r="B292" i="3"/>
  <c r="B397" i="3"/>
  <c r="B338" i="3"/>
  <c r="B359" i="3"/>
  <c r="B44" i="3"/>
  <c r="B39" i="3"/>
  <c r="B470" i="3"/>
  <c r="B59" i="3"/>
  <c r="B601" i="3"/>
  <c r="B278" i="3"/>
  <c r="B14" i="3"/>
  <c r="B542" i="3"/>
  <c r="B129" i="3"/>
  <c r="B481" i="3"/>
  <c r="B330" i="3"/>
  <c r="B402" i="3"/>
  <c r="B194" i="3"/>
  <c r="B100" i="3"/>
  <c r="B237" i="3"/>
  <c r="B309" i="3"/>
  <c r="B373" i="3"/>
  <c r="B145" i="3"/>
  <c r="B66" i="3"/>
  <c r="B490" i="3"/>
  <c r="B191" i="3"/>
  <c r="B273" i="3"/>
  <c r="B157" i="3"/>
  <c r="B422" i="3"/>
  <c r="B436" i="3"/>
  <c r="B68" i="3"/>
  <c r="B395" i="3"/>
  <c r="B505" i="3"/>
  <c r="B167" i="3"/>
  <c r="B263" i="3"/>
  <c r="B212" i="3"/>
  <c r="B210" i="3"/>
  <c r="B494" i="3"/>
  <c r="B512" i="3"/>
  <c r="B106" i="3"/>
  <c r="B460" i="3"/>
  <c r="B46" i="3"/>
  <c r="B28" i="3"/>
  <c r="B163" i="3"/>
  <c r="B365" i="3"/>
  <c r="B289" i="3"/>
  <c r="B57" i="3"/>
  <c r="B207" i="3"/>
  <c r="B142" i="3"/>
  <c r="B532" i="3"/>
  <c r="B592" i="3"/>
  <c r="B294" i="3"/>
  <c r="B196" i="3"/>
  <c r="B567" i="3"/>
  <c r="B424" i="3"/>
  <c r="B596" i="3"/>
  <c r="B572" i="3"/>
  <c r="B255" i="3"/>
  <c r="B5" i="3"/>
  <c r="B507" i="3"/>
  <c r="B582" i="3"/>
  <c r="B101" i="3"/>
  <c r="B608" i="3"/>
  <c r="B546" i="3"/>
  <c r="B307" i="3"/>
  <c r="B381" i="3"/>
  <c r="B435" i="3"/>
  <c r="B593" i="3"/>
  <c r="B438" i="3"/>
  <c r="B313" i="3"/>
  <c r="B605" i="3"/>
  <c r="B131" i="3"/>
  <c r="B77" i="3"/>
  <c r="B406" i="3"/>
  <c r="B383" i="3"/>
  <c r="B55" i="3"/>
  <c r="B434" i="3"/>
  <c r="B441" i="3"/>
  <c r="B94" i="3"/>
  <c r="B351" i="3"/>
  <c r="B521" i="3"/>
  <c r="B95" i="3"/>
  <c r="B528" i="3"/>
  <c r="B222" i="3"/>
  <c r="I4" i="10"/>
  <c r="Q4" i="10"/>
  <c r="E4" i="10"/>
  <c r="A4" i="10"/>
  <c r="M4" i="10"/>
  <c r="I12" i="6" l="1"/>
  <c r="AO555" i="3"/>
  <c r="AO203" i="3"/>
  <c r="AO587" i="3"/>
  <c r="AO523" i="3"/>
  <c r="AO427" i="3"/>
  <c r="AO107" i="3"/>
  <c r="AO588" i="3"/>
  <c r="AO556" i="3"/>
  <c r="AO546" i="3"/>
  <c r="AO524" i="3"/>
  <c r="AO492" i="3"/>
  <c r="AO482" i="3"/>
  <c r="AO450" i="3"/>
  <c r="AO386" i="3"/>
  <c r="AO268" i="3"/>
  <c r="AO236" i="3"/>
  <c r="AO226" i="3"/>
  <c r="AO603" i="3"/>
  <c r="AO227" i="3"/>
  <c r="AO499" i="3"/>
  <c r="AO403" i="3"/>
  <c r="AO379" i="3"/>
  <c r="AO355" i="3"/>
  <c r="AO331" i="3"/>
  <c r="AO219" i="3"/>
  <c r="AO154" i="3"/>
  <c r="AO106" i="3"/>
  <c r="AO10" i="3"/>
  <c r="AO619" i="3"/>
  <c r="AO171" i="3"/>
  <c r="AO628" i="3"/>
  <c r="AO564" i="3"/>
  <c r="AO554" i="3"/>
  <c r="AO532" i="3"/>
  <c r="AO468" i="3"/>
  <c r="AO458" i="3"/>
  <c r="AO436" i="3"/>
  <c r="AO330" i="3"/>
  <c r="AO298" i="3"/>
  <c r="AO276" i="3"/>
  <c r="AO52" i="3"/>
  <c r="AO20" i="3"/>
  <c r="AO491" i="3"/>
  <c r="AO419" i="3"/>
  <c r="AO395" i="3"/>
  <c r="AO3" i="3"/>
  <c r="AO615" i="3"/>
  <c r="AO583" i="3"/>
  <c r="AO573" i="3"/>
  <c r="AO519" i="3"/>
  <c r="AO509" i="3"/>
  <c r="AO445" i="3"/>
  <c r="AO423" i="3"/>
  <c r="AO327" i="3"/>
  <c r="AO285" i="3"/>
  <c r="AO263" i="3"/>
  <c r="AO253" i="3"/>
  <c r="AO231" i="3"/>
  <c r="AO221" i="3"/>
  <c r="AO189" i="3"/>
  <c r="AO125" i="3"/>
  <c r="AO103" i="3"/>
  <c r="AO7" i="3"/>
  <c r="AO539" i="3"/>
  <c r="AO531" i="3"/>
  <c r="AO515" i="3"/>
  <c r="AO347" i="3"/>
  <c r="AO323" i="3"/>
  <c r="AO259" i="3"/>
  <c r="AO235" i="3"/>
  <c r="AO211" i="3"/>
  <c r="AO187" i="3"/>
  <c r="AO122" i="3"/>
  <c r="AO434" i="3"/>
  <c r="AO402" i="3"/>
  <c r="AO242" i="3"/>
  <c r="AO114" i="3"/>
  <c r="AO611" i="3"/>
  <c r="AO459" i="3"/>
  <c r="AO299" i="3"/>
  <c r="AO163" i="3"/>
  <c r="AO139" i="3"/>
  <c r="AO67" i="3"/>
  <c r="AO547" i="3"/>
  <c r="AO363" i="3"/>
  <c r="AO460" i="3"/>
  <c r="AO97" i="3"/>
  <c r="AO629" i="3"/>
  <c r="AO607" i="3"/>
  <c r="AO597" i="3"/>
  <c r="AO575" i="3"/>
  <c r="AO565" i="3"/>
  <c r="AO543" i="3"/>
  <c r="AO533" i="3"/>
  <c r="AO511" i="3"/>
  <c r="AO501" i="3"/>
  <c r="AO479" i="3"/>
  <c r="AO469" i="3"/>
  <c r="AO447" i="3"/>
  <c r="AO437" i="3"/>
  <c r="AO415" i="3"/>
  <c r="AO405" i="3"/>
  <c r="AO383" i="3"/>
  <c r="AO373" i="3"/>
  <c r="AO351" i="3"/>
  <c r="AO341" i="3"/>
  <c r="AO319" i="3"/>
  <c r="AO309" i="3"/>
  <c r="AO287" i="3"/>
  <c r="AO277" i="3"/>
  <c r="AO255" i="3"/>
  <c r="AO245" i="3"/>
  <c r="AO223" i="3"/>
  <c r="AO213" i="3"/>
  <c r="AO191" i="3"/>
  <c r="AO181" i="3"/>
  <c r="AO159" i="3"/>
  <c r="AO149" i="3"/>
  <c r="AO127" i="3"/>
  <c r="AO117" i="3"/>
  <c r="AO95" i="3"/>
  <c r="AO85" i="3"/>
  <c r="AO63" i="3"/>
  <c r="AO53" i="3"/>
  <c r="AO43" i="3"/>
  <c r="AO31" i="3"/>
  <c r="AO11" i="3"/>
  <c r="AO618" i="3"/>
  <c r="AO606" i="3"/>
  <c r="AO596" i="3"/>
  <c r="AO586" i="3"/>
  <c r="AO404" i="3"/>
  <c r="AO372" i="3"/>
  <c r="AO362" i="3"/>
  <c r="AO340" i="3"/>
  <c r="AO308" i="3"/>
  <c r="AO244" i="3"/>
  <c r="AO212" i="3"/>
  <c r="AO180" i="3"/>
  <c r="AO148" i="3"/>
  <c r="AO116" i="3"/>
  <c r="AO84" i="3"/>
  <c r="AO605" i="3"/>
  <c r="AO541" i="3"/>
  <c r="AO487" i="3"/>
  <c r="AO477" i="3"/>
  <c r="AO455" i="3"/>
  <c r="AO413" i="3"/>
  <c r="AO391" i="3"/>
  <c r="AO381" i="3"/>
  <c r="AO359" i="3"/>
  <c r="AO349" i="3"/>
  <c r="AO317" i="3"/>
  <c r="AO295" i="3"/>
  <c r="AO157" i="3"/>
  <c r="AO135" i="3"/>
  <c r="AO93" i="3"/>
  <c r="AO61" i="3"/>
  <c r="AO39" i="3"/>
  <c r="AO626" i="3"/>
  <c r="AO614" i="3"/>
  <c r="AO604" i="3"/>
  <c r="AO594" i="3"/>
  <c r="AO572" i="3"/>
  <c r="AO562" i="3"/>
  <c r="AO550" i="3"/>
  <c r="AO540" i="3"/>
  <c r="AO530" i="3"/>
  <c r="AO518" i="3"/>
  <c r="AO508" i="3"/>
  <c r="AO498" i="3"/>
  <c r="AO476" i="3"/>
  <c r="AO466" i="3"/>
  <c r="AO444" i="3"/>
  <c r="AO422" i="3"/>
  <c r="AO412" i="3"/>
  <c r="AO380" i="3"/>
  <c r="AO370" i="3"/>
  <c r="AO348" i="3"/>
  <c r="AO338" i="3"/>
  <c r="AO316" i="3"/>
  <c r="AO306" i="3"/>
  <c r="AO284" i="3"/>
  <c r="AO274" i="3"/>
  <c r="AO252" i="3"/>
  <c r="AO230" i="3"/>
  <c r="AO220" i="3"/>
  <c r="AO210" i="3"/>
  <c r="AO188" i="3"/>
  <c r="AO178" i="3"/>
  <c r="AO156" i="3"/>
  <c r="AO146" i="3"/>
  <c r="AO134" i="3"/>
  <c r="AO124" i="3"/>
  <c r="AO92" i="3"/>
  <c r="AO82" i="3"/>
  <c r="AO70" i="3"/>
  <c r="AO60" i="3"/>
  <c r="AO28" i="3"/>
  <c r="AO428" i="3"/>
  <c r="AO322" i="3"/>
  <c r="AO169" i="3"/>
  <c r="AO623" i="3"/>
  <c r="AO613" i="3"/>
  <c r="AO591" i="3"/>
  <c r="AO581" i="3"/>
  <c r="AO559" i="3"/>
  <c r="AO549" i="3"/>
  <c r="AO527" i="3"/>
  <c r="AO517" i="3"/>
  <c r="AO495" i="3"/>
  <c r="AO485" i="3"/>
  <c r="AO463" i="3"/>
  <c r="AO453" i="3"/>
  <c r="AO431" i="3"/>
  <c r="AO421" i="3"/>
  <c r="AO399" i="3"/>
  <c r="AO389" i="3"/>
  <c r="AO367" i="3"/>
  <c r="AO357" i="3"/>
  <c r="AO335" i="3"/>
  <c r="AO325" i="3"/>
  <c r="AO303" i="3"/>
  <c r="AO293" i="3"/>
  <c r="AO271" i="3"/>
  <c r="AO261" i="3"/>
  <c r="AO239" i="3"/>
  <c r="AO229" i="3"/>
  <c r="AO207" i="3"/>
  <c r="AO197" i="3"/>
  <c r="AO175" i="3"/>
  <c r="AO165" i="3"/>
  <c r="AO143" i="3"/>
  <c r="AO133" i="3"/>
  <c r="AO111" i="3"/>
  <c r="AO101" i="3"/>
  <c r="AO79" i="3"/>
  <c r="AO69" i="3"/>
  <c r="AO47" i="3"/>
  <c r="AO15" i="3"/>
  <c r="AO2" i="3"/>
  <c r="AO622" i="3"/>
  <c r="AO612" i="3"/>
  <c r="AO602" i="3"/>
  <c r="AO590" i="3"/>
  <c r="AO580" i="3"/>
  <c r="AO570" i="3"/>
  <c r="AO558" i="3"/>
  <c r="AO548" i="3"/>
  <c r="AO538" i="3"/>
  <c r="AO526" i="3"/>
  <c r="AO516" i="3"/>
  <c r="AO506" i="3"/>
  <c r="AO484" i="3"/>
  <c r="AO474" i="3"/>
  <c r="AO452" i="3"/>
  <c r="AO442" i="3"/>
  <c r="AO420" i="3"/>
  <c r="AO410" i="3"/>
  <c r="AO388" i="3"/>
  <c r="AO378" i="3"/>
  <c r="AO356" i="3"/>
  <c r="AO346" i="3"/>
  <c r="AO324" i="3"/>
  <c r="AO314" i="3"/>
  <c r="AO292" i="3"/>
  <c r="AO282" i="3"/>
  <c r="AO260" i="3"/>
  <c r="AO250" i="3"/>
  <c r="AO228" i="3"/>
  <c r="AO196" i="3"/>
  <c r="AO164" i="3"/>
  <c r="AO132" i="3"/>
  <c r="AO100" i="3"/>
  <c r="AO78" i="3"/>
  <c r="AO68" i="3"/>
  <c r="AO36" i="3"/>
  <c r="AO14" i="3"/>
  <c r="AO4" i="3"/>
  <c r="AO566" i="3"/>
  <c r="AO457" i="3"/>
  <c r="AL601" i="3"/>
  <c r="AO601" i="3" s="1"/>
  <c r="AL537" i="3"/>
  <c r="AO537" i="3" s="1"/>
  <c r="AL473" i="3"/>
  <c r="AO473" i="3" s="1"/>
  <c r="AL409" i="3"/>
  <c r="AO409" i="3" s="1"/>
  <c r="AL345" i="3"/>
  <c r="AO345" i="3" s="1"/>
  <c r="AL281" i="3"/>
  <c r="AO281" i="3" s="1"/>
  <c r="AL217" i="3"/>
  <c r="AO217" i="3" s="1"/>
  <c r="AL153" i="3"/>
  <c r="AO153" i="3" s="1"/>
  <c r="AL65" i="3"/>
  <c r="AO65" i="3" s="1"/>
  <c r="AO631" i="3"/>
  <c r="AO621" i="3"/>
  <c r="AO599" i="3"/>
  <c r="AO589" i="3"/>
  <c r="AO567" i="3"/>
  <c r="AO557" i="3"/>
  <c r="AO525" i="3"/>
  <c r="AO503" i="3"/>
  <c r="AO493" i="3"/>
  <c r="AO461" i="3"/>
  <c r="AO439" i="3"/>
  <c r="AO429" i="3"/>
  <c r="AO407" i="3"/>
  <c r="AO397" i="3"/>
  <c r="AO375" i="3"/>
  <c r="AO365" i="3"/>
  <c r="AO333" i="3"/>
  <c r="AO311" i="3"/>
  <c r="AO301" i="3"/>
  <c r="AO279" i="3"/>
  <c r="AO269" i="3"/>
  <c r="AO247" i="3"/>
  <c r="AO237" i="3"/>
  <c r="AO215" i="3"/>
  <c r="AO205" i="3"/>
  <c r="AO173" i="3"/>
  <c r="AO141" i="3"/>
  <c r="AO119" i="3"/>
  <c r="AO109" i="3"/>
  <c r="AO87" i="3"/>
  <c r="AO77" i="3"/>
  <c r="AO600" i="3"/>
  <c r="AO592" i="3"/>
  <c r="AO536" i="3"/>
  <c r="AO528" i="3"/>
  <c r="AO496" i="3"/>
  <c r="AO488" i="3"/>
  <c r="AO472" i="3"/>
  <c r="AO464" i="3"/>
  <c r="AO448" i="3"/>
  <c r="AO408" i="3"/>
  <c r="AO400" i="3"/>
  <c r="AO360" i="3"/>
  <c r="AO344" i="3"/>
  <c r="AO336" i="3"/>
  <c r="AO280" i="3"/>
  <c r="AO272" i="3"/>
  <c r="AO240" i="3"/>
  <c r="AO208" i="3"/>
  <c r="AO168" i="3"/>
  <c r="AO152" i="3"/>
  <c r="AO144" i="3"/>
  <c r="AO128" i="3"/>
  <c r="AO104" i="3"/>
  <c r="AO96" i="3"/>
  <c r="AO64" i="3"/>
  <c r="AO56" i="3"/>
  <c r="AO40" i="3"/>
  <c r="AO24" i="3"/>
  <c r="AO55" i="3"/>
  <c r="AO45" i="3"/>
  <c r="AO23" i="3"/>
  <c r="AN516" i="3"/>
  <c r="AN576" i="3"/>
  <c r="AL510" i="3"/>
  <c r="AO510" i="3" s="1"/>
  <c r="AL502" i="3"/>
  <c r="AO502" i="3" s="1"/>
  <c r="AL494" i="3"/>
  <c r="AO494" i="3" s="1"/>
  <c r="AL486" i="3"/>
  <c r="AO486" i="3" s="1"/>
  <c r="AL478" i="3"/>
  <c r="AO478" i="3" s="1"/>
  <c r="AL470" i="3"/>
  <c r="AO470" i="3" s="1"/>
  <c r="AL462" i="3"/>
  <c r="AO462" i="3" s="1"/>
  <c r="AL454" i="3"/>
  <c r="AO454" i="3" s="1"/>
  <c r="AL446" i="3"/>
  <c r="AO446" i="3" s="1"/>
  <c r="AL438" i="3"/>
  <c r="AO438" i="3" s="1"/>
  <c r="AL430" i="3"/>
  <c r="AO430" i="3" s="1"/>
  <c r="AL422" i="3"/>
  <c r="AL414" i="3"/>
  <c r="AO414" i="3" s="1"/>
  <c r="AL406" i="3"/>
  <c r="AO406" i="3" s="1"/>
  <c r="AL398" i="3"/>
  <c r="AO398" i="3" s="1"/>
  <c r="AL390" i="3"/>
  <c r="AO390" i="3" s="1"/>
  <c r="AL382" i="3"/>
  <c r="AO382" i="3" s="1"/>
  <c r="AL374" i="3"/>
  <c r="AO374" i="3" s="1"/>
  <c r="AL366" i="3"/>
  <c r="AO366" i="3" s="1"/>
  <c r="AL358" i="3"/>
  <c r="AO358" i="3" s="1"/>
  <c r="AL350" i="3"/>
  <c r="AO350" i="3" s="1"/>
  <c r="AL342" i="3"/>
  <c r="AO342" i="3" s="1"/>
  <c r="AL334" i="3"/>
  <c r="AO334" i="3" s="1"/>
  <c r="AL326" i="3"/>
  <c r="AO326" i="3" s="1"/>
  <c r="AL318" i="3"/>
  <c r="AO318" i="3" s="1"/>
  <c r="AL310" i="3"/>
  <c r="AO310" i="3" s="1"/>
  <c r="AL302" i="3"/>
  <c r="AO302" i="3" s="1"/>
  <c r="AL294" i="3"/>
  <c r="AO294" i="3" s="1"/>
  <c r="AL286" i="3"/>
  <c r="AO286" i="3" s="1"/>
  <c r="AL278" i="3"/>
  <c r="AO278" i="3" s="1"/>
  <c r="AL270" i="3"/>
  <c r="AO270" i="3" s="1"/>
  <c r="AL262" i="3"/>
  <c r="AO262" i="3" s="1"/>
  <c r="AL254" i="3"/>
  <c r="AO254" i="3" s="1"/>
  <c r="AL246" i="3"/>
  <c r="AO246" i="3" s="1"/>
  <c r="AL238" i="3"/>
  <c r="AO238" i="3" s="1"/>
  <c r="AL230" i="3"/>
  <c r="AL222" i="3"/>
  <c r="AO222" i="3" s="1"/>
  <c r="AL214" i="3"/>
  <c r="AO214" i="3" s="1"/>
  <c r="AL206" i="3"/>
  <c r="AO206" i="3" s="1"/>
  <c r="AL198" i="3"/>
  <c r="AO198" i="3" s="1"/>
  <c r="AL190" i="3"/>
  <c r="AO190" i="3" s="1"/>
  <c r="AL182" i="3"/>
  <c r="AO182" i="3" s="1"/>
  <c r="AL174" i="3"/>
  <c r="AO174" i="3" s="1"/>
  <c r="AL166" i="3"/>
  <c r="AO166" i="3" s="1"/>
  <c r="AL158" i="3"/>
  <c r="AO158" i="3" s="1"/>
  <c r="AL150" i="3"/>
  <c r="AO150" i="3" s="1"/>
  <c r="AL142" i="3"/>
  <c r="AO142" i="3" s="1"/>
  <c r="AL134" i="3"/>
  <c r="AL126" i="3"/>
  <c r="AO126" i="3" s="1"/>
  <c r="AL118" i="3"/>
  <c r="AO118" i="3" s="1"/>
  <c r="AL110" i="3"/>
  <c r="AO110" i="3" s="1"/>
  <c r="AL102" i="3"/>
  <c r="AO102" i="3" s="1"/>
  <c r="AL94" i="3"/>
  <c r="AO94" i="3" s="1"/>
  <c r="AL86" i="3"/>
  <c r="AO86" i="3" s="1"/>
  <c r="AL78" i="3"/>
  <c r="AL70" i="3"/>
  <c r="AL62" i="3"/>
  <c r="AO62" i="3" s="1"/>
  <c r="AL54" i="3"/>
  <c r="AO54" i="3" s="1"/>
  <c r="AL46" i="3"/>
  <c r="AO46" i="3" s="1"/>
  <c r="AL38" i="3"/>
  <c r="AO38" i="3" s="1"/>
  <c r="AL30" i="3"/>
  <c r="AO30" i="3" s="1"/>
  <c r="AL22" i="3"/>
  <c r="AO22" i="3" s="1"/>
  <c r="AL14" i="3"/>
  <c r="AL6" i="3"/>
  <c r="AL633" i="3"/>
  <c r="AO633" i="3" s="1"/>
  <c r="AL625" i="3"/>
  <c r="AO625" i="3" s="1"/>
  <c r="AL617" i="3"/>
  <c r="AO617" i="3" s="1"/>
  <c r="AL609" i="3"/>
  <c r="AO609" i="3" s="1"/>
  <c r="AL593" i="3"/>
  <c r="AO593" i="3" s="1"/>
  <c r="AL585" i="3"/>
  <c r="AO585" i="3" s="1"/>
  <c r="AL577" i="3"/>
  <c r="AO577" i="3" s="1"/>
  <c r="AL569" i="3"/>
  <c r="AO569" i="3" s="1"/>
  <c r="AL561" i="3"/>
  <c r="AO561" i="3" s="1"/>
  <c r="AL553" i="3"/>
  <c r="AO553" i="3" s="1"/>
  <c r="AL545" i="3"/>
  <c r="AO545" i="3" s="1"/>
  <c r="AL529" i="3"/>
  <c r="AO529" i="3" s="1"/>
  <c r="AL521" i="3"/>
  <c r="AO521" i="3" s="1"/>
  <c r="AL513" i="3"/>
  <c r="AO513" i="3" s="1"/>
  <c r="AL505" i="3"/>
  <c r="AO505" i="3" s="1"/>
  <c r="AL497" i="3"/>
  <c r="AO497" i="3" s="1"/>
  <c r="AL489" i="3"/>
  <c r="AO489" i="3" s="1"/>
  <c r="AL481" i="3"/>
  <c r="AO481" i="3" s="1"/>
  <c r="AL465" i="3"/>
  <c r="AO465" i="3" s="1"/>
  <c r="AL457" i="3"/>
  <c r="AL449" i="3"/>
  <c r="AO449" i="3" s="1"/>
  <c r="AL441" i="3"/>
  <c r="AO441" i="3" s="1"/>
  <c r="AL433" i="3"/>
  <c r="AO433" i="3" s="1"/>
  <c r="AL425" i="3"/>
  <c r="AO425" i="3" s="1"/>
  <c r="AL417" i="3"/>
  <c r="AO417" i="3" s="1"/>
  <c r="AL401" i="3"/>
  <c r="AO401" i="3" s="1"/>
  <c r="AL393" i="3"/>
  <c r="AO393" i="3" s="1"/>
  <c r="AL385" i="3"/>
  <c r="AO385" i="3" s="1"/>
  <c r="AL377" i="3"/>
  <c r="AO377" i="3" s="1"/>
  <c r="AL369" i="3"/>
  <c r="AO369" i="3" s="1"/>
  <c r="AL361" i="3"/>
  <c r="AO361" i="3" s="1"/>
  <c r="AL353" i="3"/>
  <c r="AO353" i="3" s="1"/>
  <c r="AL337" i="3"/>
  <c r="AO337" i="3" s="1"/>
  <c r="AL329" i="3"/>
  <c r="AO329" i="3" s="1"/>
  <c r="AL321" i="3"/>
  <c r="AO321" i="3" s="1"/>
  <c r="AL313" i="3"/>
  <c r="AO313" i="3" s="1"/>
  <c r="AL305" i="3"/>
  <c r="AO305" i="3" s="1"/>
  <c r="AL297" i="3"/>
  <c r="AO297" i="3" s="1"/>
  <c r="AL289" i="3"/>
  <c r="AO289" i="3" s="1"/>
  <c r="AL273" i="3"/>
  <c r="AO273" i="3" s="1"/>
  <c r="AL265" i="3"/>
  <c r="AO265" i="3" s="1"/>
  <c r="AL257" i="3"/>
  <c r="AO257" i="3" s="1"/>
  <c r="AL249" i="3"/>
  <c r="AO249" i="3" s="1"/>
  <c r="AL241" i="3"/>
  <c r="AO241" i="3" s="1"/>
  <c r="AL233" i="3"/>
  <c r="AO233" i="3" s="1"/>
  <c r="AL225" i="3"/>
  <c r="AO225" i="3" s="1"/>
  <c r="AL209" i="3"/>
  <c r="AO209" i="3" s="1"/>
  <c r="AL201" i="3"/>
  <c r="AO201" i="3" s="1"/>
  <c r="AL193" i="3"/>
  <c r="AO193" i="3" s="1"/>
  <c r="AL185" i="3"/>
  <c r="AO185" i="3" s="1"/>
  <c r="AL177" i="3"/>
  <c r="AO177" i="3" s="1"/>
  <c r="AL169" i="3"/>
  <c r="AL161" i="3"/>
  <c r="AO161" i="3" s="1"/>
  <c r="AL145" i="3"/>
  <c r="AO145" i="3" s="1"/>
  <c r="AL137" i="3"/>
  <c r="AO137" i="3" s="1"/>
  <c r="AL129" i="3"/>
  <c r="AO129" i="3" s="1"/>
  <c r="AL121" i="3"/>
  <c r="AO121" i="3" s="1"/>
  <c r="AL113" i="3"/>
  <c r="AO113" i="3" s="1"/>
  <c r="AL105" i="3"/>
  <c r="AO105" i="3" s="1"/>
  <c r="AL97" i="3"/>
  <c r="AL89" i="3"/>
  <c r="AO89" i="3" s="1"/>
  <c r="AL81" i="3"/>
  <c r="AO81" i="3" s="1"/>
  <c r="AL73" i="3"/>
  <c r="AO73" i="3" s="1"/>
  <c r="AL57" i="3"/>
  <c r="AO57" i="3" s="1"/>
  <c r="AL49" i="3"/>
  <c r="AO49" i="3" s="1"/>
  <c r="AL41" i="3"/>
  <c r="AO41" i="3" s="1"/>
  <c r="AL33" i="3"/>
  <c r="AO33" i="3" s="1"/>
  <c r="AL25" i="3"/>
  <c r="AO25" i="3" s="1"/>
  <c r="AL17" i="3"/>
  <c r="AO17" i="3" s="1"/>
  <c r="AL9" i="3"/>
  <c r="AO9" i="3" s="1"/>
  <c r="AL632" i="3"/>
  <c r="AO632" i="3" s="1"/>
  <c r="AL624" i="3"/>
  <c r="AO624" i="3" s="1"/>
  <c r="AL616" i="3"/>
  <c r="AO616" i="3" s="1"/>
  <c r="AL608" i="3"/>
  <c r="AO608" i="3" s="1"/>
  <c r="AL584" i="3"/>
  <c r="AO584" i="3" s="1"/>
  <c r="AL576" i="3"/>
  <c r="AO576" i="3" s="1"/>
  <c r="AL568" i="3"/>
  <c r="AO568" i="3" s="1"/>
  <c r="AL560" i="3"/>
  <c r="AO560" i="3" s="1"/>
  <c r="AL552" i="3"/>
  <c r="AO552" i="3" s="1"/>
  <c r="AL544" i="3"/>
  <c r="AO544" i="3" s="1"/>
  <c r="AL520" i="3"/>
  <c r="AO520" i="3" s="1"/>
  <c r="AL512" i="3"/>
  <c r="AO512" i="3" s="1"/>
  <c r="AL504" i="3"/>
  <c r="AO504" i="3" s="1"/>
  <c r="AL496" i="3"/>
  <c r="AL488" i="3"/>
  <c r="AL480" i="3"/>
  <c r="AO480" i="3" s="1"/>
  <c r="AL456" i="3"/>
  <c r="AO456" i="3" s="1"/>
  <c r="AL448" i="3"/>
  <c r="AL440" i="3"/>
  <c r="AO440" i="3" s="1"/>
  <c r="AL432" i="3"/>
  <c r="AO432" i="3" s="1"/>
  <c r="AL424" i="3"/>
  <c r="AO424" i="3" s="1"/>
  <c r="AL416" i="3"/>
  <c r="AO416" i="3" s="1"/>
  <c r="AL392" i="3"/>
  <c r="AO392" i="3" s="1"/>
  <c r="AL384" i="3"/>
  <c r="AO384" i="3" s="1"/>
  <c r="AL376" i="3"/>
  <c r="AO376" i="3" s="1"/>
  <c r="AL368" i="3"/>
  <c r="AO368" i="3" s="1"/>
  <c r="AL360" i="3"/>
  <c r="AL352" i="3"/>
  <c r="AO352" i="3" s="1"/>
  <c r="AL328" i="3"/>
  <c r="AO328" i="3" s="1"/>
  <c r="AL320" i="3"/>
  <c r="AO320" i="3" s="1"/>
  <c r="AL312" i="3"/>
  <c r="AO312" i="3" s="1"/>
  <c r="AL304" i="3"/>
  <c r="AO304" i="3" s="1"/>
  <c r="AL296" i="3"/>
  <c r="AO296" i="3" s="1"/>
  <c r="AL288" i="3"/>
  <c r="AO288" i="3" s="1"/>
  <c r="AL264" i="3"/>
  <c r="AO264" i="3" s="1"/>
  <c r="AL256" i="3"/>
  <c r="AO256" i="3" s="1"/>
  <c r="AL248" i="3"/>
  <c r="AO248" i="3" s="1"/>
  <c r="AL240" i="3"/>
  <c r="AL232" i="3"/>
  <c r="AO232" i="3" s="1"/>
  <c r="AL224" i="3"/>
  <c r="AO224" i="3" s="1"/>
  <c r="AL216" i="3"/>
  <c r="AO216" i="3" s="1"/>
  <c r="AL200" i="3"/>
  <c r="AO200" i="3" s="1"/>
  <c r="AL192" i="3"/>
  <c r="AO192" i="3" s="1"/>
  <c r="AL184" i="3"/>
  <c r="AO184" i="3" s="1"/>
  <c r="AL176" i="3"/>
  <c r="AO176" i="3" s="1"/>
  <c r="AL168" i="3"/>
  <c r="AL160" i="3"/>
  <c r="AO160" i="3" s="1"/>
  <c r="AL136" i="3"/>
  <c r="AO136" i="3" s="1"/>
  <c r="AL128" i="3"/>
  <c r="AL120" i="3"/>
  <c r="AO120" i="3" s="1"/>
  <c r="AL112" i="3"/>
  <c r="AO112" i="3" s="1"/>
  <c r="AL104" i="3"/>
  <c r="AL88" i="3"/>
  <c r="AO88" i="3" s="1"/>
  <c r="AL80" i="3"/>
  <c r="AO80" i="3" s="1"/>
  <c r="AL72" i="3"/>
  <c r="AO72" i="3" s="1"/>
  <c r="AL48" i="3"/>
  <c r="AO48" i="3" s="1"/>
  <c r="AL40" i="3"/>
  <c r="AL32" i="3"/>
  <c r="AO32" i="3" s="1"/>
  <c r="AL16" i="3"/>
  <c r="AO16" i="3" s="1"/>
  <c r="AL8" i="3"/>
  <c r="AO8" i="3" s="1"/>
  <c r="I41" i="3"/>
  <c r="AN40" i="3"/>
  <c r="AN39" i="3"/>
  <c r="AN27" i="3"/>
  <c r="I40" i="3"/>
  <c r="I39" i="3"/>
  <c r="I38" i="3"/>
  <c r="I30" i="3"/>
  <c r="I29" i="3"/>
  <c r="I25" i="3"/>
  <c r="I24" i="3"/>
  <c r="AN41" i="3"/>
  <c r="AH29" i="3"/>
  <c r="AN34" i="3"/>
  <c r="AN32" i="3"/>
  <c r="AN31" i="3"/>
  <c r="AN210" i="3"/>
  <c r="K41" i="3"/>
  <c r="I35" i="3"/>
  <c r="N30" i="3"/>
  <c r="I23" i="3"/>
  <c r="I32" i="3"/>
  <c r="I31" i="3"/>
  <c r="N28" i="3"/>
  <c r="I26" i="3"/>
  <c r="AN25" i="3"/>
  <c r="K27" i="3"/>
  <c r="AH37" i="3"/>
  <c r="AG34" i="3"/>
  <c r="AH23" i="3"/>
  <c r="AG23" i="3"/>
  <c r="N38" i="3"/>
  <c r="K34" i="3"/>
  <c r="K26" i="3"/>
  <c r="AG40" i="3"/>
  <c r="AH27" i="3"/>
  <c r="AH25" i="3"/>
  <c r="K22" i="3"/>
  <c r="N22" i="3" s="1"/>
  <c r="AG41" i="3"/>
  <c r="I37" i="3"/>
  <c r="AN72" i="3"/>
  <c r="Z24" i="3"/>
  <c r="AH39" i="3"/>
  <c r="AN38" i="3"/>
  <c r="AH31" i="3"/>
  <c r="AG39" i="3"/>
  <c r="I28" i="3"/>
  <c r="AN24" i="3"/>
  <c r="AH38" i="3"/>
  <c r="I36" i="3"/>
  <c r="K35" i="3"/>
  <c r="AN29" i="3"/>
  <c r="AH26" i="3"/>
  <c r="AH24" i="3"/>
  <c r="AN37" i="3"/>
  <c r="AH28" i="3"/>
  <c r="I27" i="3"/>
  <c r="AN23" i="3"/>
  <c r="AH41" i="3"/>
  <c r="N40" i="3"/>
  <c r="Z37" i="3"/>
  <c r="AG36" i="3"/>
  <c r="AH33" i="3"/>
  <c r="N32" i="3"/>
  <c r="Z29" i="3"/>
  <c r="AG28" i="3"/>
  <c r="N24" i="3"/>
  <c r="N37" i="3"/>
  <c r="Z34" i="3"/>
  <c r="AG33" i="3"/>
  <c r="AH30" i="3"/>
  <c r="N29" i="3"/>
  <c r="Z26" i="3"/>
  <c r="AG25" i="3"/>
  <c r="AH22" i="3"/>
  <c r="Z39" i="3"/>
  <c r="AG38" i="3"/>
  <c r="AH35" i="3"/>
  <c r="Z31" i="3"/>
  <c r="AG30" i="3"/>
  <c r="Z23" i="3"/>
  <c r="AG22" i="3"/>
  <c r="AH40" i="3"/>
  <c r="N39" i="3"/>
  <c r="AN36" i="3"/>
  <c r="Z36" i="3"/>
  <c r="AG35" i="3"/>
  <c r="AH32" i="3"/>
  <c r="N31" i="3"/>
  <c r="AN28" i="3"/>
  <c r="Z28" i="3"/>
  <c r="AG27" i="3"/>
  <c r="AI27" i="3" s="1"/>
  <c r="AJ27" i="3" s="1"/>
  <c r="N23" i="3"/>
  <c r="Z41" i="3"/>
  <c r="Z33" i="3"/>
  <c r="AG32" i="3"/>
  <c r="Z25" i="3"/>
  <c r="AG24" i="3"/>
  <c r="Z38" i="3"/>
  <c r="AG37" i="3"/>
  <c r="AI37" i="3" s="1"/>
  <c r="AJ37" i="3" s="1"/>
  <c r="AH34" i="3"/>
  <c r="N33" i="3"/>
  <c r="AN30" i="3"/>
  <c r="Z30" i="3"/>
  <c r="AG29" i="3"/>
  <c r="N25" i="3"/>
  <c r="AN22" i="3"/>
  <c r="Z22" i="3"/>
  <c r="Z35" i="3"/>
  <c r="Z27" i="3"/>
  <c r="AG26" i="3"/>
  <c r="Z40" i="3"/>
  <c r="AH36" i="3"/>
  <c r="Z32" i="3"/>
  <c r="AG31" i="3"/>
  <c r="B22" i="8"/>
  <c r="Z105" i="3"/>
  <c r="AN239" i="3"/>
  <c r="G4" i="6"/>
  <c r="H9" i="6"/>
  <c r="D5" i="6"/>
  <c r="C9" i="6"/>
  <c r="B14" i="6"/>
  <c r="B3" i="6"/>
  <c r="H8" i="6"/>
  <c r="D4" i="6"/>
  <c r="C8" i="6"/>
  <c r="B13" i="6"/>
  <c r="B2" i="6"/>
  <c r="H4" i="6"/>
  <c r="C6" i="6"/>
  <c r="B10" i="6"/>
  <c r="H11" i="6"/>
  <c r="D7" i="6"/>
  <c r="B16" i="6"/>
  <c r="B5" i="6"/>
  <c r="H10" i="6"/>
  <c r="D6" i="6"/>
  <c r="B15" i="6"/>
  <c r="B4" i="6"/>
  <c r="C4" i="6"/>
  <c r="E4" i="6" s="1"/>
  <c r="D9" i="6"/>
  <c r="B11" i="6"/>
  <c r="D8" i="6"/>
  <c r="B7" i="6"/>
  <c r="H14" i="6"/>
  <c r="C2" i="6"/>
  <c r="B6" i="6"/>
  <c r="H13" i="6"/>
  <c r="AN473" i="3"/>
  <c r="C5" i="6"/>
  <c r="H2" i="6"/>
  <c r="C7" i="6"/>
  <c r="H3" i="6"/>
  <c r="H5" i="6"/>
  <c r="A17" i="8"/>
  <c r="B18" i="8"/>
  <c r="B21" i="8"/>
  <c r="B19" i="8"/>
  <c r="B20" i="8"/>
  <c r="B23" i="8"/>
  <c r="G13" i="6"/>
  <c r="AN68" i="3"/>
  <c r="G16" i="6" s="1"/>
  <c r="F16" i="6"/>
  <c r="AN21" i="3"/>
  <c r="F11" i="6"/>
  <c r="AN3" i="3"/>
  <c r="F3" i="6"/>
  <c r="J3" i="6" s="1"/>
  <c r="AN14" i="3"/>
  <c r="G10" i="6" s="1"/>
  <c r="F10" i="6"/>
  <c r="AN7" i="3"/>
  <c r="F6" i="6"/>
  <c r="AG450" i="3"/>
  <c r="AG216" i="3"/>
  <c r="AN13" i="3"/>
  <c r="F9" i="6"/>
  <c r="AN66" i="3"/>
  <c r="F15" i="6"/>
  <c r="AN9" i="3"/>
  <c r="F7" i="6"/>
  <c r="F2" i="6"/>
  <c r="AN12" i="3"/>
  <c r="F8" i="6"/>
  <c r="B8" i="6"/>
  <c r="C10" i="6"/>
  <c r="D2" i="6"/>
  <c r="D10" i="6"/>
  <c r="F4" i="6"/>
  <c r="F13" i="6"/>
  <c r="G5" i="6"/>
  <c r="K5" i="6" s="1"/>
  <c r="G14" i="6"/>
  <c r="H6" i="6"/>
  <c r="H15" i="6"/>
  <c r="B9" i="6"/>
  <c r="C3" i="6"/>
  <c r="C11" i="6"/>
  <c r="D3" i="6"/>
  <c r="D11" i="6"/>
  <c r="F5" i="6"/>
  <c r="J5" i="6" s="1"/>
  <c r="F14" i="6"/>
  <c r="J14" i="6" s="1"/>
  <c r="H7" i="6"/>
  <c r="H16" i="6"/>
  <c r="AG271" i="3"/>
  <c r="AG10" i="3"/>
  <c r="AG536" i="3"/>
  <c r="AG363" i="3"/>
  <c r="AN90" i="3"/>
  <c r="AH92" i="3"/>
  <c r="AH100" i="3"/>
  <c r="AH108" i="3"/>
  <c r="AH116" i="3"/>
  <c r="AH124" i="3"/>
  <c r="AH132" i="3"/>
  <c r="AH140" i="3"/>
  <c r="AH148" i="3"/>
  <c r="AH156" i="3"/>
  <c r="AH164" i="3"/>
  <c r="AH172" i="3"/>
  <c r="AH180" i="3"/>
  <c r="AH93" i="3"/>
  <c r="AH101" i="3"/>
  <c r="AH109" i="3"/>
  <c r="AH117" i="3"/>
  <c r="AH125" i="3"/>
  <c r="AH133" i="3"/>
  <c r="AH141" i="3"/>
  <c r="AH149" i="3"/>
  <c r="AH157" i="3"/>
  <c r="AH165" i="3"/>
  <c r="AH173" i="3"/>
  <c r="AH94" i="3"/>
  <c r="AH102" i="3"/>
  <c r="AH110" i="3"/>
  <c r="AH118" i="3"/>
  <c r="AH126" i="3"/>
  <c r="AH134" i="3"/>
  <c r="AH142" i="3"/>
  <c r="AH150" i="3"/>
  <c r="AH158" i="3"/>
  <c r="AH166" i="3"/>
  <c r="AH174" i="3"/>
  <c r="AH95" i="3"/>
  <c r="AH103" i="3"/>
  <c r="AH111" i="3"/>
  <c r="AH119" i="3"/>
  <c r="AH127" i="3"/>
  <c r="AH135" i="3"/>
  <c r="AH143" i="3"/>
  <c r="AH151" i="3"/>
  <c r="AH159" i="3"/>
  <c r="AH167" i="3"/>
  <c r="AH175" i="3"/>
  <c r="AH96" i="3"/>
  <c r="AH104" i="3"/>
  <c r="AH112" i="3"/>
  <c r="AH120" i="3"/>
  <c r="AH128" i="3"/>
  <c r="AH136" i="3"/>
  <c r="AH144" i="3"/>
  <c r="AH152" i="3"/>
  <c r="AH160" i="3"/>
  <c r="AH168" i="3"/>
  <c r="AH176" i="3"/>
  <c r="AH97" i="3"/>
  <c r="AH105" i="3"/>
  <c r="AH113" i="3"/>
  <c r="AH121" i="3"/>
  <c r="AH129" i="3"/>
  <c r="AH137" i="3"/>
  <c r="AH145" i="3"/>
  <c r="AH153" i="3"/>
  <c r="AH161" i="3"/>
  <c r="AH169" i="3"/>
  <c r="AH177" i="3"/>
  <c r="AH106" i="3"/>
  <c r="AH138" i="3"/>
  <c r="AH170" i="3"/>
  <c r="AG90" i="3"/>
  <c r="AG98" i="3"/>
  <c r="AG106" i="3"/>
  <c r="AG114" i="3"/>
  <c r="AG122" i="3"/>
  <c r="AG130" i="3"/>
  <c r="AG138" i="3"/>
  <c r="AG146" i="3"/>
  <c r="AG154" i="3"/>
  <c r="AG162" i="3"/>
  <c r="AG170" i="3"/>
  <c r="AG178" i="3"/>
  <c r="AH107" i="3"/>
  <c r="AH139" i="3"/>
  <c r="AH171" i="3"/>
  <c r="AG91" i="3"/>
  <c r="AG99" i="3"/>
  <c r="AG107" i="3"/>
  <c r="AG115" i="3"/>
  <c r="AG123" i="3"/>
  <c r="AG131" i="3"/>
  <c r="AG139" i="3"/>
  <c r="AG147" i="3"/>
  <c r="AG155" i="3"/>
  <c r="AG163" i="3"/>
  <c r="AG171" i="3"/>
  <c r="AG179" i="3"/>
  <c r="AH114" i="3"/>
  <c r="AH146" i="3"/>
  <c r="AH178" i="3"/>
  <c r="AG92" i="3"/>
  <c r="AG100" i="3"/>
  <c r="AG108" i="3"/>
  <c r="AG116" i="3"/>
  <c r="AG124" i="3"/>
  <c r="AG132" i="3"/>
  <c r="AG140" i="3"/>
  <c r="AG148" i="3"/>
  <c r="AG156" i="3"/>
  <c r="AG164" i="3"/>
  <c r="AG172" i="3"/>
  <c r="AG180" i="3"/>
  <c r="AH115" i="3"/>
  <c r="AI115" i="3" s="1"/>
  <c r="AJ115" i="3" s="1"/>
  <c r="AH147" i="3"/>
  <c r="AH179" i="3"/>
  <c r="AG93" i="3"/>
  <c r="AG101" i="3"/>
  <c r="AG109" i="3"/>
  <c r="AG117" i="3"/>
  <c r="AG125" i="3"/>
  <c r="AG133" i="3"/>
  <c r="AG141" i="3"/>
  <c r="AG149" i="3"/>
  <c r="AG157" i="3"/>
  <c r="AG165" i="3"/>
  <c r="AG173" i="3"/>
  <c r="AH90" i="3"/>
  <c r="AI90" i="3" s="1"/>
  <c r="AJ90" i="3" s="1"/>
  <c r="AH122" i="3"/>
  <c r="AH154" i="3"/>
  <c r="AG94" i="3"/>
  <c r="AG102" i="3"/>
  <c r="AG110" i="3"/>
  <c r="AG118" i="3"/>
  <c r="AG126" i="3"/>
  <c r="AG134" i="3"/>
  <c r="AG142" i="3"/>
  <c r="AG150" i="3"/>
  <c r="AG158" i="3"/>
  <c r="AG166" i="3"/>
  <c r="AG174" i="3"/>
  <c r="AH91" i="3"/>
  <c r="AH123" i="3"/>
  <c r="AH155" i="3"/>
  <c r="AH98" i="3"/>
  <c r="AI98" i="3" s="1"/>
  <c r="AJ98" i="3" s="1"/>
  <c r="AH130" i="3"/>
  <c r="AH162" i="3"/>
  <c r="AG96" i="3"/>
  <c r="AG104" i="3"/>
  <c r="AG112" i="3"/>
  <c r="AG120" i="3"/>
  <c r="AG128" i="3"/>
  <c r="AG136" i="3"/>
  <c r="AG144" i="3"/>
  <c r="AG152" i="3"/>
  <c r="AG160" i="3"/>
  <c r="AG168" i="3"/>
  <c r="AG176" i="3"/>
  <c r="AH99" i="3"/>
  <c r="AH131" i="3"/>
  <c r="AH163" i="3"/>
  <c r="AG97" i="3"/>
  <c r="AG105" i="3"/>
  <c r="AG113" i="3"/>
  <c r="AG121" i="3"/>
  <c r="AG129" i="3"/>
  <c r="AG137" i="3"/>
  <c r="AG145" i="3"/>
  <c r="AG153" i="3"/>
  <c r="AG161" i="3"/>
  <c r="AG169" i="3"/>
  <c r="AG177" i="3"/>
  <c r="AG626" i="3"/>
  <c r="AG618" i="3"/>
  <c r="AG610" i="3"/>
  <c r="AG602" i="3"/>
  <c r="AG594" i="3"/>
  <c r="AG586" i="3"/>
  <c r="AG577" i="3"/>
  <c r="AG568" i="3"/>
  <c r="AG559" i="3"/>
  <c r="AG550" i="3"/>
  <c r="AG540" i="3"/>
  <c r="AG531" i="3"/>
  <c r="AG522" i="3"/>
  <c r="AG513" i="3"/>
  <c r="AG504" i="3"/>
  <c r="AG495" i="3"/>
  <c r="AG484" i="3"/>
  <c r="AG474" i="3"/>
  <c r="AG463" i="3"/>
  <c r="AG452" i="3"/>
  <c r="AG442" i="3"/>
  <c r="AG431" i="3"/>
  <c r="AG420" i="3"/>
  <c r="AG410" i="3"/>
  <c r="AG396" i="3"/>
  <c r="AG384" i="3"/>
  <c r="AG371" i="3"/>
  <c r="AG359" i="3"/>
  <c r="AG346" i="3"/>
  <c r="AG331" i="3"/>
  <c r="AG315" i="3"/>
  <c r="AG299" i="3"/>
  <c r="AG279" i="3"/>
  <c r="AG256" i="3"/>
  <c r="AG224" i="3"/>
  <c r="AG175" i="3"/>
  <c r="AG111" i="3"/>
  <c r="AG47" i="3"/>
  <c r="AG633" i="3"/>
  <c r="AG625" i="3"/>
  <c r="AG617" i="3"/>
  <c r="AG609" i="3"/>
  <c r="AG601" i="3"/>
  <c r="AG593" i="3"/>
  <c r="AG585" i="3"/>
  <c r="AG576" i="3"/>
  <c r="AG567" i="3"/>
  <c r="AG558" i="3"/>
  <c r="AG548" i="3"/>
  <c r="AG539" i="3"/>
  <c r="AG530" i="3"/>
  <c r="AG521" i="3"/>
  <c r="AG512" i="3"/>
  <c r="AG503" i="3"/>
  <c r="AG494" i="3"/>
  <c r="AG483" i="3"/>
  <c r="AG472" i="3"/>
  <c r="AG462" i="3"/>
  <c r="AG451" i="3"/>
  <c r="AG440" i="3"/>
  <c r="AG430" i="3"/>
  <c r="AG419" i="3"/>
  <c r="AG408" i="3"/>
  <c r="AG395" i="3"/>
  <c r="AG383" i="3"/>
  <c r="AG370" i="3"/>
  <c r="AG356" i="3"/>
  <c r="AG344" i="3"/>
  <c r="AG328" i="3"/>
  <c r="AG312" i="3"/>
  <c r="AG296" i="3"/>
  <c r="AG276" i="3"/>
  <c r="AG255" i="3"/>
  <c r="AG223" i="3"/>
  <c r="AG167" i="3"/>
  <c r="AG103" i="3"/>
  <c r="AG632" i="3"/>
  <c r="AG624" i="3"/>
  <c r="AG616" i="3"/>
  <c r="AG608" i="3"/>
  <c r="AG600" i="3"/>
  <c r="AG592" i="3"/>
  <c r="AG584" i="3"/>
  <c r="AG575" i="3"/>
  <c r="AG566" i="3"/>
  <c r="AG556" i="3"/>
  <c r="AG547" i="3"/>
  <c r="AG538" i="3"/>
  <c r="AG529" i="3"/>
  <c r="AG520" i="3"/>
  <c r="AG511" i="3"/>
  <c r="AG502" i="3"/>
  <c r="AG492" i="3"/>
  <c r="AG482" i="3"/>
  <c r="AG471" i="3"/>
  <c r="AG460" i="3"/>
  <c r="AG439" i="3"/>
  <c r="AG428" i="3"/>
  <c r="AG418" i="3"/>
  <c r="AG407" i="3"/>
  <c r="AG394" i="3"/>
  <c r="AG380" i="3"/>
  <c r="AG368" i="3"/>
  <c r="AG355" i="3"/>
  <c r="AG343" i="3"/>
  <c r="AG327" i="3"/>
  <c r="AG311" i="3"/>
  <c r="AG295" i="3"/>
  <c r="AG272" i="3"/>
  <c r="AG248" i="3"/>
  <c r="AG159" i="3"/>
  <c r="AG95" i="3"/>
  <c r="AN443" i="3"/>
  <c r="AH444" i="3"/>
  <c r="AH452" i="3"/>
  <c r="AH460" i="3"/>
  <c r="AH468" i="3"/>
  <c r="AH476" i="3"/>
  <c r="AH484" i="3"/>
  <c r="AH492" i="3"/>
  <c r="AH500" i="3"/>
  <c r="AH508" i="3"/>
  <c r="AH516" i="3"/>
  <c r="AH524" i="3"/>
  <c r="AH445" i="3"/>
  <c r="AH453" i="3"/>
  <c r="AH461" i="3"/>
  <c r="AH469" i="3"/>
  <c r="AH477" i="3"/>
  <c r="AH485" i="3"/>
  <c r="AH493" i="3"/>
  <c r="AH501" i="3"/>
  <c r="AH509" i="3"/>
  <c r="AH517" i="3"/>
  <c r="AH525" i="3"/>
  <c r="AH446" i="3"/>
  <c r="AH454" i="3"/>
  <c r="AH462" i="3"/>
  <c r="AI462" i="3" s="1"/>
  <c r="AJ462" i="3" s="1"/>
  <c r="AH470" i="3"/>
  <c r="AH478" i="3"/>
  <c r="AH486" i="3"/>
  <c r="AH494" i="3"/>
  <c r="AH502" i="3"/>
  <c r="AH510" i="3"/>
  <c r="AH518" i="3"/>
  <c r="AH526" i="3"/>
  <c r="AH447" i="3"/>
  <c r="AH455" i="3"/>
  <c r="AH463" i="3"/>
  <c r="AH471" i="3"/>
  <c r="AH479" i="3"/>
  <c r="AH487" i="3"/>
  <c r="AH495" i="3"/>
  <c r="AH503" i="3"/>
  <c r="AH511" i="3"/>
  <c r="AI511" i="3" s="1"/>
  <c r="AJ511" i="3" s="1"/>
  <c r="AH519" i="3"/>
  <c r="AH527" i="3"/>
  <c r="AH448" i="3"/>
  <c r="AH456" i="3"/>
  <c r="AH464" i="3"/>
  <c r="AH472" i="3"/>
  <c r="AI472" i="3" s="1"/>
  <c r="AJ472" i="3" s="1"/>
  <c r="AH480" i="3"/>
  <c r="AH488" i="3"/>
  <c r="AH496" i="3"/>
  <c r="AH504" i="3"/>
  <c r="AH512" i="3"/>
  <c r="AH520" i="3"/>
  <c r="AH528" i="3"/>
  <c r="AH449" i="3"/>
  <c r="AH457" i="3"/>
  <c r="AH458" i="3"/>
  <c r="AH481" i="3"/>
  <c r="AH499" i="3"/>
  <c r="AH522" i="3"/>
  <c r="AH459" i="3"/>
  <c r="AH482" i="3"/>
  <c r="AH505" i="3"/>
  <c r="AH523" i="3"/>
  <c r="AH465" i="3"/>
  <c r="AH483" i="3"/>
  <c r="AH506" i="3"/>
  <c r="AH529" i="3"/>
  <c r="AH466" i="3"/>
  <c r="AH489" i="3"/>
  <c r="AH507" i="3"/>
  <c r="AH530" i="3"/>
  <c r="AG445" i="3"/>
  <c r="AG453" i="3"/>
  <c r="AG461" i="3"/>
  <c r="AG469" i="3"/>
  <c r="AG477" i="3"/>
  <c r="AG485" i="3"/>
  <c r="AG493" i="3"/>
  <c r="AG501" i="3"/>
  <c r="AG509" i="3"/>
  <c r="AG517" i="3"/>
  <c r="AG525" i="3"/>
  <c r="AH467" i="3"/>
  <c r="AH490" i="3"/>
  <c r="AH513" i="3"/>
  <c r="AH443" i="3"/>
  <c r="AH473" i="3"/>
  <c r="AH491" i="3"/>
  <c r="AH514" i="3"/>
  <c r="AH450" i="3"/>
  <c r="AH474" i="3"/>
  <c r="AH497" i="3"/>
  <c r="AH515" i="3"/>
  <c r="AH451" i="3"/>
  <c r="AH475" i="3"/>
  <c r="AH498" i="3"/>
  <c r="AH521" i="3"/>
  <c r="AI521" i="3" s="1"/>
  <c r="AJ521" i="3" s="1"/>
  <c r="AG449" i="3"/>
  <c r="AG457" i="3"/>
  <c r="AG465" i="3"/>
  <c r="AG473" i="3"/>
  <c r="AG481" i="3"/>
  <c r="AG489" i="3"/>
  <c r="AN181" i="3"/>
  <c r="AH188" i="3"/>
  <c r="AH196" i="3"/>
  <c r="AH204" i="3"/>
  <c r="AH212" i="3"/>
  <c r="AH220" i="3"/>
  <c r="AH228" i="3"/>
  <c r="AH236" i="3"/>
  <c r="AH244" i="3"/>
  <c r="AH252" i="3"/>
  <c r="AH260" i="3"/>
  <c r="AH181" i="3"/>
  <c r="AH189" i="3"/>
  <c r="AH197" i="3"/>
  <c r="AH205" i="3"/>
  <c r="AH213" i="3"/>
  <c r="AH221" i="3"/>
  <c r="AH229" i="3"/>
  <c r="AH237" i="3"/>
  <c r="AH245" i="3"/>
  <c r="AH253" i="3"/>
  <c r="AH261" i="3"/>
  <c r="AH182" i="3"/>
  <c r="AH190" i="3"/>
  <c r="AH198" i="3"/>
  <c r="AH206" i="3"/>
  <c r="AH214" i="3"/>
  <c r="AH222" i="3"/>
  <c r="AH230" i="3"/>
  <c r="AH238" i="3"/>
  <c r="AH246" i="3"/>
  <c r="AH254" i="3"/>
  <c r="AH262" i="3"/>
  <c r="AH183" i="3"/>
  <c r="AH191" i="3"/>
  <c r="AH199" i="3"/>
  <c r="AH207" i="3"/>
  <c r="AH215" i="3"/>
  <c r="AH223" i="3"/>
  <c r="AH231" i="3"/>
  <c r="AH239" i="3"/>
  <c r="AH247" i="3"/>
  <c r="AH255" i="3"/>
  <c r="AH184" i="3"/>
  <c r="AH192" i="3"/>
  <c r="AH200" i="3"/>
  <c r="AH208" i="3"/>
  <c r="AH216" i="3"/>
  <c r="AH224" i="3"/>
  <c r="AI224" i="3" s="1"/>
  <c r="AJ224" i="3" s="1"/>
  <c r="AH232" i="3"/>
  <c r="AH240" i="3"/>
  <c r="AH248" i="3"/>
  <c r="AI248" i="3" s="1"/>
  <c r="AJ248" i="3" s="1"/>
  <c r="AH256" i="3"/>
  <c r="AH185" i="3"/>
  <c r="AH193" i="3"/>
  <c r="AH201" i="3"/>
  <c r="AH209" i="3"/>
  <c r="AH217" i="3"/>
  <c r="AH225" i="3"/>
  <c r="AH233" i="3"/>
  <c r="AH241" i="3"/>
  <c r="AH249" i="3"/>
  <c r="AH257" i="3"/>
  <c r="AH202" i="3"/>
  <c r="AH234" i="3"/>
  <c r="AG186" i="3"/>
  <c r="AG194" i="3"/>
  <c r="AG202" i="3"/>
  <c r="AG210" i="3"/>
  <c r="AG218" i="3"/>
  <c r="AG226" i="3"/>
  <c r="AG234" i="3"/>
  <c r="AG242" i="3"/>
  <c r="AG250" i="3"/>
  <c r="AG258" i="3"/>
  <c r="AH203" i="3"/>
  <c r="AH235" i="3"/>
  <c r="AG187" i="3"/>
  <c r="AG195" i="3"/>
  <c r="AG203" i="3"/>
  <c r="AG211" i="3"/>
  <c r="AG219" i="3"/>
  <c r="AG227" i="3"/>
  <c r="AG235" i="3"/>
  <c r="AG243" i="3"/>
  <c r="AG251" i="3"/>
  <c r="AG259" i="3"/>
  <c r="AH210" i="3"/>
  <c r="AH242" i="3"/>
  <c r="AI242" i="3" s="1"/>
  <c r="AJ242" i="3" s="1"/>
  <c r="AG188" i="3"/>
  <c r="AG196" i="3"/>
  <c r="AG204" i="3"/>
  <c r="AG212" i="3"/>
  <c r="AG220" i="3"/>
  <c r="AG228" i="3"/>
  <c r="AG236" i="3"/>
  <c r="AG244" i="3"/>
  <c r="AG252" i="3"/>
  <c r="AH211" i="3"/>
  <c r="AH243" i="3"/>
  <c r="AG181" i="3"/>
  <c r="AG189" i="3"/>
  <c r="AG197" i="3"/>
  <c r="AG205" i="3"/>
  <c r="AG213" i="3"/>
  <c r="AG221" i="3"/>
  <c r="AG229" i="3"/>
  <c r="AG237" i="3"/>
  <c r="AG245" i="3"/>
  <c r="AG253" i="3"/>
  <c r="AG261" i="3"/>
  <c r="AH186" i="3"/>
  <c r="AH218" i="3"/>
  <c r="AH250" i="3"/>
  <c r="AI250" i="3" s="1"/>
  <c r="AJ250" i="3" s="1"/>
  <c r="AG182" i="3"/>
  <c r="AG190" i="3"/>
  <c r="AG198" i="3"/>
  <c r="AG206" i="3"/>
  <c r="AG214" i="3"/>
  <c r="AG222" i="3"/>
  <c r="AG230" i="3"/>
  <c r="AG238" i="3"/>
  <c r="AG246" i="3"/>
  <c r="AG254" i="3"/>
  <c r="AG262" i="3"/>
  <c r="AH187" i="3"/>
  <c r="AI187" i="3" s="1"/>
  <c r="AJ187" i="3" s="1"/>
  <c r="AH219" i="3"/>
  <c r="AH251" i="3"/>
  <c r="AH194" i="3"/>
  <c r="AH226" i="3"/>
  <c r="AH258" i="3"/>
  <c r="AI258" i="3" s="1"/>
  <c r="AJ258" i="3" s="1"/>
  <c r="AG184" i="3"/>
  <c r="AG192" i="3"/>
  <c r="AG200" i="3"/>
  <c r="AG208" i="3"/>
  <c r="AH195" i="3"/>
  <c r="AH227" i="3"/>
  <c r="AH259" i="3"/>
  <c r="AG185" i="3"/>
  <c r="AG193" i="3"/>
  <c r="AG201" i="3"/>
  <c r="AG209" i="3"/>
  <c r="AG217" i="3"/>
  <c r="AG225" i="3"/>
  <c r="AG233" i="3"/>
  <c r="AG241" i="3"/>
  <c r="AG249" i="3"/>
  <c r="AG257" i="3"/>
  <c r="AG631" i="3"/>
  <c r="AG623" i="3"/>
  <c r="AG615" i="3"/>
  <c r="AG607" i="3"/>
  <c r="AG599" i="3"/>
  <c r="AG591" i="3"/>
  <c r="AG583" i="3"/>
  <c r="AG574" i="3"/>
  <c r="AG564" i="3"/>
  <c r="AG555" i="3"/>
  <c r="AG546" i="3"/>
  <c r="AG537" i="3"/>
  <c r="AG528" i="3"/>
  <c r="AG519" i="3"/>
  <c r="AG510" i="3"/>
  <c r="AG500" i="3"/>
  <c r="AG491" i="3"/>
  <c r="AG480" i="3"/>
  <c r="AG470" i="3"/>
  <c r="AG459" i="3"/>
  <c r="AG448" i="3"/>
  <c r="AG438" i="3"/>
  <c r="AG427" i="3"/>
  <c r="AG416" i="3"/>
  <c r="AG404" i="3"/>
  <c r="AG392" i="3"/>
  <c r="AG379" i="3"/>
  <c r="AG367" i="3"/>
  <c r="AG354" i="3"/>
  <c r="AG340" i="3"/>
  <c r="AG324" i="3"/>
  <c r="AG308" i="3"/>
  <c r="AG292" i="3"/>
  <c r="AG247" i="3"/>
  <c r="AG215" i="3"/>
  <c r="AG151" i="3"/>
  <c r="AG87" i="3"/>
  <c r="AG19" i="3"/>
  <c r="AN263" i="3"/>
  <c r="AH268" i="3"/>
  <c r="AH276" i="3"/>
  <c r="AH284" i="3"/>
  <c r="AH292" i="3"/>
  <c r="AH300" i="3"/>
  <c r="AH308" i="3"/>
  <c r="AH316" i="3"/>
  <c r="AH324" i="3"/>
  <c r="AI324" i="3" s="1"/>
  <c r="AJ324" i="3" s="1"/>
  <c r="AH332" i="3"/>
  <c r="AH340" i="3"/>
  <c r="AH348" i="3"/>
  <c r="AH356" i="3"/>
  <c r="AH269" i="3"/>
  <c r="AH277" i="3"/>
  <c r="AH285" i="3"/>
  <c r="AH293" i="3"/>
  <c r="AH301" i="3"/>
  <c r="AH309" i="3"/>
  <c r="AH317" i="3"/>
  <c r="AH325" i="3"/>
  <c r="AH333" i="3"/>
  <c r="AH341" i="3"/>
  <c r="AH349" i="3"/>
  <c r="AH270" i="3"/>
  <c r="AH278" i="3"/>
  <c r="AH286" i="3"/>
  <c r="AH294" i="3"/>
  <c r="AH302" i="3"/>
  <c r="AH310" i="3"/>
  <c r="AH318" i="3"/>
  <c r="AH326" i="3"/>
  <c r="AH334" i="3"/>
  <c r="AH342" i="3"/>
  <c r="AH350" i="3"/>
  <c r="AH263" i="3"/>
  <c r="AH271" i="3"/>
  <c r="AI271" i="3" s="1"/>
  <c r="AJ271" i="3" s="1"/>
  <c r="AH279" i="3"/>
  <c r="AH287" i="3"/>
  <c r="AH295" i="3"/>
  <c r="AI295" i="3" s="1"/>
  <c r="AJ295" i="3" s="1"/>
  <c r="AH303" i="3"/>
  <c r="AH311" i="3"/>
  <c r="AH319" i="3"/>
  <c r="AH327" i="3"/>
  <c r="AH335" i="3"/>
  <c r="AH343" i="3"/>
  <c r="AH351" i="3"/>
  <c r="AH264" i="3"/>
  <c r="AH272" i="3"/>
  <c r="AI272" i="3" s="1"/>
  <c r="AJ272" i="3" s="1"/>
  <c r="AH280" i="3"/>
  <c r="AH288" i="3"/>
  <c r="AH296" i="3"/>
  <c r="AH304" i="3"/>
  <c r="AH312" i="3"/>
  <c r="AH320" i="3"/>
  <c r="AH328" i="3"/>
  <c r="AH336" i="3"/>
  <c r="AH344" i="3"/>
  <c r="AH352" i="3"/>
  <c r="AH265" i="3"/>
  <c r="AH273" i="3"/>
  <c r="AH281" i="3"/>
  <c r="AH289" i="3"/>
  <c r="AH297" i="3"/>
  <c r="AH305" i="3"/>
  <c r="AH313" i="3"/>
  <c r="AH321" i="3"/>
  <c r="AH329" i="3"/>
  <c r="AH337" i="3"/>
  <c r="AH345" i="3"/>
  <c r="AH353" i="3"/>
  <c r="AH266" i="3"/>
  <c r="AH298" i="3"/>
  <c r="AH330" i="3"/>
  <c r="AG266" i="3"/>
  <c r="AG274" i="3"/>
  <c r="AG282" i="3"/>
  <c r="AG290" i="3"/>
  <c r="AG298" i="3"/>
  <c r="AG306" i="3"/>
  <c r="AG314" i="3"/>
  <c r="AG322" i="3"/>
  <c r="AG330" i="3"/>
  <c r="AG338" i="3"/>
  <c r="AH267" i="3"/>
  <c r="AH299" i="3"/>
  <c r="AH331" i="3"/>
  <c r="AG267" i="3"/>
  <c r="AG275" i="3"/>
  <c r="AG283" i="3"/>
  <c r="AG291" i="3"/>
  <c r="AH274" i="3"/>
  <c r="AI274" i="3" s="1"/>
  <c r="AJ274" i="3" s="1"/>
  <c r="AH306" i="3"/>
  <c r="AH338" i="3"/>
  <c r="AH275" i="3"/>
  <c r="AH307" i="3"/>
  <c r="AH339" i="3"/>
  <c r="AG269" i="3"/>
  <c r="AG277" i="3"/>
  <c r="AG285" i="3"/>
  <c r="AG293" i="3"/>
  <c r="AG301" i="3"/>
  <c r="AG309" i="3"/>
  <c r="AG317" i="3"/>
  <c r="AG325" i="3"/>
  <c r="AG333" i="3"/>
  <c r="AG341" i="3"/>
  <c r="AG349" i="3"/>
  <c r="AH282" i="3"/>
  <c r="AI282" i="3" s="1"/>
  <c r="AJ282" i="3" s="1"/>
  <c r="AH314" i="3"/>
  <c r="AH346" i="3"/>
  <c r="AG270" i="3"/>
  <c r="AG278" i="3"/>
  <c r="AG286" i="3"/>
  <c r="AG294" i="3"/>
  <c r="AG302" i="3"/>
  <c r="AG310" i="3"/>
  <c r="AG318" i="3"/>
  <c r="AG326" i="3"/>
  <c r="AG334" i="3"/>
  <c r="AG342" i="3"/>
  <c r="AG350" i="3"/>
  <c r="AH283" i="3"/>
  <c r="AH315" i="3"/>
  <c r="AH347" i="3"/>
  <c r="AH290" i="3"/>
  <c r="AI290" i="3" s="1"/>
  <c r="AJ290" i="3" s="1"/>
  <c r="AH322" i="3"/>
  <c r="AH354" i="3"/>
  <c r="AH291" i="3"/>
  <c r="AH323" i="3"/>
  <c r="AH355" i="3"/>
  <c r="AG265" i="3"/>
  <c r="AG273" i="3"/>
  <c r="AG281" i="3"/>
  <c r="AG289" i="3"/>
  <c r="AG297" i="3"/>
  <c r="AG305" i="3"/>
  <c r="AG313" i="3"/>
  <c r="AG321" i="3"/>
  <c r="AG329" i="3"/>
  <c r="AG337" i="3"/>
  <c r="AG345" i="3"/>
  <c r="AG353" i="3"/>
  <c r="AG630" i="3"/>
  <c r="AG622" i="3"/>
  <c r="AG614" i="3"/>
  <c r="AG606" i="3"/>
  <c r="AG598" i="3"/>
  <c r="AG590" i="3"/>
  <c r="AG582" i="3"/>
  <c r="AG572" i="3"/>
  <c r="AG563" i="3"/>
  <c r="AG554" i="3"/>
  <c r="AG545" i="3"/>
  <c r="AG527" i="3"/>
  <c r="AG518" i="3"/>
  <c r="AG508" i="3"/>
  <c r="AG499" i="3"/>
  <c r="AG490" i="3"/>
  <c r="AG479" i="3"/>
  <c r="AG468" i="3"/>
  <c r="AG458" i="3"/>
  <c r="AG447" i="3"/>
  <c r="AG436" i="3"/>
  <c r="AG426" i="3"/>
  <c r="AG415" i="3"/>
  <c r="AG403" i="3"/>
  <c r="AG391" i="3"/>
  <c r="AG378" i="3"/>
  <c r="AG364" i="3"/>
  <c r="AG352" i="3"/>
  <c r="AG339" i="3"/>
  <c r="AG323" i="3"/>
  <c r="AG307" i="3"/>
  <c r="AG288" i="3"/>
  <c r="AG268" i="3"/>
  <c r="AG240" i="3"/>
  <c r="AG207" i="3"/>
  <c r="AG143" i="3"/>
  <c r="AG79" i="3"/>
  <c r="AN2" i="3"/>
  <c r="AH2" i="3"/>
  <c r="AH3" i="3"/>
  <c r="AH4" i="3"/>
  <c r="AH12" i="3"/>
  <c r="AH20" i="3"/>
  <c r="AH44" i="3"/>
  <c r="AH52" i="3"/>
  <c r="AH60" i="3"/>
  <c r="AH68" i="3"/>
  <c r="AH76" i="3"/>
  <c r="AH84" i="3"/>
  <c r="AH5" i="3"/>
  <c r="AH13" i="3"/>
  <c r="AH21" i="3"/>
  <c r="AH45" i="3"/>
  <c r="AH53" i="3"/>
  <c r="AH61" i="3"/>
  <c r="AH69" i="3"/>
  <c r="AH77" i="3"/>
  <c r="AH85" i="3"/>
  <c r="AG5" i="3"/>
  <c r="AG13" i="3"/>
  <c r="AG21" i="3"/>
  <c r="AG45" i="3"/>
  <c r="AH6" i="3"/>
  <c r="AH14" i="3"/>
  <c r="AH46" i="3"/>
  <c r="AH54" i="3"/>
  <c r="AH62" i="3"/>
  <c r="AH70" i="3"/>
  <c r="AH78" i="3"/>
  <c r="AH86" i="3"/>
  <c r="AH7" i="3"/>
  <c r="AH15" i="3"/>
  <c r="AH47" i="3"/>
  <c r="AH55" i="3"/>
  <c r="AH63" i="3"/>
  <c r="AH71" i="3"/>
  <c r="AH79" i="3"/>
  <c r="AI79" i="3" s="1"/>
  <c r="AJ79" i="3" s="1"/>
  <c r="AH87" i="3"/>
  <c r="AH8" i="3"/>
  <c r="AH16" i="3"/>
  <c r="AH48" i="3"/>
  <c r="AH56" i="3"/>
  <c r="AH64" i="3"/>
  <c r="AH72" i="3"/>
  <c r="AH80" i="3"/>
  <c r="AH88" i="3"/>
  <c r="AH9" i="3"/>
  <c r="AH17" i="3"/>
  <c r="AH49" i="3"/>
  <c r="AH57" i="3"/>
  <c r="AH65" i="3"/>
  <c r="AH73" i="3"/>
  <c r="AH81" i="3"/>
  <c r="AH89" i="3"/>
  <c r="AH10" i="3"/>
  <c r="AI10" i="3" s="1"/>
  <c r="AJ10" i="3" s="1"/>
  <c r="AH42" i="3"/>
  <c r="AH74" i="3"/>
  <c r="AG4" i="3"/>
  <c r="AG14" i="3"/>
  <c r="AG50" i="3"/>
  <c r="AG58" i="3"/>
  <c r="AG66" i="3"/>
  <c r="AG74" i="3"/>
  <c r="AG82" i="3"/>
  <c r="AH11" i="3"/>
  <c r="AH43" i="3"/>
  <c r="AH75" i="3"/>
  <c r="AG6" i="3"/>
  <c r="AG15" i="3"/>
  <c r="AG42" i="3"/>
  <c r="AG51" i="3"/>
  <c r="AG59" i="3"/>
  <c r="AG67" i="3"/>
  <c r="AG75" i="3"/>
  <c r="AG83" i="3"/>
  <c r="AH18" i="3"/>
  <c r="AH50" i="3"/>
  <c r="AH82" i="3"/>
  <c r="AG7" i="3"/>
  <c r="AG16" i="3"/>
  <c r="AG43" i="3"/>
  <c r="AG52" i="3"/>
  <c r="AG60" i="3"/>
  <c r="AG68" i="3"/>
  <c r="AG76" i="3"/>
  <c r="AG84" i="3"/>
  <c r="AH19" i="3"/>
  <c r="AH51" i="3"/>
  <c r="AH83" i="3"/>
  <c r="AG8" i="3"/>
  <c r="AG17" i="3"/>
  <c r="AG44" i="3"/>
  <c r="AG53" i="3"/>
  <c r="AG61" i="3"/>
  <c r="AG69" i="3"/>
  <c r="AG77" i="3"/>
  <c r="AG85" i="3"/>
  <c r="AH58" i="3"/>
  <c r="AG9" i="3"/>
  <c r="AG18" i="3"/>
  <c r="AG46" i="3"/>
  <c r="AG54" i="3"/>
  <c r="AG62" i="3"/>
  <c r="AG70" i="3"/>
  <c r="AG78" i="3"/>
  <c r="AG86" i="3"/>
  <c r="AH59" i="3"/>
  <c r="AH66" i="3"/>
  <c r="AG2" i="3"/>
  <c r="AG11" i="3"/>
  <c r="AG20" i="3"/>
  <c r="AG48" i="3"/>
  <c r="AG56" i="3"/>
  <c r="AG64" i="3"/>
  <c r="AG72" i="3"/>
  <c r="AG80" i="3"/>
  <c r="AG88" i="3"/>
  <c r="AH67" i="3"/>
  <c r="AG3" i="3"/>
  <c r="AG12" i="3"/>
  <c r="AG49" i="3"/>
  <c r="AG57" i="3"/>
  <c r="AG65" i="3"/>
  <c r="AG73" i="3"/>
  <c r="AG81" i="3"/>
  <c r="AG89" i="3"/>
  <c r="AN531" i="3"/>
  <c r="AH532" i="3"/>
  <c r="AH540" i="3"/>
  <c r="AI540" i="3" s="1"/>
  <c r="AJ540" i="3" s="1"/>
  <c r="AH548" i="3"/>
  <c r="AH556" i="3"/>
  <c r="AH564" i="3"/>
  <c r="AI564" i="3" s="1"/>
  <c r="AJ564" i="3" s="1"/>
  <c r="AH572" i="3"/>
  <c r="AH580" i="3"/>
  <c r="AH588" i="3"/>
  <c r="AH596" i="3"/>
  <c r="AH533" i="3"/>
  <c r="AH541" i="3"/>
  <c r="AH549" i="3"/>
  <c r="AH557" i="3"/>
  <c r="AH565" i="3"/>
  <c r="AH573" i="3"/>
  <c r="AH581" i="3"/>
  <c r="AH589" i="3"/>
  <c r="AH597" i="3"/>
  <c r="AH605" i="3"/>
  <c r="AH613" i="3"/>
  <c r="AH621" i="3"/>
  <c r="AH629" i="3"/>
  <c r="AH534" i="3"/>
  <c r="AH542" i="3"/>
  <c r="AH550" i="3"/>
  <c r="AH558" i="3"/>
  <c r="AH566" i="3"/>
  <c r="AI566" i="3" s="1"/>
  <c r="AJ566" i="3" s="1"/>
  <c r="AH574" i="3"/>
  <c r="AH582" i="3"/>
  <c r="AH535" i="3"/>
  <c r="AH543" i="3"/>
  <c r="AH551" i="3"/>
  <c r="AH559" i="3"/>
  <c r="AH567" i="3"/>
  <c r="AH575" i="3"/>
  <c r="AH583" i="3"/>
  <c r="AH591" i="3"/>
  <c r="AH599" i="3"/>
  <c r="AH536" i="3"/>
  <c r="AI536" i="3" s="1"/>
  <c r="AJ536" i="3" s="1"/>
  <c r="AH544" i="3"/>
  <c r="AH552" i="3"/>
  <c r="AH560" i="3"/>
  <c r="AH568" i="3"/>
  <c r="AH576" i="3"/>
  <c r="AI576" i="3" s="1"/>
  <c r="AJ576" i="3" s="1"/>
  <c r="AH584" i="3"/>
  <c r="AI584" i="3" s="1"/>
  <c r="AJ584" i="3" s="1"/>
  <c r="AH545" i="3"/>
  <c r="AH563" i="3"/>
  <c r="AH586" i="3"/>
  <c r="AH600" i="3"/>
  <c r="AH609" i="3"/>
  <c r="AH618" i="3"/>
  <c r="AI618" i="3" s="1"/>
  <c r="AJ618" i="3" s="1"/>
  <c r="AH627" i="3"/>
  <c r="AH546" i="3"/>
  <c r="AH569" i="3"/>
  <c r="AH587" i="3"/>
  <c r="AH601" i="3"/>
  <c r="AI601" i="3" s="1"/>
  <c r="AJ601" i="3" s="1"/>
  <c r="AH610" i="3"/>
  <c r="AI610" i="3" s="1"/>
  <c r="AJ610" i="3" s="1"/>
  <c r="AH619" i="3"/>
  <c r="AH628" i="3"/>
  <c r="AH547" i="3"/>
  <c r="AH570" i="3"/>
  <c r="AH590" i="3"/>
  <c r="AH602" i="3"/>
  <c r="AH611" i="3"/>
  <c r="AH620" i="3"/>
  <c r="AH630" i="3"/>
  <c r="AI630" i="3" s="1"/>
  <c r="AJ630" i="3" s="1"/>
  <c r="AH553" i="3"/>
  <c r="AH571" i="3"/>
  <c r="AH592" i="3"/>
  <c r="AH603" i="3"/>
  <c r="AH612" i="3"/>
  <c r="AH622" i="3"/>
  <c r="AH631" i="3"/>
  <c r="AG533" i="3"/>
  <c r="AG541" i="3"/>
  <c r="AG549" i="3"/>
  <c r="AG557" i="3"/>
  <c r="AG565" i="3"/>
  <c r="AG573" i="3"/>
  <c r="AG581" i="3"/>
  <c r="AH531" i="3"/>
  <c r="AH554" i="3"/>
  <c r="AH577" i="3"/>
  <c r="AH593" i="3"/>
  <c r="AH604" i="3"/>
  <c r="AH614" i="3"/>
  <c r="AH623" i="3"/>
  <c r="AH632" i="3"/>
  <c r="AH537" i="3"/>
  <c r="AH555" i="3"/>
  <c r="AH578" i="3"/>
  <c r="AH594" i="3"/>
  <c r="AH606" i="3"/>
  <c r="AI606" i="3" s="1"/>
  <c r="AJ606" i="3" s="1"/>
  <c r="AH538" i="3"/>
  <c r="AI538" i="3" s="1"/>
  <c r="AJ538" i="3" s="1"/>
  <c r="AH561" i="3"/>
  <c r="AH579" i="3"/>
  <c r="AH595" i="3"/>
  <c r="AH607" i="3"/>
  <c r="AH616" i="3"/>
  <c r="AH625" i="3"/>
  <c r="AH539" i="3"/>
  <c r="AH562" i="3"/>
  <c r="AH585" i="3"/>
  <c r="AH598" i="3"/>
  <c r="AH608" i="3"/>
  <c r="AH617" i="3"/>
  <c r="AH626" i="3"/>
  <c r="AG629" i="3"/>
  <c r="AG621" i="3"/>
  <c r="AG613" i="3"/>
  <c r="AG605" i="3"/>
  <c r="AG597" i="3"/>
  <c r="AG589" i="3"/>
  <c r="AG580" i="3"/>
  <c r="AG571" i="3"/>
  <c r="AG562" i="3"/>
  <c r="AG553" i="3"/>
  <c r="AG544" i="3"/>
  <c r="AG535" i="3"/>
  <c r="AG526" i="3"/>
  <c r="AG516" i="3"/>
  <c r="AG507" i="3"/>
  <c r="AG498" i="3"/>
  <c r="AG488" i="3"/>
  <c r="AG478" i="3"/>
  <c r="AG467" i="3"/>
  <c r="AG456" i="3"/>
  <c r="AG446" i="3"/>
  <c r="AG435" i="3"/>
  <c r="AG424" i="3"/>
  <c r="AG414" i="3"/>
  <c r="AG402" i="3"/>
  <c r="AG388" i="3"/>
  <c r="AG376" i="3"/>
  <c r="AG351" i="3"/>
  <c r="AG336" i="3"/>
  <c r="AG320" i="3"/>
  <c r="AG304" i="3"/>
  <c r="AG287" i="3"/>
  <c r="AG264" i="3"/>
  <c r="AG239" i="3"/>
  <c r="AG199" i="3"/>
  <c r="AG135" i="3"/>
  <c r="AG71" i="3"/>
  <c r="AH633" i="3"/>
  <c r="AN357" i="3"/>
  <c r="AH364" i="3"/>
  <c r="AH372" i="3"/>
  <c r="AH380" i="3"/>
  <c r="AH388" i="3"/>
  <c r="AH396" i="3"/>
  <c r="AI396" i="3" s="1"/>
  <c r="AJ396" i="3" s="1"/>
  <c r="AH404" i="3"/>
  <c r="AH412" i="3"/>
  <c r="AH420" i="3"/>
  <c r="AH428" i="3"/>
  <c r="AI428" i="3" s="1"/>
  <c r="AJ428" i="3" s="1"/>
  <c r="AH436" i="3"/>
  <c r="AH357" i="3"/>
  <c r="AH365" i="3"/>
  <c r="AH373" i="3"/>
  <c r="AH381" i="3"/>
  <c r="AH389" i="3"/>
  <c r="AH397" i="3"/>
  <c r="AH405" i="3"/>
  <c r="AH413" i="3"/>
  <c r="AH421" i="3"/>
  <c r="AH429" i="3"/>
  <c r="AH437" i="3"/>
  <c r="AH358" i="3"/>
  <c r="AH366" i="3"/>
  <c r="AH374" i="3"/>
  <c r="AH382" i="3"/>
  <c r="AH390" i="3"/>
  <c r="AH398" i="3"/>
  <c r="AH406" i="3"/>
  <c r="AH414" i="3"/>
  <c r="AH422" i="3"/>
  <c r="AH430" i="3"/>
  <c r="AH438" i="3"/>
  <c r="AI438" i="3" s="1"/>
  <c r="AJ438" i="3" s="1"/>
  <c r="AH359" i="3"/>
  <c r="AH367" i="3"/>
  <c r="AH375" i="3"/>
  <c r="AH383" i="3"/>
  <c r="AH391" i="3"/>
  <c r="AH399" i="3"/>
  <c r="AH407" i="3"/>
  <c r="AH415" i="3"/>
  <c r="AH423" i="3"/>
  <c r="AH431" i="3"/>
  <c r="AI431" i="3" s="1"/>
  <c r="AJ431" i="3" s="1"/>
  <c r="AH439" i="3"/>
  <c r="AH360" i="3"/>
  <c r="AH368" i="3"/>
  <c r="AH376" i="3"/>
  <c r="AH384" i="3"/>
  <c r="AH392" i="3"/>
  <c r="AH400" i="3"/>
  <c r="AH408" i="3"/>
  <c r="AH416" i="3"/>
  <c r="AH424" i="3"/>
  <c r="AH432" i="3"/>
  <c r="AH440" i="3"/>
  <c r="AH361" i="3"/>
  <c r="AH369" i="3"/>
  <c r="AH377" i="3"/>
  <c r="AH385" i="3"/>
  <c r="AH393" i="3"/>
  <c r="AH401" i="3"/>
  <c r="AH409" i="3"/>
  <c r="AH417" i="3"/>
  <c r="AH425" i="3"/>
  <c r="AH433" i="3"/>
  <c r="AH441" i="3"/>
  <c r="AH362" i="3"/>
  <c r="AH394" i="3"/>
  <c r="AH426" i="3"/>
  <c r="AH363" i="3"/>
  <c r="AH395" i="3"/>
  <c r="AH427" i="3"/>
  <c r="AH370" i="3"/>
  <c r="AH402" i="3"/>
  <c r="AH434" i="3"/>
  <c r="AH371" i="3"/>
  <c r="AI371" i="3" s="1"/>
  <c r="AJ371" i="3" s="1"/>
  <c r="AH403" i="3"/>
  <c r="AH435" i="3"/>
  <c r="AG357" i="3"/>
  <c r="AG365" i="3"/>
  <c r="AG373" i="3"/>
  <c r="AG381" i="3"/>
  <c r="AG389" i="3"/>
  <c r="AG397" i="3"/>
  <c r="AG405" i="3"/>
  <c r="AG413" i="3"/>
  <c r="AG421" i="3"/>
  <c r="AG429" i="3"/>
  <c r="AG437" i="3"/>
  <c r="AH378" i="3"/>
  <c r="AH410" i="3"/>
  <c r="AH442" i="3"/>
  <c r="AG358" i="3"/>
  <c r="AG366" i="3"/>
  <c r="AG374" i="3"/>
  <c r="AG382" i="3"/>
  <c r="AG390" i="3"/>
  <c r="AG398" i="3"/>
  <c r="AG406" i="3"/>
  <c r="AH379" i="3"/>
  <c r="AH411" i="3"/>
  <c r="AH386" i="3"/>
  <c r="AH418" i="3"/>
  <c r="AI418" i="3" s="1"/>
  <c r="AJ418" i="3" s="1"/>
  <c r="AH387" i="3"/>
  <c r="AH419" i="3"/>
  <c r="AG361" i="3"/>
  <c r="AG369" i="3"/>
  <c r="AG377" i="3"/>
  <c r="AG385" i="3"/>
  <c r="AG393" i="3"/>
  <c r="AG401" i="3"/>
  <c r="AG409" i="3"/>
  <c r="AG417" i="3"/>
  <c r="AG425" i="3"/>
  <c r="AG433" i="3"/>
  <c r="AG441" i="3"/>
  <c r="AG628" i="3"/>
  <c r="AG620" i="3"/>
  <c r="AG612" i="3"/>
  <c r="AG604" i="3"/>
  <c r="AG596" i="3"/>
  <c r="AG588" i="3"/>
  <c r="AG579" i="3"/>
  <c r="AG570" i="3"/>
  <c r="AG561" i="3"/>
  <c r="AG552" i="3"/>
  <c r="AG543" i="3"/>
  <c r="AG534" i="3"/>
  <c r="AG524" i="3"/>
  <c r="AG515" i="3"/>
  <c r="AG506" i="3"/>
  <c r="AG497" i="3"/>
  <c r="AG487" i="3"/>
  <c r="AG476" i="3"/>
  <c r="AG466" i="3"/>
  <c r="AG455" i="3"/>
  <c r="AG444" i="3"/>
  <c r="AG434" i="3"/>
  <c r="AG423" i="3"/>
  <c r="AG412" i="3"/>
  <c r="AG400" i="3"/>
  <c r="AG387" i="3"/>
  <c r="AG375" i="3"/>
  <c r="AG362" i="3"/>
  <c r="AG348" i="3"/>
  <c r="AG335" i="3"/>
  <c r="AG319" i="3"/>
  <c r="AG303" i="3"/>
  <c r="AG284" i="3"/>
  <c r="AG263" i="3"/>
  <c r="AG232" i="3"/>
  <c r="AG191" i="3"/>
  <c r="AG127" i="3"/>
  <c r="AG63" i="3"/>
  <c r="AH624" i="3"/>
  <c r="AI624" i="3" s="1"/>
  <c r="AJ624" i="3" s="1"/>
  <c r="AG627" i="3"/>
  <c r="AG619" i="3"/>
  <c r="AG611" i="3"/>
  <c r="AG603" i="3"/>
  <c r="AG595" i="3"/>
  <c r="AG587" i="3"/>
  <c r="AG578" i="3"/>
  <c r="AG569" i="3"/>
  <c r="AG560" i="3"/>
  <c r="AG551" i="3"/>
  <c r="AG542" i="3"/>
  <c r="AG532" i="3"/>
  <c r="AG523" i="3"/>
  <c r="AG514" i="3"/>
  <c r="AG505" i="3"/>
  <c r="AG496" i="3"/>
  <c r="AG486" i="3"/>
  <c r="AG475" i="3"/>
  <c r="AG464" i="3"/>
  <c r="AG454" i="3"/>
  <c r="AG443" i="3"/>
  <c r="AG432" i="3"/>
  <c r="AG422" i="3"/>
  <c r="AG411" i="3"/>
  <c r="AG399" i="3"/>
  <c r="AG386" i="3"/>
  <c r="AG372" i="3"/>
  <c r="AG360" i="3"/>
  <c r="AG347" i="3"/>
  <c r="AG332" i="3"/>
  <c r="AG316" i="3"/>
  <c r="AG300" i="3"/>
  <c r="AG280" i="3"/>
  <c r="AG260" i="3"/>
  <c r="AG231" i="3"/>
  <c r="AG183" i="3"/>
  <c r="AG119" i="3"/>
  <c r="AG55" i="3"/>
  <c r="AH615" i="3"/>
  <c r="I494" i="3"/>
  <c r="I276" i="3"/>
  <c r="I332" i="3"/>
  <c r="I193" i="3"/>
  <c r="I258" i="3"/>
  <c r="I260" i="3"/>
  <c r="I347" i="3"/>
  <c r="I401" i="3"/>
  <c r="I267" i="3"/>
  <c r="I541" i="3"/>
  <c r="I127" i="3"/>
  <c r="I475" i="3"/>
  <c r="I114" i="3"/>
  <c r="I198" i="3"/>
  <c r="I21" i="3"/>
  <c r="I614" i="3"/>
  <c r="I409" i="3"/>
  <c r="I215" i="3"/>
  <c r="I115" i="3"/>
  <c r="I141" i="3"/>
  <c r="Z413" i="3"/>
  <c r="Z254" i="3"/>
  <c r="Z472" i="3"/>
  <c r="Z461" i="3"/>
  <c r="Z80" i="3"/>
  <c r="Z202" i="3"/>
  <c r="Z318" i="3"/>
  <c r="Z151" i="3"/>
  <c r="Z12" i="3"/>
  <c r="Z93" i="3"/>
  <c r="Z284" i="3"/>
  <c r="Z360" i="3"/>
  <c r="Z327" i="3"/>
  <c r="Z10" i="3"/>
  <c r="Z554" i="3"/>
  <c r="Z213" i="3"/>
  <c r="Z622" i="3"/>
  <c r="Z123" i="3"/>
  <c r="Z71" i="3"/>
  <c r="Z596" i="3"/>
  <c r="Z219" i="3"/>
  <c r="Z160" i="3"/>
  <c r="Z385" i="3"/>
  <c r="Z384" i="3"/>
  <c r="Z53" i="3"/>
  <c r="Z380" i="3"/>
  <c r="Z336" i="3"/>
  <c r="Z246" i="3"/>
  <c r="Z99" i="3"/>
  <c r="Z504" i="3"/>
  <c r="Z584" i="3"/>
  <c r="Z119" i="3"/>
  <c r="Z542" i="3"/>
  <c r="Z230" i="3"/>
  <c r="Z533" i="3"/>
  <c r="Z240" i="3"/>
  <c r="Z351" i="3"/>
  <c r="Z110" i="3"/>
  <c r="Z549" i="3"/>
  <c r="Z484" i="3"/>
  <c r="Z348" i="3"/>
  <c r="Z325" i="3"/>
  <c r="Z256" i="3"/>
  <c r="Z214" i="3"/>
  <c r="Z608" i="3"/>
  <c r="Z347" i="3"/>
  <c r="Z191" i="3"/>
  <c r="Z159" i="3"/>
  <c r="Z142" i="3"/>
  <c r="Z70" i="3"/>
  <c r="Z421" i="3"/>
  <c r="Z445" i="3"/>
  <c r="Z121" i="3"/>
  <c r="Z315" i="3"/>
  <c r="Z403" i="3"/>
  <c r="Z346" i="3"/>
  <c r="Z338" i="3"/>
  <c r="Z432" i="3"/>
  <c r="Z268" i="3"/>
  <c r="Z277" i="3"/>
  <c r="Z114" i="3"/>
  <c r="Z410" i="3"/>
  <c r="Z506" i="3"/>
  <c r="Z532" i="3"/>
  <c r="Z124" i="3"/>
  <c r="Z155" i="3"/>
  <c r="Z229" i="3"/>
  <c r="Z50" i="3"/>
  <c r="Z60" i="3"/>
  <c r="Z511" i="3"/>
  <c r="Z77" i="3"/>
  <c r="Z49" i="3"/>
  <c r="Z72" i="3"/>
  <c r="Z582" i="3"/>
  <c r="Z473" i="3"/>
  <c r="Z481" i="3"/>
  <c r="Z357" i="3"/>
  <c r="Z313" i="3"/>
  <c r="Z356" i="3"/>
  <c r="Z573" i="3"/>
  <c r="Z389" i="3"/>
  <c r="Z88" i="3"/>
  <c r="Z611" i="3"/>
  <c r="Z352" i="3"/>
  <c r="Z187" i="3"/>
  <c r="Z550" i="3"/>
  <c r="Z201" i="3"/>
  <c r="Z491" i="3"/>
  <c r="Z303" i="3"/>
  <c r="Z131" i="3"/>
  <c r="Z317" i="3"/>
  <c r="Z157" i="3"/>
  <c r="Z569" i="3"/>
  <c r="Z586" i="3"/>
  <c r="Z135" i="3"/>
  <c r="Z630" i="3"/>
  <c r="Z289" i="3"/>
  <c r="Z139" i="3"/>
  <c r="Z222" i="3"/>
  <c r="Z478" i="3"/>
  <c r="Z388" i="3"/>
  <c r="Z442" i="3"/>
  <c r="Z513" i="3"/>
  <c r="Z283" i="3"/>
  <c r="Z218" i="3"/>
  <c r="Z308" i="3"/>
  <c r="Z441" i="3"/>
  <c r="Z241" i="3"/>
  <c r="Z334" i="3"/>
  <c r="Z333" i="3"/>
  <c r="Z261" i="3"/>
  <c r="Z221" i="3"/>
  <c r="Z130" i="3"/>
  <c r="Z434" i="3"/>
  <c r="Z629" i="3"/>
  <c r="Z156" i="3"/>
  <c r="Z6" i="3"/>
  <c r="Z345" i="3"/>
  <c r="Z375" i="3"/>
  <c r="Z619" i="3"/>
  <c r="Z411" i="3"/>
  <c r="Z107" i="3"/>
  <c r="Z498" i="3"/>
  <c r="Z122" i="3"/>
  <c r="Z601" i="3"/>
  <c r="Z331" i="3"/>
  <c r="Z273" i="3"/>
  <c r="Z613" i="3"/>
  <c r="Z545" i="3"/>
  <c r="Z102" i="3"/>
  <c r="Z224" i="3"/>
  <c r="Z343" i="3"/>
  <c r="Z63" i="3"/>
  <c r="Z220" i="3"/>
  <c r="Z81" i="3"/>
  <c r="Z228" i="3"/>
  <c r="Z238" i="3"/>
  <c r="Z200" i="3"/>
  <c r="Z65" i="3"/>
  <c r="Z418" i="3"/>
  <c r="Z540" i="3"/>
  <c r="Z175" i="3"/>
  <c r="Z20" i="3"/>
  <c r="Z165" i="3"/>
  <c r="Z109" i="3"/>
  <c r="Z391" i="3"/>
  <c r="Z353" i="3"/>
  <c r="Z505" i="3"/>
  <c r="Z215" i="3"/>
  <c r="Z522" i="3"/>
  <c r="Z210" i="3"/>
  <c r="Z475" i="3"/>
  <c r="Z285" i="3"/>
  <c r="Z452" i="3"/>
  <c r="Z196" i="3"/>
  <c r="Z8" i="3"/>
  <c r="Z171" i="3"/>
  <c r="Z4" i="3"/>
  <c r="Z305" i="3"/>
  <c r="Z598" i="3"/>
  <c r="Z323" i="3"/>
  <c r="Z446" i="3"/>
  <c r="Z437" i="3"/>
  <c r="Z570" i="3"/>
  <c r="Z588" i="3"/>
  <c r="Z377" i="3"/>
  <c r="Z266" i="3"/>
  <c r="Z435" i="3"/>
  <c r="Z372" i="3"/>
  <c r="Z118" i="3"/>
  <c r="Z297" i="3"/>
  <c r="Z590" i="3"/>
  <c r="Z627" i="3"/>
  <c r="Z337" i="3"/>
  <c r="Z460" i="3"/>
  <c r="Z585" i="3"/>
  <c r="Z592" i="3"/>
  <c r="Z144" i="3"/>
  <c r="Z515" i="3"/>
  <c r="Z500" i="3"/>
  <c r="Z300" i="3"/>
  <c r="Z79" i="3"/>
  <c r="Z367" i="3"/>
  <c r="Z94" i="3"/>
  <c r="Z138" i="3"/>
  <c r="Z232" i="3"/>
  <c r="Z274" i="3"/>
  <c r="Z112" i="3"/>
  <c r="Z180" i="3"/>
  <c r="Z279" i="3"/>
  <c r="Z137" i="3"/>
  <c r="Z288" i="3"/>
  <c r="Z168" i="3"/>
  <c r="Z153" i="3"/>
  <c r="Z269" i="3"/>
  <c r="Z365" i="3"/>
  <c r="Z610" i="3"/>
  <c r="Z512" i="3"/>
  <c r="Z562" i="3"/>
  <c r="Z561" i="3"/>
  <c r="Z295" i="3"/>
  <c r="Z197" i="3"/>
  <c r="Z479" i="3"/>
  <c r="Z83" i="3"/>
  <c r="Z560" i="3"/>
  <c r="Z350" i="3"/>
  <c r="Z494" i="3"/>
  <c r="Z440" i="3"/>
  <c r="Z90" i="3"/>
  <c r="Z607" i="3"/>
  <c r="Z614" i="3"/>
  <c r="Z82" i="3"/>
  <c r="Z493" i="3"/>
  <c r="Z320" i="3"/>
  <c r="Z328" i="3"/>
  <c r="Z354" i="3"/>
  <c r="Z319" i="3"/>
  <c r="Z126" i="3"/>
  <c r="Z74" i="3"/>
  <c r="Z97" i="3"/>
  <c r="Z463" i="3"/>
  <c r="Z454" i="3"/>
  <c r="Z15" i="3"/>
  <c r="Z492" i="3"/>
  <c r="Z45" i="3"/>
  <c r="Z551" i="3"/>
  <c r="Z476" i="3"/>
  <c r="Z534" i="3"/>
  <c r="Z100" i="3"/>
  <c r="Z510" i="3"/>
  <c r="Z276" i="3"/>
  <c r="Z86" i="3"/>
  <c r="Z68" i="3"/>
  <c r="Z538" i="3"/>
  <c r="Z170" i="3"/>
  <c r="Z417" i="3"/>
  <c r="Z616" i="3"/>
  <c r="Z206" i="3"/>
  <c r="Z234" i="3"/>
  <c r="Z108" i="3"/>
  <c r="Z580" i="3"/>
  <c r="Z571" i="3"/>
  <c r="Z502" i="3"/>
  <c r="Z485" i="3"/>
  <c r="Z424" i="3"/>
  <c r="Z587" i="3"/>
  <c r="Z249" i="3"/>
  <c r="Z366" i="3"/>
  <c r="Z547" i="3"/>
  <c r="Z189" i="3"/>
  <c r="Z271" i="3"/>
  <c r="Z470" i="3"/>
  <c r="Z401" i="3"/>
  <c r="Z212" i="3"/>
  <c r="Z233" i="3"/>
  <c r="Z482" i="3"/>
  <c r="Z262" i="3"/>
  <c r="Z341" i="3"/>
  <c r="Z495" i="3"/>
  <c r="Z471" i="3"/>
  <c r="Z383" i="3"/>
  <c r="Z335" i="3"/>
  <c r="Z453" i="3"/>
  <c r="Z178" i="3"/>
  <c r="Z458" i="3"/>
  <c r="Z626" i="3"/>
  <c r="Z469" i="3"/>
  <c r="Z116" i="3"/>
  <c r="Z575" i="3"/>
  <c r="Z407" i="3"/>
  <c r="Z257" i="3"/>
  <c r="Z103" i="3"/>
  <c r="Z85" i="3"/>
  <c r="Z373" i="3"/>
  <c r="Z84" i="3"/>
  <c r="Z369" i="3"/>
  <c r="Z344" i="3"/>
  <c r="Z211" i="3"/>
  <c r="Z625" i="3"/>
  <c r="Z245" i="3"/>
  <c r="Z293" i="3"/>
  <c r="Z603" i="3"/>
  <c r="Z216" i="3"/>
  <c r="Z455" i="3"/>
  <c r="Z429" i="3"/>
  <c r="Z146" i="3"/>
  <c r="Z579" i="3"/>
  <c r="Z426" i="3"/>
  <c r="Z87" i="3"/>
  <c r="Z21" i="3"/>
  <c r="Z173" i="3"/>
  <c r="Z184" i="3"/>
  <c r="Z164" i="3"/>
  <c r="Z186" i="3"/>
  <c r="Z298" i="3"/>
  <c r="Z364" i="3"/>
  <c r="Z248" i="3"/>
  <c r="Z306" i="3"/>
  <c r="Z310" i="3"/>
  <c r="Z106" i="3"/>
  <c r="Z18" i="3"/>
  <c r="Z363" i="3"/>
  <c r="Z55" i="3"/>
  <c r="Z162" i="3"/>
  <c r="Z516" i="3"/>
  <c r="Z527" i="3"/>
  <c r="Z543" i="3"/>
  <c r="Z194" i="3"/>
  <c r="Z89" i="3"/>
  <c r="Z605" i="3"/>
  <c r="Z140" i="3"/>
  <c r="Z628" i="3"/>
  <c r="Z508" i="3"/>
  <c r="Z378" i="3"/>
  <c r="Z497" i="3"/>
  <c r="Z95" i="3"/>
  <c r="Z275" i="3"/>
  <c r="Z104" i="3"/>
  <c r="Z597" i="3"/>
  <c r="Z117" i="3"/>
  <c r="Z431" i="3"/>
  <c r="Z149" i="3"/>
  <c r="Z113" i="3"/>
  <c r="Z548" i="3"/>
  <c r="Z46" i="3"/>
  <c r="Z553" i="3"/>
  <c r="Z111" i="3"/>
  <c r="Z621" i="3"/>
  <c r="Z174" i="3"/>
  <c r="Z145" i="3"/>
  <c r="Z296" i="3"/>
  <c r="Z632" i="3"/>
  <c r="Z92" i="3"/>
  <c r="Z539" i="3"/>
  <c r="Z340" i="3"/>
  <c r="Z193" i="3"/>
  <c r="Z16" i="3"/>
  <c r="Z78" i="3"/>
  <c r="Z390" i="3"/>
  <c r="Z396" i="3"/>
  <c r="Z3" i="3"/>
  <c r="Z568" i="3"/>
  <c r="Z487" i="3"/>
  <c r="Z394" i="3"/>
  <c r="Z558" i="3"/>
  <c r="Z535" i="3"/>
  <c r="Z457" i="3"/>
  <c r="Z489" i="3"/>
  <c r="Z414" i="3"/>
  <c r="Z129" i="3"/>
  <c r="Z525" i="3"/>
  <c r="Z541" i="3"/>
  <c r="Z464" i="3"/>
  <c r="Z604" i="3"/>
  <c r="Z618" i="3"/>
  <c r="Z195" i="3"/>
  <c r="Z433" i="3"/>
  <c r="Z594" i="3"/>
  <c r="Z406" i="3"/>
  <c r="Z376" i="3"/>
  <c r="Z447" i="3"/>
  <c r="Z287" i="3"/>
  <c r="Z56" i="3"/>
  <c r="Z468" i="3"/>
  <c r="Z120" i="3"/>
  <c r="Z125" i="3"/>
  <c r="Z382" i="3"/>
  <c r="Z259" i="3"/>
  <c r="Z96" i="3"/>
  <c r="Z251" i="3"/>
  <c r="Z555" i="3"/>
  <c r="Z236" i="3"/>
  <c r="Z523" i="3"/>
  <c r="Z519" i="3"/>
  <c r="Z14" i="3"/>
  <c r="Z606" i="3"/>
  <c r="Z576" i="3"/>
  <c r="Z405" i="3"/>
  <c r="Z451" i="3"/>
  <c r="Z402" i="3"/>
  <c r="Z314" i="3"/>
  <c r="Z572" i="3"/>
  <c r="Z425" i="3"/>
  <c r="Z161" i="3"/>
  <c r="Z235" i="3"/>
  <c r="Z329" i="3"/>
  <c r="Z537" i="3"/>
  <c r="Z272" i="3"/>
  <c r="Z43" i="3"/>
  <c r="Z342" i="3"/>
  <c r="Z185" i="3"/>
  <c r="Z530" i="3"/>
  <c r="Z501" i="3"/>
  <c r="Z7" i="3"/>
  <c r="Z290" i="3"/>
  <c r="Z309" i="3"/>
  <c r="Z182" i="3"/>
  <c r="Z225" i="3"/>
  <c r="Z563" i="3"/>
  <c r="Z19" i="3"/>
  <c r="Z368" i="3"/>
  <c r="Z474" i="3"/>
  <c r="Z528" i="3"/>
  <c r="Z526" i="3"/>
  <c r="Z427" i="3"/>
  <c r="Z490" i="3"/>
  <c r="Z143" i="3"/>
  <c r="Z600" i="3"/>
  <c r="Z620" i="3"/>
  <c r="Z316" i="3"/>
  <c r="Z536" i="3"/>
  <c r="Z499" i="3"/>
  <c r="Z304" i="3"/>
  <c r="Z631" i="3"/>
  <c r="Z420" i="3"/>
  <c r="Z332" i="3"/>
  <c r="Z514" i="3"/>
  <c r="Z152" i="3"/>
  <c r="Z503" i="3"/>
  <c r="Z456" i="3"/>
  <c r="Z589" i="3"/>
  <c r="Z278" i="3"/>
  <c r="Z91" i="3"/>
  <c r="Z444" i="3"/>
  <c r="Z443" i="3"/>
  <c r="Z583" i="3"/>
  <c r="Z147" i="3"/>
  <c r="Z624" i="3"/>
  <c r="Z574" i="3"/>
  <c r="Z181" i="3"/>
  <c r="Z339" i="3"/>
  <c r="Z400" i="3"/>
  <c r="Z188" i="3"/>
  <c r="Z255" i="3"/>
  <c r="Z477" i="3"/>
  <c r="Z448" i="3"/>
  <c r="Z136" i="3"/>
  <c r="Z459" i="3"/>
  <c r="Z62" i="3"/>
  <c r="Z557" i="3"/>
  <c r="Z419" i="3"/>
  <c r="Z349" i="3"/>
  <c r="Z166" i="3"/>
  <c r="Z399" i="3"/>
  <c r="Z438" i="3"/>
  <c r="Z73" i="3"/>
  <c r="Z51" i="3"/>
  <c r="Z69" i="3"/>
  <c r="Z488" i="3"/>
  <c r="Z617" i="3"/>
  <c r="Z392" i="3"/>
  <c r="Z250" i="3"/>
  <c r="Z247" i="3"/>
  <c r="Z132" i="3"/>
  <c r="Z209" i="3"/>
  <c r="Z203" i="3"/>
  <c r="Z17" i="3"/>
  <c r="Z128" i="3"/>
  <c r="Z127" i="3"/>
  <c r="Z395" i="3"/>
  <c r="Z581" i="3"/>
  <c r="Z409" i="3"/>
  <c r="Z244" i="3"/>
  <c r="Z44" i="3"/>
  <c r="Z267" i="3"/>
  <c r="Z253" i="3"/>
  <c r="Z466" i="3"/>
  <c r="Z13" i="3"/>
  <c r="Z58" i="3"/>
  <c r="Z602" i="3"/>
  <c r="Z518" i="3"/>
  <c r="Z57" i="3"/>
  <c r="Z280" i="3"/>
  <c r="Z312" i="3"/>
  <c r="Z326" i="3"/>
  <c r="Z322" i="3"/>
  <c r="Z408" i="3"/>
  <c r="Z148" i="3"/>
  <c r="Z633" i="3"/>
  <c r="Z496" i="3"/>
  <c r="Z5" i="3"/>
  <c r="Z208" i="3"/>
  <c r="Z370" i="3"/>
  <c r="Z59" i="3"/>
  <c r="Z387" i="3"/>
  <c r="Z98" i="3"/>
  <c r="Z517" i="3"/>
  <c r="Z529" i="3"/>
  <c r="Z134" i="3"/>
  <c r="Z379" i="3"/>
  <c r="Z311" i="3"/>
  <c r="Z192" i="3"/>
  <c r="Z398" i="3"/>
  <c r="Z179" i="3"/>
  <c r="Z177" i="3"/>
  <c r="Z615" i="3"/>
  <c r="Z480" i="3"/>
  <c r="Z415" i="3"/>
  <c r="Z358" i="3"/>
  <c r="Z423" i="3"/>
  <c r="Z76" i="3"/>
  <c r="Z205" i="3"/>
  <c r="Z483" i="3"/>
  <c r="Z521" i="3"/>
  <c r="Z552" i="3"/>
  <c r="Z115" i="3"/>
  <c r="Z133" i="3"/>
  <c r="Z422" i="3"/>
  <c r="Z599" i="3"/>
  <c r="Z609" i="3"/>
  <c r="Z450" i="3"/>
  <c r="Z294" i="3"/>
  <c r="Z449" i="3"/>
  <c r="Z263" i="3"/>
  <c r="Z374" i="3"/>
  <c r="Z428" i="3"/>
  <c r="Z141" i="3"/>
  <c r="Z231" i="3"/>
  <c r="Z524" i="3"/>
  <c r="Z64" i="3"/>
  <c r="Z371" i="3"/>
  <c r="Z544" i="3"/>
  <c r="Z237" i="3"/>
  <c r="Z61" i="3"/>
  <c r="Z578" i="3"/>
  <c r="Z47" i="3"/>
  <c r="Z199" i="3"/>
  <c r="Z286" i="3"/>
  <c r="Z227" i="3"/>
  <c r="Z204" i="3"/>
  <c r="Z239" i="3"/>
  <c r="Z462" i="3"/>
  <c r="Z381" i="3"/>
  <c r="Z486" i="3"/>
  <c r="Z467" i="3"/>
  <c r="Z556" i="3"/>
  <c r="Z183" i="3"/>
  <c r="Z397" i="3"/>
  <c r="Z509" i="3"/>
  <c r="Z198" i="3"/>
  <c r="Z172" i="3"/>
  <c r="Z361" i="3"/>
  <c r="Z520" i="3"/>
  <c r="Z190" i="3"/>
  <c r="Z223" i="3"/>
  <c r="Z67" i="3"/>
  <c r="Z301" i="3"/>
  <c r="Z150" i="3"/>
  <c r="Z163" i="3"/>
  <c r="Z559" i="3"/>
  <c r="Z54" i="3"/>
  <c r="Z243" i="3"/>
  <c r="Z42" i="3"/>
  <c r="Z593" i="3"/>
  <c r="Z169" i="3"/>
  <c r="Z439" i="3"/>
  <c r="Z48" i="3"/>
  <c r="Z265" i="3"/>
  <c r="Z359" i="3"/>
  <c r="Z258" i="3"/>
  <c r="Z404" i="3"/>
  <c r="Z242" i="3"/>
  <c r="Z270" i="3"/>
  <c r="Z355" i="3"/>
  <c r="Z52" i="3"/>
  <c r="Z264" i="3"/>
  <c r="Z66" i="3"/>
  <c r="Z226" i="3"/>
  <c r="Z595" i="3"/>
  <c r="Z612" i="3"/>
  <c r="Z416" i="3"/>
  <c r="Z412" i="3"/>
  <c r="Z217" i="3"/>
  <c r="Z386" i="3"/>
  <c r="Z11" i="3"/>
  <c r="Z321" i="3"/>
  <c r="Z465" i="3"/>
  <c r="Z430" i="3"/>
  <c r="Z307" i="3"/>
  <c r="Z546" i="3"/>
  <c r="Z282" i="3"/>
  <c r="Z436" i="3"/>
  <c r="Z281" i="3"/>
  <c r="Z567" i="3"/>
  <c r="Z260" i="3"/>
  <c r="Z330" i="3"/>
  <c r="Z176" i="3"/>
  <c r="Z324" i="3"/>
  <c r="Z299" i="3"/>
  <c r="Z292" i="3"/>
  <c r="Z566" i="3"/>
  <c r="Z167" i="3"/>
  <c r="Z75" i="3"/>
  <c r="Z393" i="3"/>
  <c r="Z507" i="3"/>
  <c r="Z252" i="3"/>
  <c r="Z623" i="3"/>
  <c r="Z291" i="3"/>
  <c r="Z101" i="3"/>
  <c r="Z9" i="3"/>
  <c r="Z2" i="3"/>
  <c r="Z154" i="3"/>
  <c r="Z591" i="3"/>
  <c r="Z565" i="3"/>
  <c r="Z302" i="3"/>
  <c r="Z531" i="3"/>
  <c r="Z158" i="3"/>
  <c r="Z577" i="3"/>
  <c r="Z362" i="3"/>
  <c r="Z207" i="3"/>
  <c r="Z564" i="3"/>
  <c r="N222" i="3"/>
  <c r="N55" i="3"/>
  <c r="N593" i="3"/>
  <c r="N507" i="3"/>
  <c r="N163" i="3"/>
  <c r="N157" i="3"/>
  <c r="N237" i="3"/>
  <c r="N14" i="3"/>
  <c r="N338" i="3"/>
  <c r="N2" i="3"/>
  <c r="N220" i="3"/>
  <c r="N533" i="3"/>
  <c r="N155" i="3"/>
  <c r="N107" i="3"/>
  <c r="N407" i="3"/>
  <c r="N295" i="3"/>
  <c r="N583" i="3"/>
  <c r="N627" i="3"/>
  <c r="N410" i="3"/>
  <c r="N319" i="3"/>
  <c r="N363" i="3"/>
  <c r="N221" i="3"/>
  <c r="N517" i="3"/>
  <c r="N625" i="3"/>
  <c r="N488" i="3"/>
  <c r="N298" i="3"/>
  <c r="N569" i="3"/>
  <c r="N430" i="3"/>
  <c r="N457" i="3"/>
  <c r="N143" i="3"/>
  <c r="N544" i="3"/>
  <c r="N272" i="3"/>
  <c r="N453" i="3"/>
  <c r="N553" i="3"/>
  <c r="N519" i="3"/>
  <c r="N376" i="3"/>
  <c r="N509" i="3"/>
  <c r="N234" i="3"/>
  <c r="N387" i="3"/>
  <c r="N261" i="3"/>
  <c r="N316" i="3"/>
  <c r="N506" i="3"/>
  <c r="N201" i="3"/>
  <c r="N327" i="3"/>
  <c r="N197" i="3"/>
  <c r="N493" i="3"/>
  <c r="N418" i="3"/>
  <c r="N370" i="3"/>
  <c r="N571" i="3"/>
  <c r="N352" i="3"/>
  <c r="N353" i="3"/>
  <c r="N323" i="3"/>
  <c r="N290" i="3"/>
  <c r="N514" i="3"/>
  <c r="N252" i="3"/>
  <c r="N560" i="3"/>
  <c r="N337" i="3"/>
  <c r="N161" i="3"/>
  <c r="N245" i="3"/>
  <c r="N206" i="3"/>
  <c r="N573" i="3"/>
  <c r="N158" i="3"/>
  <c r="N312" i="3"/>
  <c r="N228" i="3"/>
  <c r="N308" i="3"/>
  <c r="N320" i="3"/>
  <c r="N378" i="3"/>
  <c r="N619" i="3"/>
  <c r="N445" i="3"/>
  <c r="N205" i="3"/>
  <c r="N528" i="3"/>
  <c r="N383" i="3"/>
  <c r="N435" i="3"/>
  <c r="N5" i="3"/>
  <c r="N592" i="3"/>
  <c r="N263" i="3"/>
  <c r="N273" i="3"/>
  <c r="N100" i="3"/>
  <c r="N278" i="3"/>
  <c r="N397" i="3"/>
  <c r="N288" i="3"/>
  <c r="N238" i="3"/>
  <c r="N591" i="3"/>
  <c r="N377" i="3"/>
  <c r="N335" i="3"/>
  <c r="N535" i="3"/>
  <c r="N16" i="3"/>
  <c r="N530" i="3"/>
  <c r="N254" i="3"/>
  <c r="N606" i="3"/>
  <c r="N550" i="3"/>
  <c r="N344" i="3"/>
  <c r="N262" i="3"/>
  <c r="N7" i="3"/>
  <c r="N580" i="3"/>
  <c r="N236" i="3"/>
  <c r="N379" i="3"/>
  <c r="N584" i="3"/>
  <c r="N164" i="3"/>
  <c r="N328" i="3"/>
  <c r="N611" i="3"/>
  <c r="N464" i="3"/>
  <c r="N462" i="3"/>
  <c r="N538" i="3"/>
  <c r="N577" i="3"/>
  <c r="N495" i="3"/>
  <c r="N98" i="3"/>
  <c r="N321" i="3"/>
  <c r="N314" i="3"/>
  <c r="N429" i="3"/>
  <c r="N144" i="3"/>
  <c r="N497" i="3"/>
  <c r="N468" i="3"/>
  <c r="N75" i="3"/>
  <c r="N432" i="3"/>
  <c r="N300" i="3"/>
  <c r="N195" i="3"/>
  <c r="N529" i="3"/>
  <c r="N168" i="3"/>
  <c r="N175" i="3"/>
  <c r="N87" i="3"/>
  <c r="N172" i="3"/>
  <c r="N361" i="3"/>
  <c r="N192" i="3"/>
  <c r="N557" i="3"/>
  <c r="N240" i="3"/>
  <c r="N43" i="3"/>
  <c r="N599" i="3"/>
  <c r="N76" i="3"/>
  <c r="N589" i="3"/>
  <c r="N117" i="3"/>
  <c r="N345" i="3"/>
  <c r="N116" i="3"/>
  <c r="N227" i="3"/>
  <c r="N516" i="3"/>
  <c r="N110" i="3"/>
  <c r="N171" i="3"/>
  <c r="N12" i="3"/>
  <c r="N501" i="3"/>
  <c r="N437" i="3"/>
  <c r="N617" i="3"/>
  <c r="N555" i="3"/>
  <c r="N134" i="3"/>
  <c r="N51" i="3"/>
  <c r="N62" i="3"/>
  <c r="N311" i="3"/>
  <c r="N95" i="3"/>
  <c r="N406" i="3"/>
  <c r="N381" i="3"/>
  <c r="N255" i="3"/>
  <c r="N532" i="3"/>
  <c r="N46" i="3"/>
  <c r="N167" i="3"/>
  <c r="N191" i="3"/>
  <c r="N194" i="3"/>
  <c r="N292" i="3"/>
  <c r="N250" i="3"/>
  <c r="N524" i="3"/>
  <c r="N551" i="3"/>
  <c r="N50" i="3"/>
  <c r="N218" i="3"/>
  <c r="N135" i="3"/>
  <c r="N93" i="3"/>
  <c r="N597" i="3"/>
  <c r="N65" i="3"/>
  <c r="N500" i="3"/>
  <c r="N618" i="3"/>
  <c r="N499" i="3"/>
  <c r="N489" i="3"/>
  <c r="N523" i="3"/>
  <c r="N269" i="3"/>
  <c r="N219" i="3"/>
  <c r="N259" i="3"/>
  <c r="N421" i="3"/>
  <c r="N598" i="3"/>
  <c r="N139" i="3"/>
  <c r="N374" i="3"/>
  <c r="N232" i="3"/>
  <c r="N89" i="3"/>
  <c r="N64" i="3"/>
  <c r="N440" i="3"/>
  <c r="N182" i="3"/>
  <c r="N629" i="3"/>
  <c r="N80" i="3"/>
  <c r="N513" i="3"/>
  <c r="N58" i="3"/>
  <c r="N548" i="3"/>
  <c r="N67" i="3"/>
  <c r="N562" i="3"/>
  <c r="N454" i="3"/>
  <c r="N159" i="3"/>
  <c r="N534" i="3"/>
  <c r="N84" i="3"/>
  <c r="N486" i="3"/>
  <c r="N303" i="3"/>
  <c r="N452" i="3"/>
  <c r="N287" i="3"/>
  <c r="N480" i="3"/>
  <c r="N266" i="3"/>
  <c r="N119" i="3"/>
  <c r="N479" i="3"/>
  <c r="N485" i="3"/>
  <c r="N484" i="3"/>
  <c r="N177" i="3"/>
  <c r="N223" i="3"/>
  <c r="N17" i="3"/>
  <c r="N99" i="3"/>
  <c r="N97" i="3"/>
  <c r="N156" i="3"/>
  <c r="N160" i="3"/>
  <c r="N225" i="3"/>
  <c r="N390" i="3"/>
  <c r="N153" i="3"/>
  <c r="N408" i="3"/>
  <c r="N416" i="3"/>
  <c r="N547" i="3"/>
  <c r="N181" i="3"/>
  <c r="N521" i="3"/>
  <c r="N77" i="3"/>
  <c r="N307" i="3"/>
  <c r="N572" i="3"/>
  <c r="N460" i="3"/>
  <c r="N505" i="3"/>
  <c r="N490" i="3"/>
  <c r="N402" i="3"/>
  <c r="N59" i="3"/>
  <c r="N537" i="3"/>
  <c r="N360" i="3"/>
  <c r="N326" i="3"/>
  <c r="N103" i="3"/>
  <c r="N621" i="3"/>
  <c r="N243" i="3"/>
  <c r="N333" i="3"/>
  <c r="N53" i="3"/>
  <c r="N433" i="3"/>
  <c r="N202" i="3"/>
  <c r="N151" i="3"/>
  <c r="N169" i="3"/>
  <c r="N112" i="3"/>
  <c r="N574" i="3"/>
  <c r="N396" i="3"/>
  <c r="N280" i="3"/>
  <c r="N526" i="3"/>
  <c r="N446" i="3"/>
  <c r="N136" i="3"/>
  <c r="N342" i="3"/>
  <c r="N257" i="3"/>
  <c r="N140" i="3"/>
  <c r="N302" i="3"/>
  <c r="N616" i="3"/>
  <c r="N609" i="3"/>
  <c r="N96" i="3"/>
  <c r="N72" i="3"/>
  <c r="N78" i="3"/>
  <c r="N121" i="3"/>
  <c r="N478" i="3"/>
  <c r="N585" i="3"/>
  <c r="N147" i="3"/>
  <c r="N88" i="3"/>
  <c r="N190" i="3"/>
  <c r="N375" i="3"/>
  <c r="N450" i="3"/>
  <c r="N165" i="3"/>
  <c r="N281" i="3"/>
  <c r="N477" i="3"/>
  <c r="N473" i="3"/>
  <c r="N610" i="3"/>
  <c r="N162" i="3"/>
  <c r="N568" i="3"/>
  <c r="N318" i="3"/>
  <c r="N474" i="3"/>
  <c r="N346" i="3"/>
  <c r="N63" i="3"/>
  <c r="N91" i="3"/>
  <c r="N558" i="3"/>
  <c r="N372" i="3"/>
  <c r="N630" i="3"/>
  <c r="N334" i="3"/>
  <c r="N183" i="3"/>
  <c r="N176" i="3"/>
  <c r="N603" i="3"/>
  <c r="N388" i="3"/>
  <c r="N487" i="3"/>
  <c r="N409" i="3"/>
  <c r="N354" i="3"/>
  <c r="N111" i="3"/>
  <c r="N215" i="3"/>
  <c r="N115" i="3"/>
  <c r="N108" i="3"/>
  <c r="N476" i="3"/>
  <c r="N141" i="3"/>
  <c r="N632" i="3"/>
  <c r="N351" i="3"/>
  <c r="N131" i="3"/>
  <c r="N546" i="3"/>
  <c r="N596" i="3"/>
  <c r="N207" i="3"/>
  <c r="N106" i="3"/>
  <c r="N395" i="3"/>
  <c r="N66" i="3"/>
  <c r="N330" i="3"/>
  <c r="N470" i="3"/>
  <c r="N83" i="3"/>
  <c r="N540" i="3"/>
  <c r="N491" i="3"/>
  <c r="N285" i="3"/>
  <c r="N246" i="3"/>
  <c r="N394" i="3"/>
  <c r="N343" i="3"/>
  <c r="N123" i="3"/>
  <c r="N502" i="3"/>
  <c r="N607" i="3"/>
  <c r="N367" i="3"/>
  <c r="N113" i="3"/>
  <c r="N4" i="3"/>
  <c r="N570" i="3"/>
  <c r="N527" i="3"/>
  <c r="N471" i="3"/>
  <c r="N275" i="3"/>
  <c r="N559" i="3"/>
  <c r="N213" i="3"/>
  <c r="N48" i="3"/>
  <c r="N199" i="3"/>
  <c r="N400" i="3"/>
  <c r="N443" i="3"/>
  <c r="N279" i="3"/>
  <c r="N8" i="3"/>
  <c r="N511" i="3"/>
  <c r="N349" i="3"/>
  <c r="N425" i="3"/>
  <c r="N102" i="3"/>
  <c r="N150" i="3"/>
  <c r="N411" i="3"/>
  <c r="N42" i="3"/>
  <c r="N594" i="3"/>
  <c r="N230" i="3"/>
  <c r="N188" i="3"/>
  <c r="N81" i="3"/>
  <c r="N216" i="3"/>
  <c r="N588" i="3"/>
  <c r="N539" i="3"/>
  <c r="N85" i="3"/>
  <c r="N566" i="3"/>
  <c r="N339" i="3"/>
  <c r="N357" i="3"/>
  <c r="N299" i="3"/>
  <c r="N3" i="3"/>
  <c r="N612" i="3"/>
  <c r="N174" i="3"/>
  <c r="N265" i="3"/>
  <c r="N384" i="3"/>
  <c r="N13" i="3"/>
  <c r="N11" i="3"/>
  <c r="N45" i="3"/>
  <c r="N393" i="3"/>
  <c r="N268" i="3"/>
  <c r="N472" i="3"/>
  <c r="N185" i="3"/>
  <c r="N504" i="3"/>
  <c r="N178" i="3"/>
  <c r="N283" i="3"/>
  <c r="N49" i="3"/>
  <c r="N304" i="3"/>
  <c r="N602" i="3"/>
  <c r="N536" i="3"/>
  <c r="N467" i="3"/>
  <c r="N482" i="3"/>
  <c r="N492" i="3"/>
  <c r="N94" i="3"/>
  <c r="N605" i="3"/>
  <c r="N608" i="3"/>
  <c r="N424" i="3"/>
  <c r="N57" i="3"/>
  <c r="N512" i="3"/>
  <c r="N68" i="3"/>
  <c r="N145" i="3"/>
  <c r="N481" i="3"/>
  <c r="N277" i="3"/>
  <c r="N74" i="3"/>
  <c r="N368" i="3"/>
  <c r="N138" i="3"/>
  <c r="N498" i="3"/>
  <c r="N82" i="3"/>
  <c r="N15" i="3"/>
  <c r="N249" i="3"/>
  <c r="N518" i="3"/>
  <c r="N20" i="3"/>
  <c r="N187" i="3"/>
  <c r="N79" i="3"/>
  <c r="N386" i="3"/>
  <c r="N248" i="3"/>
  <c r="N595" i="3"/>
  <c r="N208" i="3"/>
  <c r="N133" i="3"/>
  <c r="N170" i="3"/>
  <c r="N600" i="3"/>
  <c r="N399" i="3"/>
  <c r="N189" i="3"/>
  <c r="N251" i="3"/>
  <c r="N579" i="3"/>
  <c r="N73" i="3"/>
  <c r="N483" i="3"/>
  <c r="N291" i="3"/>
  <c r="N47" i="3"/>
  <c r="N282" i="3"/>
  <c r="N522" i="3"/>
  <c r="N554" i="3"/>
  <c r="N305" i="3"/>
  <c r="N329" i="3"/>
  <c r="N122" i="3"/>
  <c r="N233" i="3"/>
  <c r="N124" i="3"/>
  <c r="N427" i="3"/>
  <c r="N575" i="3"/>
  <c r="N126" i="3"/>
  <c r="N525" i="3"/>
  <c r="N414" i="3"/>
  <c r="N317" i="3"/>
  <c r="N331" i="3"/>
  <c r="N19" i="3"/>
  <c r="N459" i="3"/>
  <c r="N86" i="3"/>
  <c r="N247" i="3"/>
  <c r="N587" i="3"/>
  <c r="N315" i="3"/>
  <c r="N451" i="3"/>
  <c r="N439" i="3"/>
  <c r="N510" i="3"/>
  <c r="N420" i="3"/>
  <c r="N404" i="3"/>
  <c r="N149" i="3"/>
  <c r="N54" i="3"/>
  <c r="N576" i="3"/>
  <c r="N586" i="3"/>
  <c r="N56" i="3"/>
  <c r="N10" i="3"/>
  <c r="N362" i="3"/>
  <c r="N441" i="3"/>
  <c r="N313" i="3"/>
  <c r="N567" i="3"/>
  <c r="N289" i="3"/>
  <c r="N494" i="3"/>
  <c r="N436" i="3"/>
  <c r="N373" i="3"/>
  <c r="N129" i="3"/>
  <c r="N44" i="3"/>
  <c r="N423" i="3"/>
  <c r="N214" i="3"/>
  <c r="N623" i="3"/>
  <c r="N242" i="3"/>
  <c r="N520" i="3"/>
  <c r="N109" i="3"/>
  <c r="N389" i="3"/>
  <c r="N496" i="3"/>
  <c r="N563" i="3"/>
  <c r="N276" i="3"/>
  <c r="N132" i="3"/>
  <c r="N332" i="3"/>
  <c r="N463" i="3"/>
  <c r="N458" i="3"/>
  <c r="N310" i="3"/>
  <c r="N193" i="3"/>
  <c r="N52" i="3"/>
  <c r="N6" i="3"/>
  <c r="N561" i="3"/>
  <c r="N456" i="3"/>
  <c r="N241" i="3"/>
  <c r="N125" i="3"/>
  <c r="N604" i="3"/>
  <c r="N508" i="3"/>
  <c r="N385" i="3"/>
  <c r="N258" i="3"/>
  <c r="N545" i="3"/>
  <c r="N260" i="3"/>
  <c r="N581" i="3"/>
  <c r="N322" i="3"/>
  <c r="N347" i="3"/>
  <c r="N173" i="3"/>
  <c r="N401" i="3"/>
  <c r="N350" i="3"/>
  <c r="N613" i="3"/>
  <c r="N417" i="3"/>
  <c r="N341" i="3"/>
  <c r="N503" i="3"/>
  <c r="N296" i="3"/>
  <c r="N449" i="3"/>
  <c r="N60" i="3"/>
  <c r="N541" i="3"/>
  <c r="N631" i="3"/>
  <c r="N71" i="3"/>
  <c r="N104" i="3"/>
  <c r="N127" i="3"/>
  <c r="N130" i="3"/>
  <c r="N543" i="3"/>
  <c r="N475" i="3"/>
  <c r="N358" i="3"/>
  <c r="N271" i="3"/>
  <c r="N114" i="3"/>
  <c r="N336" i="3"/>
  <c r="N624" i="3"/>
  <c r="N398" i="3"/>
  <c r="N448" i="3"/>
  <c r="N622" i="3"/>
  <c r="N371" i="3"/>
  <c r="N198" i="3"/>
  <c r="N21" i="3"/>
  <c r="N515" i="3"/>
  <c r="N146" i="3"/>
  <c r="N438" i="3"/>
  <c r="N582" i="3"/>
  <c r="N196" i="3"/>
  <c r="N210" i="3"/>
  <c r="N422" i="3"/>
  <c r="N309" i="3"/>
  <c r="N542" i="3"/>
  <c r="N359" i="3"/>
  <c r="N253" i="3"/>
  <c r="N431" i="3"/>
  <c r="N204" i="3"/>
  <c r="N118" i="3"/>
  <c r="N128" i="3"/>
  <c r="N403" i="3"/>
  <c r="N426" i="3"/>
  <c r="N556" i="3"/>
  <c r="N442" i="3"/>
  <c r="N152" i="3"/>
  <c r="N148" i="3"/>
  <c r="N447" i="3"/>
  <c r="N293" i="3"/>
  <c r="N615" i="3"/>
  <c r="N356" i="3"/>
  <c r="N549" i="3"/>
  <c r="N226" i="3"/>
  <c r="N405" i="3"/>
  <c r="N179" i="3"/>
  <c r="N297" i="3"/>
  <c r="N412" i="3"/>
  <c r="N256" i="3"/>
  <c r="N69" i="3"/>
  <c r="N469" i="3"/>
  <c r="N466" i="3"/>
  <c r="N203" i="3"/>
  <c r="N552" i="3"/>
  <c r="N9" i="3"/>
  <c r="N348" i="3"/>
  <c r="N284" i="3"/>
  <c r="N229" i="3"/>
  <c r="N180" i="3"/>
  <c r="N392" i="3"/>
  <c r="N626" i="3"/>
  <c r="N565" i="3"/>
  <c r="N244" i="3"/>
  <c r="N270" i="3"/>
  <c r="N564" i="3"/>
  <c r="N444" i="3"/>
  <c r="N211" i="3"/>
  <c r="N306" i="3"/>
  <c r="N628" i="3"/>
  <c r="N355" i="3"/>
  <c r="N264" i="3"/>
  <c r="N428" i="3"/>
  <c r="N137" i="3"/>
  <c r="N465" i="3"/>
  <c r="N413" i="3"/>
  <c r="N382" i="3"/>
  <c r="N217" i="3"/>
  <c r="N340" i="3"/>
  <c r="N274" i="3"/>
  <c r="N364" i="3"/>
  <c r="N200" i="3"/>
  <c r="N184" i="3"/>
  <c r="N224" i="3"/>
  <c r="N391" i="3"/>
  <c r="N301" i="3"/>
  <c r="N419" i="3"/>
  <c r="N90" i="3"/>
  <c r="N590" i="3"/>
  <c r="N286" i="3"/>
  <c r="N105" i="3"/>
  <c r="I542" i="3"/>
  <c r="I179" i="3"/>
  <c r="I203" i="3"/>
  <c r="I11" i="3"/>
  <c r="I94" i="3"/>
  <c r="I608" i="3"/>
  <c r="I57" i="3"/>
  <c r="I68" i="3"/>
  <c r="I481" i="3"/>
  <c r="I277" i="3"/>
  <c r="I498" i="3"/>
  <c r="I15" i="3"/>
  <c r="I518" i="3"/>
  <c r="I187" i="3"/>
  <c r="I79" i="3"/>
  <c r="I248" i="3"/>
  <c r="I208" i="3"/>
  <c r="I170" i="3"/>
  <c r="I399" i="3"/>
  <c r="I251" i="3"/>
  <c r="I483" i="3"/>
  <c r="I291" i="3"/>
  <c r="I282" i="3"/>
  <c r="I522" i="3"/>
  <c r="I305" i="3"/>
  <c r="I233" i="3"/>
  <c r="I427" i="3"/>
  <c r="I126" i="3"/>
  <c r="I317" i="3"/>
  <c r="I605" i="3"/>
  <c r="I424" i="3"/>
  <c r="I512" i="3"/>
  <c r="I145" i="3"/>
  <c r="I74" i="3"/>
  <c r="I368" i="3"/>
  <c r="I138" i="3"/>
  <c r="I82" i="3"/>
  <c r="I249" i="3"/>
  <c r="I20" i="3"/>
  <c r="I620" i="3"/>
  <c r="I386" i="3"/>
  <c r="I595" i="3"/>
  <c r="I133" i="3"/>
  <c r="I600" i="3"/>
  <c r="I189" i="3"/>
  <c r="I579" i="3"/>
  <c r="I73" i="3"/>
  <c r="I366" i="3"/>
  <c r="I47" i="3"/>
  <c r="I61" i="3"/>
  <c r="I554" i="3"/>
  <c r="I329" i="3"/>
  <c r="I122" i="3"/>
  <c r="I124" i="3"/>
  <c r="I575" i="3"/>
  <c r="I525" i="3"/>
  <c r="I414" i="3"/>
  <c r="I331" i="3"/>
  <c r="I86" i="3"/>
  <c r="I587" i="3"/>
  <c r="I510" i="3"/>
  <c r="I404" i="3"/>
  <c r="I120" i="3"/>
  <c r="I10" i="3"/>
  <c r="I567" i="3"/>
  <c r="I253" i="3"/>
  <c r="I118" i="3"/>
  <c r="I403" i="3"/>
  <c r="I356" i="3"/>
  <c r="I412" i="3"/>
  <c r="I9" i="3"/>
  <c r="I229" i="3"/>
  <c r="I459" i="3"/>
  <c r="I451" i="3"/>
  <c r="I420" i="3"/>
  <c r="I54" i="3"/>
  <c r="I56" i="3"/>
  <c r="I222" i="3"/>
  <c r="I55" i="3"/>
  <c r="I593" i="3"/>
  <c r="I507" i="3"/>
  <c r="I294" i="3"/>
  <c r="I163" i="3"/>
  <c r="I212" i="3"/>
  <c r="I157" i="3"/>
  <c r="I237" i="3"/>
  <c r="I14" i="3"/>
  <c r="I338" i="3"/>
  <c r="I2" i="3"/>
  <c r="I220" i="3"/>
  <c r="I533" i="3"/>
  <c r="I155" i="3"/>
  <c r="I107" i="3"/>
  <c r="I407" i="3"/>
  <c r="I295" i="3"/>
  <c r="I583" i="3"/>
  <c r="I627" i="3"/>
  <c r="I410" i="3"/>
  <c r="I319" i="3"/>
  <c r="I363" i="3"/>
  <c r="I221" i="3"/>
  <c r="I517" i="3"/>
  <c r="I625" i="3"/>
  <c r="I488" i="3"/>
  <c r="I298" i="3"/>
  <c r="I569" i="3"/>
  <c r="I430" i="3"/>
  <c r="I457" i="3"/>
  <c r="I143" i="3"/>
  <c r="I544" i="3"/>
  <c r="I272" i="3"/>
  <c r="I453" i="3"/>
  <c r="I553" i="3"/>
  <c r="I519" i="3"/>
  <c r="I376" i="3"/>
  <c r="I509" i="3"/>
  <c r="I234" i="3"/>
  <c r="I387" i="3"/>
  <c r="I261" i="3"/>
  <c r="I316" i="3"/>
  <c r="I506" i="3"/>
  <c r="I201" i="3"/>
  <c r="I327" i="3"/>
  <c r="I197" i="3"/>
  <c r="I493" i="3"/>
  <c r="I418" i="3"/>
  <c r="I370" i="3"/>
  <c r="I571" i="3"/>
  <c r="I352" i="3"/>
  <c r="I353" i="3"/>
  <c r="I323" i="3"/>
  <c r="I290" i="3"/>
  <c r="I514" i="3"/>
  <c r="I252" i="3"/>
  <c r="I560" i="3"/>
  <c r="I337" i="3"/>
  <c r="I161" i="3"/>
  <c r="I245" i="3"/>
  <c r="I206" i="3"/>
  <c r="I573" i="3"/>
  <c r="I158" i="3"/>
  <c r="I312" i="3"/>
  <c r="I228" i="3"/>
  <c r="I308" i="3"/>
  <c r="I320" i="3"/>
  <c r="I378" i="3"/>
  <c r="I619" i="3"/>
  <c r="I445" i="3"/>
  <c r="I205" i="3"/>
  <c r="I239" i="3"/>
  <c r="I531" i="3"/>
  <c r="I19" i="3"/>
  <c r="I315" i="3"/>
  <c r="I149" i="3"/>
  <c r="I586" i="3"/>
  <c r="I528" i="3"/>
  <c r="I383" i="3"/>
  <c r="I435" i="3"/>
  <c r="I5" i="3"/>
  <c r="I592" i="3"/>
  <c r="I263" i="3"/>
  <c r="I273" i="3"/>
  <c r="I100" i="3"/>
  <c r="I278" i="3"/>
  <c r="I397" i="3"/>
  <c r="I288" i="3"/>
  <c r="I238" i="3"/>
  <c r="I591" i="3"/>
  <c r="I377" i="3"/>
  <c r="I335" i="3"/>
  <c r="I535" i="3"/>
  <c r="I16" i="3"/>
  <c r="I530" i="3"/>
  <c r="I254" i="3"/>
  <c r="I606" i="3"/>
  <c r="I550" i="3"/>
  <c r="I344" i="3"/>
  <c r="I262" i="3"/>
  <c r="I7" i="3"/>
  <c r="I580" i="3"/>
  <c r="I236" i="3"/>
  <c r="I379" i="3"/>
  <c r="I584" i="3"/>
  <c r="I164" i="3"/>
  <c r="I328" i="3"/>
  <c r="I611" i="3"/>
  <c r="I464" i="3"/>
  <c r="I462" i="3"/>
  <c r="I538" i="3"/>
  <c r="I577" i="3"/>
  <c r="I495" i="3"/>
  <c r="I98" i="3"/>
  <c r="I321" i="3"/>
  <c r="I314" i="3"/>
  <c r="I429" i="3"/>
  <c r="I144" i="3"/>
  <c r="I497" i="3"/>
  <c r="I468" i="3"/>
  <c r="I75" i="3"/>
  <c r="I432" i="3"/>
  <c r="I300" i="3"/>
  <c r="I195" i="3"/>
  <c r="I529" i="3"/>
  <c r="I168" i="3"/>
  <c r="I175" i="3"/>
  <c r="I87" i="3"/>
  <c r="I172" i="3"/>
  <c r="I361" i="3"/>
  <c r="I192" i="3"/>
  <c r="I557" i="3"/>
  <c r="I240" i="3"/>
  <c r="I43" i="3"/>
  <c r="I599" i="3"/>
  <c r="I76" i="3"/>
  <c r="I589" i="3"/>
  <c r="I117" i="3"/>
  <c r="I345" i="3"/>
  <c r="I116" i="3"/>
  <c r="I227" i="3"/>
  <c r="I516" i="3"/>
  <c r="I110" i="3"/>
  <c r="I171" i="3"/>
  <c r="I12" i="3"/>
  <c r="I501" i="3"/>
  <c r="I437" i="3"/>
  <c r="I617" i="3"/>
  <c r="I555" i="3"/>
  <c r="I134" i="3"/>
  <c r="I51" i="3"/>
  <c r="I62" i="3"/>
  <c r="I311" i="3"/>
  <c r="I247" i="3"/>
  <c r="I439" i="3"/>
  <c r="I166" i="3"/>
  <c r="I576" i="3"/>
  <c r="I362" i="3"/>
  <c r="I95" i="3"/>
  <c r="I406" i="3"/>
  <c r="I381" i="3"/>
  <c r="I255" i="3"/>
  <c r="I532" i="3"/>
  <c r="I46" i="3"/>
  <c r="I167" i="3"/>
  <c r="I191" i="3"/>
  <c r="I194" i="3"/>
  <c r="I601" i="3"/>
  <c r="I292" i="3"/>
  <c r="I250" i="3"/>
  <c r="I524" i="3"/>
  <c r="I551" i="3"/>
  <c r="I50" i="3"/>
  <c r="I218" i="3"/>
  <c r="I461" i="3"/>
  <c r="I455" i="3"/>
  <c r="I135" i="3"/>
  <c r="I93" i="3"/>
  <c r="I597" i="3"/>
  <c r="I65" i="3"/>
  <c r="I500" i="3"/>
  <c r="I618" i="3"/>
  <c r="I92" i="3"/>
  <c r="I499" i="3"/>
  <c r="I489" i="3"/>
  <c r="I523" i="3"/>
  <c r="I269" i="3"/>
  <c r="I219" i="3"/>
  <c r="I259" i="3"/>
  <c r="I421" i="3"/>
  <c r="I598" i="3"/>
  <c r="I139" i="3"/>
  <c r="I374" i="3"/>
  <c r="I232" i="3"/>
  <c r="I415" i="3"/>
  <c r="I89" i="3"/>
  <c r="I64" i="3"/>
  <c r="I440" i="3"/>
  <c r="I182" i="3"/>
  <c r="I629" i="3"/>
  <c r="I80" i="3"/>
  <c r="I513" i="3"/>
  <c r="I58" i="3"/>
  <c r="I548" i="3"/>
  <c r="I67" i="3"/>
  <c r="I562" i="3"/>
  <c r="I454" i="3"/>
  <c r="I159" i="3"/>
  <c r="I534" i="3"/>
  <c r="I84" i="3"/>
  <c r="I486" i="3"/>
  <c r="I303" i="3"/>
  <c r="I452" i="3"/>
  <c r="I287" i="3"/>
  <c r="I480" i="3"/>
  <c r="I231" i="3"/>
  <c r="I266" i="3"/>
  <c r="I119" i="3"/>
  <c r="I479" i="3"/>
  <c r="I485" i="3"/>
  <c r="I484" i="3"/>
  <c r="I177" i="3"/>
  <c r="I223" i="3"/>
  <c r="I17" i="3"/>
  <c r="I99" i="3"/>
  <c r="I97" i="3"/>
  <c r="I156" i="3"/>
  <c r="I160" i="3"/>
  <c r="I225" i="3"/>
  <c r="I390" i="3"/>
  <c r="I153" i="3"/>
  <c r="I408" i="3"/>
  <c r="I416" i="3"/>
  <c r="I547" i="3"/>
  <c r="I181" i="3"/>
  <c r="I351" i="3"/>
  <c r="I131" i="3"/>
  <c r="I546" i="3"/>
  <c r="I596" i="3"/>
  <c r="I207" i="3"/>
  <c r="I106" i="3"/>
  <c r="I395" i="3"/>
  <c r="I66" i="3"/>
  <c r="I330" i="3"/>
  <c r="I470" i="3"/>
  <c r="I83" i="3"/>
  <c r="I540" i="3"/>
  <c r="I491" i="3"/>
  <c r="I285" i="3"/>
  <c r="I246" i="3"/>
  <c r="I394" i="3"/>
  <c r="I343" i="3"/>
  <c r="I123" i="3"/>
  <c r="I502" i="3"/>
  <c r="I607" i="3"/>
  <c r="I367" i="3"/>
  <c r="I113" i="3"/>
  <c r="I4" i="3"/>
  <c r="I570" i="3"/>
  <c r="I527" i="3"/>
  <c r="I471" i="3"/>
  <c r="I275" i="3"/>
  <c r="I559" i="3"/>
  <c r="I213" i="3"/>
  <c r="I48" i="3"/>
  <c r="I199" i="3"/>
  <c r="I400" i="3"/>
  <c r="I443" i="3"/>
  <c r="I279" i="3"/>
  <c r="I8" i="3"/>
  <c r="I511" i="3"/>
  <c r="I349" i="3"/>
  <c r="I425" i="3"/>
  <c r="I102" i="3"/>
  <c r="I150" i="3"/>
  <c r="I411" i="3"/>
  <c r="I42" i="3"/>
  <c r="I594" i="3"/>
  <c r="I230" i="3"/>
  <c r="I188" i="3"/>
  <c r="I154" i="3"/>
  <c r="I81" i="3"/>
  <c r="I216" i="3"/>
  <c r="I588" i="3"/>
  <c r="I539" i="3"/>
  <c r="I85" i="3"/>
  <c r="I566" i="3"/>
  <c r="I339" i="3"/>
  <c r="I357" i="3"/>
  <c r="I299" i="3"/>
  <c r="I3" i="3"/>
  <c r="I612" i="3"/>
  <c r="I174" i="3"/>
  <c r="I265" i="3"/>
  <c r="I384" i="3"/>
  <c r="I13" i="3"/>
  <c r="I313" i="3"/>
  <c r="I44" i="3"/>
  <c r="I242" i="3"/>
  <c r="I458" i="3"/>
  <c r="I6" i="3"/>
  <c r="I508" i="3"/>
  <c r="I613" i="3"/>
  <c r="I71" i="3"/>
  <c r="I434" i="3"/>
  <c r="I582" i="3"/>
  <c r="I365" i="3"/>
  <c r="I431" i="3"/>
  <c r="I286" i="3"/>
  <c r="I105" i="3"/>
  <c r="I441" i="3"/>
  <c r="I101" i="3"/>
  <c r="I373" i="3"/>
  <c r="I214" i="3"/>
  <c r="I109" i="3"/>
  <c r="I496" i="3"/>
  <c r="I456" i="3"/>
  <c r="I125" i="3"/>
  <c r="I581" i="3"/>
  <c r="I341" i="3"/>
  <c r="I296" i="3"/>
  <c r="I543" i="3"/>
  <c r="I271" i="3"/>
  <c r="I438" i="3"/>
  <c r="I196" i="3"/>
  <c r="I210" i="3"/>
  <c r="I422" i="3"/>
  <c r="I309" i="3"/>
  <c r="I359" i="3"/>
  <c r="I204" i="3"/>
  <c r="I128" i="3"/>
  <c r="I426" i="3"/>
  <c r="I556" i="3"/>
  <c r="I442" i="3"/>
  <c r="I152" i="3"/>
  <c r="I148" i="3"/>
  <c r="I447" i="3"/>
  <c r="I293" i="3"/>
  <c r="I615" i="3"/>
  <c r="I549" i="3"/>
  <c r="I226" i="3"/>
  <c r="I405" i="3"/>
  <c r="I297" i="3"/>
  <c r="I256" i="3"/>
  <c r="I69" i="3"/>
  <c r="I380" i="3"/>
  <c r="I469" i="3"/>
  <c r="I324" i="3"/>
  <c r="I466" i="3"/>
  <c r="I70" i="3"/>
  <c r="I552" i="3"/>
  <c r="I348" i="3"/>
  <c r="I284" i="3"/>
  <c r="I180" i="3"/>
  <c r="I392" i="3"/>
  <c r="I626" i="3"/>
  <c r="I565" i="3"/>
  <c r="I244" i="3"/>
  <c r="I270" i="3"/>
  <c r="I564" i="3"/>
  <c r="I444" i="3"/>
  <c r="I211" i="3"/>
  <c r="I306" i="3"/>
  <c r="I628" i="3"/>
  <c r="I355" i="3"/>
  <c r="I264" i="3"/>
  <c r="I633" i="3"/>
  <c r="I428" i="3"/>
  <c r="I137" i="3"/>
  <c r="I465" i="3"/>
  <c r="I413" i="3"/>
  <c r="I382" i="3"/>
  <c r="I217" i="3"/>
  <c r="I340" i="3"/>
  <c r="I274" i="3"/>
  <c r="I364" i="3"/>
  <c r="I200" i="3"/>
  <c r="I184" i="3"/>
  <c r="I224" i="3"/>
  <c r="I391" i="3"/>
  <c r="I301" i="3"/>
  <c r="I419" i="3"/>
  <c r="I90" i="3"/>
  <c r="I590" i="3"/>
  <c r="I521" i="3"/>
  <c r="I77" i="3"/>
  <c r="I45" i="3"/>
  <c r="I393" i="3"/>
  <c r="I268" i="3"/>
  <c r="I472" i="3"/>
  <c r="I185" i="3"/>
  <c r="I504" i="3"/>
  <c r="I325" i="3"/>
  <c r="I178" i="3"/>
  <c r="I283" i="3"/>
  <c r="I49" i="3"/>
  <c r="I304" i="3"/>
  <c r="I602" i="3"/>
  <c r="I536" i="3"/>
  <c r="I467" i="3"/>
  <c r="I235" i="3"/>
  <c r="I482" i="3"/>
  <c r="I492" i="3"/>
  <c r="I307" i="3"/>
  <c r="I572" i="3"/>
  <c r="I142" i="3"/>
  <c r="I460" i="3"/>
  <c r="I505" i="3"/>
  <c r="I490" i="3"/>
  <c r="I402" i="3"/>
  <c r="I59" i="3"/>
  <c r="I537" i="3"/>
  <c r="I360" i="3"/>
  <c r="I326" i="3"/>
  <c r="I103" i="3"/>
  <c r="I621" i="3"/>
  <c r="I243" i="3"/>
  <c r="I333" i="3"/>
  <c r="I53" i="3"/>
  <c r="I433" i="3"/>
  <c r="I202" i="3"/>
  <c r="I151" i="3"/>
  <c r="I169" i="3"/>
  <c r="I112" i="3"/>
  <c r="I574" i="3"/>
  <c r="I396" i="3"/>
  <c r="I280" i="3"/>
  <c r="I526" i="3"/>
  <c r="I446" i="3"/>
  <c r="I136" i="3"/>
  <c r="I342" i="3"/>
  <c r="I257" i="3"/>
  <c r="I140" i="3"/>
  <c r="I302" i="3"/>
  <c r="I616" i="3"/>
  <c r="I609" i="3"/>
  <c r="I96" i="3"/>
  <c r="I72" i="3"/>
  <c r="I78" i="3"/>
  <c r="I121" i="3"/>
  <c r="I478" i="3"/>
  <c r="I585" i="3"/>
  <c r="I147" i="3"/>
  <c r="I88" i="3"/>
  <c r="I190" i="3"/>
  <c r="I375" i="3"/>
  <c r="I450" i="3"/>
  <c r="I165" i="3"/>
  <c r="I281" i="3"/>
  <c r="I477" i="3"/>
  <c r="I473" i="3"/>
  <c r="I610" i="3"/>
  <c r="I162" i="3"/>
  <c r="I568" i="3"/>
  <c r="I318" i="3"/>
  <c r="I474" i="3"/>
  <c r="I346" i="3"/>
  <c r="I63" i="3"/>
  <c r="I91" i="3"/>
  <c r="I558" i="3"/>
  <c r="I372" i="3"/>
  <c r="I630" i="3"/>
  <c r="I334" i="3"/>
  <c r="I183" i="3"/>
  <c r="I176" i="3"/>
  <c r="I603" i="3"/>
  <c r="I388" i="3"/>
  <c r="I487" i="3"/>
  <c r="I354" i="3"/>
  <c r="I111" i="3"/>
  <c r="I108" i="3"/>
  <c r="I476" i="3"/>
  <c r="I209" i="3"/>
  <c r="I632" i="3"/>
  <c r="I289" i="3"/>
  <c r="I436" i="3"/>
  <c r="I129" i="3"/>
  <c r="I423" i="3"/>
  <c r="I623" i="3"/>
  <c r="I520" i="3"/>
  <c r="I389" i="3"/>
  <c r="I563" i="3"/>
  <c r="I132" i="3"/>
  <c r="I463" i="3"/>
  <c r="I310" i="3"/>
  <c r="I52" i="3"/>
  <c r="I561" i="3"/>
  <c r="I241" i="3"/>
  <c r="I604" i="3"/>
  <c r="I385" i="3"/>
  <c r="I545" i="3"/>
  <c r="I369" i="3"/>
  <c r="I322" i="3"/>
  <c r="I173" i="3"/>
  <c r="I350" i="3"/>
  <c r="I417" i="3"/>
  <c r="I503" i="3"/>
  <c r="I449" i="3"/>
  <c r="I60" i="3"/>
  <c r="I631" i="3"/>
  <c r="I104" i="3"/>
  <c r="I130" i="3"/>
  <c r="I186" i="3"/>
  <c r="I358" i="3"/>
  <c r="I18" i="3"/>
  <c r="I336" i="3"/>
  <c r="I624" i="3"/>
  <c r="I398" i="3"/>
  <c r="I448" i="3"/>
  <c r="I622" i="3"/>
  <c r="I371" i="3"/>
  <c r="I515" i="3"/>
  <c r="I146" i="3"/>
  <c r="I578" i="3"/>
  <c r="G3" i="9" l="1"/>
  <c r="AO6" i="3"/>
  <c r="G4" i="9" s="1"/>
  <c r="G2" i="9"/>
  <c r="AI380" i="3"/>
  <c r="AJ380" i="3" s="1"/>
  <c r="AI463" i="3"/>
  <c r="AJ463" i="3" s="1"/>
  <c r="AI419" i="3"/>
  <c r="AJ419" i="3" s="1"/>
  <c r="AI47" i="3"/>
  <c r="AJ47" i="3" s="1"/>
  <c r="AI331" i="3"/>
  <c r="AJ331" i="3" s="1"/>
  <c r="AI586" i="3"/>
  <c r="AJ586" i="3" s="1"/>
  <c r="AI312" i="3"/>
  <c r="AJ312" i="3" s="1"/>
  <c r="AI359" i="3"/>
  <c r="AJ359" i="3" s="1"/>
  <c r="AI575" i="3"/>
  <c r="AJ575" i="3" s="1"/>
  <c r="AI450" i="3"/>
  <c r="AJ450" i="3" s="1"/>
  <c r="AI163" i="3"/>
  <c r="AJ163" i="3" s="1"/>
  <c r="AI559" i="3"/>
  <c r="AJ559" i="3" s="1"/>
  <c r="AI29" i="3"/>
  <c r="AJ29" i="3" s="1"/>
  <c r="AI356" i="3"/>
  <c r="AJ356" i="3" s="1"/>
  <c r="AI451" i="3"/>
  <c r="AJ451" i="3" s="1"/>
  <c r="AI384" i="3"/>
  <c r="AJ384" i="3" s="1"/>
  <c r="AI223" i="3"/>
  <c r="AJ223" i="3" s="1"/>
  <c r="AI327" i="3"/>
  <c r="AJ327" i="3" s="1"/>
  <c r="G7" i="6"/>
  <c r="K7" i="6" s="1"/>
  <c r="AI592" i="3"/>
  <c r="AJ592" i="3" s="1"/>
  <c r="AI256" i="3"/>
  <c r="AJ256" i="3" s="1"/>
  <c r="AI520" i="3"/>
  <c r="AJ520" i="3" s="1"/>
  <c r="AI539" i="3"/>
  <c r="AJ539" i="3" s="1"/>
  <c r="AI582" i="3"/>
  <c r="AJ582" i="3" s="1"/>
  <c r="AI367" i="3"/>
  <c r="AJ367" i="3" s="1"/>
  <c r="G15" i="6"/>
  <c r="K15" i="6" s="1"/>
  <c r="J10" i="6"/>
  <c r="AI370" i="3"/>
  <c r="AJ370" i="3" s="1"/>
  <c r="AI415" i="3"/>
  <c r="AJ415" i="3" s="1"/>
  <c r="AI607" i="3"/>
  <c r="AJ607" i="3" s="1"/>
  <c r="AI609" i="3"/>
  <c r="AJ609" i="3" s="1"/>
  <c r="AI24" i="3"/>
  <c r="AJ24" i="3" s="1"/>
  <c r="AI28" i="3"/>
  <c r="AJ28" i="3" s="1"/>
  <c r="AI537" i="3"/>
  <c r="AJ537" i="3" s="1"/>
  <c r="AI550" i="3"/>
  <c r="AJ550" i="3" s="1"/>
  <c r="AI407" i="3"/>
  <c r="AJ407" i="3" s="1"/>
  <c r="AI531" i="3"/>
  <c r="AJ531" i="3" s="1"/>
  <c r="AI440" i="3"/>
  <c r="AJ440" i="3" s="1"/>
  <c r="AI363" i="3"/>
  <c r="AJ363" i="3" s="1"/>
  <c r="AI602" i="3"/>
  <c r="AJ602" i="3" s="1"/>
  <c r="AI442" i="3"/>
  <c r="AJ442" i="3" s="1"/>
  <c r="AI394" i="3"/>
  <c r="AJ394" i="3" s="1"/>
  <c r="AI591" i="3"/>
  <c r="AJ591" i="3" s="1"/>
  <c r="AI340" i="3"/>
  <c r="AJ340" i="3" s="1"/>
  <c r="AI593" i="3"/>
  <c r="AJ593" i="3" s="1"/>
  <c r="AI328" i="3"/>
  <c r="AJ328" i="3" s="1"/>
  <c r="K14" i="6"/>
  <c r="AI31" i="3"/>
  <c r="AJ31" i="3" s="1"/>
  <c r="AI430" i="3"/>
  <c r="AJ430" i="3" s="1"/>
  <c r="AI346" i="3"/>
  <c r="AJ346" i="3" s="1"/>
  <c r="AI452" i="3"/>
  <c r="AJ452" i="3" s="1"/>
  <c r="AI99" i="3"/>
  <c r="AJ99" i="3" s="1"/>
  <c r="AI25" i="3"/>
  <c r="AJ25" i="3" s="1"/>
  <c r="AI39" i="3"/>
  <c r="AJ39" i="3" s="1"/>
  <c r="AI632" i="3"/>
  <c r="AJ632" i="3" s="1"/>
  <c r="AI186" i="3"/>
  <c r="AJ186" i="3" s="1"/>
  <c r="AI530" i="3"/>
  <c r="AJ530" i="3" s="1"/>
  <c r="AI91" i="3"/>
  <c r="AJ91" i="3" s="1"/>
  <c r="E5" i="6"/>
  <c r="I5" i="6" s="1"/>
  <c r="AI36" i="3"/>
  <c r="AJ36" i="3" s="1"/>
  <c r="AI391" i="3"/>
  <c r="AJ391" i="3" s="1"/>
  <c r="AI585" i="3"/>
  <c r="AJ585" i="3" s="1"/>
  <c r="AI563" i="3"/>
  <c r="AJ563" i="3" s="1"/>
  <c r="AI67" i="3"/>
  <c r="AJ67" i="3" s="1"/>
  <c r="AI219" i="3"/>
  <c r="AJ219" i="3" s="1"/>
  <c r="G6" i="6"/>
  <c r="K6" i="6" s="1"/>
  <c r="J7" i="6"/>
  <c r="G11" i="6"/>
  <c r="K11" i="6" s="1"/>
  <c r="AI26" i="3"/>
  <c r="AJ26" i="3" s="1"/>
  <c r="AI502" i="3"/>
  <c r="AJ502" i="3" s="1"/>
  <c r="AI162" i="3"/>
  <c r="AJ162" i="3" s="1"/>
  <c r="AI594" i="3"/>
  <c r="AJ594" i="3" s="1"/>
  <c r="AI344" i="3"/>
  <c r="AJ344" i="3" s="1"/>
  <c r="AI522" i="3"/>
  <c r="AJ522" i="3" s="1"/>
  <c r="AI34" i="3"/>
  <c r="AJ34" i="3" s="1"/>
  <c r="J2" i="6"/>
  <c r="J11" i="6"/>
  <c r="AI35" i="3"/>
  <c r="AJ35" i="3" s="1"/>
  <c r="AI38" i="3"/>
  <c r="AJ38" i="3" s="1"/>
  <c r="AI23" i="3"/>
  <c r="AJ23" i="3" s="1"/>
  <c r="AI40" i="3"/>
  <c r="AJ40" i="3" s="1"/>
  <c r="AI41" i="3"/>
  <c r="AJ41" i="3" s="1"/>
  <c r="AI21" i="3"/>
  <c r="AJ21" i="3" s="1"/>
  <c r="AI355" i="3"/>
  <c r="AJ355" i="3" s="1"/>
  <c r="AI32" i="3"/>
  <c r="AJ32" i="3" s="1"/>
  <c r="AI436" i="3"/>
  <c r="AJ436" i="3" s="1"/>
  <c r="AI30" i="3"/>
  <c r="AJ30" i="3" s="1"/>
  <c r="AI33" i="3"/>
  <c r="AJ33" i="3" s="1"/>
  <c r="I4" i="6"/>
  <c r="AI392" i="3"/>
  <c r="AJ392" i="3" s="1"/>
  <c r="AI555" i="3"/>
  <c r="AJ555" i="3" s="1"/>
  <c r="AI460" i="3"/>
  <c r="AJ460" i="3" s="1"/>
  <c r="K13" i="6"/>
  <c r="AI608" i="3"/>
  <c r="AJ608" i="3" s="1"/>
  <c r="AI218" i="3"/>
  <c r="AJ218" i="3" s="1"/>
  <c r="AI598" i="3"/>
  <c r="AJ598" i="3" s="1"/>
  <c r="AI338" i="3"/>
  <c r="AJ338" i="3" s="1"/>
  <c r="AI251" i="3"/>
  <c r="AJ251" i="3" s="1"/>
  <c r="AI473" i="3"/>
  <c r="AJ473" i="3" s="1"/>
  <c r="J13" i="6"/>
  <c r="E7" i="6"/>
  <c r="I7" i="6" s="1"/>
  <c r="AI22" i="3"/>
  <c r="AJ22" i="3" s="1"/>
  <c r="AI623" i="3"/>
  <c r="AJ623" i="3" s="1"/>
  <c r="AI53" i="3"/>
  <c r="AJ53" i="3" s="1"/>
  <c r="AI306" i="3"/>
  <c r="AJ306" i="3" s="1"/>
  <c r="AI267" i="3"/>
  <c r="AJ267" i="3" s="1"/>
  <c r="E11" i="6"/>
  <c r="I11" i="6" s="1"/>
  <c r="J4" i="6"/>
  <c r="K16" i="6"/>
  <c r="J16" i="6"/>
  <c r="AI414" i="3"/>
  <c r="AJ414" i="3" s="1"/>
  <c r="AI492" i="3"/>
  <c r="AJ492" i="3" s="1"/>
  <c r="AI107" i="3"/>
  <c r="AJ107" i="3" s="1"/>
  <c r="AI147" i="3"/>
  <c r="AJ147" i="3" s="1"/>
  <c r="AI474" i="3"/>
  <c r="AJ474" i="3" s="1"/>
  <c r="AI512" i="3"/>
  <c r="AJ512" i="3" s="1"/>
  <c r="AI425" i="3"/>
  <c r="AJ425" i="3" s="1"/>
  <c r="AI17" i="3"/>
  <c r="AJ17" i="3" s="1"/>
  <c r="AI14" i="3"/>
  <c r="AJ14" i="3" s="1"/>
  <c r="AI76" i="3"/>
  <c r="AJ76" i="3" s="1"/>
  <c r="AI155" i="3"/>
  <c r="AJ155" i="3" s="1"/>
  <c r="J15" i="6"/>
  <c r="AI631" i="3"/>
  <c r="AJ631" i="3" s="1"/>
  <c r="AI600" i="3"/>
  <c r="AJ600" i="3" s="1"/>
  <c r="AI42" i="3"/>
  <c r="AJ42" i="3" s="1"/>
  <c r="AI404" i="3"/>
  <c r="AJ404" i="3" s="1"/>
  <c r="AI19" i="3"/>
  <c r="AJ19" i="3" s="1"/>
  <c r="AI210" i="3"/>
  <c r="AJ210" i="3" s="1"/>
  <c r="AI292" i="3"/>
  <c r="AJ292" i="3" s="1"/>
  <c r="AI424" i="3"/>
  <c r="AJ424" i="3" s="1"/>
  <c r="AI146" i="3"/>
  <c r="AJ146" i="3" s="1"/>
  <c r="E2" i="6"/>
  <c r="I2" i="6" s="1"/>
  <c r="AI114" i="3"/>
  <c r="AJ114" i="3" s="1"/>
  <c r="AI434" i="3"/>
  <c r="AJ434" i="3" s="1"/>
  <c r="AI408" i="3"/>
  <c r="AJ408" i="3" s="1"/>
  <c r="AI571" i="3"/>
  <c r="AJ571" i="3" s="1"/>
  <c r="AI64" i="3"/>
  <c r="AJ64" i="3" s="1"/>
  <c r="AI20" i="3"/>
  <c r="AJ20" i="3" s="1"/>
  <c r="AI330" i="3"/>
  <c r="AJ330" i="3" s="1"/>
  <c r="AI342" i="3"/>
  <c r="AJ342" i="3" s="1"/>
  <c r="AI278" i="3"/>
  <c r="AJ278" i="3" s="1"/>
  <c r="AI301" i="3"/>
  <c r="AJ301" i="3" s="1"/>
  <c r="AI268" i="3"/>
  <c r="AJ268" i="3" s="1"/>
  <c r="AI243" i="3"/>
  <c r="AJ243" i="3" s="1"/>
  <c r="AI203" i="3"/>
  <c r="AJ203" i="3" s="1"/>
  <c r="AI222" i="3"/>
  <c r="AJ222" i="3" s="1"/>
  <c r="AI245" i="3"/>
  <c r="AJ245" i="3" s="1"/>
  <c r="AI181" i="3"/>
  <c r="AJ181" i="3" s="1"/>
  <c r="AI471" i="3"/>
  <c r="AJ471" i="3" s="1"/>
  <c r="AI494" i="3"/>
  <c r="AJ494" i="3" s="1"/>
  <c r="AI517" i="3"/>
  <c r="AJ517" i="3" s="1"/>
  <c r="AI453" i="3"/>
  <c r="AJ453" i="3" s="1"/>
  <c r="AI291" i="3"/>
  <c r="AJ291" i="3" s="1"/>
  <c r="AI504" i="3"/>
  <c r="AJ504" i="3" s="1"/>
  <c r="J6" i="6"/>
  <c r="AI61" i="3"/>
  <c r="AJ61" i="3" s="1"/>
  <c r="AI343" i="3"/>
  <c r="AJ343" i="3" s="1"/>
  <c r="AI279" i="3"/>
  <c r="AJ279" i="3" s="1"/>
  <c r="AI195" i="3"/>
  <c r="AJ195" i="3" s="1"/>
  <c r="AI503" i="3"/>
  <c r="AJ503" i="3" s="1"/>
  <c r="AI82" i="3"/>
  <c r="AJ82" i="3" s="1"/>
  <c r="E9" i="6"/>
  <c r="I9" i="6" s="1"/>
  <c r="AI387" i="3"/>
  <c r="AJ387" i="3" s="1"/>
  <c r="AI87" i="3"/>
  <c r="AJ87" i="3" s="1"/>
  <c r="AI411" i="3"/>
  <c r="AJ411" i="3" s="1"/>
  <c r="AI403" i="3"/>
  <c r="AJ403" i="3" s="1"/>
  <c r="AI426" i="3"/>
  <c r="AJ426" i="3" s="1"/>
  <c r="AI401" i="3"/>
  <c r="AJ401" i="3" s="1"/>
  <c r="AI360" i="3"/>
  <c r="AJ360" i="3" s="1"/>
  <c r="AI383" i="3"/>
  <c r="AJ383" i="3" s="1"/>
  <c r="AI406" i="3"/>
  <c r="AJ406" i="3" s="1"/>
  <c r="AI429" i="3"/>
  <c r="AJ429" i="3" s="1"/>
  <c r="AI365" i="3"/>
  <c r="AJ365" i="3" s="1"/>
  <c r="AI388" i="3"/>
  <c r="AJ388" i="3" s="1"/>
  <c r="AI562" i="3"/>
  <c r="AJ562" i="3" s="1"/>
  <c r="AI614" i="3"/>
  <c r="AJ614" i="3" s="1"/>
  <c r="AI603" i="3"/>
  <c r="AJ603" i="3" s="1"/>
  <c r="AI590" i="3"/>
  <c r="AJ590" i="3" s="1"/>
  <c r="AI569" i="3"/>
  <c r="AJ569" i="3" s="1"/>
  <c r="AI545" i="3"/>
  <c r="AJ545" i="3" s="1"/>
  <c r="AI599" i="3"/>
  <c r="AJ599" i="3" s="1"/>
  <c r="AI535" i="3"/>
  <c r="AJ535" i="3" s="1"/>
  <c r="AI629" i="3"/>
  <c r="AJ629" i="3" s="1"/>
  <c r="AI572" i="3"/>
  <c r="AJ572" i="3" s="1"/>
  <c r="AI45" i="3"/>
  <c r="AJ45" i="3" s="1"/>
  <c r="AI513" i="3"/>
  <c r="AJ513" i="3" s="1"/>
  <c r="AI179" i="3"/>
  <c r="AJ179" i="3" s="1"/>
  <c r="AI136" i="3"/>
  <c r="AJ136" i="3" s="1"/>
  <c r="AI95" i="3"/>
  <c r="AJ95" i="3" s="1"/>
  <c r="AI118" i="3"/>
  <c r="AJ118" i="3" s="1"/>
  <c r="AI141" i="3"/>
  <c r="AJ141" i="3" s="1"/>
  <c r="AI172" i="3"/>
  <c r="AJ172" i="3" s="1"/>
  <c r="AI108" i="3"/>
  <c r="AJ108" i="3" s="1"/>
  <c r="E3" i="6"/>
  <c r="I3" i="6" s="1"/>
  <c r="AI435" i="3"/>
  <c r="AJ435" i="3" s="1"/>
  <c r="AI379" i="3"/>
  <c r="AJ379" i="3" s="1"/>
  <c r="AI393" i="3"/>
  <c r="AJ393" i="3" s="1"/>
  <c r="AI439" i="3"/>
  <c r="AJ439" i="3" s="1"/>
  <c r="AI375" i="3"/>
  <c r="AJ375" i="3" s="1"/>
  <c r="AI398" i="3"/>
  <c r="AJ398" i="3" s="1"/>
  <c r="AI421" i="3"/>
  <c r="AJ421" i="3" s="1"/>
  <c r="AI357" i="3"/>
  <c r="AJ357" i="3" s="1"/>
  <c r="AI604" i="3"/>
  <c r="AJ604" i="3" s="1"/>
  <c r="AI546" i="3"/>
  <c r="AJ546" i="3" s="1"/>
  <c r="AI18" i="3"/>
  <c r="AJ18" i="3" s="1"/>
  <c r="AI72" i="3"/>
  <c r="AJ72" i="3" s="1"/>
  <c r="AI484" i="3"/>
  <c r="AJ484" i="3" s="1"/>
  <c r="AI128" i="3"/>
  <c r="AJ128" i="3" s="1"/>
  <c r="AI151" i="3"/>
  <c r="AJ151" i="3" s="1"/>
  <c r="AI174" i="3"/>
  <c r="AJ174" i="3" s="1"/>
  <c r="AI110" i="3"/>
  <c r="AJ110" i="3" s="1"/>
  <c r="AI133" i="3"/>
  <c r="AJ133" i="3" s="1"/>
  <c r="AI164" i="3"/>
  <c r="AJ164" i="3" s="1"/>
  <c r="AI100" i="3"/>
  <c r="AJ100" i="3" s="1"/>
  <c r="E8" i="6"/>
  <c r="I8" i="6" s="1"/>
  <c r="AI413" i="3"/>
  <c r="AJ413" i="3" s="1"/>
  <c r="AI59" i="3"/>
  <c r="AJ59" i="3" s="1"/>
  <c r="AI323" i="3"/>
  <c r="AJ323" i="3" s="1"/>
  <c r="AI280" i="3"/>
  <c r="AJ280" i="3" s="1"/>
  <c r="AI311" i="3"/>
  <c r="AJ311" i="3" s="1"/>
  <c r="AI332" i="3"/>
  <c r="AJ332" i="3" s="1"/>
  <c r="AI233" i="3"/>
  <c r="AJ233" i="3" s="1"/>
  <c r="AI529" i="3"/>
  <c r="AJ529" i="3" s="1"/>
  <c r="AI448" i="3"/>
  <c r="AJ448" i="3" s="1"/>
  <c r="AI476" i="3"/>
  <c r="AJ476" i="3" s="1"/>
  <c r="AI130" i="3"/>
  <c r="AJ130" i="3" s="1"/>
  <c r="K10" i="6"/>
  <c r="E6" i="6"/>
  <c r="I6" i="6" s="1"/>
  <c r="AI615" i="3"/>
  <c r="AJ615" i="3" s="1"/>
  <c r="AI402" i="3"/>
  <c r="AJ402" i="3" s="1"/>
  <c r="AI626" i="3"/>
  <c r="AJ626" i="3" s="1"/>
  <c r="AI548" i="3"/>
  <c r="AJ548" i="3" s="1"/>
  <c r="AI54" i="3"/>
  <c r="AJ54" i="3" s="1"/>
  <c r="AI339" i="3"/>
  <c r="AJ339" i="3" s="1"/>
  <c r="AI298" i="3"/>
  <c r="AJ298" i="3" s="1"/>
  <c r="AI336" i="3"/>
  <c r="AJ336" i="3" s="1"/>
  <c r="AI334" i="3"/>
  <c r="AJ334" i="3" s="1"/>
  <c r="AI270" i="3"/>
  <c r="AJ270" i="3" s="1"/>
  <c r="AI293" i="3"/>
  <c r="AJ293" i="3" s="1"/>
  <c r="AI211" i="3"/>
  <c r="AJ211" i="3" s="1"/>
  <c r="AI225" i="3"/>
  <c r="AJ225" i="3" s="1"/>
  <c r="AI255" i="3"/>
  <c r="AJ255" i="3" s="1"/>
  <c r="AI191" i="3"/>
  <c r="AJ191" i="3" s="1"/>
  <c r="AI214" i="3"/>
  <c r="AJ214" i="3" s="1"/>
  <c r="AI506" i="3"/>
  <c r="AJ506" i="3" s="1"/>
  <c r="AI499" i="3"/>
  <c r="AJ499" i="3" s="1"/>
  <c r="AI527" i="3"/>
  <c r="AJ527" i="3" s="1"/>
  <c r="AI509" i="3"/>
  <c r="AJ509" i="3" s="1"/>
  <c r="AI445" i="3"/>
  <c r="AJ445" i="3" s="1"/>
  <c r="J8" i="6"/>
  <c r="AI617" i="3"/>
  <c r="AJ617" i="3" s="1"/>
  <c r="AI83" i="3"/>
  <c r="AJ83" i="3" s="1"/>
  <c r="AI74" i="3"/>
  <c r="AJ74" i="3" s="1"/>
  <c r="AI49" i="3"/>
  <c r="AJ49" i="3" s="1"/>
  <c r="AI84" i="3"/>
  <c r="AJ84" i="3" s="1"/>
  <c r="AI354" i="3"/>
  <c r="AJ354" i="3" s="1"/>
  <c r="AI259" i="3"/>
  <c r="AJ259" i="3" s="1"/>
  <c r="AI226" i="3"/>
  <c r="AJ226" i="3" s="1"/>
  <c r="G8" i="6"/>
  <c r="K8" i="6" s="1"/>
  <c r="G3" i="6"/>
  <c r="K3" i="6" s="1"/>
  <c r="K4" i="6"/>
  <c r="AI170" i="3"/>
  <c r="AJ170" i="3" s="1"/>
  <c r="AI199" i="3"/>
  <c r="AJ199" i="3" s="1"/>
  <c r="AI467" i="3"/>
  <c r="AJ467" i="3" s="1"/>
  <c r="AI177" i="3"/>
  <c r="AJ177" i="3" s="1"/>
  <c r="AI113" i="3"/>
  <c r="AJ113" i="3" s="1"/>
  <c r="AI159" i="3"/>
  <c r="AJ159" i="3" s="1"/>
  <c r="AI8" i="3"/>
  <c r="AJ8" i="3" s="1"/>
  <c r="AI204" i="3"/>
  <c r="AJ204" i="3" s="1"/>
  <c r="AI46" i="3"/>
  <c r="AJ46" i="3" s="1"/>
  <c r="AI12" i="3"/>
  <c r="AJ12" i="3" s="1"/>
  <c r="AI305" i="3"/>
  <c r="AJ305" i="3" s="1"/>
  <c r="AI240" i="3"/>
  <c r="AJ240" i="3" s="1"/>
  <c r="AI237" i="3"/>
  <c r="AJ237" i="3" s="1"/>
  <c r="AI260" i="3"/>
  <c r="AJ260" i="3" s="1"/>
  <c r="AI196" i="3"/>
  <c r="AJ196" i="3" s="1"/>
  <c r="AI486" i="3"/>
  <c r="AJ486" i="3" s="1"/>
  <c r="AI468" i="3"/>
  <c r="AJ468" i="3" s="1"/>
  <c r="AI169" i="3"/>
  <c r="AJ169" i="3" s="1"/>
  <c r="AI105" i="3"/>
  <c r="AJ105" i="3" s="1"/>
  <c r="AI416" i="3"/>
  <c r="AJ416" i="3" s="1"/>
  <c r="AI570" i="3"/>
  <c r="AJ570" i="3" s="1"/>
  <c r="AI621" i="3"/>
  <c r="AJ621" i="3" s="1"/>
  <c r="AI303" i="3"/>
  <c r="AJ303" i="3" s="1"/>
  <c r="AI410" i="3"/>
  <c r="AJ410" i="3" s="1"/>
  <c r="AI362" i="3"/>
  <c r="AJ362" i="3" s="1"/>
  <c r="AI385" i="3"/>
  <c r="AJ385" i="3" s="1"/>
  <c r="AI390" i="3"/>
  <c r="AJ390" i="3" s="1"/>
  <c r="AI372" i="3"/>
  <c r="AJ372" i="3" s="1"/>
  <c r="AI625" i="3"/>
  <c r="AJ625" i="3" s="1"/>
  <c r="AI547" i="3"/>
  <c r="AJ547" i="3" s="1"/>
  <c r="AI627" i="3"/>
  <c r="AJ627" i="3" s="1"/>
  <c r="AI583" i="3"/>
  <c r="AJ583" i="3" s="1"/>
  <c r="AI574" i="3"/>
  <c r="AJ574" i="3" s="1"/>
  <c r="AI613" i="3"/>
  <c r="AJ613" i="3" s="1"/>
  <c r="AI549" i="3"/>
  <c r="AJ549" i="3" s="1"/>
  <c r="AI556" i="3"/>
  <c r="AJ556" i="3" s="1"/>
  <c r="AI51" i="3"/>
  <c r="AJ51" i="3" s="1"/>
  <c r="AI56" i="3"/>
  <c r="AJ56" i="3" s="1"/>
  <c r="AI15" i="3"/>
  <c r="AJ15" i="3" s="1"/>
  <c r="AI68" i="3"/>
  <c r="AJ68" i="3" s="1"/>
  <c r="AI4" i="3"/>
  <c r="AJ4" i="3" s="1"/>
  <c r="AI307" i="3"/>
  <c r="AJ307" i="3" s="1"/>
  <c r="AI266" i="3"/>
  <c r="AJ266" i="3" s="1"/>
  <c r="AI297" i="3"/>
  <c r="AJ297" i="3" s="1"/>
  <c r="AI264" i="3"/>
  <c r="AJ264" i="3" s="1"/>
  <c r="AI326" i="3"/>
  <c r="AJ326" i="3" s="1"/>
  <c r="AI349" i="3"/>
  <c r="AJ349" i="3" s="1"/>
  <c r="AI285" i="3"/>
  <c r="AJ285" i="3" s="1"/>
  <c r="AI316" i="3"/>
  <c r="AJ316" i="3" s="1"/>
  <c r="AI217" i="3"/>
  <c r="AJ217" i="3" s="1"/>
  <c r="AI232" i="3"/>
  <c r="AJ232" i="3" s="1"/>
  <c r="AI247" i="3"/>
  <c r="AJ247" i="3" s="1"/>
  <c r="AI183" i="3"/>
  <c r="AJ183" i="3" s="1"/>
  <c r="AI206" i="3"/>
  <c r="AJ206" i="3" s="1"/>
  <c r="AI229" i="3"/>
  <c r="AJ229" i="3" s="1"/>
  <c r="AI252" i="3"/>
  <c r="AJ252" i="3" s="1"/>
  <c r="AI188" i="3"/>
  <c r="AJ188" i="3" s="1"/>
  <c r="AI514" i="3"/>
  <c r="AJ514" i="3" s="1"/>
  <c r="AI483" i="3"/>
  <c r="AJ483" i="3" s="1"/>
  <c r="AI481" i="3"/>
  <c r="AJ481" i="3" s="1"/>
  <c r="AI496" i="3"/>
  <c r="AJ496" i="3" s="1"/>
  <c r="AI519" i="3"/>
  <c r="AJ519" i="3" s="1"/>
  <c r="AI455" i="3"/>
  <c r="AJ455" i="3" s="1"/>
  <c r="AI478" i="3"/>
  <c r="AJ478" i="3" s="1"/>
  <c r="AI501" i="3"/>
  <c r="AJ501" i="3" s="1"/>
  <c r="AI524" i="3"/>
  <c r="AJ524" i="3" s="1"/>
  <c r="AI154" i="3"/>
  <c r="AJ154" i="3" s="1"/>
  <c r="AI161" i="3"/>
  <c r="AJ161" i="3" s="1"/>
  <c r="AI97" i="3"/>
  <c r="AJ97" i="3" s="1"/>
  <c r="AI120" i="3"/>
  <c r="AJ120" i="3" s="1"/>
  <c r="AI143" i="3"/>
  <c r="AJ143" i="3" s="1"/>
  <c r="AI166" i="3"/>
  <c r="AJ166" i="3" s="1"/>
  <c r="AI102" i="3"/>
  <c r="AJ102" i="3" s="1"/>
  <c r="AI125" i="3"/>
  <c r="AJ125" i="3" s="1"/>
  <c r="AI156" i="3"/>
  <c r="AJ156" i="3" s="1"/>
  <c r="AI92" i="3"/>
  <c r="AJ92" i="3" s="1"/>
  <c r="AI557" i="3"/>
  <c r="AJ557" i="3" s="1"/>
  <c r="AI378" i="3"/>
  <c r="AJ378" i="3" s="1"/>
  <c r="AI441" i="3"/>
  <c r="AJ441" i="3" s="1"/>
  <c r="AI377" i="3"/>
  <c r="AJ377" i="3" s="1"/>
  <c r="AI400" i="3"/>
  <c r="AJ400" i="3" s="1"/>
  <c r="AI423" i="3"/>
  <c r="AJ423" i="3" s="1"/>
  <c r="AI382" i="3"/>
  <c r="AJ382" i="3" s="1"/>
  <c r="AI405" i="3"/>
  <c r="AJ405" i="3" s="1"/>
  <c r="AI364" i="3"/>
  <c r="AJ364" i="3" s="1"/>
  <c r="AI616" i="3"/>
  <c r="AJ616" i="3" s="1"/>
  <c r="AI578" i="3"/>
  <c r="AJ578" i="3" s="1"/>
  <c r="AI577" i="3"/>
  <c r="AJ577" i="3" s="1"/>
  <c r="AI553" i="3"/>
  <c r="AJ553" i="3" s="1"/>
  <c r="AI628" i="3"/>
  <c r="AJ628" i="3" s="1"/>
  <c r="AI568" i="3"/>
  <c r="AJ568" i="3" s="1"/>
  <c r="AI605" i="3"/>
  <c r="AJ605" i="3" s="1"/>
  <c r="AI541" i="3"/>
  <c r="AJ541" i="3" s="1"/>
  <c r="AI75" i="3"/>
  <c r="AJ75" i="3" s="1"/>
  <c r="AI89" i="3"/>
  <c r="AJ89" i="3" s="1"/>
  <c r="AI48" i="3"/>
  <c r="AJ48" i="3" s="1"/>
  <c r="AI71" i="3"/>
  <c r="AJ71" i="3" s="1"/>
  <c r="AI7" i="3"/>
  <c r="AJ7" i="3" s="1"/>
  <c r="AI60" i="3"/>
  <c r="AJ60" i="3" s="1"/>
  <c r="AI3" i="3"/>
  <c r="AJ3" i="3" s="1"/>
  <c r="AI322" i="3"/>
  <c r="AJ322" i="3" s="1"/>
  <c r="AI275" i="3"/>
  <c r="AJ275" i="3" s="1"/>
  <c r="AI353" i="3"/>
  <c r="AJ353" i="3" s="1"/>
  <c r="AI289" i="3"/>
  <c r="AJ289" i="3" s="1"/>
  <c r="AI320" i="3"/>
  <c r="AJ320" i="3" s="1"/>
  <c r="AI351" i="3"/>
  <c r="AJ351" i="3" s="1"/>
  <c r="AI287" i="3"/>
  <c r="AJ287" i="3" s="1"/>
  <c r="AI318" i="3"/>
  <c r="AJ318" i="3" s="1"/>
  <c r="AI341" i="3"/>
  <c r="AJ341" i="3" s="1"/>
  <c r="AI277" i="3"/>
  <c r="AJ277" i="3" s="1"/>
  <c r="AI308" i="3"/>
  <c r="AJ308" i="3" s="1"/>
  <c r="AI227" i="3"/>
  <c r="AJ227" i="3" s="1"/>
  <c r="AI194" i="3"/>
  <c r="AJ194" i="3" s="1"/>
  <c r="AI234" i="3"/>
  <c r="AJ234" i="3" s="1"/>
  <c r="AI209" i="3"/>
  <c r="AJ209" i="3" s="1"/>
  <c r="AI239" i="3"/>
  <c r="AJ239" i="3" s="1"/>
  <c r="AI262" i="3"/>
  <c r="AJ262" i="3" s="1"/>
  <c r="AI198" i="3"/>
  <c r="AJ198" i="3" s="1"/>
  <c r="AI221" i="3"/>
  <c r="AJ221" i="3" s="1"/>
  <c r="AI244" i="3"/>
  <c r="AJ244" i="3" s="1"/>
  <c r="AI498" i="3"/>
  <c r="AJ498" i="3" s="1"/>
  <c r="AI491" i="3"/>
  <c r="AJ491" i="3" s="1"/>
  <c r="AI465" i="3"/>
  <c r="AJ465" i="3" s="1"/>
  <c r="AI458" i="3"/>
  <c r="AJ458" i="3" s="1"/>
  <c r="AI488" i="3"/>
  <c r="AJ488" i="3" s="1"/>
  <c r="AI447" i="3"/>
  <c r="AJ447" i="3" s="1"/>
  <c r="AI470" i="3"/>
  <c r="AJ470" i="3" s="1"/>
  <c r="AI493" i="3"/>
  <c r="AJ493" i="3" s="1"/>
  <c r="AI516" i="3"/>
  <c r="AJ516" i="3" s="1"/>
  <c r="AI122" i="3"/>
  <c r="AJ122" i="3" s="1"/>
  <c r="AI153" i="3"/>
  <c r="AJ153" i="3" s="1"/>
  <c r="AI176" i="3"/>
  <c r="AJ176" i="3" s="1"/>
  <c r="AI112" i="3"/>
  <c r="AJ112" i="3" s="1"/>
  <c r="AI135" i="3"/>
  <c r="AJ135" i="3" s="1"/>
  <c r="AI158" i="3"/>
  <c r="AJ158" i="3" s="1"/>
  <c r="AI94" i="3"/>
  <c r="AJ94" i="3" s="1"/>
  <c r="AI117" i="3"/>
  <c r="AJ117" i="3" s="1"/>
  <c r="AI148" i="3"/>
  <c r="AJ148" i="3" s="1"/>
  <c r="E10" i="6"/>
  <c r="I10" i="6" s="1"/>
  <c r="AI184" i="3"/>
  <c r="AJ184" i="3" s="1"/>
  <c r="AI433" i="3"/>
  <c r="AJ433" i="3" s="1"/>
  <c r="AI369" i="3"/>
  <c r="AJ369" i="3" s="1"/>
  <c r="AI374" i="3"/>
  <c r="AJ374" i="3" s="1"/>
  <c r="AI397" i="3"/>
  <c r="AJ397" i="3" s="1"/>
  <c r="AI420" i="3"/>
  <c r="AJ420" i="3" s="1"/>
  <c r="AI554" i="3"/>
  <c r="AJ554" i="3" s="1"/>
  <c r="AI619" i="3"/>
  <c r="AJ619" i="3" s="1"/>
  <c r="AI560" i="3"/>
  <c r="AJ560" i="3" s="1"/>
  <c r="AI567" i="3"/>
  <c r="AJ567" i="3" s="1"/>
  <c r="AI558" i="3"/>
  <c r="AJ558" i="3" s="1"/>
  <c r="AI597" i="3"/>
  <c r="AJ597" i="3" s="1"/>
  <c r="AI533" i="3"/>
  <c r="AJ533" i="3" s="1"/>
  <c r="AI43" i="3"/>
  <c r="AJ43" i="3" s="1"/>
  <c r="AI81" i="3"/>
  <c r="AJ81" i="3" s="1"/>
  <c r="AI63" i="3"/>
  <c r="AJ63" i="3" s="1"/>
  <c r="AI86" i="3"/>
  <c r="AJ86" i="3" s="1"/>
  <c r="AI52" i="3"/>
  <c r="AJ52" i="3" s="1"/>
  <c r="AI2" i="3"/>
  <c r="AJ2" i="3" s="1"/>
  <c r="AI314" i="3"/>
  <c r="AJ314" i="3" s="1"/>
  <c r="AI299" i="3"/>
  <c r="AJ299" i="3" s="1"/>
  <c r="AI345" i="3"/>
  <c r="AJ345" i="3" s="1"/>
  <c r="AI281" i="3"/>
  <c r="AJ281" i="3" s="1"/>
  <c r="AI310" i="3"/>
  <c r="AJ310" i="3" s="1"/>
  <c r="AI333" i="3"/>
  <c r="AJ333" i="3" s="1"/>
  <c r="AI269" i="3"/>
  <c r="AJ269" i="3" s="1"/>
  <c r="AI300" i="3"/>
  <c r="AJ300" i="3" s="1"/>
  <c r="AI202" i="3"/>
  <c r="AJ202" i="3" s="1"/>
  <c r="AI201" i="3"/>
  <c r="AJ201" i="3" s="1"/>
  <c r="AI216" i="3"/>
  <c r="AJ216" i="3" s="1"/>
  <c r="AI231" i="3"/>
  <c r="AJ231" i="3" s="1"/>
  <c r="AI254" i="3"/>
  <c r="AJ254" i="3" s="1"/>
  <c r="AI190" i="3"/>
  <c r="AJ190" i="3" s="1"/>
  <c r="AI213" i="3"/>
  <c r="AJ213" i="3" s="1"/>
  <c r="AI236" i="3"/>
  <c r="AJ236" i="3" s="1"/>
  <c r="AI475" i="3"/>
  <c r="AJ475" i="3" s="1"/>
  <c r="AI523" i="3"/>
  <c r="AJ523" i="3" s="1"/>
  <c r="AI457" i="3"/>
  <c r="AJ457" i="3" s="1"/>
  <c r="AI480" i="3"/>
  <c r="AJ480" i="3" s="1"/>
  <c r="AI526" i="3"/>
  <c r="AJ526" i="3" s="1"/>
  <c r="AI485" i="3"/>
  <c r="AJ485" i="3" s="1"/>
  <c r="AI508" i="3"/>
  <c r="AJ508" i="3" s="1"/>
  <c r="AI444" i="3"/>
  <c r="AJ444" i="3" s="1"/>
  <c r="AI131" i="3"/>
  <c r="AJ131" i="3" s="1"/>
  <c r="AI145" i="3"/>
  <c r="AJ145" i="3" s="1"/>
  <c r="AI168" i="3"/>
  <c r="AJ168" i="3" s="1"/>
  <c r="AI104" i="3"/>
  <c r="AJ104" i="3" s="1"/>
  <c r="AI127" i="3"/>
  <c r="AJ127" i="3" s="1"/>
  <c r="AI150" i="3"/>
  <c r="AJ150" i="3" s="1"/>
  <c r="AI173" i="3"/>
  <c r="AJ173" i="3" s="1"/>
  <c r="AI109" i="3"/>
  <c r="AJ109" i="3" s="1"/>
  <c r="AI140" i="3"/>
  <c r="AJ140" i="3" s="1"/>
  <c r="AI565" i="3"/>
  <c r="AJ565" i="3" s="1"/>
  <c r="AI427" i="3"/>
  <c r="AJ427" i="3" s="1"/>
  <c r="AI361" i="3"/>
  <c r="AJ361" i="3" s="1"/>
  <c r="AI366" i="3"/>
  <c r="AJ366" i="3" s="1"/>
  <c r="AI389" i="3"/>
  <c r="AJ389" i="3" s="1"/>
  <c r="AI412" i="3"/>
  <c r="AJ412" i="3" s="1"/>
  <c r="AI633" i="3"/>
  <c r="AJ633" i="3" s="1"/>
  <c r="AI595" i="3"/>
  <c r="AJ595" i="3" s="1"/>
  <c r="AI620" i="3"/>
  <c r="AJ620" i="3" s="1"/>
  <c r="AI552" i="3"/>
  <c r="AJ552" i="3" s="1"/>
  <c r="AI589" i="3"/>
  <c r="AJ589" i="3" s="1"/>
  <c r="AI596" i="3"/>
  <c r="AJ596" i="3" s="1"/>
  <c r="AI532" i="3"/>
  <c r="AJ532" i="3" s="1"/>
  <c r="AI58" i="3"/>
  <c r="AJ58" i="3" s="1"/>
  <c r="AI11" i="3"/>
  <c r="AJ11" i="3" s="1"/>
  <c r="AI73" i="3"/>
  <c r="AJ73" i="3" s="1"/>
  <c r="AI9" i="3"/>
  <c r="AJ9" i="3" s="1"/>
  <c r="AI55" i="3"/>
  <c r="AJ55" i="3" s="1"/>
  <c r="AI78" i="3"/>
  <c r="AJ78" i="3" s="1"/>
  <c r="AI85" i="3"/>
  <c r="AJ85" i="3" s="1"/>
  <c r="AI44" i="3"/>
  <c r="AJ44" i="3" s="1"/>
  <c r="G2" i="6"/>
  <c r="K2" i="6" s="1"/>
  <c r="AI347" i="3"/>
  <c r="AJ347" i="3" s="1"/>
  <c r="AI337" i="3"/>
  <c r="AJ337" i="3" s="1"/>
  <c r="AI273" i="3"/>
  <c r="AJ273" i="3" s="1"/>
  <c r="AI304" i="3"/>
  <c r="AJ304" i="3" s="1"/>
  <c r="AI335" i="3"/>
  <c r="AJ335" i="3" s="1"/>
  <c r="AI302" i="3"/>
  <c r="AJ302" i="3" s="1"/>
  <c r="AI325" i="3"/>
  <c r="AJ325" i="3" s="1"/>
  <c r="AI257" i="3"/>
  <c r="AJ257" i="3" s="1"/>
  <c r="AI193" i="3"/>
  <c r="AJ193" i="3" s="1"/>
  <c r="AI208" i="3"/>
  <c r="AJ208" i="3" s="1"/>
  <c r="AI246" i="3"/>
  <c r="AJ246" i="3" s="1"/>
  <c r="AI182" i="3"/>
  <c r="AJ182" i="3" s="1"/>
  <c r="AI205" i="3"/>
  <c r="AJ205" i="3" s="1"/>
  <c r="AI228" i="3"/>
  <c r="AJ228" i="3" s="1"/>
  <c r="AI443" i="3"/>
  <c r="AJ443" i="3" s="1"/>
  <c r="AI507" i="3"/>
  <c r="AJ507" i="3" s="1"/>
  <c r="AI505" i="3"/>
  <c r="AJ505" i="3" s="1"/>
  <c r="AI449" i="3"/>
  <c r="AJ449" i="3" s="1"/>
  <c r="AI495" i="3"/>
  <c r="AJ495" i="3" s="1"/>
  <c r="AI518" i="3"/>
  <c r="AJ518" i="3" s="1"/>
  <c r="AI454" i="3"/>
  <c r="AJ454" i="3" s="1"/>
  <c r="AI477" i="3"/>
  <c r="AJ477" i="3" s="1"/>
  <c r="AI500" i="3"/>
  <c r="AJ500" i="3" s="1"/>
  <c r="AI123" i="3"/>
  <c r="AJ123" i="3" s="1"/>
  <c r="AI137" i="3"/>
  <c r="AJ137" i="3" s="1"/>
  <c r="AI160" i="3"/>
  <c r="AJ160" i="3" s="1"/>
  <c r="AI96" i="3"/>
  <c r="AJ96" i="3" s="1"/>
  <c r="AI119" i="3"/>
  <c r="AJ119" i="3" s="1"/>
  <c r="AI142" i="3"/>
  <c r="AJ142" i="3" s="1"/>
  <c r="AI165" i="3"/>
  <c r="AJ165" i="3" s="1"/>
  <c r="AI101" i="3"/>
  <c r="AJ101" i="3" s="1"/>
  <c r="AI132" i="3"/>
  <c r="AJ132" i="3" s="1"/>
  <c r="AI395" i="3"/>
  <c r="AJ395" i="3" s="1"/>
  <c r="AI417" i="3"/>
  <c r="AJ417" i="3" s="1"/>
  <c r="AI376" i="3"/>
  <c r="AJ376" i="3" s="1"/>
  <c r="AI399" i="3"/>
  <c r="AJ399" i="3" s="1"/>
  <c r="AI422" i="3"/>
  <c r="AJ422" i="3" s="1"/>
  <c r="AI358" i="3"/>
  <c r="AJ358" i="3" s="1"/>
  <c r="AI381" i="3"/>
  <c r="AJ381" i="3" s="1"/>
  <c r="AI579" i="3"/>
  <c r="AJ579" i="3" s="1"/>
  <c r="AI622" i="3"/>
  <c r="AJ622" i="3" s="1"/>
  <c r="AI611" i="3"/>
  <c r="AJ611" i="3" s="1"/>
  <c r="AI544" i="3"/>
  <c r="AJ544" i="3" s="1"/>
  <c r="AI551" i="3"/>
  <c r="AJ551" i="3" s="1"/>
  <c r="AI542" i="3"/>
  <c r="AJ542" i="3" s="1"/>
  <c r="AI581" i="3"/>
  <c r="AJ581" i="3" s="1"/>
  <c r="AI588" i="3"/>
  <c r="AJ588" i="3" s="1"/>
  <c r="AI65" i="3"/>
  <c r="AJ65" i="3" s="1"/>
  <c r="AI88" i="3"/>
  <c r="AJ88" i="3" s="1"/>
  <c r="AI70" i="3"/>
  <c r="AJ70" i="3" s="1"/>
  <c r="AI6" i="3"/>
  <c r="AJ6" i="3" s="1"/>
  <c r="AI77" i="3"/>
  <c r="AJ77" i="3" s="1"/>
  <c r="AI13" i="3"/>
  <c r="AJ13" i="3" s="1"/>
  <c r="AI315" i="3"/>
  <c r="AJ315" i="3" s="1"/>
  <c r="AI329" i="3"/>
  <c r="AJ329" i="3" s="1"/>
  <c r="AI265" i="3"/>
  <c r="AJ265" i="3" s="1"/>
  <c r="AI296" i="3"/>
  <c r="AJ296" i="3" s="1"/>
  <c r="AI263" i="3"/>
  <c r="AJ263" i="3" s="1"/>
  <c r="AI294" i="3"/>
  <c r="AJ294" i="3" s="1"/>
  <c r="AI317" i="3"/>
  <c r="AJ317" i="3" s="1"/>
  <c r="AI348" i="3"/>
  <c r="AJ348" i="3" s="1"/>
  <c r="AI284" i="3"/>
  <c r="AJ284" i="3" s="1"/>
  <c r="AI249" i="3"/>
  <c r="AJ249" i="3" s="1"/>
  <c r="AI185" i="3"/>
  <c r="AJ185" i="3" s="1"/>
  <c r="AI200" i="3"/>
  <c r="AJ200" i="3" s="1"/>
  <c r="AI215" i="3"/>
  <c r="AJ215" i="3" s="1"/>
  <c r="AI238" i="3"/>
  <c r="AJ238" i="3" s="1"/>
  <c r="AI261" i="3"/>
  <c r="AJ261" i="3" s="1"/>
  <c r="AI197" i="3"/>
  <c r="AJ197" i="3" s="1"/>
  <c r="AI220" i="3"/>
  <c r="AJ220" i="3" s="1"/>
  <c r="AI515" i="3"/>
  <c r="AJ515" i="3" s="1"/>
  <c r="AI489" i="3"/>
  <c r="AJ489" i="3" s="1"/>
  <c r="AI482" i="3"/>
  <c r="AJ482" i="3" s="1"/>
  <c r="AI528" i="3"/>
  <c r="AJ528" i="3" s="1"/>
  <c r="AI464" i="3"/>
  <c r="AJ464" i="3" s="1"/>
  <c r="AI487" i="3"/>
  <c r="AJ487" i="3" s="1"/>
  <c r="AI510" i="3"/>
  <c r="AJ510" i="3" s="1"/>
  <c r="AI446" i="3"/>
  <c r="AJ446" i="3" s="1"/>
  <c r="AI469" i="3"/>
  <c r="AJ469" i="3" s="1"/>
  <c r="AI171" i="3"/>
  <c r="AJ171" i="3" s="1"/>
  <c r="AI138" i="3"/>
  <c r="AJ138" i="3" s="1"/>
  <c r="AI129" i="3"/>
  <c r="AJ129" i="3" s="1"/>
  <c r="AI152" i="3"/>
  <c r="AJ152" i="3" s="1"/>
  <c r="AI175" i="3"/>
  <c r="AJ175" i="3" s="1"/>
  <c r="AI111" i="3"/>
  <c r="AJ111" i="3" s="1"/>
  <c r="AI134" i="3"/>
  <c r="AJ134" i="3" s="1"/>
  <c r="AI157" i="3"/>
  <c r="AJ157" i="3" s="1"/>
  <c r="AI93" i="3"/>
  <c r="AJ93" i="3" s="1"/>
  <c r="AI124" i="3"/>
  <c r="AJ124" i="3" s="1"/>
  <c r="J9" i="6"/>
  <c r="AI313" i="3"/>
  <c r="AJ313" i="3" s="1"/>
  <c r="AI386" i="3"/>
  <c r="AJ386" i="3" s="1"/>
  <c r="AI409" i="3"/>
  <c r="AJ409" i="3" s="1"/>
  <c r="AI432" i="3"/>
  <c r="AJ432" i="3" s="1"/>
  <c r="AI368" i="3"/>
  <c r="AJ368" i="3" s="1"/>
  <c r="AI437" i="3"/>
  <c r="AJ437" i="3" s="1"/>
  <c r="AI373" i="3"/>
  <c r="AJ373" i="3" s="1"/>
  <c r="AI561" i="3"/>
  <c r="AJ561" i="3" s="1"/>
  <c r="AI612" i="3"/>
  <c r="AJ612" i="3" s="1"/>
  <c r="AI587" i="3"/>
  <c r="AJ587" i="3" s="1"/>
  <c r="AI543" i="3"/>
  <c r="AJ543" i="3" s="1"/>
  <c r="AI534" i="3"/>
  <c r="AJ534" i="3" s="1"/>
  <c r="AI573" i="3"/>
  <c r="AJ573" i="3" s="1"/>
  <c r="AI580" i="3"/>
  <c r="AJ580" i="3" s="1"/>
  <c r="AI66" i="3"/>
  <c r="AJ66" i="3" s="1"/>
  <c r="AI50" i="3"/>
  <c r="AJ50" i="3" s="1"/>
  <c r="AI57" i="3"/>
  <c r="AJ57" i="3" s="1"/>
  <c r="AI80" i="3"/>
  <c r="AJ80" i="3" s="1"/>
  <c r="AI16" i="3"/>
  <c r="AJ16" i="3" s="1"/>
  <c r="AI62" i="3"/>
  <c r="AJ62" i="3" s="1"/>
  <c r="AI69" i="3"/>
  <c r="AJ69" i="3" s="1"/>
  <c r="AI5" i="3"/>
  <c r="AJ5" i="3" s="1"/>
  <c r="AI283" i="3"/>
  <c r="AJ283" i="3" s="1"/>
  <c r="AI321" i="3"/>
  <c r="AJ321" i="3" s="1"/>
  <c r="AI352" i="3"/>
  <c r="AJ352" i="3" s="1"/>
  <c r="AI288" i="3"/>
  <c r="AJ288" i="3" s="1"/>
  <c r="AI319" i="3"/>
  <c r="AJ319" i="3" s="1"/>
  <c r="AI350" i="3"/>
  <c r="AJ350" i="3" s="1"/>
  <c r="AI286" i="3"/>
  <c r="AJ286" i="3" s="1"/>
  <c r="AI309" i="3"/>
  <c r="AJ309" i="3" s="1"/>
  <c r="AI276" i="3"/>
  <c r="AJ276" i="3" s="1"/>
  <c r="AI235" i="3"/>
  <c r="AJ235" i="3" s="1"/>
  <c r="AI241" i="3"/>
  <c r="AJ241" i="3" s="1"/>
  <c r="AI192" i="3"/>
  <c r="AJ192" i="3" s="1"/>
  <c r="AI207" i="3"/>
  <c r="AJ207" i="3" s="1"/>
  <c r="AI230" i="3"/>
  <c r="AJ230" i="3" s="1"/>
  <c r="AI253" i="3"/>
  <c r="AJ253" i="3" s="1"/>
  <c r="AI189" i="3"/>
  <c r="AJ189" i="3" s="1"/>
  <c r="AI212" i="3"/>
  <c r="AJ212" i="3" s="1"/>
  <c r="AI497" i="3"/>
  <c r="AJ497" i="3" s="1"/>
  <c r="AI490" i="3"/>
  <c r="AJ490" i="3" s="1"/>
  <c r="AI466" i="3"/>
  <c r="AJ466" i="3" s="1"/>
  <c r="AI459" i="3"/>
  <c r="AJ459" i="3" s="1"/>
  <c r="AI456" i="3"/>
  <c r="AJ456" i="3" s="1"/>
  <c r="AI479" i="3"/>
  <c r="AJ479" i="3" s="1"/>
  <c r="AI525" i="3"/>
  <c r="AJ525" i="3" s="1"/>
  <c r="AI461" i="3"/>
  <c r="AJ461" i="3" s="1"/>
  <c r="AI178" i="3"/>
  <c r="AJ178" i="3" s="1"/>
  <c r="AI139" i="3"/>
  <c r="AJ139" i="3" s="1"/>
  <c r="AI106" i="3"/>
  <c r="AJ106" i="3" s="1"/>
  <c r="AI121" i="3"/>
  <c r="AJ121" i="3" s="1"/>
  <c r="AI144" i="3"/>
  <c r="AJ144" i="3" s="1"/>
  <c r="AI167" i="3"/>
  <c r="AJ167" i="3" s="1"/>
  <c r="AI103" i="3"/>
  <c r="AJ103" i="3" s="1"/>
  <c r="AI126" i="3"/>
  <c r="AJ126" i="3" s="1"/>
  <c r="AI149" i="3"/>
  <c r="AJ149" i="3" s="1"/>
  <c r="AI180" i="3"/>
  <c r="AJ180" i="3" s="1"/>
  <c r="AI116" i="3"/>
  <c r="AJ116" i="3" s="1"/>
  <c r="G9" i="6"/>
  <c r="K9" i="6" s="1"/>
  <c r="D15" i="3"/>
  <c r="E15" i="3" s="1"/>
  <c r="D628" i="3"/>
  <c r="E628" i="3" s="1"/>
  <c r="D480" i="3"/>
  <c r="E480" i="3" s="1"/>
  <c r="D44" i="3"/>
  <c r="E44" i="3" s="1"/>
  <c r="D299" i="3"/>
  <c r="E299" i="3" s="1"/>
  <c r="D329" i="3"/>
  <c r="E329" i="3" s="1"/>
  <c r="D326" i="3"/>
  <c r="E326" i="3" s="1"/>
  <c r="D285" i="3"/>
  <c r="E285" i="3" s="1"/>
  <c r="D630" i="3"/>
  <c r="E630" i="3" s="1"/>
  <c r="D372" i="3"/>
  <c r="E372" i="3" s="1"/>
  <c r="D7" i="3"/>
  <c r="E7" i="3" s="1"/>
  <c r="D268" i="3"/>
  <c r="E268" i="3" s="1"/>
  <c r="D473" i="3"/>
  <c r="E473" i="3" s="1"/>
  <c r="D622" i="3"/>
  <c r="E622" i="3" s="1"/>
  <c r="D273" i="3"/>
  <c r="E273" i="3" s="1"/>
  <c r="D257" i="3"/>
  <c r="E257" i="3" s="1"/>
  <c r="D385" i="3"/>
  <c r="E385" i="3" s="1"/>
  <c r="D255" i="3"/>
  <c r="E255" i="3" s="1"/>
  <c r="D49" i="3"/>
  <c r="E49" i="3" s="1"/>
  <c r="D231" i="3"/>
  <c r="E231" i="3" s="1"/>
  <c r="D548" i="3"/>
  <c r="E548" i="3" s="1"/>
  <c r="D619" i="3"/>
  <c r="E619" i="3" s="1"/>
  <c r="D629" i="3"/>
  <c r="E629" i="3" s="1"/>
  <c r="D221" i="3"/>
  <c r="E221" i="3" s="1"/>
  <c r="D608" i="3"/>
  <c r="E608" i="3" s="1"/>
  <c r="D605" i="3"/>
  <c r="E605" i="3" s="1"/>
  <c r="D378" i="3"/>
  <c r="E378" i="3" s="1"/>
  <c r="D262" i="3"/>
  <c r="E262" i="3" s="1"/>
  <c r="D604" i="3"/>
  <c r="E604" i="3" s="1"/>
  <c r="D330" i="3"/>
  <c r="E330" i="3" s="1"/>
  <c r="D432" i="3"/>
  <c r="E432" i="3" s="1"/>
  <c r="D386" i="3"/>
  <c r="E386" i="3" s="1"/>
  <c r="D272" i="3"/>
  <c r="E272" i="3" s="1"/>
  <c r="D460" i="3"/>
  <c r="E460" i="3" s="1"/>
  <c r="D300" i="3"/>
  <c r="E300" i="3" s="1"/>
  <c r="D392" i="3"/>
  <c r="E392" i="3" s="1"/>
  <c r="D382" i="3"/>
  <c r="E382" i="3" s="1"/>
  <c r="D159" i="3"/>
  <c r="E159" i="3" s="1"/>
  <c r="D229" i="3"/>
  <c r="E229" i="3" s="1"/>
  <c r="D179" i="3"/>
  <c r="E179" i="3" s="1"/>
  <c r="D46" i="3"/>
  <c r="E46" i="3" s="1"/>
  <c r="D380" i="3"/>
  <c r="E380" i="3" s="1"/>
  <c r="D577" i="3"/>
  <c r="E577" i="3" s="1"/>
  <c r="D265" i="3"/>
  <c r="E265" i="3" s="1"/>
  <c r="D415" i="3"/>
  <c r="E415" i="3" s="1"/>
  <c r="D342" i="3"/>
  <c r="E342" i="3" s="1"/>
  <c r="D93" i="3"/>
  <c r="E93" i="3" s="1"/>
  <c r="C14" i="6"/>
  <c r="D350" i="3"/>
  <c r="E350" i="3" s="1"/>
  <c r="D453" i="3"/>
  <c r="E453" i="3" s="1"/>
  <c r="D258" i="3"/>
  <c r="E258" i="3" s="1"/>
  <c r="D587" i="3"/>
  <c r="E587" i="3" s="1"/>
  <c r="D367" i="3"/>
  <c r="E367" i="3" s="1"/>
  <c r="D461" i="3"/>
  <c r="E461" i="3" s="1"/>
  <c r="D598" i="3"/>
  <c r="E598" i="3" s="1"/>
  <c r="D408" i="3"/>
  <c r="E408" i="3" s="1"/>
  <c r="D169" i="3"/>
  <c r="E169" i="3" s="1"/>
  <c r="D411" i="3"/>
  <c r="E411" i="3" s="1"/>
  <c r="D12" i="3"/>
  <c r="E12" i="3" s="1"/>
  <c r="D256" i="3"/>
  <c r="E256" i="3" s="1"/>
  <c r="D430" i="3"/>
  <c r="E430" i="3" s="1"/>
  <c r="D530" i="3"/>
  <c r="E530" i="3" s="1"/>
  <c r="D543" i="3"/>
  <c r="E543" i="3" s="1"/>
  <c r="D43" i="3"/>
  <c r="E43" i="3" s="1"/>
  <c r="D53" i="3"/>
  <c r="E53" i="3" s="1"/>
  <c r="D319" i="3"/>
  <c r="E319" i="3" s="1"/>
  <c r="D419" i="3"/>
  <c r="E419" i="3" s="1"/>
  <c r="D116" i="3"/>
  <c r="E116" i="3" s="1"/>
  <c r="D454" i="3"/>
  <c r="E454" i="3" s="1"/>
  <c r="D83" i="3"/>
  <c r="E83" i="3" s="1"/>
  <c r="D571" i="3"/>
  <c r="E571" i="3" s="1"/>
  <c r="D484" i="3"/>
  <c r="E484" i="3" s="1"/>
  <c r="D168" i="3"/>
  <c r="E168" i="3" s="1"/>
  <c r="D336" i="3"/>
  <c r="E336" i="3" s="1"/>
  <c r="D86" i="3"/>
  <c r="E86" i="3" s="1"/>
  <c r="D217" i="3"/>
  <c r="E217" i="3" s="1"/>
  <c r="D416" i="3"/>
  <c r="E416" i="3" s="1"/>
  <c r="D60" i="3"/>
  <c r="E60" i="3" s="1"/>
  <c r="D451" i="3"/>
  <c r="E451" i="3" s="1"/>
  <c r="D290" i="3"/>
  <c r="E290" i="3" s="1"/>
  <c r="D566" i="3"/>
  <c r="E566" i="3" s="1"/>
  <c r="D565" i="3"/>
  <c r="E565" i="3" s="1"/>
  <c r="D347" i="3"/>
  <c r="E347" i="3" s="1"/>
  <c r="D283" i="3"/>
  <c r="E283" i="3" s="1"/>
  <c r="D593" i="3"/>
  <c r="E593" i="3" s="1"/>
  <c r="D138" i="3"/>
  <c r="E138" i="3" s="1"/>
  <c r="D358" i="3"/>
  <c r="E358" i="3" s="1"/>
  <c r="D507" i="3"/>
  <c r="E507" i="3" s="1"/>
  <c r="D304" i="3"/>
  <c r="E304" i="3" s="1"/>
  <c r="D230" i="3"/>
  <c r="E230" i="3" s="1"/>
  <c r="D284" i="3"/>
  <c r="E284" i="3" s="1"/>
  <c r="D437" i="3"/>
  <c r="E437" i="3" s="1"/>
  <c r="D45" i="3"/>
  <c r="E45" i="3" s="1"/>
  <c r="D334" i="3"/>
  <c r="E334" i="3" s="1"/>
  <c r="D313" i="3"/>
  <c r="E313" i="3" s="1"/>
  <c r="D620" i="3"/>
  <c r="E620" i="3" s="1"/>
  <c r="D133" i="3"/>
  <c r="E133" i="3" s="1"/>
  <c r="D488" i="3"/>
  <c r="E488" i="3" s="1"/>
  <c r="D172" i="3"/>
  <c r="E172" i="3" s="1"/>
  <c r="D240" i="3"/>
  <c r="E240" i="3" s="1"/>
  <c r="D404" i="3"/>
  <c r="E404" i="3" s="1"/>
  <c r="D567" i="3"/>
  <c r="E567" i="3" s="1"/>
  <c r="D519" i="3"/>
  <c r="E519" i="3" s="1"/>
  <c r="D371" i="3"/>
  <c r="E371" i="3" s="1"/>
  <c r="D483" i="3"/>
  <c r="E483" i="3" s="1"/>
  <c r="D246" i="3"/>
  <c r="E246" i="3" s="1"/>
  <c r="D4" i="3"/>
  <c r="E4" i="3" s="1"/>
  <c r="D298" i="3"/>
  <c r="E298" i="3" s="1"/>
  <c r="D495" i="3"/>
  <c r="E495" i="3" s="1"/>
  <c r="D106" i="3"/>
  <c r="E106" i="3" s="1"/>
  <c r="D21" i="3"/>
  <c r="E21" i="3" s="1"/>
  <c r="D582" i="3"/>
  <c r="E582" i="3" s="1"/>
  <c r="D58" i="3"/>
  <c r="E58" i="3" s="1"/>
  <c r="D78" i="3"/>
  <c r="E78" i="3" s="1"/>
  <c r="D506" i="3"/>
  <c r="E506" i="3" s="1"/>
  <c r="D62" i="3"/>
  <c r="E62" i="3" s="1"/>
  <c r="D394" i="3"/>
  <c r="E394" i="3" s="1"/>
  <c r="D564" i="3"/>
  <c r="E564" i="3" s="1"/>
  <c r="D288" i="3"/>
  <c r="E288" i="3" s="1"/>
  <c r="D597" i="3"/>
  <c r="E597" i="3" s="1"/>
  <c r="D632" i="3"/>
  <c r="E632" i="3" s="1"/>
  <c r="D146" i="3"/>
  <c r="E146" i="3" s="1"/>
  <c r="D373" i="3"/>
  <c r="E373" i="3" s="1"/>
  <c r="D310" i="3"/>
  <c r="E310" i="3" s="1"/>
  <c r="D418" i="3"/>
  <c r="E418" i="3" s="1"/>
  <c r="D456" i="3"/>
  <c r="E456" i="3" s="1"/>
  <c r="D346" i="3"/>
  <c r="E346" i="3" s="1"/>
  <c r="D140" i="3"/>
  <c r="E140" i="3" s="1"/>
  <c r="D222" i="3"/>
  <c r="E222" i="3" s="1"/>
  <c r="D544" i="3"/>
  <c r="E544" i="3" s="1"/>
  <c r="D301" i="3"/>
  <c r="E301" i="3" s="1"/>
  <c r="D366" i="3"/>
  <c r="E366" i="3" s="1"/>
  <c r="D435" i="3"/>
  <c r="E435" i="3" s="1"/>
  <c r="D503" i="3"/>
  <c r="E503" i="3" s="1"/>
  <c r="D354" i="3"/>
  <c r="E354" i="3" s="1"/>
  <c r="D431" i="3"/>
  <c r="E431" i="3" s="1"/>
  <c r="D557" i="3"/>
  <c r="E557" i="3" s="1"/>
  <c r="D446" i="3"/>
  <c r="E446" i="3" s="1"/>
  <c r="D395" i="3"/>
  <c r="E395" i="3" s="1"/>
  <c r="D314" i="3"/>
  <c r="E314" i="3" s="1"/>
  <c r="D98" i="3"/>
  <c r="E98" i="3" s="1"/>
  <c r="D551" i="3"/>
  <c r="E551" i="3" s="1"/>
  <c r="D633" i="3"/>
  <c r="E633" i="3" s="1"/>
  <c r="D87" i="3"/>
  <c r="E87" i="3" s="1"/>
  <c r="D438" i="3"/>
  <c r="E438" i="3" s="1"/>
  <c r="D13" i="3"/>
  <c r="E13" i="3" s="1"/>
  <c r="D390" i="3"/>
  <c r="E390" i="3" s="1"/>
  <c r="D510" i="3"/>
  <c r="E510" i="3" s="1"/>
  <c r="D349" i="3"/>
  <c r="E349" i="3" s="1"/>
  <c r="D623" i="3"/>
  <c r="E623" i="3" s="1"/>
  <c r="D302" i="3"/>
  <c r="E302" i="3" s="1"/>
  <c r="D449" i="3"/>
  <c r="E449" i="3" s="1"/>
  <c r="D552" i="3"/>
  <c r="E552" i="3" s="1"/>
  <c r="D244" i="3"/>
  <c r="E244" i="3" s="1"/>
  <c r="D558" i="3"/>
  <c r="E558" i="3" s="1"/>
  <c r="D162" i="3"/>
  <c r="E162" i="3" s="1"/>
  <c r="D616" i="3"/>
  <c r="E616" i="3" s="1"/>
  <c r="D161" i="3"/>
  <c r="E161" i="3" s="1"/>
  <c r="D266" i="3"/>
  <c r="E266" i="3" s="1"/>
  <c r="D215" i="3"/>
  <c r="E215" i="3" s="1"/>
  <c r="D48" i="3"/>
  <c r="E48" i="3" s="1"/>
  <c r="D351" i="3"/>
  <c r="E351" i="3" s="1"/>
  <c r="D607" i="3"/>
  <c r="E607" i="3" s="1"/>
  <c r="D170" i="3"/>
  <c r="E170" i="3" s="1"/>
  <c r="D338" i="3"/>
  <c r="E338" i="3" s="1"/>
  <c r="D427" i="3"/>
  <c r="E427" i="3" s="1"/>
  <c r="D487" i="3"/>
  <c r="E487" i="3" s="1"/>
  <c r="D123" i="3"/>
  <c r="E123" i="3" s="1"/>
  <c r="D233" i="3"/>
  <c r="E233" i="3" s="1"/>
  <c r="D196" i="3"/>
  <c r="E196" i="3" s="1"/>
  <c r="D96" i="3"/>
  <c r="E96" i="3" s="1"/>
  <c r="D56" i="3"/>
  <c r="E56" i="3" s="1"/>
  <c r="D242" i="3"/>
  <c r="E242" i="3" s="1"/>
  <c r="D441" i="3"/>
  <c r="E441" i="3" s="1"/>
  <c r="D223" i="3"/>
  <c r="E223" i="3" s="1"/>
  <c r="D212" i="3"/>
  <c r="E212" i="3" s="1"/>
  <c r="D295" i="3"/>
  <c r="E295" i="3" s="1"/>
  <c r="D600" i="3"/>
  <c r="E600" i="3" s="1"/>
  <c r="D470" i="3"/>
  <c r="E470" i="3" s="1"/>
  <c r="D611" i="3"/>
  <c r="E611" i="3" s="1"/>
  <c r="D135" i="3"/>
  <c r="E135" i="3" s="1"/>
  <c r="D384" i="3"/>
  <c r="E384" i="3" s="1"/>
  <c r="D264" i="3"/>
  <c r="E264" i="3" s="1"/>
  <c r="D137" i="3"/>
  <c r="E137" i="3" s="1"/>
  <c r="D171" i="3"/>
  <c r="E171" i="3" s="1"/>
  <c r="D149" i="3"/>
  <c r="E149" i="3" s="1"/>
  <c r="D130" i="3"/>
  <c r="E130" i="3" s="1"/>
  <c r="D508" i="3"/>
  <c r="E508" i="3" s="1"/>
  <c r="D166" i="3"/>
  <c r="E166" i="3" s="1"/>
  <c r="D391" i="3"/>
  <c r="E391" i="3" s="1"/>
  <c r="D186" i="3"/>
  <c r="E186" i="3" s="1"/>
  <c r="D512" i="3"/>
  <c r="E512" i="3" s="1"/>
  <c r="D599" i="3"/>
  <c r="E599" i="3" s="1"/>
  <c r="D178" i="3"/>
  <c r="E178" i="3" s="1"/>
  <c r="D126" i="3"/>
  <c r="E126" i="3" s="1"/>
  <c r="D476" i="3"/>
  <c r="E476" i="3" s="1"/>
  <c r="D315" i="3"/>
  <c r="E315" i="3" s="1"/>
  <c r="D282" i="3"/>
  <c r="E282" i="3" s="1"/>
  <c r="D104" i="3"/>
  <c r="E104" i="3" s="1"/>
  <c r="D445" i="3"/>
  <c r="E445" i="3" s="1"/>
  <c r="C13" i="6"/>
  <c r="D66" i="3"/>
  <c r="E66" i="3" s="1"/>
  <c r="D180" i="3"/>
  <c r="E180" i="3" s="1"/>
  <c r="D17" i="3"/>
  <c r="E17" i="3" s="1"/>
  <c r="D80" i="3"/>
  <c r="E80" i="3" s="1"/>
  <c r="D204" i="3"/>
  <c r="E204" i="3" s="1"/>
  <c r="D610" i="3"/>
  <c r="E610" i="3" s="1"/>
  <c r="D51" i="3"/>
  <c r="E51" i="3" s="1"/>
  <c r="D193" i="3"/>
  <c r="E193" i="3" s="1"/>
  <c r="D527" i="3"/>
  <c r="E527" i="3" s="1"/>
  <c r="D144" i="3"/>
  <c r="E144" i="3" s="1"/>
  <c r="D79" i="3"/>
  <c r="E79" i="3" s="1"/>
  <c r="D105" i="3"/>
  <c r="E105" i="3" s="1"/>
  <c r="D18" i="3"/>
  <c r="E18" i="3" s="1"/>
  <c r="D458" i="3"/>
  <c r="E458" i="3" s="1"/>
  <c r="D417" i="3"/>
  <c r="E417" i="3" s="1"/>
  <c r="C16" i="6"/>
  <c r="D468" i="3"/>
  <c r="E468" i="3" s="1"/>
  <c r="D152" i="3"/>
  <c r="E152" i="3" s="1"/>
  <c r="D127" i="3"/>
  <c r="E127" i="3" s="1"/>
  <c r="D167" i="3"/>
  <c r="E167" i="3" s="1"/>
  <c r="D368" i="3"/>
  <c r="E368" i="3" s="1"/>
  <c r="D526" i="3"/>
  <c r="E526" i="3" s="1"/>
  <c r="D239" i="3"/>
  <c r="E239" i="3" s="1"/>
  <c r="D88" i="3"/>
  <c r="E88" i="3" s="1"/>
  <c r="D42" i="3"/>
  <c r="E42" i="3" s="1"/>
  <c r="D383" i="3"/>
  <c r="E383" i="3" s="1"/>
  <c r="D185" i="3"/>
  <c r="E185" i="3" s="1"/>
  <c r="D208" i="3"/>
  <c r="E208" i="3" s="1"/>
  <c r="D157" i="3"/>
  <c r="E157" i="3" s="1"/>
  <c r="D436" i="3"/>
  <c r="E436" i="3" s="1"/>
  <c r="D422" i="3"/>
  <c r="E422" i="3" s="1"/>
  <c r="D122" i="3"/>
  <c r="E122" i="3" s="1"/>
  <c r="D531" i="3"/>
  <c r="E531" i="3" s="1"/>
  <c r="D486" i="3"/>
  <c r="E486" i="3" s="1"/>
  <c r="D327" i="3"/>
  <c r="E327" i="3" s="1"/>
  <c r="D406" i="3"/>
  <c r="E406" i="3" s="1"/>
  <c r="D74" i="3"/>
  <c r="E74" i="3" s="1"/>
  <c r="D254" i="3"/>
  <c r="E254" i="3" s="1"/>
  <c r="D323" i="3"/>
  <c r="E323" i="3" s="1"/>
  <c r="D585" i="3"/>
  <c r="E585" i="3" s="1"/>
  <c r="D501" i="3"/>
  <c r="E501" i="3" s="1"/>
  <c r="D443" i="3"/>
  <c r="E443" i="3" s="1"/>
  <c r="D556" i="3"/>
  <c r="E556" i="3" s="1"/>
  <c r="D317" i="3"/>
  <c r="E317" i="3" s="1"/>
  <c r="D513" i="3"/>
  <c r="E513" i="3" s="1"/>
  <c r="D67" i="3"/>
  <c r="E67" i="3" s="1"/>
  <c r="D188" i="3"/>
  <c r="E188" i="3" s="1"/>
  <c r="D85" i="3"/>
  <c r="E85" i="3" s="1"/>
  <c r="D241" i="3"/>
  <c r="E241" i="3" s="1"/>
  <c r="D409" i="3"/>
  <c r="E409" i="3" s="1"/>
  <c r="D425" i="3"/>
  <c r="E425" i="3" s="1"/>
  <c r="D355" i="3"/>
  <c r="E355" i="3" s="1"/>
  <c r="D325" i="3"/>
  <c r="E325" i="3" s="1"/>
  <c r="D121" i="3"/>
  <c r="E121" i="3" s="1"/>
  <c r="D267" i="3"/>
  <c r="E267" i="3" s="1"/>
  <c r="D189" i="3"/>
  <c r="E189" i="3" s="1"/>
  <c r="D624" i="3"/>
  <c r="E624" i="3" s="1"/>
  <c r="D352" i="3"/>
  <c r="E352" i="3" s="1"/>
  <c r="D413" i="3"/>
  <c r="E413" i="3" s="1"/>
  <c r="D100" i="3"/>
  <c r="E100" i="3" s="1"/>
  <c r="D293" i="3"/>
  <c r="E293" i="3" s="1"/>
  <c r="D20" i="3"/>
  <c r="E20" i="3" s="1"/>
  <c r="D324" i="3"/>
  <c r="E324" i="3" s="1"/>
  <c r="D57" i="3"/>
  <c r="E57" i="3" s="1"/>
  <c r="D77" i="3"/>
  <c r="E77" i="3" s="1"/>
  <c r="D335" i="3"/>
  <c r="E335" i="3" s="1"/>
  <c r="D482" i="3"/>
  <c r="E482" i="3" s="1"/>
  <c r="D13" i="6"/>
  <c r="D397" i="3"/>
  <c r="E397" i="3" s="1"/>
  <c r="D612" i="3"/>
  <c r="E612" i="3" s="1"/>
  <c r="D377" i="3"/>
  <c r="E377" i="3" s="1"/>
  <c r="D303" i="3"/>
  <c r="E303" i="3" s="1"/>
  <c r="D540" i="3"/>
  <c r="E540" i="3" s="1"/>
  <c r="D528" i="3"/>
  <c r="E528" i="3" s="1"/>
  <c r="D321" i="3"/>
  <c r="E321" i="3" s="1"/>
  <c r="D8" i="3"/>
  <c r="E8" i="3" s="1"/>
  <c r="D469" i="3"/>
  <c r="E469" i="3" s="1"/>
  <c r="D292" i="3"/>
  <c r="E292" i="3" s="1"/>
  <c r="D452" i="3"/>
  <c r="E452" i="3" s="1"/>
  <c r="D414" i="3"/>
  <c r="E414" i="3" s="1"/>
  <c r="D594" i="3"/>
  <c r="E594" i="3" s="1"/>
  <c r="D337" i="3"/>
  <c r="E337" i="3" s="1"/>
  <c r="D555" i="3"/>
  <c r="E555" i="3" s="1"/>
  <c r="D136" i="3"/>
  <c r="E136" i="3" s="1"/>
  <c r="D524" i="3"/>
  <c r="E524" i="3" s="1"/>
  <c r="D139" i="3"/>
  <c r="E139" i="3" s="1"/>
  <c r="D175" i="3"/>
  <c r="E175" i="3" s="1"/>
  <c r="D275" i="3"/>
  <c r="E275" i="3" s="1"/>
  <c r="E213" i="3"/>
  <c r="D213" i="3"/>
  <c r="D309" i="3"/>
  <c r="E309" i="3" s="1"/>
  <c r="D111" i="3"/>
  <c r="E111" i="3" s="1"/>
  <c r="D396" i="3"/>
  <c r="E396" i="3" s="1"/>
  <c r="D141" i="3"/>
  <c r="E141" i="3" s="1"/>
  <c r="D228" i="3"/>
  <c r="E228" i="3" s="1"/>
  <c r="D91" i="3"/>
  <c r="E91" i="3" s="1"/>
  <c r="D261" i="3"/>
  <c r="E261" i="3" s="1"/>
  <c r="D348" i="3"/>
  <c r="E348" i="3" s="1"/>
  <c r="D73" i="3"/>
  <c r="E73" i="3" s="1"/>
  <c r="D546" i="3"/>
  <c r="E546" i="3" s="1"/>
  <c r="D596" i="3"/>
  <c r="E596" i="3" s="1"/>
  <c r="D216" i="3"/>
  <c r="E216" i="3" s="1"/>
  <c r="D333" i="3"/>
  <c r="E333" i="3" s="1"/>
  <c r="D479" i="3"/>
  <c r="E479" i="3" s="1"/>
  <c r="D562" i="3"/>
  <c r="E562" i="3" s="1"/>
  <c r="D5" i="3"/>
  <c r="E5" i="3" s="1"/>
  <c r="D442" i="3"/>
  <c r="E442" i="3" s="1"/>
  <c r="D424" i="3"/>
  <c r="E424" i="3" s="1"/>
  <c r="D14" i="3"/>
  <c r="E14" i="3" s="1"/>
  <c r="D428" i="3"/>
  <c r="E428" i="3" s="1"/>
  <c r="D463" i="3"/>
  <c r="E463" i="3" s="1"/>
  <c r="D578" i="3"/>
  <c r="E578" i="3" s="1"/>
  <c r="D76" i="3"/>
  <c r="E76" i="3" s="1"/>
  <c r="D369" i="3"/>
  <c r="E369" i="3" s="1"/>
  <c r="D202" i="3"/>
  <c r="E202" i="3" s="1"/>
  <c r="D308" i="3"/>
  <c r="E308" i="3" s="1"/>
  <c r="D631" i="3"/>
  <c r="E631" i="3" s="1"/>
  <c r="D129" i="3"/>
  <c r="E129" i="3" s="1"/>
  <c r="K120" i="3"/>
  <c r="D107" i="3"/>
  <c r="E107" i="3" s="1"/>
  <c r="D174" i="3"/>
  <c r="E174" i="3" s="1"/>
  <c r="K235" i="3"/>
  <c r="D210" i="3"/>
  <c r="E210" i="3" s="1"/>
  <c r="D423" i="3"/>
  <c r="E423" i="3" s="1"/>
  <c r="D112" i="3"/>
  <c r="E112" i="3" s="1"/>
  <c r="D344" i="3"/>
  <c r="E344" i="3" s="1"/>
  <c r="D134" i="3"/>
  <c r="E134" i="3" s="1"/>
  <c r="D281" i="3"/>
  <c r="E281" i="3" s="1"/>
  <c r="D523" i="3"/>
  <c r="E523" i="3" s="1"/>
  <c r="D287" i="3"/>
  <c r="E287" i="3" s="1"/>
  <c r="D539" i="3"/>
  <c r="E539" i="3" s="1"/>
  <c r="D249" i="3"/>
  <c r="E249" i="3" s="1"/>
  <c r="D464" i="3"/>
  <c r="E464" i="3" s="1"/>
  <c r="D360" i="3"/>
  <c r="E360" i="3" s="1"/>
  <c r="D2" i="3"/>
  <c r="E2" i="3" s="1"/>
  <c r="D245" i="3"/>
  <c r="E245" i="3" s="1"/>
  <c r="D563" i="3"/>
  <c r="E563" i="3" s="1"/>
  <c r="D550" i="3"/>
  <c r="E550" i="3" s="1"/>
  <c r="D71" i="3"/>
  <c r="E71" i="3" s="1"/>
  <c r="D584" i="3"/>
  <c r="E584" i="3" s="1"/>
  <c r="D532" i="3"/>
  <c r="E532" i="3" s="1"/>
  <c r="D47" i="3"/>
  <c r="E47" i="3" s="1"/>
  <c r="D554" i="3"/>
  <c r="E554" i="3" s="1"/>
  <c r="D251" i="3"/>
  <c r="E251" i="3" s="1"/>
  <c r="D64" i="3"/>
  <c r="E64" i="3" s="1"/>
  <c r="D305" i="3"/>
  <c r="E305" i="3" s="1"/>
  <c r="D274" i="3"/>
  <c r="E274" i="3" s="1"/>
  <c r="D533" i="3"/>
  <c r="E533" i="3" s="1"/>
  <c r="D148" i="3"/>
  <c r="E148" i="3" s="1"/>
  <c r="D307" i="3"/>
  <c r="E307" i="3" s="1"/>
  <c r="D560" i="3"/>
  <c r="E560" i="3" s="1"/>
  <c r="D535" i="3"/>
  <c r="E535" i="3" s="1"/>
  <c r="D615" i="3"/>
  <c r="E615" i="3" s="1"/>
  <c r="D195" i="3"/>
  <c r="E195" i="3" s="1"/>
  <c r="D520" i="3"/>
  <c r="E520" i="3" s="1"/>
  <c r="D226" i="3"/>
  <c r="E226" i="3" s="1"/>
  <c r="D465" i="3"/>
  <c r="E465" i="3" s="1"/>
  <c r="D153" i="3"/>
  <c r="E153" i="3" s="1"/>
  <c r="D289" i="3"/>
  <c r="E289" i="3" s="1"/>
  <c r="D276" i="3"/>
  <c r="E276" i="3" s="1"/>
  <c r="D621" i="3"/>
  <c r="E621" i="3" s="1"/>
  <c r="D421" i="3"/>
  <c r="E421" i="3" s="1"/>
  <c r="D601" i="3"/>
  <c r="E601" i="3" s="1"/>
  <c r="D614" i="3"/>
  <c r="E614" i="3" s="1"/>
  <c r="D490" i="3"/>
  <c r="E490" i="3" s="1"/>
  <c r="D339" i="3"/>
  <c r="E339" i="3" s="1"/>
  <c r="D142" i="3"/>
  <c r="E142" i="3" s="1"/>
  <c r="D52" i="3"/>
  <c r="E52" i="3" s="1"/>
  <c r="D209" i="3"/>
  <c r="E209" i="3" s="1"/>
  <c r="D471" i="3"/>
  <c r="E471" i="3" s="1"/>
  <c r="D250" i="3"/>
  <c r="E250" i="3" s="1"/>
  <c r="D572" i="3"/>
  <c r="E572" i="3" s="1"/>
  <c r="D205" i="3"/>
  <c r="E205" i="3" s="1"/>
  <c r="D177" i="3"/>
  <c r="E177" i="3" s="1"/>
  <c r="D124" i="3"/>
  <c r="E124" i="3" s="1"/>
  <c r="D328" i="3"/>
  <c r="E328" i="3" s="1"/>
  <c r="D444" i="3"/>
  <c r="E444" i="3" s="1"/>
  <c r="D306" i="3"/>
  <c r="E306" i="3" s="1"/>
  <c r="D50" i="3"/>
  <c r="E50" i="3" s="1"/>
  <c r="D426" i="3"/>
  <c r="E426" i="3" s="1"/>
  <c r="D345" i="3"/>
  <c r="E345" i="3" s="1"/>
  <c r="D199" i="3"/>
  <c r="E199" i="3" s="1"/>
  <c r="D467" i="3"/>
  <c r="E467" i="3" s="1"/>
  <c r="D211" i="3"/>
  <c r="E211" i="3" s="1"/>
  <c r="D455" i="3"/>
  <c r="E455" i="3" s="1"/>
  <c r="D128" i="3"/>
  <c r="E128" i="3" s="1"/>
  <c r="D515" i="3"/>
  <c r="E515" i="3" s="1"/>
  <c r="D376" i="3"/>
  <c r="E376" i="3" s="1"/>
  <c r="D581" i="3"/>
  <c r="E581" i="3" s="1"/>
  <c r="D591" i="3"/>
  <c r="E591" i="3" s="1"/>
  <c r="D542" i="3"/>
  <c r="E542" i="3" s="1"/>
  <c r="D407" i="3"/>
  <c r="E407" i="3" s="1"/>
  <c r="D68" i="3"/>
  <c r="E68" i="3" s="1"/>
  <c r="D297" i="3"/>
  <c r="E297" i="3" s="1"/>
  <c r="D359" i="3"/>
  <c r="E359" i="3" s="1"/>
  <c r="D278" i="3"/>
  <c r="E278" i="3" s="1"/>
  <c r="D429" i="3"/>
  <c r="E429" i="3" s="1"/>
  <c r="D120" i="3"/>
  <c r="E120" i="3" s="1"/>
  <c r="D474" i="3"/>
  <c r="E474" i="3" s="1"/>
  <c r="D627" i="3"/>
  <c r="E627" i="3" s="1"/>
  <c r="D187" i="3"/>
  <c r="E187" i="3" s="1"/>
  <c r="K186" i="3"/>
  <c r="N186" i="3" s="1"/>
  <c r="D318" i="3"/>
  <c r="E318" i="3" s="1"/>
  <c r="D450" i="3"/>
  <c r="E450" i="3" s="1"/>
  <c r="D312" i="3"/>
  <c r="E312" i="3" s="1"/>
  <c r="D90" i="3"/>
  <c r="E90" i="3" s="1"/>
  <c r="D496" i="3"/>
  <c r="E496" i="3" s="1"/>
  <c r="D603" i="3"/>
  <c r="E603" i="3" s="1"/>
  <c r="D522" i="3"/>
  <c r="E522" i="3" s="1"/>
  <c r="D99" i="3"/>
  <c r="E99" i="3" s="1"/>
  <c r="D545" i="3"/>
  <c r="E545" i="3" s="1"/>
  <c r="D203" i="3"/>
  <c r="E203" i="3" s="1"/>
  <c r="D92" i="3"/>
  <c r="E92" i="3" s="1"/>
  <c r="D343" i="3"/>
  <c r="E343" i="3" s="1"/>
  <c r="D356" i="3"/>
  <c r="E356" i="3" s="1"/>
  <c r="D176" i="3"/>
  <c r="E176" i="3" s="1"/>
  <c r="D225" i="3"/>
  <c r="E225" i="3" s="1"/>
  <c r="D103" i="3"/>
  <c r="E103" i="3" s="1"/>
  <c r="D403" i="3"/>
  <c r="E403" i="3" s="1"/>
  <c r="D95" i="3"/>
  <c r="E95" i="3" s="1"/>
  <c r="D381" i="3"/>
  <c r="E381" i="3" s="1"/>
  <c r="D117" i="3"/>
  <c r="E117" i="3" s="1"/>
  <c r="D248" i="3"/>
  <c r="E248" i="3" s="1"/>
  <c r="D271" i="3"/>
  <c r="E271" i="3" s="1"/>
  <c r="D402" i="3"/>
  <c r="E402" i="3" s="1"/>
  <c r="D236" i="3"/>
  <c r="E236" i="3" s="1"/>
  <c r="D54" i="3"/>
  <c r="E54" i="3" s="1"/>
  <c r="D618" i="3"/>
  <c r="E618" i="3" s="1"/>
  <c r="D485" i="3"/>
  <c r="E485" i="3" s="1"/>
  <c r="D398" i="3"/>
  <c r="E398" i="3" s="1"/>
  <c r="D447" i="3"/>
  <c r="E447" i="3" s="1"/>
  <c r="D547" i="3"/>
  <c r="E547" i="3" s="1"/>
  <c r="D113" i="3"/>
  <c r="E113" i="3" s="1"/>
  <c r="D529" i="3"/>
  <c r="E529" i="3" s="1"/>
  <c r="D412" i="3"/>
  <c r="E412" i="3" s="1"/>
  <c r="D145" i="3"/>
  <c r="E145" i="3" s="1"/>
  <c r="D509" i="3"/>
  <c r="E509" i="3" s="1"/>
  <c r="D589" i="3"/>
  <c r="E589" i="3" s="1"/>
  <c r="D353" i="3"/>
  <c r="E353" i="3" s="1"/>
  <c r="D433" i="3"/>
  <c r="E433" i="3" s="1"/>
  <c r="D498" i="3"/>
  <c r="E498" i="3" s="1"/>
  <c r="K212" i="3"/>
  <c r="D191" i="3"/>
  <c r="E191" i="3" s="1"/>
  <c r="D537" i="3"/>
  <c r="E537" i="3" s="1"/>
  <c r="D11" i="3"/>
  <c r="E11" i="3" s="1"/>
  <c r="D16" i="3"/>
  <c r="E16" i="3" s="1"/>
  <c r="D538" i="3"/>
  <c r="E538" i="3" s="1"/>
  <c r="D160" i="3"/>
  <c r="E160" i="3" s="1"/>
  <c r="D534" i="3"/>
  <c r="E534" i="3" s="1"/>
  <c r="D247" i="3"/>
  <c r="E247" i="3" s="1"/>
  <c r="D341" i="3"/>
  <c r="E341" i="3" s="1"/>
  <c r="D393" i="3"/>
  <c r="E393" i="3" s="1"/>
  <c r="D440" i="3"/>
  <c r="E440" i="3" s="1"/>
  <c r="D475" i="3"/>
  <c r="E475" i="3" s="1"/>
  <c r="D10" i="3"/>
  <c r="E10" i="3" s="1"/>
  <c r="D399" i="3"/>
  <c r="E399" i="3" s="1"/>
  <c r="D504" i="3"/>
  <c r="E504" i="3" s="1"/>
  <c r="D516" i="3"/>
  <c r="E516" i="3" s="1"/>
  <c r="D361" i="3"/>
  <c r="E361" i="3" s="1"/>
  <c r="D502" i="3"/>
  <c r="E502" i="3" s="1"/>
  <c r="D388" i="3"/>
  <c r="E388" i="3" s="1"/>
  <c r="D590" i="3"/>
  <c r="E590" i="3" s="1"/>
  <c r="D131" i="3"/>
  <c r="E131" i="3" s="1"/>
  <c r="D156" i="3"/>
  <c r="E156" i="3" s="1"/>
  <c r="D387" i="3"/>
  <c r="E387" i="3" s="1"/>
  <c r="D237" i="3"/>
  <c r="E237" i="3" s="1"/>
  <c r="D448" i="3"/>
  <c r="E448" i="3" s="1"/>
  <c r="D75" i="3"/>
  <c r="E75" i="3" s="1"/>
  <c r="D570" i="3"/>
  <c r="E570" i="3" s="1"/>
  <c r="D151" i="3"/>
  <c r="E151" i="3" s="1"/>
  <c r="D511" i="3"/>
  <c r="E511" i="3" s="1"/>
  <c r="D549" i="3"/>
  <c r="E549" i="3" s="1"/>
  <c r="D252" i="3"/>
  <c r="E252" i="3" s="1"/>
  <c r="D158" i="3"/>
  <c r="E158" i="3" s="1"/>
  <c r="D559" i="3"/>
  <c r="E559" i="3" s="1"/>
  <c r="D363" i="3"/>
  <c r="E363" i="3" s="1"/>
  <c r="K70" i="3"/>
  <c r="N70" i="3" s="1"/>
  <c r="D296" i="3"/>
  <c r="E296" i="3" s="1"/>
  <c r="D536" i="3"/>
  <c r="E536" i="3" s="1"/>
  <c r="D379" i="3"/>
  <c r="E379" i="3" s="1"/>
  <c r="D270" i="3"/>
  <c r="E270" i="3" s="1"/>
  <c r="D332" i="3"/>
  <c r="E332" i="3" s="1"/>
  <c r="D206" i="3"/>
  <c r="E206" i="3" s="1"/>
  <c r="D493" i="3"/>
  <c r="E493" i="3" s="1"/>
  <c r="D294" i="3"/>
  <c r="E294" i="3" s="1"/>
  <c r="D154" i="3"/>
  <c r="E154" i="3" s="1"/>
  <c r="D224" i="3"/>
  <c r="E224" i="3" s="1"/>
  <c r="D370" i="3"/>
  <c r="E370" i="3" s="1"/>
  <c r="D220" i="3"/>
  <c r="E220" i="3" s="1"/>
  <c r="D517" i="3"/>
  <c r="E517" i="3" s="1"/>
  <c r="D525" i="3"/>
  <c r="E525" i="3" s="1"/>
  <c r="D586" i="3"/>
  <c r="E586" i="3" s="1"/>
  <c r="D70" i="3"/>
  <c r="E70" i="3" s="1"/>
  <c r="D375" i="3"/>
  <c r="E375" i="3" s="1"/>
  <c r="D183" i="3"/>
  <c r="E183" i="3" s="1"/>
  <c r="D410" i="3"/>
  <c r="E410" i="3" s="1"/>
  <c r="K380" i="3"/>
  <c r="N380" i="3" s="1"/>
  <c r="D492" i="3"/>
  <c r="E492" i="3" s="1"/>
  <c r="D575" i="3"/>
  <c r="E575" i="3" s="1"/>
  <c r="D227" i="3"/>
  <c r="E227" i="3" s="1"/>
  <c r="D108" i="3"/>
  <c r="E108" i="3" s="1"/>
  <c r="D609" i="3"/>
  <c r="E609" i="3" s="1"/>
  <c r="D286" i="3"/>
  <c r="E286" i="3" s="1"/>
  <c r="D72" i="3"/>
  <c r="E72" i="3" s="1"/>
  <c r="D147" i="3"/>
  <c r="E147" i="3" s="1"/>
  <c r="D214" i="3"/>
  <c r="E214" i="3" s="1"/>
  <c r="D59" i="3"/>
  <c r="E59" i="3" s="1"/>
  <c r="C15" i="6"/>
  <c r="D580" i="3"/>
  <c r="E580" i="3" s="1"/>
  <c r="D63" i="3"/>
  <c r="E63" i="3" s="1"/>
  <c r="D232" i="3"/>
  <c r="E232" i="3" s="1"/>
  <c r="D478" i="3"/>
  <c r="E478" i="3" s="1"/>
  <c r="D260" i="3"/>
  <c r="E260" i="3" s="1"/>
  <c r="D253" i="3"/>
  <c r="E253" i="3" s="1"/>
  <c r="D588" i="3"/>
  <c r="E588" i="3" s="1"/>
  <c r="D462" i="3"/>
  <c r="E462" i="3" s="1"/>
  <c r="D279" i="3"/>
  <c r="E279" i="3" s="1"/>
  <c r="D263" i="3"/>
  <c r="E263" i="3" s="1"/>
  <c r="K365" i="3"/>
  <c r="D357" i="3"/>
  <c r="E357" i="3" s="1"/>
  <c r="D114" i="3"/>
  <c r="E114" i="3" s="1"/>
  <c r="D561" i="3"/>
  <c r="E561" i="3" s="1"/>
  <c r="K154" i="3"/>
  <c r="N154" i="3" s="1"/>
  <c r="D207" i="3"/>
  <c r="E207" i="3" s="1"/>
  <c r="D569" i="3"/>
  <c r="E569" i="3" s="1"/>
  <c r="D331" i="3"/>
  <c r="E331" i="3" s="1"/>
  <c r="D164" i="3"/>
  <c r="E164" i="3" s="1"/>
  <c r="D505" i="3"/>
  <c r="E505" i="3" s="1"/>
  <c r="D626" i="3"/>
  <c r="E626" i="3" s="1"/>
  <c r="D481" i="3"/>
  <c r="E481" i="3" s="1"/>
  <c r="D3" i="3"/>
  <c r="E3" i="3" s="1"/>
  <c r="D9" i="3"/>
  <c r="E9" i="3" s="1"/>
  <c r="D181" i="3"/>
  <c r="E181" i="3" s="1"/>
  <c r="D574" i="3"/>
  <c r="E574" i="3" s="1"/>
  <c r="D182" i="3"/>
  <c r="E182" i="3" s="1"/>
  <c r="D184" i="3"/>
  <c r="E184" i="3" s="1"/>
  <c r="K294" i="3"/>
  <c r="N294" i="3" s="1"/>
  <c r="D625" i="3"/>
  <c r="E625" i="3" s="1"/>
  <c r="K369" i="3"/>
  <c r="D150" i="3"/>
  <c r="E150" i="3" s="1"/>
  <c r="D553" i="3"/>
  <c r="E553" i="3" s="1"/>
  <c r="D439" i="3"/>
  <c r="E439" i="3" s="1"/>
  <c r="K578" i="3"/>
  <c r="D459" i="3"/>
  <c r="E459" i="3" s="1"/>
  <c r="D259" i="3"/>
  <c r="E259" i="3" s="1"/>
  <c r="D434" i="3"/>
  <c r="E434" i="3" s="1"/>
  <c r="D110" i="3"/>
  <c r="E110" i="3" s="1"/>
  <c r="D374" i="3"/>
  <c r="E374" i="3" s="1"/>
  <c r="D280" i="3"/>
  <c r="E280" i="3" s="1"/>
  <c r="K166" i="3"/>
  <c r="N166" i="3" s="1"/>
  <c r="D219" i="3"/>
  <c r="E219" i="3" s="1"/>
  <c r="K415" i="3"/>
  <c r="D238" i="3"/>
  <c r="E238" i="3" s="1"/>
  <c r="D119" i="3"/>
  <c r="E119" i="3" s="1"/>
  <c r="D235" i="3"/>
  <c r="E235" i="3" s="1"/>
  <c r="D173" i="3"/>
  <c r="E173" i="3" s="1"/>
  <c r="D364" i="3"/>
  <c r="E364" i="3" s="1"/>
  <c r="D84" i="3"/>
  <c r="E84" i="3" s="1"/>
  <c r="D311" i="3"/>
  <c r="E311" i="3" s="1"/>
  <c r="D132" i="3"/>
  <c r="E132" i="3" s="1"/>
  <c r="K18" i="3"/>
  <c r="N18" i="3" s="1"/>
  <c r="K101" i="3"/>
  <c r="D165" i="3"/>
  <c r="E165" i="3" s="1"/>
  <c r="D362" i="3"/>
  <c r="E362" i="3" s="1"/>
  <c r="D69" i="3"/>
  <c r="E69" i="3" s="1"/>
  <c r="K231" i="3"/>
  <c r="N231" i="3" s="1"/>
  <c r="D234" i="3"/>
  <c r="E234" i="3" s="1"/>
  <c r="D197" i="3"/>
  <c r="E197" i="3" s="1"/>
  <c r="D194" i="3"/>
  <c r="E194" i="3" s="1"/>
  <c r="D466" i="3"/>
  <c r="E466" i="3" s="1"/>
  <c r="D320" i="3"/>
  <c r="E320" i="3" s="1"/>
  <c r="D190" i="3"/>
  <c r="E190" i="3" s="1"/>
  <c r="D118" i="3"/>
  <c r="E118" i="3" s="1"/>
  <c r="D109" i="3"/>
  <c r="E109" i="3" s="1"/>
  <c r="D243" i="3"/>
  <c r="E243" i="3" s="1"/>
  <c r="D613" i="3"/>
  <c r="E613" i="3" s="1"/>
  <c r="D592" i="3"/>
  <c r="E592" i="3" s="1"/>
  <c r="D65" i="3"/>
  <c r="E65" i="3" s="1"/>
  <c r="D541" i="3"/>
  <c r="E541" i="3" s="1"/>
  <c r="D491" i="3"/>
  <c r="E491" i="3" s="1"/>
  <c r="D573" i="3"/>
  <c r="E573" i="3" s="1"/>
  <c r="D115" i="3"/>
  <c r="E115" i="3" s="1"/>
  <c r="K366" i="3"/>
  <c r="D494" i="3"/>
  <c r="E494" i="3" s="1"/>
  <c r="D19" i="3"/>
  <c r="E19" i="3" s="1"/>
  <c r="D400" i="3"/>
  <c r="E400" i="3" s="1"/>
  <c r="D606" i="3"/>
  <c r="E606" i="3" s="1"/>
  <c r="D500" i="3"/>
  <c r="E500" i="3" s="1"/>
  <c r="D192" i="3"/>
  <c r="E192" i="3" s="1"/>
  <c r="D291" i="3"/>
  <c r="E291" i="3" s="1"/>
  <c r="D218" i="3"/>
  <c r="E218" i="3" s="1"/>
  <c r="D365" i="3"/>
  <c r="E365" i="3" s="1"/>
  <c r="D155" i="3"/>
  <c r="E155" i="3" s="1"/>
  <c r="D340" i="3"/>
  <c r="E340" i="3" s="1"/>
  <c r="D55" i="3"/>
  <c r="E55" i="3" s="1"/>
  <c r="K92" i="3"/>
  <c r="N92" i="3" s="1"/>
  <c r="D143" i="3"/>
  <c r="E143" i="3" s="1"/>
  <c r="D269" i="3"/>
  <c r="E269" i="3" s="1"/>
  <c r="K614" i="3"/>
  <c r="D163" i="3"/>
  <c r="E163" i="3" s="1"/>
  <c r="D514" i="3"/>
  <c r="E514" i="3" s="1"/>
  <c r="D82" i="3"/>
  <c r="E82" i="3" s="1"/>
  <c r="D89" i="3"/>
  <c r="E89" i="3" s="1"/>
  <c r="D198" i="3"/>
  <c r="E198" i="3" s="1"/>
  <c r="D389" i="3"/>
  <c r="E389" i="3" s="1"/>
  <c r="K209" i="3"/>
  <c r="K142" i="3"/>
  <c r="K531" i="3"/>
  <c r="N531" i="3" s="1"/>
  <c r="D101" i="3"/>
  <c r="E101" i="3" s="1"/>
  <c r="D125" i="3"/>
  <c r="E125" i="3" s="1"/>
  <c r="D316" i="3"/>
  <c r="E316" i="3" s="1"/>
  <c r="K601" i="3"/>
  <c r="N601" i="3" s="1"/>
  <c r="D102" i="3"/>
  <c r="E102" i="3" s="1"/>
  <c r="D200" i="3"/>
  <c r="E200" i="3" s="1"/>
  <c r="D472" i="3"/>
  <c r="E472" i="3" s="1"/>
  <c r="D322" i="3"/>
  <c r="E322" i="3" s="1"/>
  <c r="D579" i="3"/>
  <c r="E579" i="3" s="1"/>
  <c r="D405" i="3"/>
  <c r="E405" i="3" s="1"/>
  <c r="D497" i="3"/>
  <c r="E497" i="3" s="1"/>
  <c r="K239" i="3"/>
  <c r="N239" i="3" s="1"/>
  <c r="D617" i="3"/>
  <c r="E617" i="3" s="1"/>
  <c r="K434" i="3"/>
  <c r="K267" i="3"/>
  <c r="N267" i="3" s="1"/>
  <c r="K633" i="3"/>
  <c r="N633" i="3" s="1"/>
  <c r="K324" i="3"/>
  <c r="N324" i="3" s="1"/>
  <c r="D94" i="3"/>
  <c r="E94" i="3" s="1"/>
  <c r="D420" i="3"/>
  <c r="E420" i="3" s="1"/>
  <c r="D457" i="3"/>
  <c r="E457" i="3" s="1"/>
  <c r="D81" i="3"/>
  <c r="E81" i="3" s="1"/>
  <c r="D15" i="6"/>
  <c r="D201" i="3"/>
  <c r="E201" i="3" s="1"/>
  <c r="K455" i="3"/>
  <c r="K620" i="3"/>
  <c r="D401" i="3"/>
  <c r="E401" i="3" s="1"/>
  <c r="D499" i="3"/>
  <c r="E499" i="3" s="1"/>
  <c r="D568" i="3"/>
  <c r="E568" i="3" s="1"/>
  <c r="D6" i="3"/>
  <c r="E6" i="3" s="1"/>
  <c r="D277" i="3"/>
  <c r="E277" i="3" s="1"/>
  <c r="D61" i="3"/>
  <c r="E61" i="3" s="1"/>
  <c r="D16" i="6"/>
  <c r="D583" i="3"/>
  <c r="E583" i="3" s="1"/>
  <c r="D576" i="3"/>
  <c r="E576" i="3" s="1"/>
  <c r="D477" i="3"/>
  <c r="E477" i="3" s="1"/>
  <c r="D602" i="3"/>
  <c r="E602" i="3" s="1"/>
  <c r="A1" i="8" a="1"/>
  <c r="D595" i="3"/>
  <c r="E595" i="3" s="1"/>
  <c r="D521" i="3"/>
  <c r="E521" i="3" s="1"/>
  <c r="D97" i="3"/>
  <c r="E97" i="3" s="1"/>
  <c r="D14" i="6"/>
  <c r="K325" i="3"/>
  <c r="N325" i="3" s="1"/>
  <c r="D518" i="3"/>
  <c r="E518" i="3" s="1"/>
  <c r="K461" i="3"/>
  <c r="N461" i="3" s="1"/>
  <c r="K61" i="3"/>
  <c r="D489" i="3"/>
  <c r="E489" i="3" s="1"/>
  <c r="E14" i="6" l="1"/>
  <c r="I14" i="6" s="1"/>
  <c r="N101" i="3"/>
  <c r="E13" i="6"/>
  <c r="I13" i="6" s="1"/>
  <c r="C23" i="8"/>
  <c r="D23" i="8" s="1"/>
  <c r="C2" i="8"/>
  <c r="N369" i="3"/>
  <c r="N142" i="3"/>
  <c r="N366" i="3"/>
  <c r="N209" i="3"/>
  <c r="C8" i="8"/>
  <c r="N620" i="3"/>
  <c r="N120" i="3"/>
  <c r="N455" i="3"/>
  <c r="N61" i="3"/>
  <c r="B3" i="8"/>
  <c r="B12" i="8"/>
  <c r="C4" i="8"/>
  <c r="C3" i="8"/>
  <c r="C10" i="8"/>
  <c r="C6" i="8"/>
  <c r="C7" i="8"/>
  <c r="B6" i="8"/>
  <c r="C24" i="8"/>
  <c r="D24" i="8" s="1"/>
  <c r="N614" i="3"/>
  <c r="E15" i="6"/>
  <c r="I15" i="6" s="1"/>
  <c r="N212" i="3"/>
  <c r="B4" i="8"/>
  <c r="B5" i="8"/>
  <c r="C19" i="8"/>
  <c r="D19" i="8" s="1"/>
  <c r="B9" i="8"/>
  <c r="A1" i="8"/>
  <c r="N434" i="3"/>
  <c r="N415" i="3"/>
  <c r="E16" i="6"/>
  <c r="I16" i="6" s="1"/>
  <c r="C22" i="8"/>
  <c r="D22" i="8" s="1"/>
  <c r="N365" i="3"/>
  <c r="B8" i="8"/>
  <c r="B11" i="8"/>
  <c r="B7" i="8"/>
  <c r="B2" i="8"/>
  <c r="B10" i="8"/>
  <c r="N578" i="3"/>
  <c r="C11" i="8"/>
  <c r="D11" i="8" s="1"/>
  <c r="B13" i="8"/>
  <c r="C9" i="8"/>
  <c r="D9" i="8" s="1"/>
  <c r="N235" i="3"/>
  <c r="C12" i="8"/>
  <c r="D12" i="8" l="1"/>
  <c r="C20" i="8"/>
  <c r="D20" i="8" s="1"/>
  <c r="C13" i="8"/>
  <c r="D13" i="8" s="1"/>
  <c r="D3" i="8"/>
  <c r="C21" i="8"/>
  <c r="D21" i="8" s="1"/>
  <c r="C18" i="8"/>
  <c r="D18" i="8" s="1"/>
  <c r="D7" i="8"/>
  <c r="D6" i="8"/>
  <c r="D4" i="8"/>
  <c r="C5" i="8"/>
  <c r="D5" i="8" s="1"/>
  <c r="D10" i="8"/>
  <c r="D8" i="8"/>
  <c r="D2"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<sst xmlns="http://schemas.openxmlformats.org/spreadsheetml/2006/main" count="12958" uniqueCount="1556">
  <si>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</si>
  <si>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</si>
  <si>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</si>
  <si>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</si>
  <si>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</si>
  <si>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</si>
  <si>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</si>
  <si>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</si>
  <si>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</si>
  <si>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</si>
  <si>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</si>
  <si>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</si>
  <si>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</si>
  <si>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</si>
  <si>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</si>
  <si>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</si>
  <si>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</si>
  <si>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</si>
  <si>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</si>
  <si>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</si>
  <si>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</si>
  <si>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</si>
  <si>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</si>
  <si>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</si>
  <si>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</si>
  <si>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</si>
  <si>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</si>
  <si>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</si>
  <si>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</si>
  <si>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</si>
  <si>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</si>
  <si>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</si>
  <si>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</si>
  <si>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</si>
  <si>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</si>
  <si>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</si>
  <si>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</si>
  <si>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</si>
  <si>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</si>
  <si>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</si>
  <si>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</si>
  <si>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</si>
  <si>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</si>
  <si>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</si>
  <si>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</si>
  <si>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</si>
  <si>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</si>
  <si>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</si>
  <si>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</si>
  <si>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</si>
  <si>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</si>
  <si>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</si>
  <si>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</si>
  <si>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</si>
  <si>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</si>
  <si>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</si>
  <si>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</si>
  <si>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</si>
  <si>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</si>
  <si>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</si>
  <si>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</si>
  <si>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</si>
  <si>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</si>
  <si>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</si>
  <si>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</si>
  <si>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</si>
  <si>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</si>
  <si>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</si>
  <si>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</si>
  <si>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</si>
  <si>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</si>
  <si>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</si>
  <si>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</si>
  <si>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</si>
  <si>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</si>
  <si>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</si>
  <si>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</si>
  <si>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</si>
  <si>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</si>
  <si>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</si>
  <si>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</si>
  <si>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</si>
  <si>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</si>
  <si>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</si>
  <si>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</si>
  <si>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</si>
  <si>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</si>
  <si>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</si>
  <si>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</si>
  <si>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</si>
  <si>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</si>
  <si>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</si>
  <si>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</si>
  <si>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</si>
  <si>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</si>
  <si>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</si>
  <si>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</si>
  <si>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</si>
  <si>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</si>
  <si>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</si>
  <si>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</si>
  <si>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</si>
  <si>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</si>
  <si>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</si>
  <si>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</si>
  <si>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</si>
  <si>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</si>
  <si>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</si>
  <si>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</si>
  <si>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</si>
  <si>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</si>
  <si>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</si>
  <si>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</si>
  <si>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</si>
  <si>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</si>
  <si>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</si>
  <si>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</si>
  <si>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</si>
  <si>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</si>
  <si>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</si>
  <si>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</si>
  <si>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</si>
  <si>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</si>
  <si>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</si>
  <si>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</si>
  <si>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</si>
  <si>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</si>
  <si>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</si>
  <si>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</si>
  <si>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</si>
  <si>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</si>
  <si>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</si>
  <si>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</si>
  <si>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</si>
  <si>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</si>
  <si>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</si>
  <si>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</si>
  <si>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</si>
  <si>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</si>
  <si>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</si>
  <si>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</si>
  <si>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</si>
  <si>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</si>
  <si>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</si>
  <si>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</si>
  <si>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</si>
  <si>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</si>
  <si>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</si>
  <si>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</si>
  <si>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</si>
  <si>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</si>
  <si>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</si>
  <si>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</si>
  <si>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</si>
  <si>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</si>
  <si>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</si>
  <si>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</si>
  <si>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</si>
  <si>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</si>
  <si>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</si>
  <si>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</si>
  <si>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</si>
  <si>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</si>
  <si>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</si>
  <si>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</si>
  <si>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</si>
  <si>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</si>
  <si>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</si>
  <si>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</si>
  <si>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</si>
  <si>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</si>
  <si>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</si>
  <si>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</si>
  <si>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</si>
  <si>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</si>
  <si>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</si>
  <si>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</si>
  <si>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</si>
  <si>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</si>
  <si>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</si>
  <si>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</si>
  <si>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</si>
  <si>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</si>
  <si>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</si>
  <si>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</si>
  <si>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</si>
  <si>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</si>
  <si>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</si>
  <si>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</si>
  <si>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</si>
  <si>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</si>
  <si>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</si>
  <si>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</si>
  <si>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</si>
  <si>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</si>
  <si>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</si>
  <si>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</si>
  <si>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</si>
  <si>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</si>
  <si>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</si>
  <si>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</si>
  <si>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</si>
  <si>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</si>
  <si>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</si>
  <si>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</si>
  <si>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</si>
  <si>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</si>
  <si>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</si>
  <si>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</si>
  <si>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</si>
  <si>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</si>
  <si>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</si>
  <si>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</si>
  <si>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</si>
  <si>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</si>
  <si>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</si>
  <si>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</si>
  <si>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</si>
  <si>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</si>
  <si>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</si>
  <si>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</si>
  <si>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</si>
  <si>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</si>
  <si>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</si>
  <si>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</si>
  <si>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</si>
  <si>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</si>
  <si>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</si>
  <si>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</si>
  <si>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</si>
  <si>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</si>
  <si>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</si>
  <si>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</si>
  <si>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</si>
  <si>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</si>
  <si>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</si>
  <si>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</si>
  <si>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</si>
  <si>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</si>
  <si>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</si>
  <si>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</si>
  <si>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</si>
  <si>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</si>
  <si>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</si>
  <si>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</si>
  <si>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</si>
  <si>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</si>
  <si>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</si>
  <si>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</si>
  <si>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</si>
  <si>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</si>
  <si>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</si>
  <si>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</si>
  <si>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</si>
  <si>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</si>
  <si>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</si>
  <si>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</si>
  <si>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</si>
  <si>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</si>
  <si>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</si>
  <si>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</si>
  <si>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</si>
  <si>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</si>
  <si>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</si>
  <si>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</si>
  <si>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</si>
  <si>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</si>
  <si>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</si>
  <si>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</si>
  <si>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</si>
  <si>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</si>
  <si>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</si>
  <si>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</si>
  <si>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</si>
  <si>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</si>
  <si>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</si>
  <si>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</si>
  <si>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</si>
  <si>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</si>
  <si>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</si>
  <si>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</si>
  <si>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</si>
  <si>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</si>
  <si>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</si>
  <si>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</si>
  <si>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</si>
  <si>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</si>
  <si>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</si>
  <si>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</si>
  <si>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</si>
  <si>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</si>
  <si>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</si>
  <si>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</si>
  <si>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</si>
  <si>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</si>
  <si>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</si>
  <si>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</si>
  <si>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</si>
  <si>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</si>
  <si>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</si>
  <si>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</si>
  <si>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</si>
  <si>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</si>
  <si>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</si>
  <si>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</si>
  <si>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</si>
  <si>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</si>
  <si>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</si>
  <si>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</si>
  <si>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</si>
  <si>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</si>
  <si>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</si>
  <si>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</si>
  <si>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</si>
  <si>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</si>
  <si>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</si>
  <si>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</si>
  <si>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</si>
  <si>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</si>
  <si>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</si>
  <si>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</si>
  <si>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</si>
  <si>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</si>
  <si>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</si>
  <si>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</si>
  <si>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</si>
  <si>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</si>
  <si>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</si>
  <si>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</si>
  <si>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</si>
  <si>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</si>
  <si>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</si>
  <si>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</si>
  <si>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</si>
  <si>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</si>
  <si>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</si>
  <si>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</si>
  <si>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</si>
  <si>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</si>
  <si>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</si>
  <si>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</si>
  <si>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</si>
  <si>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</si>
  <si>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</si>
  <si>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</si>
  <si>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</si>
  <si>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</si>
  <si>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</si>
  <si>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</si>
  <si>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</si>
  <si>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</si>
  <si>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</si>
  <si>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</si>
  <si>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</si>
  <si>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</si>
  <si>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</si>
  <si>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</si>
  <si>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</si>
  <si>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</si>
  <si>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</si>
  <si>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</si>
  <si>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</si>
  <si>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</si>
  <si>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</si>
  <si>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</si>
  <si>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</si>
  <si>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</si>
  <si>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</si>
  <si>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</si>
  <si>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</si>
  <si>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</si>
  <si>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</si>
  <si>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</si>
  <si>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</si>
  <si>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</si>
  <si>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</si>
  <si>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</si>
  <si>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</si>
  <si>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</si>
  <si>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</si>
  <si>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</si>
  <si>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</si>
  <si>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</si>
  <si>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</si>
  <si>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</si>
  <si>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</si>
  <si>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</si>
  <si>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</si>
  <si>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</si>
  <si>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</si>
  <si>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</si>
  <si>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</si>
  <si>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</si>
  <si>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</si>
  <si>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</si>
  <si>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</si>
  <si>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</si>
  <si>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</si>
  <si>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</si>
  <si>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</si>
  <si>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</si>
  <si>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</si>
  <si>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</si>
  <si>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</si>
  <si>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</si>
  <si>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</si>
  <si>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</si>
  <si>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</si>
  <si>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</si>
  <si>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</si>
  <si>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</si>
  <si>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</si>
  <si>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</si>
  <si>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</si>
  <si>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</si>
  <si>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</si>
  <si>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</si>
  <si>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</si>
  <si>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</si>
  <si>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</si>
  <si>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</si>
  <si>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</si>
  <si>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</si>
  <si>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</si>
  <si>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</si>
  <si>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</si>
  <si>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</si>
  <si>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</si>
  <si>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</si>
  <si>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</si>
  <si>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</si>
  <si>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</si>
  <si>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</si>
  <si>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</si>
  <si>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</si>
  <si>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</si>
  <si>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</si>
  <si>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</si>
  <si>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</si>
  <si>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</si>
  <si>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</si>
  <si>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</si>
  <si>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</si>
  <si>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</si>
  <si>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</si>
  <si>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</si>
  <si>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</si>
  <si>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</si>
  <si>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</si>
  <si>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</si>
  <si>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</si>
  <si>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</si>
  <si>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</si>
  <si>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</si>
  <si>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</si>
  <si>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</si>
  <si>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</si>
  <si>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</si>
  <si>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</si>
  <si>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</si>
  <si>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</si>
  <si>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</si>
  <si>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</si>
  <si>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</si>
  <si>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</si>
  <si>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</si>
  <si>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</si>
  <si>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</si>
  <si>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</si>
  <si>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</si>
  <si>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</si>
  <si>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</si>
  <si>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</si>
  <si>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</si>
  <si>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</si>
  <si>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</si>
  <si>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</si>
  <si>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</si>
  <si>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</si>
  <si>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</si>
  <si>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</si>
  <si>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</si>
  <si>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</si>
  <si>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</si>
  <si>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</si>
  <si>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</si>
  <si>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</si>
  <si>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</si>
  <si>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</si>
  <si>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</si>
  <si>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</si>
  <si>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</si>
  <si>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</si>
  <si>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</si>
  <si>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</si>
  <si>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</si>
  <si>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</si>
  <si>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</si>
  <si>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</si>
  <si>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</si>
  <si>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</si>
  <si>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</si>
  <si>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</si>
  <si>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</si>
  <si>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</si>
  <si>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</si>
  <si>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</si>
  <si>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</si>
  <si>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</si>
  <si>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</si>
  <si>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</si>
  <si>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</si>
  <si>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</si>
  <si>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</si>
  <si>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</si>
  <si>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</si>
  <si>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</si>
  <si>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</si>
  <si>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</si>
  <si>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</si>
  <si>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</si>
  <si>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</si>
  <si>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</si>
  <si>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</si>
  <si>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</si>
  <si>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</si>
  <si>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</si>
  <si>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</si>
  <si>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</si>
  <si>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</si>
  <si>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</si>
  <si>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</si>
  <si>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</si>
  <si>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</si>
  <si>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</si>
  <si>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</si>
  <si>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</si>
  <si>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</si>
  <si>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</si>
  <si>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</si>
  <si>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</si>
  <si>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</si>
  <si>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</si>
  <si>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</si>
  <si>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</si>
  <si>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</si>
  <si>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</si>
  <si>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</si>
  <si>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</si>
  <si>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</si>
  <si>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</si>
  <si>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</si>
  <si>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</si>
  <si>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</si>
  <si>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</si>
  <si>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</si>
  <si>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</si>
  <si>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</si>
  <si>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</si>
  <si>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</si>
  <si>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</si>
  <si>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</si>
  <si>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</si>
  <si>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</si>
  <si>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</si>
  <si>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</si>
  <si>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</si>
  <si>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</si>
  <si>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</si>
  <si>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</si>
  <si>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</si>
  <si>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</si>
  <si>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</si>
  <si>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</si>
  <si>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</si>
  <si>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</si>
  <si>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</si>
  <si>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</si>
  <si>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</si>
  <si>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</si>
  <si>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</si>
  <si>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</si>
  <si>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</si>
  <si>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</si>
  <si>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</si>
  <si>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</si>
  <si>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</si>
  <si>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</si>
  <si>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</si>
  <si>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</si>
  <si>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</si>
  <si>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</si>
  <si>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</si>
  <si>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</si>
  <si>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</si>
  <si>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</si>
  <si>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</si>
  <si>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</si>
  <si>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</si>
  <si>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</si>
  <si>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</si>
  <si>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</si>
  <si>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</si>
  <si>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</si>
  <si>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</si>
  <si>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</si>
  <si>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</si>
  <si>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</si>
  <si>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</si>
  <si>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</si>
  <si>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</si>
  <si>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</si>
  <si>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</si>
  <si>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</si>
  <si>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</si>
  <si>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</si>
  <si>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</si>
  <si>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</si>
  <si>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</si>
  <si>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</si>
  <si>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</si>
  <si>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</si>
  <si>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</si>
  <si>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</si>
  <si>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</si>
  <si>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</si>
  <si>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</si>
  <si>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</si>
  <si>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</si>
  <si>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</si>
  <si>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</si>
  <si>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</si>
  <si>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</si>
  <si>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</si>
  <si>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</si>
  <si>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</si>
  <si>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</si>
  <si>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</si>
  <si>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</si>
  <si>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</si>
  <si>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</si>
  <si>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</si>
  <si>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</si>
  <si>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</si>
  <si>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</si>
  <si>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</si>
  <si>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</si>
  <si>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</si>
  <si>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</si>
  <si>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</si>
  <si>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</si>
  <si>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</si>
  <si>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</si>
  <si>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</si>
  <si>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</si>
  <si>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</si>
  <si>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</si>
  <si>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</si>
  <si>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</si>
  <si>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</si>
  <si>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</si>
  <si>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</si>
  <si>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</si>
  <si>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</si>
  <si>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</si>
  <si>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</si>
  <si>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</si>
  <si>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</si>
  <si>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</si>
  <si>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</si>
  <si>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</si>
  <si>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</si>
  <si>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</si>
  <si>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</si>
  <si>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</si>
  <si>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</si>
  <si>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</si>
  <si>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</si>
  <si>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</si>
  <si>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</si>
  <si>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</si>
  <si>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</si>
  <si>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</si>
  <si>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</si>
  <si>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</si>
  <si>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</si>
  <si>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</si>
  <si>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</si>
  <si>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</si>
  <si>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</si>
  <si>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</si>
  <si>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</si>
  <si>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</si>
  <si>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</si>
  <si>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</si>
  <si>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</si>
  <si>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</si>
  <si>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</si>
  <si>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</si>
  <si>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</si>
  <si>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</si>
  <si>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</si>
  <si>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</si>
  <si>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</si>
  <si>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</si>
  <si>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</si>
  <si>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</si>
  <si>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</si>
  <si>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</si>
  <si>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</si>
  <si>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</si>
  <si>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</si>
  <si>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</si>
  <si>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</si>
  <si>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</si>
  <si>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</si>
  <si>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</si>
  <si>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</si>
  <si>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</si>
  <si>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</si>
  <si>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</si>
  <si>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</si>
  <si>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</si>
  <si>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</si>
  <si>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</si>
  <si>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</si>
  <si>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</si>
  <si>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</si>
  <si>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</si>
  <si>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</si>
  <si>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</si>
  <si>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</si>
  <si>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</si>
  <si>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</si>
  <si>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</si>
  <si>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</si>
  <si>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</si>
  <si>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</si>
  <si>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</si>
  <si>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</si>
  <si>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</si>
  <si>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</si>
  <si>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</si>
  <si>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</si>
  <si>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</si>
  <si>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</si>
  <si>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</si>
  <si>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</si>
  <si>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</si>
  <si>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</si>
  <si>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</si>
  <si>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</si>
  <si>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</si>
  <si>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</si>
  <si>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</si>
  <si>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</si>
  <si>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</si>
  <si>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</si>
  <si>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</si>
  <si>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</si>
  <si>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</si>
  <si>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</si>
  <si>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</si>
  <si>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</si>
  <si>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</si>
  <si>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</si>
  <si>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</si>
  <si>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</si>
  <si>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</si>
  <si>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</si>
  <si>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</si>
  <si>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</si>
  <si>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</si>
  <si>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</si>
  <si>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</si>
  <si>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</si>
  <si>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</si>
  <si>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</si>
  <si>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</si>
  <si>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</si>
  <si>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</si>
  <si>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</si>
  <si>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</si>
  <si>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</si>
  <si>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</si>
  <si>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</si>
  <si>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</si>
  <si>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</si>
  <si>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</si>
  <si>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</si>
  <si>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</si>
  <si>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</si>
  <si>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</si>
  <si>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</si>
  <si>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</si>
  <si>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</si>
  <si>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</si>
  <si>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</si>
  <si>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</si>
  <si>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</si>
  <si>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</si>
  <si>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</si>
  <si>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</si>
  <si>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</si>
  <si>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</si>
  <si>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</si>
  <si>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</si>
  <si>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</si>
  <si>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</si>
  <si>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</si>
  <si>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</si>
  <si>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</si>
  <si>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</si>
  <si>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</si>
  <si>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</si>
  <si>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</si>
  <si>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</si>
  <si>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</si>
  <si>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</si>
  <si>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</si>
  <si>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</si>
  <si>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</si>
  <si>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</si>
  <si>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</si>
  <si>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</si>
  <si>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</si>
  <si>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</si>
  <si>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</si>
  <si>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</si>
  <si>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</si>
  <si>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</si>
  <si>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</si>
  <si>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</si>
  <si>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</si>
  <si>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</si>
  <si>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</si>
  <si>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</si>
  <si>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</si>
  <si>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</si>
  <si>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</si>
  <si>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</si>
  <si>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</si>
  <si>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</si>
  <si>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</si>
  <si>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</si>
  <si>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</si>
  <si>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</si>
  <si>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</si>
  <si>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</si>
  <si>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</si>
  <si>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</si>
  <si>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</si>
  <si>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</si>
  <si>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</si>
  <si>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</si>
  <si>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</si>
  <si>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</si>
  <si>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</si>
  <si>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</si>
  <si>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</si>
  <si>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</si>
  <si>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</si>
  <si>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</si>
  <si>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</si>
  <si>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</si>
  <si>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</si>
  <si>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</si>
  <si>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</si>
  <si>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</si>
  <si>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</si>
  <si>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</si>
  <si>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</si>
  <si>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</si>
  <si>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</si>
  <si>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</si>
  <si>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</si>
  <si>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</si>
  <si>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</si>
  <si>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</si>
  <si>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</si>
  <si>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</si>
  <si>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</si>
  <si>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</si>
  <si>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</si>
  <si>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</si>
  <si>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</si>
  <si>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</si>
  <si>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</si>
  <si>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</si>
  <si>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</si>
  <si>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</si>
  <si>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</si>
  <si>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</si>
  <si>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</si>
  <si>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</si>
  <si>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</si>
  <si>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</si>
  <si>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</si>
  <si>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</si>
  <si>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</si>
  <si>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</si>
  <si>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</si>
  <si>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</si>
  <si>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</si>
  <si>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</si>
  <si>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</si>
  <si>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</si>
  <si>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</si>
  <si>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</si>
  <si>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</si>
  <si>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</si>
  <si>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</si>
  <si>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</si>
  <si>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</si>
  <si>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</si>
  <si>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</si>
  <si>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</si>
  <si>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</si>
  <si>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</si>
  <si>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</si>
  <si>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</si>
  <si>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</si>
  <si>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</si>
  <si>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</si>
  <si>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</si>
  <si>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</si>
  <si>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</si>
  <si>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</si>
  <si>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</si>
  <si>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</si>
  <si>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</si>
  <si>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</si>
  <si>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</si>
  <si>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</si>
  <si>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</si>
  <si>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</si>
  <si>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</si>
  <si>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</si>
  <si>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</si>
  <si>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</si>
  <si>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</si>
  <si>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</si>
  <si>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</si>
  <si>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</si>
  <si>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</si>
  <si>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</si>
  <si>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</si>
  <si>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</si>
  <si>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</si>
  <si>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</si>
  <si>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</si>
  <si>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</si>
  <si>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</si>
  <si>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</si>
  <si>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</si>
  <si>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</si>
  <si>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</si>
  <si>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</si>
  <si>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</si>
  <si>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</si>
  <si>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</si>
  <si>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</si>
  <si>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</si>
  <si>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</si>
  <si>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</si>
  <si>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</si>
  <si>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</si>
  <si>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</si>
  <si>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</si>
  <si>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</si>
  <si>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</si>
  <si>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</si>
  <si>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</si>
  <si>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</si>
  <si>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</si>
  <si>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</si>
  <si>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</si>
  <si>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</si>
  <si>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</si>
  <si>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</si>
  <si>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</si>
  <si>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</si>
  <si>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</si>
  <si>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</si>
  <si>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</si>
  <si>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</si>
  <si>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</si>
  <si>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</si>
  <si>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</si>
  <si>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</si>
  <si>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</si>
  <si>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</si>
  <si>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</si>
  <si>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</si>
  <si>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</si>
  <si>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</si>
  <si>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</si>
  <si>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</si>
  <si>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</si>
  <si>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</si>
  <si>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</si>
  <si>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</si>
  <si>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</si>
  <si>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</si>
  <si>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</si>
  <si>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</si>
  <si>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</si>
  <si>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</si>
  <si>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</si>
  <si>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</si>
  <si>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</si>
  <si>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</si>
  <si>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</si>
  <si>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</si>
  <si>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</si>
  <si>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</si>
  <si>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</si>
  <si>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</si>
  <si>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</si>
  <si>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</si>
  <si>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</si>
  <si>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</si>
  <si>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</si>
  <si>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</si>
  <si>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</si>
  <si>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</si>
  <si>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</si>
  <si>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</si>
  <si>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</si>
  <si>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</si>
  <si>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</si>
  <si>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</si>
  <si>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</si>
  <si>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</si>
  <si>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</si>
  <si>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</si>
  <si>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</si>
  <si>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</si>
  <si>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</si>
  <si>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</si>
  <si>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</si>
  <si>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</si>
  <si>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</si>
  <si>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</si>
  <si>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</si>
  <si>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</si>
  <si>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</si>
  <si>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</si>
  <si>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</si>
  <si>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</si>
  <si>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</si>
  <si>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</si>
  <si>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</si>
  <si>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</si>
  <si>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</si>
  <si>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</si>
  <si>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</si>
  <si>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</si>
  <si>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</si>
  <si>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</si>
  <si>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</si>
  <si>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</si>
  <si>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</si>
  <si>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</si>
  <si>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</si>
  <si>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</si>
  <si>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</si>
  <si>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</si>
  <si>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</si>
  <si>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</si>
  <si>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</si>
  <si>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</si>
  <si>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</si>
  <si>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</si>
  <si>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</si>
  <si>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</si>
  <si>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</si>
  <si>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</si>
  <si>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</si>
  <si>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</si>
  <si>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</si>
  <si>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</si>
  <si>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</si>
  <si>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</si>
  <si>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</si>
  <si>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</si>
  <si>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</si>
  <si>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</si>
  <si>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</si>
  <si>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</si>
  <si>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</si>
  <si>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</si>
  <si>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</si>
  <si>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</si>
  <si>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</si>
  <si>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</si>
  <si>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</si>
  <si>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</si>
  <si>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</si>
  <si>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</si>
  <si>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</si>
  <si>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</si>
  <si>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</si>
  <si>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</si>
  <si>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</si>
  <si>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</si>
  <si>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</si>
  <si>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</si>
  <si>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</si>
  <si>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</si>
  <si>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</si>
  <si>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</si>
  <si>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</si>
  <si>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</si>
  <si>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</si>
  <si>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</si>
  <si>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</si>
  <si>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</si>
  <si>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</si>
  <si>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</si>
  <si>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</si>
  <si>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</si>
  <si>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</si>
  <si>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</si>
  <si>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</si>
  <si>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</si>
  <si>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</si>
  <si>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</si>
  <si>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</si>
  <si>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</si>
  <si>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</si>
  <si>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</si>
  <si>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</si>
  <si>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</si>
  <si>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</si>
  <si>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</si>
  <si>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</si>
  <si>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</si>
  <si>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</si>
  <si>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</si>
  <si>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</si>
  <si>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</si>
  <si>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</si>
  <si>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</si>
  <si>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</si>
  <si>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</si>
  <si>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</si>
  <si>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</si>
  <si>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</si>
  <si>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</si>
  <si>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</si>
  <si>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</si>
  <si>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</si>
  <si>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</si>
  <si>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</si>
  <si>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</si>
  <si>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</si>
  <si>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</si>
  <si>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</si>
  <si>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</si>
  <si>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</si>
  <si>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</si>
  <si>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</si>
  <si>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</si>
  <si>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</si>
  <si>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</si>
  <si>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</si>
  <si>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</si>
  <si>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</si>
  <si>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</si>
  <si>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</si>
  <si>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</si>
  <si>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</si>
  <si>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</si>
  <si>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</si>
  <si>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</si>
  <si>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</si>
  <si>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</si>
  <si>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</si>
  <si>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</si>
  <si>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</si>
  <si>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</si>
  <si>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</si>
  <si>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</si>
  <si>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</si>
  <si>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</si>
  <si>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</si>
  <si>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</si>
  <si>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</si>
  <si>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</si>
  <si>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</si>
  <si>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</si>
  <si>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</si>
  <si>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</si>
  <si>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</si>
  <si>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</si>
  <si>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</si>
  <si>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</si>
  <si>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</si>
  <si>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</si>
  <si>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</si>
  <si>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</si>
  <si>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</si>
  <si>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</si>
  <si>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</si>
  <si>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</si>
  <si>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</si>
  <si>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</si>
  <si>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</si>
  <si>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</si>
  <si>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</si>
  <si>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</si>
  <si>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</si>
  <si>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</si>
  <si>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</si>
  <si>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</si>
  <si>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</si>
  <si>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</si>
  <si>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</si>
  <si>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</si>
  <si>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</si>
  <si>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</si>
  <si>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</si>
  <si>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</si>
  <si>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</si>
  <si>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</si>
  <si>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</si>
  <si>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</si>
  <si>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</si>
  <si>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</si>
  <si>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</si>
  <si>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</si>
  <si>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</si>
  <si>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</si>
  <si>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</si>
  <si>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</si>
  <si>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</si>
  <si>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</si>
  <si>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</si>
  <si>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</si>
  <si>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</si>
  <si>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</si>
  <si>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</si>
  <si>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</si>
  <si>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</si>
  <si>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</si>
  <si>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</si>
  <si>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</si>
  <si>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</si>
  <si>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</si>
  <si>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</si>
  <si>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</si>
  <si>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</si>
  <si>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</si>
  <si>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</si>
  <si>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</si>
  <si>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</si>
  <si>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</si>
  <si>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</si>
  <si>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</si>
  <si>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</si>
  <si>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</si>
  <si>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</si>
  <si>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</si>
  <si>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</si>
  <si>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</si>
  <si>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</si>
  <si>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</si>
  <si>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</si>
  <si>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</si>
  <si>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</si>
  <si>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</si>
  <si>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</si>
  <si>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</si>
  <si>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</si>
  <si>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</si>
  <si>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</si>
  <si>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</si>
  <si>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</si>
  <si>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</si>
  <si>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</si>
  <si>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</si>
  <si>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</si>
  <si>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</si>
  <si>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</si>
  <si>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</si>
  <si>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</si>
  <si>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</si>
  <si>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</si>
  <si>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</si>
  <si>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</si>
  <si>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</si>
  <si>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</si>
  <si>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</si>
  <si>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</si>
  <si>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</si>
  <si>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</si>
  <si>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</si>
  <si>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</si>
  <si>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</si>
  <si>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</si>
  <si>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</si>
  <si>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</si>
  <si>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</si>
  <si>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</si>
  <si>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</si>
  <si>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</si>
  <si>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</si>
  <si>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</si>
  <si>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</si>
  <si>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</si>
  <si>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</si>
  <si>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</si>
  <si>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</si>
  <si>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</si>
  <si>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</si>
  <si>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</si>
  <si>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</si>
  <si>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</si>
  <si>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</si>
  <si>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</si>
  <si>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</si>
  <si>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</si>
  <si>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</si>
  <si>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</si>
  <si>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</si>
  <si>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</si>
  <si>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</si>
  <si>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</si>
  <si>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</si>
  <si>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</si>
  <si>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</si>
  <si>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</si>
  <si>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</si>
  <si>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</si>
  <si>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</si>
  <si>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</si>
  <si>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</si>
  <si>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</si>
  <si>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</si>
  <si>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</si>
  <si>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</si>
  <si>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</si>
  <si>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</si>
  <si>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</si>
  <si>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</si>
  <si>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</si>
  <si>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</si>
  <si>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</si>
  <si>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</si>
  <si>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</si>
  <si>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</si>
  <si>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</si>
  <si>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</si>
  <si>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</si>
  <si>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</si>
  <si>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</si>
  <si>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</si>
  <si>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</si>
  <si>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</si>
  <si>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</si>
  <si>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</si>
  <si>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</si>
  <si>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</si>
  <si>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</si>
  <si>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</si>
  <si>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</si>
  <si>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</si>
  <si>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</si>
  <si>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</si>
  <si>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</si>
  <si>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</si>
  <si>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</si>
  <si>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</si>
  <si>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</si>
  <si>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</si>
  <si>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</si>
  <si>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</si>
  <si>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</si>
  <si>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</si>
  <si>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</si>
  <si>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</si>
  <si>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</si>
  <si>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</si>
  <si>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</si>
  <si>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</si>
  <si>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</si>
  <si>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</si>
  <si>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</si>
  <si>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</si>
  <si>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</si>
  <si>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</si>
  <si>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</si>
  <si>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</si>
  <si>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</si>
  <si>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</si>
  <si>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</si>
  <si>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</si>
  <si>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</si>
  <si>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</si>
  <si>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</si>
  <si>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</si>
  <si>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</si>
  <si>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</si>
  <si>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</si>
  <si>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</si>
  <si>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</si>
  <si>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</si>
  <si>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</si>
  <si>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</si>
  <si>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</si>
  <si>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</si>
  <si>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</si>
  <si>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</si>
  <si>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</si>
  <si>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</si>
  <si>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</si>
  <si>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</si>
  <si>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</si>
  <si>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</si>
  <si>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</si>
  <si>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</si>
  <si>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short_order_id</t>
  </si>
  <si>
    <t>order_year</t>
  </si>
  <si>
    <t>MMM-YYYY</t>
  </si>
  <si>
    <t>months</t>
  </si>
  <si>
    <t>quarters</t>
  </si>
  <si>
    <t>lead_time</t>
  </si>
  <si>
    <t>adj_lead_time</t>
  </si>
  <si>
    <t>adj_required_date</t>
  </si>
  <si>
    <t>gross_revenue</t>
  </si>
  <si>
    <t>discount&gt;30%</t>
  </si>
  <si>
    <t>cost_of_goods</t>
  </si>
  <si>
    <t>gross_profit</t>
  </si>
  <si>
    <t>Quartile</t>
  </si>
  <si>
    <t>value</t>
  </si>
  <si>
    <t>Low</t>
  </si>
  <si>
    <t>Medium</t>
  </si>
  <si>
    <t>High</t>
  </si>
  <si>
    <t>price_band</t>
  </si>
  <si>
    <t>first_time_orders</t>
  </si>
  <si>
    <t>Cohort</t>
  </si>
  <si>
    <t>Row Labels</t>
  </si>
  <si>
    <t>Grand Total</t>
  </si>
  <si>
    <t>Column Labels</t>
  </si>
  <si>
    <t>Sum of gross_revenue</t>
  </si>
  <si>
    <t>cohorts</t>
  </si>
  <si>
    <t>Category_revenue</t>
  </si>
  <si>
    <t>Cumulative_revenue</t>
  </si>
  <si>
    <t>ABC</t>
  </si>
  <si>
    <t>cumulative_pct</t>
  </si>
  <si>
    <t>Order_count</t>
  </si>
  <si>
    <t>First_order_date</t>
  </si>
  <si>
    <t>last_order_date</t>
  </si>
  <si>
    <t>operations_duration</t>
  </si>
  <si>
    <t>revenue</t>
  </si>
  <si>
    <t>profits</t>
  </si>
  <si>
    <t>average_discount</t>
  </si>
  <si>
    <t>Orders/month</t>
  </si>
  <si>
    <t>revenue/order</t>
  </si>
  <si>
    <t>profit/order</t>
  </si>
  <si>
    <t>Canibalization</t>
  </si>
  <si>
    <t>lead_proxy</t>
  </si>
  <si>
    <t>order count</t>
  </si>
  <si>
    <t>Values</t>
  </si>
  <si>
    <t>Sceneraio Controls</t>
  </si>
  <si>
    <t>Global Discount Cap</t>
  </si>
  <si>
    <t>Unit Cost Inflation</t>
  </si>
  <si>
    <t>Quantity Uplift</t>
  </si>
  <si>
    <t>adj_unit_cost</t>
  </si>
  <si>
    <t>scenario_quantity</t>
  </si>
  <si>
    <t>scenario_revenue</t>
  </si>
  <si>
    <t>cap_adjusted_discount</t>
  </si>
  <si>
    <t>BASELINE REVENUE</t>
  </si>
  <si>
    <t>BASELINE_PROFIT</t>
  </si>
  <si>
    <t>MODELED_REVENUE</t>
  </si>
  <si>
    <t>MODELED_PROFIT</t>
  </si>
  <si>
    <t>Scenario_unit_cost</t>
  </si>
  <si>
    <t>scenario_profit</t>
  </si>
  <si>
    <t>SALES DASHBOARD</t>
  </si>
  <si>
    <t>GROSS REVENUE</t>
  </si>
  <si>
    <t>GROSS_PROFIT</t>
  </si>
  <si>
    <t>MARGIN %</t>
  </si>
  <si>
    <t>AVG_ORDER_VALUE</t>
  </si>
  <si>
    <t>ON_TIME %</t>
  </si>
  <si>
    <t>Margin %</t>
  </si>
  <si>
    <t>Revenue</t>
  </si>
  <si>
    <t>Sum of gross_profit</t>
  </si>
  <si>
    <t xml:space="preserve"> </t>
  </si>
  <si>
    <t>Count of short_order_id</t>
  </si>
  <si>
    <t>Sum of lead_proxy</t>
  </si>
  <si>
    <t>Total Sum of gross_revenue</t>
  </si>
  <si>
    <t>Total Count of short_order_id</t>
  </si>
  <si>
    <t>Total Sum of lead_proxy</t>
  </si>
  <si>
    <t>Total Sum of gross_profit</t>
  </si>
  <si>
    <t>SKU Revenue</t>
  </si>
  <si>
    <t>Category Total</t>
  </si>
  <si>
    <t>Cumulative Revenue</t>
  </si>
  <si>
    <t>Cumulative %</t>
  </si>
  <si>
    <t>ABC Class</t>
  </si>
  <si>
    <t>ABC Summary — SKU count by class</t>
  </si>
  <si>
    <t>A</t>
  </si>
  <si>
    <t>B</t>
  </si>
  <si>
    <t>C</t>
  </si>
  <si>
    <t>Total</t>
  </si>
  <si>
    <t>Price Compliance — Share of Orders with Discount &gt; 20%</t>
  </si>
  <si>
    <t>Total Orders</t>
  </si>
  <si>
    <t>Orders &gt;20%</t>
  </si>
  <si>
    <t>Share &gt;20%</t>
  </si>
  <si>
    <t>Avg Discount</t>
  </si>
  <si>
    <t>Outlier orders (Discount &gt; 20%), sorted by discount</t>
  </si>
  <si>
    <t>Category</t>
  </si>
  <si>
    <t>Discount %</t>
  </si>
  <si>
    <t>orders&lt;=7days</t>
  </si>
  <si>
    <t>%&lt;=7days</t>
  </si>
  <si>
    <t>1. DATA ISSUES FOUND (in original_data, 632 rows)</t>
  </si>
  <si>
    <t>• Missing values: 8 blank City, 8 blank Channel, 8 blank Salesperson.</t>
  </si>
  <si>
    <t>• RequiredDate earlier than OrderDate on some rows (negative lead time).</t>
  </si>
  <si>
    <t>• Discounts above the 30% policy cap (flagged); largest observed 56.5%.</t>
  </si>
  <si>
    <t>• Cost &gt; Price on some lines, producing negative gross profit.</t>
  </si>
  <si>
    <t>• Mixed/unstandardised dimensions requiring Month / Quarter / Price-band derivation.</t>
  </si>
  <si>
    <t>2. CLEANING RULES APPLIED (see clean_data / Table1)</t>
  </si>
  <si>
    <t>• Duplicates: rows treated as unique by OrderID; no exact full-row duplicates were found, so none removed.</t>
  </si>
  <si>
    <t>• Data types: OrderDate / RequiredDate stored as dates; cost, price, qty, discount as numbers.</t>
  </si>
  <si>
    <t>• Missing City  -&gt; imputed with the most common City for that Country (mode).</t>
  </si>
  <si>
    <t>• Missing Channel -&gt; imputed with the most common Channel for that Country (mode).</t>
  </si>
  <si>
    <t>• Missing Salesperson -&gt; imputed with the most common Salesperson for that Country (mode).</t>
  </si>
  <si>
    <t>• RequiredDate &lt; OrderDate -&gt; adj_required_date = OrderDate + median lead time.</t>
  </si>
  <si>
    <t>• Lead time: lead_time = RequiredDate - OrderDate; adj_lead_time replaces negatives with the median.</t>
  </si>
  <si>
    <t>• Discount cap: cap_adjusted_discount = MIN(DiscountPct, scenario cap); discount&gt;30% flagged.</t>
  </si>
  <si>
    <t>3. CALCULATED COLUMNS &amp; DEFINITIONS</t>
  </si>
  <si>
    <t>• gross_revenue = UnitPrice x Quantity x (1 - DiscountPct)</t>
  </si>
  <si>
    <t>• cost_of_goods = UnitCost x Quantity</t>
  </si>
  <si>
    <t>• gross_profit  = gross_revenue - cost_of_goods</t>
  </si>
  <si>
    <t>• Margin %      = IF(gross_revenue=0, 0, gross_profit / gross_revenue)</t>
  </si>
  <si>
    <t>• lead_proxy    = 1 if adj_lead_time &lt;= 7 days (on-time), else 0</t>
  </si>
  <si>
    <t>• price_band    = Low / Medium / High using 33rd &amp; 67th percentile cut-offs (Quantiles sheet)</t>
  </si>
  <si>
    <t>• Month (MMM-YYYY), Quarter (Qn-YYYY), Region&gt;Country&gt;City hierarchy</t>
  </si>
  <si>
    <t>4. KEY ASSUMPTIONS</t>
  </si>
  <si>
    <t>• 'Order' = one transaction line; Avg Order Value = total revenue / line count.</t>
  </si>
  <si>
    <t>• On-Time target = delivery within 7 days (adj_lead_time &lt;= 7).</t>
  </si>
  <si>
    <t>• ABC: SKUs ranked by revenue WITHIN each category; A = top 80%, B = next 15%, C = last 5%.</t>
  </si>
  <si>
    <t>• Scenario inputs (Discount Cap, Cost Inflation, Quantity Uplift) live on 'scenario modeling' and feed clean_data.</t>
  </si>
  <si>
    <t>5. SHEET GUIDE</t>
  </si>
  <si>
    <t>• original_data – raw source (untouched)            • clean_data – staging table (Table1) + calc columns</t>
  </si>
  <si>
    <t>• Quantiles – price-band cut-offs                   • Cohort_analysis – first-order cohort by Country x month</t>
  </si>
  <si>
    <t>• ABC_analysis – SKU ranking &amp; A/B/C class          • sales – salesperson productivity (top/bottom 3 highlighted)</t>
  </si>
  <si>
    <t>• channelmix – channel mix &amp; cannibalisation        • lead_proxy – on-time % by Country &amp; Category</t>
  </si>
  <si>
    <t>• price_compliance – discount &gt;20% &amp; outliers       • scenario modeling – What-If control panel</t>
  </si>
  <si>
    <t>• Dashboard – KPIs, charts, slicers, insights</t>
  </si>
  <si>
    <t>6. DASHBOARD NOTES</t>
  </si>
  <si>
    <t>• KPIs are driven by GETPIVOTDATA on slicer-connected pivots, so they respond to all 6 slicers.</t>
  </si>
  <si>
    <t>• No hard-coded totals: every measure is a live Excel formula or PivotTable.</t>
  </si>
  <si>
    <t>Total Average of Margin %</t>
  </si>
  <si>
    <t>Average of Margin %</t>
  </si>
  <si>
    <t>Sales Operations &amp;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</si>
</sst>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4" x14ac:knownFonts="1">
    <font>
      <sz val="11"/>
      <color theme="1"/>
      <name val="Calibri"/>
      <family val="2"/>
      <scheme val="minor"/>
    </font>
    <font>
      <b/>
      <sz val="11"/>
      <color theme="1"/>
      <name val="Calibri"/>
      <family val="2"/>
      <scheme val="minor"/>
    </font>
    <font>
      <sz val="8"/>
      <name val="Calibri"/>
      <family val="2"/>
      <scheme val="minor"/>
    </font>
    <font>
      <b/>
      <sz val="26"/>
      <color theme="1"/>
      <name val="Calibri"/>
      <family val="2"/>
      <scheme val="minor"/>
    </font>
    <font>
      <b/>
      <sz val="16"/>
      <color theme="1"/>
      <name val="Calibri"/>
      <family val="2"/>
      <scheme val="minor"/>
    </font>
    <font>
      <b/>
      <sz val="22"/>
      <color theme="1"/>
      <name val="Calibri"/>
      <family val="2"/>
      <scheme val="minor"/>
    </font>
    <font>
      <sz val="11"/>
      <color rgb="FFFF0000"/>
      <name val="Calibri"/>
      <family val="2"/>
      <scheme val="minor"/>
    </font>
    <font>
      <b/>
      <sz val="11"/>
      <color rgb="FFFFFFFF"/>
      <name val="Calibri"/>
      <family val="2"/>
      <scheme val="minor"/>
    </font>
    <font>
      <i/>
      <sz val="11"/>
      <color rgb="FF808080"/>
      <name val="Calibri"/>
      <family val="2"/>
      <scheme val="minor"/>
    </font>
    <font>
      <sz val="10"/>
      <color theme="1"/>
      <name val="Calibri"/>
      <family val="2"/>
      <scheme val="minor"/>
    </font>
    <font>
      <b/>
      <sz val="16"/>
      <color rgb="FF1F4E78"/>
      <name val="Calibri"/>
      <family val="2"/>
      <scheme val="minor"/>
    </font>
    <font>
      <i/>
      <sz val="11"/>
      <color rgb="FF555555"/>
      <name val="Calibri"/>
      <family val="2"/>
      <scheme val="minor"/>
    </font>
    <font>
      <b/>
      <sz val="12"/>
      <color rgb="FF1F4E78"/>
      <name val="Calibri"/>
      <family val="2"/>
      <scheme val="minor"/>
    </font>
    <font>
      <b/>
      <sz val="14"/>
      <color rgb="FF1F4E78"/>
      <name val="Calibri"/>
      <family val="2"/>
      <scheme val="minor"/>
    </font>
  </fonts>
  <fills count="5">
    <fill>
      <patternFill patternType="none"/>
    </fill>
    <fill>
      <patternFill patternType="gray125"/>
    </fill>
    <fill>
      <patternFill patternType="solid">
        <fgColor theme="0"/>
        <bgColor indexed="64"/>
      </patternFill>
    </fill>
    <fill>
      <patternFill patternType="solid">
        <fgColor rgb="FF1F4E78"/>
        <bgColor indexed="64"/>
      </patternFill>
    </fill>
    <fill>
      <patternFill patternType="solid">
        <fgColor rgb="FFD9E1F2"/>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65">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2" fontId="1" fillId="0" borderId="2" xfId="0" applyNumberFormat="1" applyFont="1" applyBorder="1" applyAlignment="1">
      <alignment horizontal="center" vertical="top"/>
    </xf>
    <xf numFmtId="2" fontId="0" fillId="0" borderId="0" xfId="0" applyNumberFormat="1"/>
    <xf numFmtId="1" fontId="1" fillId="0" borderId="2" xfId="0" applyNumberFormat="1" applyFont="1" applyBorder="1" applyAlignment="1">
      <alignment horizontal="center" vertical="top"/>
    </xf>
    <xf numFmtId="1" fontId="0" fillId="0" borderId="0" xfId="0" applyNumberFormat="1"/>
    <xf numFmtId="14" fontId="1" fillId="0" borderId="2"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0" fillId="0" borderId="1" xfId="0" applyBorder="1"/>
    <xf numFmtId="14" fontId="0" fillId="0" borderId="1" xfId="0" applyNumberFormat="1" applyBorder="1"/>
    <xf numFmtId="2" fontId="0" fillId="0" borderId="1" xfId="0" applyNumberFormat="1" applyBorder="1"/>
    <xf numFmtId="0" fontId="1" fillId="0" borderId="3" xfId="0" applyFont="1" applyBorder="1"/>
    <xf numFmtId="0" fontId="1" fillId="0" borderId="4" xfId="0" applyFont="1" applyBorder="1"/>
    <xf numFmtId="0" fontId="1" fillId="0" borderId="5" xfId="0" applyFont="1" applyBorder="1"/>
    <xf numFmtId="0" fontId="0" fillId="0" borderId="6" xfId="0" applyBorder="1"/>
    <xf numFmtId="2" fontId="0" fillId="0" borderId="7" xfId="0" applyNumberFormat="1" applyBorder="1"/>
    <xf numFmtId="0" fontId="0" fillId="0" borderId="8" xfId="0" applyBorder="1"/>
    <xf numFmtId="0" fontId="0" fillId="0" borderId="9" xfId="0" applyBorder="1"/>
    <xf numFmtId="14" fontId="0" fillId="0" borderId="9" xfId="0" applyNumberFormat="1" applyBorder="1"/>
    <xf numFmtId="2" fontId="0" fillId="0" borderId="9" xfId="0" applyNumberFormat="1" applyBorder="1"/>
    <xf numFmtId="2" fontId="0" fillId="0" borderId="10" xfId="0" applyNumberFormat="1" applyBorder="1"/>
    <xf numFmtId="0" fontId="0" fillId="0" borderId="3" xfId="0" applyBorder="1"/>
    <xf numFmtId="0" fontId="0" fillId="0" borderId="4" xfId="0" applyBorder="1"/>
    <xf numFmtId="14" fontId="0" fillId="0" borderId="4" xfId="0" applyNumberFormat="1" applyBorder="1"/>
    <xf numFmtId="2" fontId="0" fillId="0" borderId="4" xfId="0" applyNumberFormat="1" applyBorder="1"/>
    <xf numFmtId="2" fontId="0" fillId="0" borderId="5" xfId="0" applyNumberFormat="1" applyBorder="1"/>
    <xf numFmtId="0" fontId="1" fillId="0" borderId="0" xfId="0" applyFont="1" applyAlignment="1">
      <alignment horizontal="left"/>
    </xf>
    <xf numFmtId="0" fontId="0" fillId="0" borderId="0" xfId="0" applyAlignment="1">
      <alignment horizontal="left" indent="1"/>
    </xf>
    <xf numFmtId="9" fontId="0" fillId="0" borderId="0" xfId="0" applyNumberFormat="1"/>
    <xf numFmtId="165" fontId="0" fillId="0" borderId="0" xfId="0" applyNumberFormat="1"/>
    <xf numFmtId="0" fontId="6" fillId="2" borderId="0" xfId="0" applyFont="1" applyFill="1"/>
    <xf numFmtId="0" fontId="0" fillId="2" borderId="0" xfId="0" applyFill="1"/>
    <xf numFmtId="0" fontId="7" fillId="3" borderId="0" xfId="0" applyFont="1" applyFill="1"/>
    <xf numFmtId="0" fontId="1" fillId="4" borderId="0" xfId="0" applyFont="1" applyFill="1"/>
    <xf numFmtId="0" fontId="8" fillId="2" borderId="0" xfId="0" applyFont="1" applyFill="1"/>
    <xf numFmtId="0" fontId="12" fillId="0" borderId="0" xfId="0" applyFont="1"/>
    <xf numFmtId="0" fontId="10" fillId="0" borderId="0" xfId="0" applyFont="1" applyAlignment="1">
      <alignment horizontal="left"/>
    </xf>
    <xf numFmtId="0" fontId="11" fillId="0" borderId="0" xfId="0" applyFont="1" applyAlignment="1">
      <alignment horizontal="left"/>
    </xf>
    <xf numFmtId="0" fontId="12" fillId="0" borderId="0" xfId="0" applyFont="1" applyAlignment="1">
      <alignment horizontal="left"/>
    </xf>
    <xf numFmtId="0" fontId="0" fillId="0" borderId="0" xfId="0" applyAlignment="1">
      <alignment wrapText="1"/>
    </xf>
    <xf numFmtId="2" fontId="7" fillId="3" borderId="0" xfId="0" applyNumberFormat="1" applyFont="1" applyFill="1"/>
    <xf numFmtId="0" fontId="9" fillId="2" borderId="0" xfId="0" applyFont="1" applyFill="1" applyAlignment="1">
      <alignment vertical="top" wrapText="1"/>
    </xf>
    <xf numFmtId="0" fontId="13" fillId="2" borderId="0" xfId="0" applyFont="1" applyFill="1"/>
    <xf numFmtId="4" fontId="5" fillId="2" borderId="17" xfId="0" applyNumberFormat="1" applyFont="1" applyFill="1" applyBorder="1" applyAlignment="1">
      <alignment horizontal="center"/>
    </xf>
    <xf numFmtId="4" fontId="5" fillId="2" borderId="0" xfId="0" applyNumberFormat="1" applyFont="1" applyFill="1" applyAlignment="1">
      <alignment horizontal="center"/>
    </xf>
    <xf numFmtId="4" fontId="5" fillId="2" borderId="18" xfId="0" applyNumberFormat="1" applyFont="1" applyFill="1" applyBorder="1" applyAlignment="1">
      <alignment horizontal="center"/>
    </xf>
    <xf numFmtId="4" fontId="5" fillId="2" borderId="14" xfId="0" applyNumberFormat="1" applyFont="1" applyFill="1" applyBorder="1" applyAlignment="1">
      <alignment horizontal="center"/>
    </xf>
    <xf numFmtId="4" fontId="5" fillId="2" borderId="15" xfId="0" applyNumberFormat="1" applyFont="1" applyFill="1" applyBorder="1" applyAlignment="1">
      <alignment horizontal="center"/>
    </xf>
    <xf numFmtId="4" fontId="5" fillId="2" borderId="16" xfId="0" applyNumberFormat="1" applyFont="1" applyFill="1" applyBorder="1" applyAlignment="1">
      <alignment horizontal="center"/>
    </xf>
    <xf numFmtId="10" fontId="5" fillId="2" borderId="17" xfId="0" applyNumberFormat="1" applyFont="1" applyFill="1" applyBorder="1" applyAlignment="1">
      <alignment horizontal="center"/>
    </xf>
    <xf numFmtId="10" fontId="5" fillId="2" borderId="0" xfId="0" applyNumberFormat="1" applyFont="1" applyFill="1" applyAlignment="1">
      <alignment horizontal="center"/>
    </xf>
    <xf numFmtId="10" fontId="5" fillId="2" borderId="18" xfId="0" applyNumberFormat="1" applyFont="1" applyFill="1" applyBorder="1" applyAlignment="1">
      <alignment horizontal="center"/>
    </xf>
    <xf numFmtId="10" fontId="5" fillId="2" borderId="14" xfId="0" applyNumberFormat="1" applyFont="1" applyFill="1" applyBorder="1" applyAlignment="1">
      <alignment horizontal="center"/>
    </xf>
    <xf numFmtId="10" fontId="5" fillId="2" borderId="15" xfId="0" applyNumberFormat="1" applyFont="1" applyFill="1" applyBorder="1" applyAlignment="1">
      <alignment horizontal="center"/>
    </xf>
    <xf numFmtId="10" fontId="5" fillId="2" borderId="16" xfId="0" applyNumberFormat="1" applyFont="1" applyFill="1" applyBorder="1" applyAlignment="1">
      <alignment horizontal="center"/>
    </xf>
    <xf numFmtId="0" fontId="3" fillId="2" borderId="0" xfId="0" applyFont="1" applyFill="1" applyAlignment="1">
      <alignment horizontal="center"/>
    </xf>
    <xf numFmtId="0" fontId="4" fillId="2" borderId="11" xfId="0" applyFont="1" applyFill="1" applyBorder="1" applyAlignment="1">
      <alignment horizontal="center"/>
    </xf>
    <xf numFmtId="0" fontId="4" fillId="2" borderId="12" xfId="0" applyFont="1" applyFill="1" applyBorder="1" applyAlignment="1">
      <alignment horizontal="center"/>
    </xf>
    <xf numFmtId="0" fontId="4" fillId="2" borderId="13" xfId="0" applyFont="1" applyFill="1" applyBorder="1" applyAlignment="1">
      <alignment horizontal="center"/>
    </xf>
    <xf numFmtId="0" fontId="7" fillId="3" borderId="0" xfId="0" applyFont="1" applyFill="1"/>
  </cellXfs>
  <cellStyles count="1">
    <cellStyle name="Normal" xfId="0" builtinId="0"/>
  </cellStyles>
  <dxfs count="36">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numFmt numFmtId="0" formatCode="General"/>
    </dxf>
    <dxf>
      <numFmt numFmtId="2" formatCode="0.00"/>
    </dxf>
    <dxf>
      <numFmt numFmtId="2" formatCode="0.00"/>
    </dxf>
    <dxf>
      <numFmt numFmtId="2" formatCode="0.00"/>
    </dxf>
    <dxf>
      <numFmt numFmtId="2" formatCode="0.00"/>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19" formatCode="dd/mm/yyyy"/>
    </dxf>
    <dxf>
      <numFmt numFmtId="19" formatCode="dd/mm/yyyy"/>
    </dxf>
    <dxf>
      <numFmt numFmtId="1" formatCode="0"/>
    </dxf>
    <dxf>
      <numFmt numFmtId="1" formatCode="0"/>
    </dxf>
    <dxf>
      <numFmt numFmtId="1" formatCode="0"/>
    </dxf>
    <dxf>
      <numFmt numFmtId="1" formatCode="0"/>
    </dxf>
    <dxf>
      <numFmt numFmtId="1" formatCode="0"/>
    </dxf>
    <dxf>
      <numFmt numFmtId="164" formatCode="yyyy\-mm\-dd"/>
    </dxf>
    <dxf>
      <numFmt numFmtId="19" formatCode="dd/mm/yyyy"/>
    </dxf>
    <dxf>
      <numFmt numFmtId="1" formatCode="0"/>
    </dxf>
    <dxf>
      <numFmt numFmtId="19" formatCode="dd/mm/yyyy"/>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lead_proxy!$B$1</c:f>
              <c:strCache>
                <c:ptCount val="1"/>
                <c:pt idx="0">
                  <c:v>order count</c:v>
                </c:pt>
              </c:strCache>
            </c:strRef>
          </c:tx>
          <c:spPr>
            <a:solidFill>
              <a:schemeClr val="accent1"/>
            </a:solidFill>
            <a:ln>
              <a:noFill/>
            </a:ln>
            <a:effectLst/>
          </c:spPr>
          <c:invertIfNegative val="0"/>
          <c:cat>
            <c:strRef>
              <c:f>lead_proxy!$A$2:$A$13</c:f>
              <c:strCache>
                <c:ptCount val="12"/>
                <c:pt idx="0">
                  <c:v>Nigeria</c:v>
                </c:pt>
                <c:pt idx="1">
                  <c:v>India</c:v>
                </c:pt>
                <c:pt idx="2">
                  <c:v>United Kingdom</c:v>
                </c:pt>
                <c:pt idx="3">
                  <c:v>Japan</c:v>
                </c:pt>
                <c:pt idx="4">
                  <c:v>China</c:v>
                </c:pt>
                <c:pt idx="5">
                  <c:v>France</c:v>
                </c:pt>
                <c:pt idx="6">
                  <c:v>South Africa</c:v>
                </c:pt>
                <c:pt idx="7">
                  <c:v>Germany</c:v>
                </c:pt>
                <c:pt idx="8">
                  <c:v>Kenya</c:v>
                </c:pt>
                <c:pt idx="9">
                  <c:v>Brazil</c:v>
                </c:pt>
                <c:pt idx="10">
                  <c:v>Canada</c:v>
                </c:pt>
                <c:pt idx="11">
                  <c:v>USA</c:v>
                </c:pt>
              </c:strCache>
            </c:strRef>
          </c:cat>
          <c:val>
            <c:numRef>
              <c:f>lead_proxy!$B$2:$B$13</c:f>
              <c:numCache>
                <c:formatCode>General</c:formatCode>
                <c:ptCount val="12"/>
                <c:pt idx="0">
                  <c:v>44</c:v>
                </c:pt>
                <c:pt idx="1">
                  <c:v>61</c:v>
                </c:pt>
                <c:pt idx="2">
                  <c:v>54</c:v>
                </c:pt>
                <c:pt idx="3">
                  <c:v>59</c:v>
                </c:pt>
                <c:pt idx="4">
                  <c:v>51</c:v>
                </c:pt>
                <c:pt idx="5">
                  <c:v>54</c:v>
                </c:pt>
                <c:pt idx="6">
                  <c:v>45</c:v>
                </c:pt>
                <c:pt idx="7">
                  <c:v>51</c:v>
                </c:pt>
                <c:pt idx="8">
                  <c:v>56</c:v>
                </c:pt>
                <c:pt idx="9">
                  <c:v>62</c:v>
                </c:pt>
                <c:pt idx="10">
                  <c:v>44</c:v>
                </c:pt>
                <c:pt idx="11">
                  <c:v>51</c:v>
                </c:pt>
              </c:numCache>
            </c:numRef>
          </c:val>
          <c:extLst>
            <c:ext xmlns:c16="http://schemas.microsoft.com/office/drawing/2014/chart" uri="{C3380CC4-5D6E-409C-BE32-E72D297353CC}">
              <c16:uniqueId val="{00000000-0C06-4C06-ABAC-C0417A601490}"/>
            </c:ext>
          </c:extLst>
        </c:ser>
        <c:ser>
          <c:idx val="1"/>
          <c:order val="1"/>
          <c:tx>
            <c:strRef>
              <c:f>lead_proxy!$C$1</c:f>
              <c:strCache>
                <c:ptCount val="1"/>
                <c:pt idx="0">
                  <c:v>orders&lt;=7days</c:v>
                </c:pt>
              </c:strCache>
            </c:strRef>
          </c:tx>
          <c:spPr>
            <a:solidFill>
              <a:schemeClr val="accent2"/>
            </a:solidFill>
            <a:ln>
              <a:noFill/>
            </a:ln>
            <a:effectLst/>
          </c:spPr>
          <c:invertIfNegative val="0"/>
          <c:cat>
            <c:strRef>
              <c:f>lead_proxy!$A$2:$A$13</c:f>
              <c:strCache>
                <c:ptCount val="12"/>
                <c:pt idx="0">
                  <c:v>Nigeria</c:v>
                </c:pt>
                <c:pt idx="1">
                  <c:v>India</c:v>
                </c:pt>
                <c:pt idx="2">
                  <c:v>United Kingdom</c:v>
                </c:pt>
                <c:pt idx="3">
                  <c:v>Japan</c:v>
                </c:pt>
                <c:pt idx="4">
                  <c:v>China</c:v>
                </c:pt>
                <c:pt idx="5">
                  <c:v>France</c:v>
                </c:pt>
                <c:pt idx="6">
                  <c:v>South Africa</c:v>
                </c:pt>
                <c:pt idx="7">
                  <c:v>Germany</c:v>
                </c:pt>
                <c:pt idx="8">
                  <c:v>Kenya</c:v>
                </c:pt>
                <c:pt idx="9">
                  <c:v>Brazil</c:v>
                </c:pt>
                <c:pt idx="10">
                  <c:v>Canada</c:v>
                </c:pt>
                <c:pt idx="11">
                  <c:v>USA</c:v>
                </c:pt>
              </c:strCache>
            </c:strRef>
          </c:cat>
          <c:val>
            <c:numRef>
              <c:f>lead_proxy!$C$2:$C$13</c:f>
              <c:numCache>
                <c:formatCode>General</c:formatCode>
                <c:ptCount val="12"/>
                <c:pt idx="0">
                  <c:v>14</c:v>
                </c:pt>
                <c:pt idx="1">
                  <c:v>11</c:v>
                </c:pt>
                <c:pt idx="2">
                  <c:v>13</c:v>
                </c:pt>
                <c:pt idx="3">
                  <c:v>10</c:v>
                </c:pt>
                <c:pt idx="4">
                  <c:v>9</c:v>
                </c:pt>
                <c:pt idx="5">
                  <c:v>12</c:v>
                </c:pt>
                <c:pt idx="6">
                  <c:v>10</c:v>
                </c:pt>
                <c:pt idx="7">
                  <c:v>11</c:v>
                </c:pt>
                <c:pt idx="8">
                  <c:v>15</c:v>
                </c:pt>
                <c:pt idx="9">
                  <c:v>13</c:v>
                </c:pt>
                <c:pt idx="10">
                  <c:v>6</c:v>
                </c:pt>
                <c:pt idx="11">
                  <c:v>14</c:v>
                </c:pt>
              </c:numCache>
            </c:numRef>
          </c:val>
          <c:extLst>
            <c:ext xmlns:c16="http://schemas.microsoft.com/office/drawing/2014/chart" uri="{C3380CC4-5D6E-409C-BE32-E72D297353CC}">
              <c16:uniqueId val="{00000001-0C06-4C06-ABAC-C0417A601490}"/>
            </c:ext>
          </c:extLst>
        </c:ser>
        <c:dLbls>
          <c:showLegendKey val="0"/>
          <c:showVal val="0"/>
          <c:showCatName val="0"/>
          <c:showSerName val="0"/>
          <c:showPercent val="0"/>
          <c:showBubbleSize val="0"/>
        </c:dLbls>
        <c:gapWidth val="219"/>
        <c:overlap val="-27"/>
        <c:axId val="766129935"/>
        <c:axId val="766120335"/>
        <c:extLst>
          <c:ext xmlns:c15="http://schemas.microsoft.com/office/drawing/2012/chart" uri="{02D57815-91ED-43cb-92C2-25804820EDAC}">
            <c15:filteredBarSeries>
              <c15:ser>
                <c:idx val="2"/>
                <c:order val="2"/>
                <c:tx>
                  <c:strRef>
                    <c:extLst>
                      <c:ext uri="{02D57815-91ED-43cb-92C2-25804820EDAC}">
                        <c15:formulaRef>
                          <c15:sqref>lead_proxy!$D$1</c15:sqref>
                        </c15:formulaRef>
                      </c:ext>
                    </c:extLst>
                    <c:strCache>
                      <c:ptCount val="1"/>
                      <c:pt idx="0">
                        <c:v>%&lt;=7days</c:v>
                      </c:pt>
                    </c:strCache>
                  </c:strRef>
                </c:tx>
                <c:spPr>
                  <a:solidFill>
                    <a:schemeClr val="accent3"/>
                  </a:solidFill>
                  <a:ln>
                    <a:noFill/>
                  </a:ln>
                  <a:effectLst/>
                </c:spPr>
                <c:invertIfNegative val="0"/>
                <c:cat>
                  <c:strRef>
                    <c:extLst>
                      <c:ext uri="{02D57815-91ED-43cb-92C2-25804820EDAC}">
                        <c15:formulaRef>
                          <c15:sqref>lead_proxy!$A$2:$A$13</c15:sqref>
                        </c15:formulaRef>
                      </c:ext>
                    </c:extLst>
                    <c:strCache>
                      <c:ptCount val="12"/>
                      <c:pt idx="0">
                        <c:v>Nigeria</c:v>
                      </c:pt>
                      <c:pt idx="1">
                        <c:v>India</c:v>
                      </c:pt>
                      <c:pt idx="2">
                        <c:v>United Kingdom</c:v>
                      </c:pt>
                      <c:pt idx="3">
                        <c:v>Japan</c:v>
                      </c:pt>
                      <c:pt idx="4">
                        <c:v>China</c:v>
                      </c:pt>
                      <c:pt idx="5">
                        <c:v>France</c:v>
                      </c:pt>
                      <c:pt idx="6">
                        <c:v>South Africa</c:v>
                      </c:pt>
                      <c:pt idx="7">
                        <c:v>Germany</c:v>
                      </c:pt>
                      <c:pt idx="8">
                        <c:v>Kenya</c:v>
                      </c:pt>
                      <c:pt idx="9">
                        <c:v>Brazil</c:v>
                      </c:pt>
                      <c:pt idx="10">
                        <c:v>Canada</c:v>
                      </c:pt>
                      <c:pt idx="11">
                        <c:v>USA</c:v>
                      </c:pt>
                    </c:strCache>
                  </c:strRef>
                </c:cat>
                <c:val>
                  <c:numRef>
                    <c:extLst>
                      <c:ext uri="{02D57815-91ED-43cb-92C2-25804820EDAC}">
                        <c15:formulaRef>
                          <c15:sqref>lead_proxy!$D$2:$D$13</c15:sqref>
                        </c15:formulaRef>
                      </c:ext>
                    </c:extLst>
                    <c:numCache>
                      <c:formatCode>0.00</c:formatCode>
                      <c:ptCount val="12"/>
                      <c:pt idx="0">
                        <c:v>0.31818181818181818</c:v>
                      </c:pt>
                      <c:pt idx="1">
                        <c:v>0.18032786885245902</c:v>
                      </c:pt>
                      <c:pt idx="2">
                        <c:v>0.24074074074074073</c:v>
                      </c:pt>
                      <c:pt idx="3">
                        <c:v>0.16949152542372881</c:v>
                      </c:pt>
                      <c:pt idx="4">
                        <c:v>0.17647058823529413</c:v>
                      </c:pt>
                      <c:pt idx="5">
                        <c:v>0.22222222222222221</c:v>
                      </c:pt>
                      <c:pt idx="6">
                        <c:v>0.22222222222222221</c:v>
                      </c:pt>
                      <c:pt idx="7">
                        <c:v>0.21568627450980393</c:v>
                      </c:pt>
                      <c:pt idx="8">
                        <c:v>0.26785714285714285</c:v>
                      </c:pt>
                      <c:pt idx="9">
                        <c:v>0.20967741935483872</c:v>
                      </c:pt>
                      <c:pt idx="10">
                        <c:v>0.13636363636363635</c:v>
                      </c:pt>
                      <c:pt idx="11">
                        <c:v>0.27450980392156865</c:v>
                      </c:pt>
                    </c:numCache>
                  </c:numRef>
                </c:val>
                <c:extLst>
                  <c:ext xmlns:c16="http://schemas.microsoft.com/office/drawing/2014/chart" uri="{C3380CC4-5D6E-409C-BE32-E72D297353CC}">
                    <c16:uniqueId val="{00000002-0C06-4C06-ABAC-C0417A601490}"/>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lead_proxy!$E$1</c15:sqref>
                        </c15:formulaRef>
                      </c:ext>
                    </c:extLst>
                    <c:strCache>
                      <c:ptCount val="1"/>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lead_proxy!$A$2:$A$13</c15:sqref>
                        </c15:formulaRef>
                      </c:ext>
                    </c:extLst>
                    <c:strCache>
                      <c:ptCount val="12"/>
                      <c:pt idx="0">
                        <c:v>Nigeria</c:v>
                      </c:pt>
                      <c:pt idx="1">
                        <c:v>India</c:v>
                      </c:pt>
                      <c:pt idx="2">
                        <c:v>United Kingdom</c:v>
                      </c:pt>
                      <c:pt idx="3">
                        <c:v>Japan</c:v>
                      </c:pt>
                      <c:pt idx="4">
                        <c:v>China</c:v>
                      </c:pt>
                      <c:pt idx="5">
                        <c:v>France</c:v>
                      </c:pt>
                      <c:pt idx="6">
                        <c:v>South Africa</c:v>
                      </c:pt>
                      <c:pt idx="7">
                        <c:v>Germany</c:v>
                      </c:pt>
                      <c:pt idx="8">
                        <c:v>Kenya</c:v>
                      </c:pt>
                      <c:pt idx="9">
                        <c:v>Brazil</c:v>
                      </c:pt>
                      <c:pt idx="10">
                        <c:v>Canada</c:v>
                      </c:pt>
                      <c:pt idx="11">
                        <c:v>USA</c:v>
                      </c:pt>
                    </c:strCache>
                  </c:strRef>
                </c:cat>
                <c:val>
                  <c:numRef>
                    <c:extLst xmlns:c15="http://schemas.microsoft.com/office/drawing/2012/chart">
                      <c:ext xmlns:c15="http://schemas.microsoft.com/office/drawing/2012/chart" uri="{02D57815-91ED-43cb-92C2-25804820EDAC}">
                        <c15:formulaRef>
                          <c15:sqref>lead_proxy!$E$2:$E$13</c15:sqref>
                        </c15:formulaRef>
                      </c:ext>
                    </c:extLst>
                    <c:numCache>
                      <c:formatCode>General</c:formatCode>
                      <c:ptCount val="12"/>
                    </c:numCache>
                  </c:numRef>
                </c:val>
                <c:extLst xmlns:c15="http://schemas.microsoft.com/office/drawing/2012/chart">
                  <c:ext xmlns:c16="http://schemas.microsoft.com/office/drawing/2014/chart" uri="{C3380CC4-5D6E-409C-BE32-E72D297353CC}">
                    <c16:uniqueId val="{00000003-0C06-4C06-ABAC-C0417A601490}"/>
                  </c:ext>
                </c:extLst>
              </c15:ser>
            </c15:filteredBarSeries>
          </c:ext>
        </c:extLst>
      </c:barChart>
      <c:catAx>
        <c:axId val="76612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6120335"/>
        <c:crosses val="autoZero"/>
        <c:auto val="1"/>
        <c:lblAlgn val="ctr"/>
        <c:lblOffset val="100"/>
        <c:noMultiLvlLbl val="0"/>
      </c:catAx>
      <c:valAx>
        <c:axId val="76612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6129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1"/>
          <c:order val="1"/>
          <c:tx>
            <c:strRef>
              <c:f>lead_proxy!$B$17</c:f>
              <c:strCache>
                <c:ptCount val="1"/>
                <c:pt idx="0">
                  <c:v>order count</c:v>
                </c:pt>
              </c:strCache>
            </c:strRef>
          </c:tx>
          <c:spPr>
            <a:solidFill>
              <a:schemeClr val="accent2"/>
            </a:solidFill>
            <a:ln>
              <a:noFill/>
            </a:ln>
            <a:effectLst/>
          </c:spPr>
          <c:invertIfNegative val="0"/>
          <c:cat>
            <c:strRef>
              <c:f>lead_proxy!$A$18:$A$24</c:f>
              <c:strCache>
                <c:ptCount val="7"/>
                <c:pt idx="0">
                  <c:v>Accessories</c:v>
                </c:pt>
                <c:pt idx="1">
                  <c:v>Components</c:v>
                </c:pt>
                <c:pt idx="2">
                  <c:v>Laptops</c:v>
                </c:pt>
                <c:pt idx="3">
                  <c:v>Monitors</c:v>
                </c:pt>
                <c:pt idx="4">
                  <c:v>Networking</c:v>
                </c:pt>
                <c:pt idx="5">
                  <c:v>Phones</c:v>
                </c:pt>
                <c:pt idx="6">
                  <c:v>Printers</c:v>
                </c:pt>
              </c:strCache>
            </c:strRef>
          </c:cat>
          <c:val>
            <c:numRef>
              <c:f>lead_proxy!$B$18:$B$25</c:f>
              <c:numCache>
                <c:formatCode>General</c:formatCode>
                <c:ptCount val="8"/>
                <c:pt idx="0">
                  <c:v>88</c:v>
                </c:pt>
                <c:pt idx="1">
                  <c:v>91</c:v>
                </c:pt>
                <c:pt idx="2">
                  <c:v>82</c:v>
                </c:pt>
                <c:pt idx="3">
                  <c:v>94</c:v>
                </c:pt>
                <c:pt idx="4">
                  <c:v>86</c:v>
                </c:pt>
                <c:pt idx="5">
                  <c:v>88</c:v>
                </c:pt>
                <c:pt idx="6">
                  <c:v>103</c:v>
                </c:pt>
              </c:numCache>
            </c:numRef>
          </c:val>
          <c:extLst>
            <c:ext xmlns:c16="http://schemas.microsoft.com/office/drawing/2014/chart" uri="{C3380CC4-5D6E-409C-BE32-E72D297353CC}">
              <c16:uniqueId val="{00000001-162B-4358-9B65-09AACA69201B}"/>
            </c:ext>
          </c:extLst>
        </c:ser>
        <c:ser>
          <c:idx val="2"/>
          <c:order val="2"/>
          <c:tx>
            <c:strRef>
              <c:f>lead_proxy!$C$17</c:f>
              <c:strCache>
                <c:ptCount val="1"/>
                <c:pt idx="0">
                  <c:v>orders&lt;=7days</c:v>
                </c:pt>
              </c:strCache>
            </c:strRef>
          </c:tx>
          <c:spPr>
            <a:solidFill>
              <a:schemeClr val="accent3"/>
            </a:solidFill>
            <a:ln>
              <a:noFill/>
            </a:ln>
            <a:effectLst/>
          </c:spPr>
          <c:invertIfNegative val="0"/>
          <c:cat>
            <c:strRef>
              <c:f>lead_proxy!$A$18:$A$24</c:f>
              <c:strCache>
                <c:ptCount val="7"/>
                <c:pt idx="0">
                  <c:v>Accessories</c:v>
                </c:pt>
                <c:pt idx="1">
                  <c:v>Components</c:v>
                </c:pt>
                <c:pt idx="2">
                  <c:v>Laptops</c:v>
                </c:pt>
                <c:pt idx="3">
                  <c:v>Monitors</c:v>
                </c:pt>
                <c:pt idx="4">
                  <c:v>Networking</c:v>
                </c:pt>
                <c:pt idx="5">
                  <c:v>Phones</c:v>
                </c:pt>
                <c:pt idx="6">
                  <c:v>Printers</c:v>
                </c:pt>
              </c:strCache>
            </c:strRef>
          </c:cat>
          <c:val>
            <c:numRef>
              <c:f>lead_proxy!$C$18:$C$25</c:f>
              <c:numCache>
                <c:formatCode>General</c:formatCode>
                <c:ptCount val="8"/>
                <c:pt idx="0">
                  <c:v>28</c:v>
                </c:pt>
                <c:pt idx="1">
                  <c:v>19</c:v>
                </c:pt>
                <c:pt idx="2">
                  <c:v>24</c:v>
                </c:pt>
                <c:pt idx="3">
                  <c:v>14</c:v>
                </c:pt>
                <c:pt idx="4">
                  <c:v>18</c:v>
                </c:pt>
                <c:pt idx="5">
                  <c:v>15</c:v>
                </c:pt>
                <c:pt idx="6">
                  <c:v>20</c:v>
                </c:pt>
              </c:numCache>
            </c:numRef>
          </c:val>
          <c:extLst>
            <c:ext xmlns:c16="http://schemas.microsoft.com/office/drawing/2014/chart" uri="{C3380CC4-5D6E-409C-BE32-E72D297353CC}">
              <c16:uniqueId val="{00000002-162B-4358-9B65-09AACA69201B}"/>
            </c:ext>
          </c:extLst>
        </c:ser>
        <c:dLbls>
          <c:showLegendKey val="0"/>
          <c:showVal val="0"/>
          <c:showCatName val="0"/>
          <c:showSerName val="0"/>
          <c:showPercent val="0"/>
          <c:showBubbleSize val="0"/>
        </c:dLbls>
        <c:gapWidth val="219"/>
        <c:overlap val="-27"/>
        <c:axId val="573963407"/>
        <c:axId val="573966767"/>
        <c:extLst>
          <c:ext xmlns:c15="http://schemas.microsoft.com/office/drawing/2012/chart" uri="{02D57815-91ED-43cb-92C2-25804820EDAC}">
            <c15:filteredBarSeries>
              <c15:ser>
                <c:idx val="0"/>
                <c:order val="0"/>
                <c:tx>
                  <c:strRef>
                    <c:extLst>
                      <c:ext uri="{02D57815-91ED-43cb-92C2-25804820EDAC}">
                        <c15:formulaRef>
                          <c15:sqref>lead_proxy!$A$17</c15:sqref>
                        </c15:formulaRef>
                      </c:ext>
                    </c:extLst>
                    <c:strCache>
                      <c:ptCount val="1"/>
                      <c:pt idx="0">
                        <c:v>ProductCategory</c:v>
                      </c:pt>
                    </c:strCache>
                  </c:strRef>
                </c:tx>
                <c:spPr>
                  <a:solidFill>
                    <a:schemeClr val="accent1"/>
                  </a:solidFill>
                  <a:ln>
                    <a:noFill/>
                  </a:ln>
                  <a:effectLst/>
                </c:spPr>
                <c:invertIfNegative val="0"/>
                <c:cat>
                  <c:strRef>
                    <c:extLst>
                      <c:ext uri="{02D57815-91ED-43cb-92C2-25804820EDAC}">
                        <c15:formulaRef>
                          <c15:sqref>lead_proxy!$A$18:$A$24</c15:sqref>
                        </c15:formulaRef>
                      </c:ext>
                    </c:extLst>
                    <c:strCache>
                      <c:ptCount val="7"/>
                      <c:pt idx="0">
                        <c:v>Accessories</c:v>
                      </c:pt>
                      <c:pt idx="1">
                        <c:v>Components</c:v>
                      </c:pt>
                      <c:pt idx="2">
                        <c:v>Laptops</c:v>
                      </c:pt>
                      <c:pt idx="3">
                        <c:v>Monitors</c:v>
                      </c:pt>
                      <c:pt idx="4">
                        <c:v>Networking</c:v>
                      </c:pt>
                      <c:pt idx="5">
                        <c:v>Phones</c:v>
                      </c:pt>
                      <c:pt idx="6">
                        <c:v>Printers</c:v>
                      </c:pt>
                    </c:strCache>
                  </c:strRef>
                </c:cat>
                <c:val>
                  <c:numRef>
                    <c:extLst>
                      <c:ext uri="{02D57815-91ED-43cb-92C2-25804820EDAC}">
                        <c15:formulaRef>
                          <c15:sqref>lead_proxy!$A$18:$A$25</c15:sqref>
                        </c15:formulaRef>
                      </c:ext>
                    </c:extLst>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162B-4358-9B65-09AACA69201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lead_proxy!$D$17</c15:sqref>
                        </c15:formulaRef>
                      </c:ext>
                    </c:extLst>
                    <c:strCache>
                      <c:ptCount val="1"/>
                      <c:pt idx="0">
                        <c:v>%&lt;=7days</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lead_proxy!$A$18:$A$24</c15:sqref>
                        </c15:formulaRef>
                      </c:ext>
                    </c:extLst>
                    <c:strCache>
                      <c:ptCount val="7"/>
                      <c:pt idx="0">
                        <c:v>Accessories</c:v>
                      </c:pt>
                      <c:pt idx="1">
                        <c:v>Components</c:v>
                      </c:pt>
                      <c:pt idx="2">
                        <c:v>Laptops</c:v>
                      </c:pt>
                      <c:pt idx="3">
                        <c:v>Monitors</c:v>
                      </c:pt>
                      <c:pt idx="4">
                        <c:v>Networking</c:v>
                      </c:pt>
                      <c:pt idx="5">
                        <c:v>Phones</c:v>
                      </c:pt>
                      <c:pt idx="6">
                        <c:v>Printers</c:v>
                      </c:pt>
                    </c:strCache>
                  </c:strRef>
                </c:cat>
                <c:val>
                  <c:numRef>
                    <c:extLst xmlns:c15="http://schemas.microsoft.com/office/drawing/2012/chart">
                      <c:ext xmlns:c15="http://schemas.microsoft.com/office/drawing/2012/chart" uri="{02D57815-91ED-43cb-92C2-25804820EDAC}">
                        <c15:formulaRef>
                          <c15:sqref>lead_proxy!$D$18:$D$25</c15:sqref>
                        </c15:formulaRef>
                      </c:ext>
                    </c:extLst>
                    <c:numCache>
                      <c:formatCode>0.00</c:formatCode>
                      <c:ptCount val="8"/>
                      <c:pt idx="0">
                        <c:v>0.31818181818181818</c:v>
                      </c:pt>
                      <c:pt idx="1">
                        <c:v>0.2087912087912088</c:v>
                      </c:pt>
                      <c:pt idx="2">
                        <c:v>0.29268292682926828</c:v>
                      </c:pt>
                      <c:pt idx="3">
                        <c:v>0.14893617021276595</c:v>
                      </c:pt>
                      <c:pt idx="4">
                        <c:v>0.20930232558139536</c:v>
                      </c:pt>
                      <c:pt idx="5">
                        <c:v>0.17045454545454544</c:v>
                      </c:pt>
                      <c:pt idx="6">
                        <c:v>0.1941747572815534</c:v>
                      </c:pt>
                    </c:numCache>
                  </c:numRef>
                </c:val>
                <c:extLst xmlns:c15="http://schemas.microsoft.com/office/drawing/2012/chart">
                  <c:ext xmlns:c16="http://schemas.microsoft.com/office/drawing/2014/chart" uri="{C3380CC4-5D6E-409C-BE32-E72D297353CC}">
                    <c16:uniqueId val="{00000003-162B-4358-9B65-09AACA69201B}"/>
                  </c:ext>
                </c:extLst>
              </c15:ser>
            </c15:filteredBarSeries>
          </c:ext>
        </c:extLst>
      </c:barChart>
      <c:catAx>
        <c:axId val="57396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73966767"/>
        <c:crosses val="autoZero"/>
        <c:auto val="1"/>
        <c:lblAlgn val="ctr"/>
        <c:lblOffset val="100"/>
        <c:noMultiLvlLbl val="0"/>
      </c:catAx>
      <c:valAx>
        <c:axId val="573966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73963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is the amount revenue generated per sales person?</a:t>
            </a:r>
            <a:endParaRPr lang="en-US"/>
          </a:p>
        </c:rich>
      </c:tx>
      <c:layout>
        <c:manualLayout>
          <c:xMode val="edge"/>
          <c:yMode val="edge"/>
          <c:x val="1.1911553206124252E-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4"/>
          <c:order val="4"/>
          <c:tx>
            <c:strRef>
              <c:f>sales!$F$1</c:f>
              <c:strCache>
                <c:ptCount val="1"/>
                <c:pt idx="0">
                  <c:v>revenue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sales!$A$2:$A$18</c15:sqref>
                  </c15:fullRef>
                </c:ext>
              </c:extLst>
              <c:f>sales!$A$2:$A$17</c:f>
              <c:strCache>
                <c:ptCount val="14"/>
                <c:pt idx="0">
                  <c:v>D. Smith</c:v>
                </c:pt>
                <c:pt idx="1">
                  <c:v>B. Chen</c:v>
                </c:pt>
                <c:pt idx="2">
                  <c:v>G. Dubois</c:v>
                </c:pt>
                <c:pt idx="3">
                  <c:v>A. Patel</c:v>
                </c:pt>
                <c:pt idx="4">
                  <c:v>L. Okafor</c:v>
                </c:pt>
                <c:pt idx="5">
                  <c:v>F. Müller</c:v>
                </c:pt>
                <c:pt idx="6">
                  <c:v>M. Rossi</c:v>
                </c:pt>
                <c:pt idx="7">
                  <c:v>O. Wang</c:v>
                </c:pt>
                <c:pt idx="8">
                  <c:v>H. Kim</c:v>
                </c:pt>
                <c:pt idx="9">
                  <c:v>C. Otieno</c:v>
                </c:pt>
                <c:pt idx="10">
                  <c:v>K. Singh</c:v>
                </c:pt>
                <c:pt idx="11">
                  <c:v>E. Garcia</c:v>
                </c:pt>
                <c:pt idx="12">
                  <c:v>I. Johnson</c:v>
                </c:pt>
                <c:pt idx="13">
                  <c:v>N. Brown</c:v>
                </c:pt>
              </c:strCache>
            </c:strRef>
          </c:cat>
          <c:val>
            <c:numRef>
              <c:extLst>
                <c:ext xmlns:c15="http://schemas.microsoft.com/office/drawing/2012/chart" uri="{02D57815-91ED-43cb-92C2-25804820EDAC}">
                  <c15:fullRef>
                    <c15:sqref>sales!$F$2:$F$18</c15:sqref>
                  </c15:fullRef>
                </c:ext>
              </c:extLst>
              <c:f>sales!$F$2:$F$17</c:f>
              <c:numCache>
                <c:formatCode>0.00</c:formatCode>
                <c:ptCount val="15"/>
                <c:pt idx="0">
                  <c:v>614644.30122000002</c:v>
                </c:pt>
                <c:pt idx="1">
                  <c:v>893735.66085000022</c:v>
                </c:pt>
                <c:pt idx="2">
                  <c:v>510653.71305000002</c:v>
                </c:pt>
                <c:pt idx="3">
                  <c:v>1005389.0769300001</c:v>
                </c:pt>
                <c:pt idx="4">
                  <c:v>904189.82204999973</c:v>
                </c:pt>
                <c:pt idx="5">
                  <c:v>812637.17232000013</c:v>
                </c:pt>
                <c:pt idx="6">
                  <c:v>966298.9875499995</c:v>
                </c:pt>
                <c:pt idx="7">
                  <c:v>647724.89694000024</c:v>
                </c:pt>
                <c:pt idx="8">
                  <c:v>727151.51900999993</c:v>
                </c:pt>
                <c:pt idx="9">
                  <c:v>685111.85991999996</c:v>
                </c:pt>
                <c:pt idx="10">
                  <c:v>883348.1293599999</c:v>
                </c:pt>
                <c:pt idx="11">
                  <c:v>543846.44053000002</c:v>
                </c:pt>
                <c:pt idx="12">
                  <c:v>540526.22685999994</c:v>
                </c:pt>
                <c:pt idx="13">
                  <c:v>388325.13659000001</c:v>
                </c:pt>
              </c:numCache>
            </c:numRef>
          </c:val>
          <c:extLst>
            <c:ext xmlns:c16="http://schemas.microsoft.com/office/drawing/2014/chart" uri="{C3380CC4-5D6E-409C-BE32-E72D297353CC}">
              <c16:uniqueId val="{00000004-3EBC-47B5-9C1A-878B45EFBDCF}"/>
            </c:ext>
          </c:extLst>
        </c:ser>
        <c:dLbls>
          <c:dLblPos val="outEnd"/>
          <c:showLegendKey val="0"/>
          <c:showVal val="1"/>
          <c:showCatName val="0"/>
          <c:showSerName val="0"/>
          <c:showPercent val="0"/>
          <c:showBubbleSize val="0"/>
        </c:dLbls>
        <c:gapWidth val="182"/>
        <c:axId val="763951855"/>
        <c:axId val="763949935"/>
        <c:extLst>
          <c:ext xmlns:c15="http://schemas.microsoft.com/office/drawing/2012/chart" uri="{02D57815-91ED-43cb-92C2-25804820EDAC}">
            <c15:filteredBarSeries>
              <c15:ser>
                <c:idx val="0"/>
                <c:order val="0"/>
                <c:tx>
                  <c:strRef>
                    <c:extLst>
                      <c:ext uri="{02D57815-91ED-43cb-92C2-25804820EDAC}">
                        <c15:formulaRef>
                          <c15:sqref>sales!$B$1</c15:sqref>
                        </c15:formulaRef>
                      </c:ext>
                    </c:extLst>
                    <c:strCache>
                      <c:ptCount val="1"/>
                      <c:pt idx="0">
                        <c:v>Order_count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sales!$A$2:$A$18</c15:sqref>
                        </c15:fullRef>
                        <c15:formulaRef>
                          <c15:sqref>sales!$A$2:$A$17</c15:sqref>
                        </c15:formulaRef>
                      </c:ext>
                    </c:extLst>
                    <c:strCache>
                      <c:ptCount val="14"/>
                      <c:pt idx="0">
                        <c:v>D. Smith</c:v>
                      </c:pt>
                      <c:pt idx="1">
                        <c:v>B. Chen</c:v>
                      </c:pt>
                      <c:pt idx="2">
                        <c:v>G. Dubois</c:v>
                      </c:pt>
                      <c:pt idx="3">
                        <c:v>A. Patel</c:v>
                      </c:pt>
                      <c:pt idx="4">
                        <c:v>L. Okafor</c:v>
                      </c:pt>
                      <c:pt idx="5">
                        <c:v>F. Müller</c:v>
                      </c:pt>
                      <c:pt idx="6">
                        <c:v>M. Rossi</c:v>
                      </c:pt>
                      <c:pt idx="7">
                        <c:v>O. Wang</c:v>
                      </c:pt>
                      <c:pt idx="8">
                        <c:v>H. Kim</c:v>
                      </c:pt>
                      <c:pt idx="9">
                        <c:v>C. Otieno</c:v>
                      </c:pt>
                      <c:pt idx="10">
                        <c:v>K. Singh</c:v>
                      </c:pt>
                      <c:pt idx="11">
                        <c:v>E. Garcia</c:v>
                      </c:pt>
                      <c:pt idx="12">
                        <c:v>I. Johnson</c:v>
                      </c:pt>
                      <c:pt idx="13">
                        <c:v>N. Brown</c:v>
                      </c:pt>
                    </c:strCache>
                  </c:strRef>
                </c:cat>
                <c:val>
                  <c:numRef>
                    <c:extLst>
                      <c:ext uri="{02D57815-91ED-43cb-92C2-25804820EDAC}">
                        <c15:fullRef>
                          <c15:sqref>sales!$B$2:$B$18</c15:sqref>
                        </c15:fullRef>
                        <c15:formulaRef>
                          <c15:sqref>sales!$B$2:$B$17</c15:sqref>
                        </c15:formulaRef>
                      </c:ext>
                    </c:extLst>
                    <c:numCache>
                      <c:formatCode>General</c:formatCode>
                      <c:ptCount val="15"/>
                      <c:pt idx="0">
                        <c:v>39</c:v>
                      </c:pt>
                      <c:pt idx="1">
                        <c:v>48</c:v>
                      </c:pt>
                      <c:pt idx="2">
                        <c:v>30</c:v>
                      </c:pt>
                      <c:pt idx="3">
                        <c:v>48</c:v>
                      </c:pt>
                      <c:pt idx="4">
                        <c:v>49</c:v>
                      </c:pt>
                      <c:pt idx="5">
                        <c:v>51</c:v>
                      </c:pt>
                      <c:pt idx="6">
                        <c:v>48</c:v>
                      </c:pt>
                      <c:pt idx="7">
                        <c:v>37</c:v>
                      </c:pt>
                      <c:pt idx="8">
                        <c:v>47</c:v>
                      </c:pt>
                      <c:pt idx="9">
                        <c:v>37</c:v>
                      </c:pt>
                      <c:pt idx="10">
                        <c:v>44</c:v>
                      </c:pt>
                      <c:pt idx="11">
                        <c:v>34</c:v>
                      </c:pt>
                      <c:pt idx="12">
                        <c:v>38</c:v>
                      </c:pt>
                      <c:pt idx="13">
                        <c:v>32</c:v>
                      </c:pt>
                    </c:numCache>
                  </c:numRef>
                </c:val>
                <c:extLst>
                  <c:ext xmlns:c16="http://schemas.microsoft.com/office/drawing/2014/chart" uri="{C3380CC4-5D6E-409C-BE32-E72D297353CC}">
                    <c16:uniqueId val="{00000000-3EBC-47B5-9C1A-878B45EFBDCF}"/>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sales!$C$1</c15:sqref>
                        </c15:formulaRef>
                      </c:ext>
                    </c:extLst>
                    <c:strCache>
                      <c:ptCount val="1"/>
                      <c:pt idx="0">
                        <c:v>First_order_date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sales!$A$2:$A$18</c15:sqref>
                        </c15:fullRef>
                        <c15:formulaRef>
                          <c15:sqref>sales!$A$2:$A$17</c15:sqref>
                        </c15:formulaRef>
                      </c:ext>
                    </c:extLst>
                    <c:strCache>
                      <c:ptCount val="14"/>
                      <c:pt idx="0">
                        <c:v>D. Smith</c:v>
                      </c:pt>
                      <c:pt idx="1">
                        <c:v>B. Chen</c:v>
                      </c:pt>
                      <c:pt idx="2">
                        <c:v>G. Dubois</c:v>
                      </c:pt>
                      <c:pt idx="3">
                        <c:v>A. Patel</c:v>
                      </c:pt>
                      <c:pt idx="4">
                        <c:v>L. Okafor</c:v>
                      </c:pt>
                      <c:pt idx="5">
                        <c:v>F. Müller</c:v>
                      </c:pt>
                      <c:pt idx="6">
                        <c:v>M. Rossi</c:v>
                      </c:pt>
                      <c:pt idx="7">
                        <c:v>O. Wang</c:v>
                      </c:pt>
                      <c:pt idx="8">
                        <c:v>H. Kim</c:v>
                      </c:pt>
                      <c:pt idx="9">
                        <c:v>C. Otieno</c:v>
                      </c:pt>
                      <c:pt idx="10">
                        <c:v>K. Singh</c:v>
                      </c:pt>
                      <c:pt idx="11">
                        <c:v>E. Garcia</c:v>
                      </c:pt>
                      <c:pt idx="12">
                        <c:v>I. Johnson</c:v>
                      </c:pt>
                      <c:pt idx="13">
                        <c:v>N. Brown</c:v>
                      </c:pt>
                    </c:strCache>
                  </c:strRef>
                </c:cat>
                <c:val>
                  <c:numRef>
                    <c:extLst>
                      <c:ext xmlns:c15="http://schemas.microsoft.com/office/drawing/2012/chart" uri="{02D57815-91ED-43cb-92C2-25804820EDAC}">
                        <c15:fullRef>
                          <c15:sqref>sales!$C$2:$C$18</c15:sqref>
                        </c15:fullRef>
                        <c15:formulaRef>
                          <c15:sqref>sales!$C$2:$C$17</c15:sqref>
                        </c15:formulaRef>
                      </c:ext>
                    </c:extLst>
                    <c:numCache>
                      <c:formatCode>m/d/yyyy</c:formatCode>
                      <c:ptCount val="15"/>
                      <c:pt idx="0">
                        <c:v>44936</c:v>
                      </c:pt>
                      <c:pt idx="1">
                        <c:v>44928</c:v>
                      </c:pt>
                      <c:pt idx="2">
                        <c:v>44945</c:v>
                      </c:pt>
                      <c:pt idx="3">
                        <c:v>44933</c:v>
                      </c:pt>
                      <c:pt idx="4">
                        <c:v>44962</c:v>
                      </c:pt>
                      <c:pt idx="5">
                        <c:v>44948</c:v>
                      </c:pt>
                      <c:pt idx="6">
                        <c:v>44938</c:v>
                      </c:pt>
                      <c:pt idx="7">
                        <c:v>44941</c:v>
                      </c:pt>
                      <c:pt idx="8">
                        <c:v>44939</c:v>
                      </c:pt>
                      <c:pt idx="9">
                        <c:v>44980</c:v>
                      </c:pt>
                      <c:pt idx="10">
                        <c:v>44972</c:v>
                      </c:pt>
                      <c:pt idx="11">
                        <c:v>45028</c:v>
                      </c:pt>
                      <c:pt idx="12">
                        <c:v>44985</c:v>
                      </c:pt>
                      <c:pt idx="13">
                        <c:v>44953</c:v>
                      </c:pt>
                    </c:numCache>
                  </c:numRef>
                </c:val>
                <c:extLst xmlns:c15="http://schemas.microsoft.com/office/drawing/2012/chart">
                  <c:ext xmlns:c16="http://schemas.microsoft.com/office/drawing/2014/chart" uri="{C3380CC4-5D6E-409C-BE32-E72D297353CC}">
                    <c16:uniqueId val="{00000001-3EBC-47B5-9C1A-878B45EFBDCF}"/>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sales!$D$1</c15:sqref>
                        </c15:formulaRef>
                      </c:ext>
                    </c:extLst>
                    <c:strCache>
                      <c:ptCount val="1"/>
                      <c:pt idx="0">
                        <c:v>last_order_date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sales!$A$2:$A$18</c15:sqref>
                        </c15:fullRef>
                        <c15:formulaRef>
                          <c15:sqref>sales!$A$2:$A$17</c15:sqref>
                        </c15:formulaRef>
                      </c:ext>
                    </c:extLst>
                    <c:strCache>
                      <c:ptCount val="14"/>
                      <c:pt idx="0">
                        <c:v>D. Smith</c:v>
                      </c:pt>
                      <c:pt idx="1">
                        <c:v>B. Chen</c:v>
                      </c:pt>
                      <c:pt idx="2">
                        <c:v>G. Dubois</c:v>
                      </c:pt>
                      <c:pt idx="3">
                        <c:v>A. Patel</c:v>
                      </c:pt>
                      <c:pt idx="4">
                        <c:v>L. Okafor</c:v>
                      </c:pt>
                      <c:pt idx="5">
                        <c:v>F. Müller</c:v>
                      </c:pt>
                      <c:pt idx="6">
                        <c:v>M. Rossi</c:v>
                      </c:pt>
                      <c:pt idx="7">
                        <c:v>O. Wang</c:v>
                      </c:pt>
                      <c:pt idx="8">
                        <c:v>H. Kim</c:v>
                      </c:pt>
                      <c:pt idx="9">
                        <c:v>C. Otieno</c:v>
                      </c:pt>
                      <c:pt idx="10">
                        <c:v>K. Singh</c:v>
                      </c:pt>
                      <c:pt idx="11">
                        <c:v>E. Garcia</c:v>
                      </c:pt>
                      <c:pt idx="12">
                        <c:v>I. Johnson</c:v>
                      </c:pt>
                      <c:pt idx="13">
                        <c:v>N. Brown</c:v>
                      </c:pt>
                    </c:strCache>
                  </c:strRef>
                </c:cat>
                <c:val>
                  <c:numRef>
                    <c:extLst>
                      <c:ext xmlns:c15="http://schemas.microsoft.com/office/drawing/2012/chart" uri="{02D57815-91ED-43cb-92C2-25804820EDAC}">
                        <c15:fullRef>
                          <c15:sqref>sales!$D$2:$D$18</c15:sqref>
                        </c15:fullRef>
                        <c15:formulaRef>
                          <c15:sqref>sales!$D$2:$D$17</c15:sqref>
                        </c15:formulaRef>
                      </c:ext>
                    </c:extLst>
                    <c:numCache>
                      <c:formatCode>m/d/yyyy</c:formatCode>
                      <c:ptCount val="15"/>
                      <c:pt idx="0">
                        <c:v>45914</c:v>
                      </c:pt>
                      <c:pt idx="1">
                        <c:v>45894</c:v>
                      </c:pt>
                      <c:pt idx="2">
                        <c:v>45858</c:v>
                      </c:pt>
                      <c:pt idx="3">
                        <c:v>45915</c:v>
                      </c:pt>
                      <c:pt idx="4">
                        <c:v>45915</c:v>
                      </c:pt>
                      <c:pt idx="5">
                        <c:v>45912</c:v>
                      </c:pt>
                      <c:pt idx="6">
                        <c:v>45902</c:v>
                      </c:pt>
                      <c:pt idx="7">
                        <c:v>45910</c:v>
                      </c:pt>
                      <c:pt idx="8">
                        <c:v>45855</c:v>
                      </c:pt>
                      <c:pt idx="9">
                        <c:v>45908</c:v>
                      </c:pt>
                      <c:pt idx="10">
                        <c:v>45901</c:v>
                      </c:pt>
                      <c:pt idx="11">
                        <c:v>45899</c:v>
                      </c:pt>
                      <c:pt idx="12">
                        <c:v>45882</c:v>
                      </c:pt>
                      <c:pt idx="13">
                        <c:v>45914</c:v>
                      </c:pt>
                    </c:numCache>
                  </c:numRef>
                </c:val>
                <c:extLst xmlns:c15="http://schemas.microsoft.com/office/drawing/2012/chart">
                  <c:ext xmlns:c16="http://schemas.microsoft.com/office/drawing/2014/chart" uri="{C3380CC4-5D6E-409C-BE32-E72D297353CC}">
                    <c16:uniqueId val="{00000002-3EBC-47B5-9C1A-878B45EFBDCF}"/>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sales!$E$1</c15:sqref>
                        </c15:formulaRef>
                      </c:ext>
                    </c:extLst>
                    <c:strCache>
                      <c:ptCount val="1"/>
                      <c:pt idx="0">
                        <c:v>operations_duration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sales!$A$2:$A$18</c15:sqref>
                        </c15:fullRef>
                        <c15:formulaRef>
                          <c15:sqref>sales!$A$2:$A$17</c15:sqref>
                        </c15:formulaRef>
                      </c:ext>
                    </c:extLst>
                    <c:strCache>
                      <c:ptCount val="14"/>
                      <c:pt idx="0">
                        <c:v>D. Smith</c:v>
                      </c:pt>
                      <c:pt idx="1">
                        <c:v>B. Chen</c:v>
                      </c:pt>
                      <c:pt idx="2">
                        <c:v>G. Dubois</c:v>
                      </c:pt>
                      <c:pt idx="3">
                        <c:v>A. Patel</c:v>
                      </c:pt>
                      <c:pt idx="4">
                        <c:v>L. Okafor</c:v>
                      </c:pt>
                      <c:pt idx="5">
                        <c:v>F. Müller</c:v>
                      </c:pt>
                      <c:pt idx="6">
                        <c:v>M. Rossi</c:v>
                      </c:pt>
                      <c:pt idx="7">
                        <c:v>O. Wang</c:v>
                      </c:pt>
                      <c:pt idx="8">
                        <c:v>H. Kim</c:v>
                      </c:pt>
                      <c:pt idx="9">
                        <c:v>C. Otieno</c:v>
                      </c:pt>
                      <c:pt idx="10">
                        <c:v>K. Singh</c:v>
                      </c:pt>
                      <c:pt idx="11">
                        <c:v>E. Garcia</c:v>
                      </c:pt>
                      <c:pt idx="12">
                        <c:v>I. Johnson</c:v>
                      </c:pt>
                      <c:pt idx="13">
                        <c:v>N. Brown</c:v>
                      </c:pt>
                    </c:strCache>
                  </c:strRef>
                </c:cat>
                <c:val>
                  <c:numRef>
                    <c:extLst>
                      <c:ext xmlns:c15="http://schemas.microsoft.com/office/drawing/2012/chart" uri="{02D57815-91ED-43cb-92C2-25804820EDAC}">
                        <c15:fullRef>
                          <c15:sqref>sales!$E$2:$E$18</c15:sqref>
                        </c15:fullRef>
                        <c15:formulaRef>
                          <c15:sqref>sales!$E$2:$E$17</c15:sqref>
                        </c15:formulaRef>
                      </c:ext>
                    </c:extLst>
                    <c:numCache>
                      <c:formatCode>General</c:formatCode>
                      <c:ptCount val="15"/>
                      <c:pt idx="0">
                        <c:v>32</c:v>
                      </c:pt>
                      <c:pt idx="1">
                        <c:v>31</c:v>
                      </c:pt>
                      <c:pt idx="2">
                        <c:v>30</c:v>
                      </c:pt>
                      <c:pt idx="3">
                        <c:v>32</c:v>
                      </c:pt>
                      <c:pt idx="4">
                        <c:v>31</c:v>
                      </c:pt>
                      <c:pt idx="5">
                        <c:v>31</c:v>
                      </c:pt>
                      <c:pt idx="6">
                        <c:v>31</c:v>
                      </c:pt>
                      <c:pt idx="7">
                        <c:v>31</c:v>
                      </c:pt>
                      <c:pt idx="8">
                        <c:v>30</c:v>
                      </c:pt>
                      <c:pt idx="9">
                        <c:v>30</c:v>
                      </c:pt>
                      <c:pt idx="10">
                        <c:v>30</c:v>
                      </c:pt>
                      <c:pt idx="11">
                        <c:v>28</c:v>
                      </c:pt>
                      <c:pt idx="12">
                        <c:v>29</c:v>
                      </c:pt>
                      <c:pt idx="13">
                        <c:v>31</c:v>
                      </c:pt>
                    </c:numCache>
                  </c:numRef>
                </c:val>
                <c:extLst xmlns:c15="http://schemas.microsoft.com/office/drawing/2012/chart">
                  <c:ext xmlns:c16="http://schemas.microsoft.com/office/drawing/2014/chart" uri="{C3380CC4-5D6E-409C-BE32-E72D297353CC}">
                    <c16:uniqueId val="{00000003-3EBC-47B5-9C1A-878B45EFBDCF}"/>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sales!$G$1</c15:sqref>
                        </c15:formulaRef>
                      </c:ext>
                    </c:extLst>
                    <c:strCache>
                      <c:ptCount val="1"/>
                      <c:pt idx="0">
                        <c:v>profits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sales!$A$2:$A$18</c15:sqref>
                        </c15:fullRef>
                        <c15:formulaRef>
                          <c15:sqref>sales!$A$2:$A$17</c15:sqref>
                        </c15:formulaRef>
                      </c:ext>
                    </c:extLst>
                    <c:strCache>
                      <c:ptCount val="14"/>
                      <c:pt idx="0">
                        <c:v>D. Smith</c:v>
                      </c:pt>
                      <c:pt idx="1">
                        <c:v>B. Chen</c:v>
                      </c:pt>
                      <c:pt idx="2">
                        <c:v>G. Dubois</c:v>
                      </c:pt>
                      <c:pt idx="3">
                        <c:v>A. Patel</c:v>
                      </c:pt>
                      <c:pt idx="4">
                        <c:v>L. Okafor</c:v>
                      </c:pt>
                      <c:pt idx="5">
                        <c:v>F. Müller</c:v>
                      </c:pt>
                      <c:pt idx="6">
                        <c:v>M. Rossi</c:v>
                      </c:pt>
                      <c:pt idx="7">
                        <c:v>O. Wang</c:v>
                      </c:pt>
                      <c:pt idx="8">
                        <c:v>H. Kim</c:v>
                      </c:pt>
                      <c:pt idx="9">
                        <c:v>C. Otieno</c:v>
                      </c:pt>
                      <c:pt idx="10">
                        <c:v>K. Singh</c:v>
                      </c:pt>
                      <c:pt idx="11">
                        <c:v>E. Garcia</c:v>
                      </c:pt>
                      <c:pt idx="12">
                        <c:v>I. Johnson</c:v>
                      </c:pt>
                      <c:pt idx="13">
                        <c:v>N. Brown</c:v>
                      </c:pt>
                    </c:strCache>
                  </c:strRef>
                </c:cat>
                <c:val>
                  <c:numRef>
                    <c:extLst>
                      <c:ext xmlns:c15="http://schemas.microsoft.com/office/drawing/2012/chart" uri="{02D57815-91ED-43cb-92C2-25804820EDAC}">
                        <c15:fullRef>
                          <c15:sqref>sales!$G$2:$G$18</c15:sqref>
                        </c15:fullRef>
                        <c15:formulaRef>
                          <c15:sqref>sales!$G$2:$G$17</c15:sqref>
                        </c15:formulaRef>
                      </c:ext>
                    </c:extLst>
                    <c:numCache>
                      <c:formatCode>0.00</c:formatCode>
                      <c:ptCount val="15"/>
                      <c:pt idx="0">
                        <c:v>170472.52122</c:v>
                      </c:pt>
                      <c:pt idx="1">
                        <c:v>315969.97084999987</c:v>
                      </c:pt>
                      <c:pt idx="2">
                        <c:v>172441.87305000005</c:v>
                      </c:pt>
                      <c:pt idx="3">
                        <c:v>337634.70692999993</c:v>
                      </c:pt>
                      <c:pt idx="4">
                        <c:v>285453.56205000007</c:v>
                      </c:pt>
                      <c:pt idx="5">
                        <c:v>251733.01232000004</c:v>
                      </c:pt>
                      <c:pt idx="6">
                        <c:v>302657.05755000003</c:v>
                      </c:pt>
                      <c:pt idx="7">
                        <c:v>185219.43694000004</c:v>
                      </c:pt>
                      <c:pt idx="8">
                        <c:v>144057.30900999997</c:v>
                      </c:pt>
                      <c:pt idx="9">
                        <c:v>225695.01991999996</c:v>
                      </c:pt>
                      <c:pt idx="10">
                        <c:v>278762.26936000003</c:v>
                      </c:pt>
                      <c:pt idx="11">
                        <c:v>204981.3405300001</c:v>
                      </c:pt>
                      <c:pt idx="12">
                        <c:v>139382.24685999998</c:v>
                      </c:pt>
                      <c:pt idx="13">
                        <c:v>110646.45658999997</c:v>
                      </c:pt>
                    </c:numCache>
                  </c:numRef>
                </c:val>
                <c:extLst xmlns:c15="http://schemas.microsoft.com/office/drawing/2012/chart">
                  <c:ext xmlns:c16="http://schemas.microsoft.com/office/drawing/2014/chart" uri="{C3380CC4-5D6E-409C-BE32-E72D297353CC}">
                    <c16:uniqueId val="{00000005-3EBC-47B5-9C1A-878B45EFBDCF}"/>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sales!$H$1</c15:sqref>
                        </c15:formulaRef>
                      </c:ext>
                    </c:extLst>
                    <c:strCache>
                      <c:ptCount val="1"/>
                      <c:pt idx="0">
                        <c:v>average_discount</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sales!$A$2:$A$18</c15:sqref>
                        </c15:fullRef>
                        <c15:formulaRef>
                          <c15:sqref>sales!$A$2:$A$17</c15:sqref>
                        </c15:formulaRef>
                      </c:ext>
                    </c:extLst>
                    <c:strCache>
                      <c:ptCount val="14"/>
                      <c:pt idx="0">
                        <c:v>D. Smith</c:v>
                      </c:pt>
                      <c:pt idx="1">
                        <c:v>B. Chen</c:v>
                      </c:pt>
                      <c:pt idx="2">
                        <c:v>G. Dubois</c:v>
                      </c:pt>
                      <c:pt idx="3">
                        <c:v>A. Patel</c:v>
                      </c:pt>
                      <c:pt idx="4">
                        <c:v>L. Okafor</c:v>
                      </c:pt>
                      <c:pt idx="5">
                        <c:v>F. Müller</c:v>
                      </c:pt>
                      <c:pt idx="6">
                        <c:v>M. Rossi</c:v>
                      </c:pt>
                      <c:pt idx="7">
                        <c:v>O. Wang</c:v>
                      </c:pt>
                      <c:pt idx="8">
                        <c:v>H. Kim</c:v>
                      </c:pt>
                      <c:pt idx="9">
                        <c:v>C. Otieno</c:v>
                      </c:pt>
                      <c:pt idx="10">
                        <c:v>K. Singh</c:v>
                      </c:pt>
                      <c:pt idx="11">
                        <c:v>E. Garcia</c:v>
                      </c:pt>
                      <c:pt idx="12">
                        <c:v>I. Johnson</c:v>
                      </c:pt>
                      <c:pt idx="13">
                        <c:v>N. Brown</c:v>
                      </c:pt>
                    </c:strCache>
                  </c:strRef>
                </c:cat>
                <c:val>
                  <c:numRef>
                    <c:extLst>
                      <c:ext xmlns:c15="http://schemas.microsoft.com/office/drawing/2012/chart" uri="{02D57815-91ED-43cb-92C2-25804820EDAC}">
                        <c15:fullRef>
                          <c15:sqref>sales!$H$2:$H$18</c15:sqref>
                        </c15:fullRef>
                        <c15:formulaRef>
                          <c15:sqref>sales!$H$2:$H$17</c15:sqref>
                        </c15:formulaRef>
                      </c:ext>
                    </c:extLst>
                    <c:numCache>
                      <c:formatCode>0.00</c:formatCode>
                      <c:ptCount val="15"/>
                      <c:pt idx="0">
                        <c:v>0.11978947368421054</c:v>
                      </c:pt>
                      <c:pt idx="1">
                        <c:v>0.12918750000000004</c:v>
                      </c:pt>
                      <c:pt idx="2">
                        <c:v>0.12106666666666666</c:v>
                      </c:pt>
                      <c:pt idx="3">
                        <c:v>0.11516666666666665</c:v>
                      </c:pt>
                      <c:pt idx="4">
                        <c:v>0.10359183673469391</c:v>
                      </c:pt>
                      <c:pt idx="5">
                        <c:v>0.11254901960784312</c:v>
                      </c:pt>
                      <c:pt idx="6">
                        <c:v>0.11735416666666669</c:v>
                      </c:pt>
                      <c:pt idx="7">
                        <c:v>0.12578378378378377</c:v>
                      </c:pt>
                      <c:pt idx="8">
                        <c:v>0.112468085106383</c:v>
                      </c:pt>
                      <c:pt idx="9">
                        <c:v>0.13578378378378381</c:v>
                      </c:pt>
                      <c:pt idx="10">
                        <c:v>0.14031818181818181</c:v>
                      </c:pt>
                      <c:pt idx="11">
                        <c:v>0.14061764705882349</c:v>
                      </c:pt>
                      <c:pt idx="12">
                        <c:v>0.13513157894736838</c:v>
                      </c:pt>
                      <c:pt idx="13">
                        <c:v>9.9593749999999995E-2</c:v>
                      </c:pt>
                    </c:numCache>
                  </c:numRef>
                </c:val>
                <c:extLst xmlns:c15="http://schemas.microsoft.com/office/drawing/2012/chart">
                  <c:ext xmlns:c16="http://schemas.microsoft.com/office/drawing/2014/chart" uri="{C3380CC4-5D6E-409C-BE32-E72D297353CC}">
                    <c16:uniqueId val="{00000006-3EBC-47B5-9C1A-878B45EFBDCF}"/>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sales!$I$1</c15:sqref>
                        </c15:formulaRef>
                      </c:ext>
                    </c:extLst>
                    <c:strCache>
                      <c:ptCount val="1"/>
                      <c:pt idx="0">
                        <c:v>Orders/month</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sales!$A$2:$A$18</c15:sqref>
                        </c15:fullRef>
                        <c15:formulaRef>
                          <c15:sqref>sales!$A$2:$A$17</c15:sqref>
                        </c15:formulaRef>
                      </c:ext>
                    </c:extLst>
                    <c:strCache>
                      <c:ptCount val="14"/>
                      <c:pt idx="0">
                        <c:v>D. Smith</c:v>
                      </c:pt>
                      <c:pt idx="1">
                        <c:v>B. Chen</c:v>
                      </c:pt>
                      <c:pt idx="2">
                        <c:v>G. Dubois</c:v>
                      </c:pt>
                      <c:pt idx="3">
                        <c:v>A. Patel</c:v>
                      </c:pt>
                      <c:pt idx="4">
                        <c:v>L. Okafor</c:v>
                      </c:pt>
                      <c:pt idx="5">
                        <c:v>F. Müller</c:v>
                      </c:pt>
                      <c:pt idx="6">
                        <c:v>M. Rossi</c:v>
                      </c:pt>
                      <c:pt idx="7">
                        <c:v>O. Wang</c:v>
                      </c:pt>
                      <c:pt idx="8">
                        <c:v>H. Kim</c:v>
                      </c:pt>
                      <c:pt idx="9">
                        <c:v>C. Otieno</c:v>
                      </c:pt>
                      <c:pt idx="10">
                        <c:v>K. Singh</c:v>
                      </c:pt>
                      <c:pt idx="11">
                        <c:v>E. Garcia</c:v>
                      </c:pt>
                      <c:pt idx="12">
                        <c:v>I. Johnson</c:v>
                      </c:pt>
                      <c:pt idx="13">
                        <c:v>N. Brown</c:v>
                      </c:pt>
                    </c:strCache>
                  </c:strRef>
                </c:cat>
                <c:val>
                  <c:numRef>
                    <c:extLst>
                      <c:ext xmlns:c15="http://schemas.microsoft.com/office/drawing/2012/chart" uri="{02D57815-91ED-43cb-92C2-25804820EDAC}">
                        <c15:fullRef>
                          <c15:sqref>sales!$I$2:$I$18</c15:sqref>
                        </c15:fullRef>
                        <c15:formulaRef>
                          <c15:sqref>sales!$I$2:$I$17</c15:sqref>
                        </c15:formulaRef>
                      </c:ext>
                    </c:extLst>
                    <c:numCache>
                      <c:formatCode>0.00</c:formatCode>
                      <c:ptCount val="15"/>
                      <c:pt idx="0">
                        <c:v>1.21875</c:v>
                      </c:pt>
                      <c:pt idx="1">
                        <c:v>1.5483870967741935</c:v>
                      </c:pt>
                      <c:pt idx="2">
                        <c:v>1</c:v>
                      </c:pt>
                      <c:pt idx="3">
                        <c:v>1.5</c:v>
                      </c:pt>
                      <c:pt idx="4">
                        <c:v>1.5806451612903225</c:v>
                      </c:pt>
                      <c:pt idx="5">
                        <c:v>1.6451612903225807</c:v>
                      </c:pt>
                      <c:pt idx="6">
                        <c:v>1.5483870967741935</c:v>
                      </c:pt>
                      <c:pt idx="7">
                        <c:v>1.1935483870967742</c:v>
                      </c:pt>
                      <c:pt idx="8">
                        <c:v>1.5666666666666667</c:v>
                      </c:pt>
                      <c:pt idx="9">
                        <c:v>1.2333333333333334</c:v>
                      </c:pt>
                      <c:pt idx="10">
                        <c:v>1.4666666666666666</c:v>
                      </c:pt>
                      <c:pt idx="11">
                        <c:v>1.2142857142857142</c:v>
                      </c:pt>
                      <c:pt idx="12">
                        <c:v>1.3103448275862069</c:v>
                      </c:pt>
                      <c:pt idx="13">
                        <c:v>1.032258064516129</c:v>
                      </c:pt>
                    </c:numCache>
                  </c:numRef>
                </c:val>
                <c:extLst xmlns:c15="http://schemas.microsoft.com/office/drawing/2012/chart">
                  <c:ext xmlns:c16="http://schemas.microsoft.com/office/drawing/2014/chart" uri="{C3380CC4-5D6E-409C-BE32-E72D297353CC}">
                    <c16:uniqueId val="{00000007-3EBC-47B5-9C1A-878B45EFBDCF}"/>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sales!$J$1</c15:sqref>
                        </c15:formulaRef>
                      </c:ext>
                    </c:extLst>
                    <c:strCache>
                      <c:ptCount val="1"/>
                      <c:pt idx="0">
                        <c:v>revenue/order</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sales!$A$2:$A$18</c15:sqref>
                        </c15:fullRef>
                        <c15:formulaRef>
                          <c15:sqref>sales!$A$2:$A$17</c15:sqref>
                        </c15:formulaRef>
                      </c:ext>
                    </c:extLst>
                    <c:strCache>
                      <c:ptCount val="14"/>
                      <c:pt idx="0">
                        <c:v>D. Smith</c:v>
                      </c:pt>
                      <c:pt idx="1">
                        <c:v>B. Chen</c:v>
                      </c:pt>
                      <c:pt idx="2">
                        <c:v>G. Dubois</c:v>
                      </c:pt>
                      <c:pt idx="3">
                        <c:v>A. Patel</c:v>
                      </c:pt>
                      <c:pt idx="4">
                        <c:v>L. Okafor</c:v>
                      </c:pt>
                      <c:pt idx="5">
                        <c:v>F. Müller</c:v>
                      </c:pt>
                      <c:pt idx="6">
                        <c:v>M. Rossi</c:v>
                      </c:pt>
                      <c:pt idx="7">
                        <c:v>O. Wang</c:v>
                      </c:pt>
                      <c:pt idx="8">
                        <c:v>H. Kim</c:v>
                      </c:pt>
                      <c:pt idx="9">
                        <c:v>C. Otieno</c:v>
                      </c:pt>
                      <c:pt idx="10">
                        <c:v>K. Singh</c:v>
                      </c:pt>
                      <c:pt idx="11">
                        <c:v>E. Garcia</c:v>
                      </c:pt>
                      <c:pt idx="12">
                        <c:v>I. Johnson</c:v>
                      </c:pt>
                      <c:pt idx="13">
                        <c:v>N. Brown</c:v>
                      </c:pt>
                    </c:strCache>
                  </c:strRef>
                </c:cat>
                <c:val>
                  <c:numRef>
                    <c:extLst>
                      <c:ext xmlns:c15="http://schemas.microsoft.com/office/drawing/2012/chart" uri="{02D57815-91ED-43cb-92C2-25804820EDAC}">
                        <c15:fullRef>
                          <c15:sqref>sales!$J$2:$J$18</c15:sqref>
                        </c15:fullRef>
                        <c15:formulaRef>
                          <c15:sqref>sales!$J$2:$J$17</c15:sqref>
                        </c15:formulaRef>
                      </c:ext>
                    </c:extLst>
                    <c:numCache>
                      <c:formatCode>0.00</c:formatCode>
                      <c:ptCount val="15"/>
                      <c:pt idx="0">
                        <c:v>15760.110287692309</c:v>
                      </c:pt>
                      <c:pt idx="1">
                        <c:v>18619.492934375005</c:v>
                      </c:pt>
                      <c:pt idx="2">
                        <c:v>17021.790434999999</c:v>
                      </c:pt>
                      <c:pt idx="3">
                        <c:v>20945.605769375001</c:v>
                      </c:pt>
                      <c:pt idx="4">
                        <c:v>18452.853511224483</c:v>
                      </c:pt>
                      <c:pt idx="5">
                        <c:v>15934.062202352943</c:v>
                      </c:pt>
                      <c:pt idx="6">
                        <c:v>20131.228907291657</c:v>
                      </c:pt>
                      <c:pt idx="7">
                        <c:v>17506.078295675681</c:v>
                      </c:pt>
                      <c:pt idx="8">
                        <c:v>15471.308915106381</c:v>
                      </c:pt>
                      <c:pt idx="9">
                        <c:v>18516.536754594592</c:v>
                      </c:pt>
                      <c:pt idx="10">
                        <c:v>20076.093849090907</c:v>
                      </c:pt>
                      <c:pt idx="11">
                        <c:v>15995.483545000001</c:v>
                      </c:pt>
                      <c:pt idx="12">
                        <c:v>14224.37439105263</c:v>
                      </c:pt>
                      <c:pt idx="13">
                        <c:v>12135.1605184375</c:v>
                      </c:pt>
                    </c:numCache>
                  </c:numRef>
                </c:val>
                <c:extLst xmlns:c15="http://schemas.microsoft.com/office/drawing/2012/chart">
                  <c:ext xmlns:c16="http://schemas.microsoft.com/office/drawing/2014/chart" uri="{C3380CC4-5D6E-409C-BE32-E72D297353CC}">
                    <c16:uniqueId val="{00000008-3EBC-47B5-9C1A-878B45EFBDCF}"/>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sales!$K$1</c15:sqref>
                        </c15:formulaRef>
                      </c:ext>
                    </c:extLst>
                    <c:strCache>
                      <c:ptCount val="1"/>
                      <c:pt idx="0">
                        <c:v>profit/order</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sales!$A$2:$A$18</c15:sqref>
                        </c15:fullRef>
                        <c15:formulaRef>
                          <c15:sqref>sales!$A$2:$A$17</c15:sqref>
                        </c15:formulaRef>
                      </c:ext>
                    </c:extLst>
                    <c:strCache>
                      <c:ptCount val="14"/>
                      <c:pt idx="0">
                        <c:v>D. Smith</c:v>
                      </c:pt>
                      <c:pt idx="1">
                        <c:v>B. Chen</c:v>
                      </c:pt>
                      <c:pt idx="2">
                        <c:v>G. Dubois</c:v>
                      </c:pt>
                      <c:pt idx="3">
                        <c:v>A. Patel</c:v>
                      </c:pt>
                      <c:pt idx="4">
                        <c:v>L. Okafor</c:v>
                      </c:pt>
                      <c:pt idx="5">
                        <c:v>F. Müller</c:v>
                      </c:pt>
                      <c:pt idx="6">
                        <c:v>M. Rossi</c:v>
                      </c:pt>
                      <c:pt idx="7">
                        <c:v>O. Wang</c:v>
                      </c:pt>
                      <c:pt idx="8">
                        <c:v>H. Kim</c:v>
                      </c:pt>
                      <c:pt idx="9">
                        <c:v>C. Otieno</c:v>
                      </c:pt>
                      <c:pt idx="10">
                        <c:v>K. Singh</c:v>
                      </c:pt>
                      <c:pt idx="11">
                        <c:v>E. Garcia</c:v>
                      </c:pt>
                      <c:pt idx="12">
                        <c:v>I. Johnson</c:v>
                      </c:pt>
                      <c:pt idx="13">
                        <c:v>N. Brown</c:v>
                      </c:pt>
                    </c:strCache>
                  </c:strRef>
                </c:cat>
                <c:val>
                  <c:numRef>
                    <c:extLst>
                      <c:ext xmlns:c15="http://schemas.microsoft.com/office/drawing/2012/chart" uri="{02D57815-91ED-43cb-92C2-25804820EDAC}">
                        <c15:fullRef>
                          <c15:sqref>sales!$K$2:$K$18</c15:sqref>
                        </c15:fullRef>
                        <c15:formulaRef>
                          <c15:sqref>sales!$K$2:$K$17</c15:sqref>
                        </c15:formulaRef>
                      </c:ext>
                    </c:extLst>
                    <c:numCache>
                      <c:formatCode>0.00</c:formatCode>
                      <c:ptCount val="15"/>
                      <c:pt idx="0">
                        <c:v>4371.0902876923074</c:v>
                      </c:pt>
                      <c:pt idx="1">
                        <c:v>6582.7077260416636</c:v>
                      </c:pt>
                      <c:pt idx="2">
                        <c:v>5748.0624350000016</c:v>
                      </c:pt>
                      <c:pt idx="3">
                        <c:v>7034.0563943749985</c:v>
                      </c:pt>
                      <c:pt idx="4">
                        <c:v>5825.5828989795928</c:v>
                      </c:pt>
                      <c:pt idx="5">
                        <c:v>4935.9414180392168</c:v>
                      </c:pt>
                      <c:pt idx="6">
                        <c:v>6305.3553656250006</c:v>
                      </c:pt>
                      <c:pt idx="7">
                        <c:v>5005.9307281081092</c:v>
                      </c:pt>
                      <c:pt idx="8">
                        <c:v>3065.0491278723398</c:v>
                      </c:pt>
                      <c:pt idx="9">
                        <c:v>6099.8654032432423</c:v>
                      </c:pt>
                      <c:pt idx="10">
                        <c:v>6335.5061218181827</c:v>
                      </c:pt>
                      <c:pt idx="11">
                        <c:v>6028.8629567647085</c:v>
                      </c:pt>
                      <c:pt idx="12">
                        <c:v>3667.9538647368418</c:v>
                      </c:pt>
                      <c:pt idx="13">
                        <c:v>3457.7017684374991</c:v>
                      </c:pt>
                    </c:numCache>
                  </c:numRef>
                </c:val>
                <c:extLst xmlns:c15="http://schemas.microsoft.com/office/drawing/2012/chart">
                  <c:ext xmlns:c16="http://schemas.microsoft.com/office/drawing/2014/chart" uri="{C3380CC4-5D6E-409C-BE32-E72D297353CC}">
                    <c16:uniqueId val="{00000009-3EBC-47B5-9C1A-878B45EFBDCF}"/>
                  </c:ext>
                </c:extLst>
              </c15:ser>
            </c15:filteredBarSeries>
          </c:ext>
        </c:extLst>
      </c:barChart>
      <c:catAx>
        <c:axId val="763951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3949935"/>
        <c:crosses val="autoZero"/>
        <c:auto val="1"/>
        <c:lblAlgn val="ctr"/>
        <c:lblOffset val="100"/>
        <c:noMultiLvlLbl val="0"/>
      </c:catAx>
      <c:valAx>
        <c:axId val="76394993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3951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workbook compelete.xlsx]sales!PivotTable1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sales!$B$19</c:f>
              <c:strCache>
                <c:ptCount val="1"/>
                <c:pt idx="0">
                  <c:v>Total</c:v>
                </c:pt>
              </c:strCache>
            </c:strRef>
          </c:tx>
          <c:spPr>
            <a:ln w="28575" cap="rnd">
              <a:solidFill>
                <a:schemeClr val="accent1"/>
              </a:solidFill>
              <a:round/>
            </a:ln>
            <a:effectLst/>
          </c:spPr>
          <c:marker>
            <c:symbol val="none"/>
          </c:marker>
          <c:cat>
            <c:strRef>
              <c:f>sales!$A$20:$A$32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sales!$B$20:$B$32</c:f>
              <c:numCache>
                <c:formatCode>0.00</c:formatCode>
                <c:ptCount val="12"/>
                <c:pt idx="0">
                  <c:v>701241.31054999994</c:v>
                </c:pt>
                <c:pt idx="1">
                  <c:v>962551.40801999997</c:v>
                </c:pt>
                <c:pt idx="2">
                  <c:v>798978.3049499999</c:v>
                </c:pt>
                <c:pt idx="3">
                  <c:v>947246.57737999968</c:v>
                </c:pt>
                <c:pt idx="4">
                  <c:v>1262173.9173500005</c:v>
                </c:pt>
                <c:pt idx="5">
                  <c:v>1252428.1889099998</c:v>
                </c:pt>
                <c:pt idx="6">
                  <c:v>1313062.2995500001</c:v>
                </c:pt>
                <c:pt idx="7">
                  <c:v>1089608.8125499997</c:v>
                </c:pt>
                <c:pt idx="8">
                  <c:v>661159.42946000013</c:v>
                </c:pt>
                <c:pt idx="9">
                  <c:v>658776.05551000009</c:v>
                </c:pt>
                <c:pt idx="10">
                  <c:v>543953.69134999986</c:v>
                </c:pt>
                <c:pt idx="11">
                  <c:v>734787.60988000012</c:v>
                </c:pt>
              </c:numCache>
            </c:numRef>
          </c:val>
          <c:smooth val="0"/>
          <c:extLst>
            <c:ext xmlns:c16="http://schemas.microsoft.com/office/drawing/2014/chart" uri="{C3380CC4-5D6E-409C-BE32-E72D297353CC}">
              <c16:uniqueId val="{00000000-774C-4D61-B6FE-45B35CEAFBF3}"/>
            </c:ext>
          </c:extLst>
        </c:ser>
        <c:dLbls>
          <c:showLegendKey val="0"/>
          <c:showVal val="0"/>
          <c:showCatName val="0"/>
          <c:showSerName val="0"/>
          <c:showPercent val="0"/>
          <c:showBubbleSize val="0"/>
        </c:dLbls>
        <c:smooth val="0"/>
        <c:axId val="331910303"/>
        <c:axId val="331908383"/>
      </c:lineChart>
      <c:catAx>
        <c:axId val="33191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1908383"/>
        <c:crosses val="autoZero"/>
        <c:auto val="1"/>
        <c:lblAlgn val="ctr"/>
        <c:lblOffset val="100"/>
        <c:noMultiLvlLbl val="0"/>
      </c:catAx>
      <c:valAx>
        <c:axId val="331908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191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workbook compelete.xlsx]channelmix!PivotTable2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out or region and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channelmix!$B$38:$B$39</c:f>
              <c:strCache>
                <c:ptCount val="1"/>
                <c:pt idx="0">
                  <c:v>Direct</c:v>
                </c:pt>
              </c:strCache>
            </c:strRef>
          </c:tx>
          <c:spPr>
            <a:solidFill>
              <a:schemeClr val="accent1"/>
            </a:solidFill>
            <a:ln>
              <a:noFill/>
            </a:ln>
            <a:effectLst/>
          </c:spPr>
          <c:invertIfNegative val="0"/>
          <c:cat>
            <c:strRef>
              <c:f>channelmix!$A$40:$A$43</c:f>
              <c:strCache>
                <c:ptCount val="4"/>
                <c:pt idx="0">
                  <c:v>Africa</c:v>
                </c:pt>
                <c:pt idx="1">
                  <c:v>Americas</c:v>
                </c:pt>
                <c:pt idx="2">
                  <c:v>Asia</c:v>
                </c:pt>
                <c:pt idx="3">
                  <c:v>Europe</c:v>
                </c:pt>
              </c:strCache>
            </c:strRef>
          </c:cat>
          <c:val>
            <c:numRef>
              <c:f>channelmix!$B$40:$B$43</c:f>
              <c:numCache>
                <c:formatCode>General</c:formatCode>
                <c:ptCount val="4"/>
                <c:pt idx="0">
                  <c:v>177770.18629999997</c:v>
                </c:pt>
                <c:pt idx="1">
                  <c:v>258674.92591000005</c:v>
                </c:pt>
                <c:pt idx="2">
                  <c:v>229217.47857999997</c:v>
                </c:pt>
                <c:pt idx="3">
                  <c:v>300745.65849999996</c:v>
                </c:pt>
              </c:numCache>
            </c:numRef>
          </c:val>
          <c:extLst>
            <c:ext xmlns:c16="http://schemas.microsoft.com/office/drawing/2014/chart" uri="{C3380CC4-5D6E-409C-BE32-E72D297353CC}">
              <c16:uniqueId val="{00000000-AABA-43A5-9B86-2EA9DEE22E9B}"/>
            </c:ext>
          </c:extLst>
        </c:ser>
        <c:ser>
          <c:idx val="1"/>
          <c:order val="1"/>
          <c:tx>
            <c:strRef>
              <c:f>channelmix!$C$38:$C$39</c:f>
              <c:strCache>
                <c:ptCount val="1"/>
                <c:pt idx="0">
                  <c:v>Distributor</c:v>
                </c:pt>
              </c:strCache>
            </c:strRef>
          </c:tx>
          <c:spPr>
            <a:solidFill>
              <a:schemeClr val="accent2"/>
            </a:solidFill>
            <a:ln>
              <a:noFill/>
            </a:ln>
            <a:effectLst/>
          </c:spPr>
          <c:invertIfNegative val="0"/>
          <c:cat>
            <c:strRef>
              <c:f>channelmix!$A$40:$A$43</c:f>
              <c:strCache>
                <c:ptCount val="4"/>
                <c:pt idx="0">
                  <c:v>Africa</c:v>
                </c:pt>
                <c:pt idx="1">
                  <c:v>Americas</c:v>
                </c:pt>
                <c:pt idx="2">
                  <c:v>Asia</c:v>
                </c:pt>
                <c:pt idx="3">
                  <c:v>Europe</c:v>
                </c:pt>
              </c:strCache>
            </c:strRef>
          </c:cat>
          <c:val>
            <c:numRef>
              <c:f>channelmix!$C$40:$C$43</c:f>
              <c:numCache>
                <c:formatCode>General</c:formatCode>
                <c:ptCount val="4"/>
                <c:pt idx="0">
                  <c:v>208429.3297</c:v>
                </c:pt>
                <c:pt idx="1">
                  <c:v>175298.68432</c:v>
                </c:pt>
                <c:pt idx="2">
                  <c:v>151146.74599000002</c:v>
                </c:pt>
                <c:pt idx="3">
                  <c:v>105550.85219999999</c:v>
                </c:pt>
              </c:numCache>
            </c:numRef>
          </c:val>
          <c:extLst>
            <c:ext xmlns:c16="http://schemas.microsoft.com/office/drawing/2014/chart" uri="{C3380CC4-5D6E-409C-BE32-E72D297353CC}">
              <c16:uniqueId val="{00000001-AABA-43A5-9B86-2EA9DEE22E9B}"/>
            </c:ext>
          </c:extLst>
        </c:ser>
        <c:ser>
          <c:idx val="2"/>
          <c:order val="2"/>
          <c:tx>
            <c:strRef>
              <c:f>channelmix!$D$38:$D$39</c:f>
              <c:strCache>
                <c:ptCount val="1"/>
                <c:pt idx="0">
                  <c:v>Marketplace</c:v>
                </c:pt>
              </c:strCache>
            </c:strRef>
          </c:tx>
          <c:spPr>
            <a:solidFill>
              <a:schemeClr val="accent3"/>
            </a:solidFill>
            <a:ln>
              <a:noFill/>
            </a:ln>
            <a:effectLst/>
          </c:spPr>
          <c:invertIfNegative val="0"/>
          <c:cat>
            <c:strRef>
              <c:f>channelmix!$A$40:$A$43</c:f>
              <c:strCache>
                <c:ptCount val="4"/>
                <c:pt idx="0">
                  <c:v>Africa</c:v>
                </c:pt>
                <c:pt idx="1">
                  <c:v>Americas</c:v>
                </c:pt>
                <c:pt idx="2">
                  <c:v>Asia</c:v>
                </c:pt>
                <c:pt idx="3">
                  <c:v>Europe</c:v>
                </c:pt>
              </c:strCache>
            </c:strRef>
          </c:cat>
          <c:val>
            <c:numRef>
              <c:f>channelmix!$D$40:$D$43</c:f>
              <c:numCache>
                <c:formatCode>General</c:formatCode>
                <c:ptCount val="4"/>
                <c:pt idx="0">
                  <c:v>164839.30456000002</c:v>
                </c:pt>
                <c:pt idx="1">
                  <c:v>97387.60751999999</c:v>
                </c:pt>
                <c:pt idx="2">
                  <c:v>144575.43307</c:v>
                </c:pt>
                <c:pt idx="3">
                  <c:v>111146.83825000002</c:v>
                </c:pt>
              </c:numCache>
            </c:numRef>
          </c:val>
          <c:extLst>
            <c:ext xmlns:c16="http://schemas.microsoft.com/office/drawing/2014/chart" uri="{C3380CC4-5D6E-409C-BE32-E72D297353CC}">
              <c16:uniqueId val="{00000002-AABA-43A5-9B86-2EA9DEE22E9B}"/>
            </c:ext>
          </c:extLst>
        </c:ser>
        <c:ser>
          <c:idx val="3"/>
          <c:order val="3"/>
          <c:tx>
            <c:strRef>
              <c:f>channelmix!$E$38:$E$39</c:f>
              <c:strCache>
                <c:ptCount val="1"/>
                <c:pt idx="0">
                  <c:v>Online</c:v>
                </c:pt>
              </c:strCache>
            </c:strRef>
          </c:tx>
          <c:spPr>
            <a:solidFill>
              <a:schemeClr val="accent4"/>
            </a:solidFill>
            <a:ln>
              <a:noFill/>
            </a:ln>
            <a:effectLst/>
          </c:spPr>
          <c:invertIfNegative val="0"/>
          <c:cat>
            <c:strRef>
              <c:f>channelmix!$A$40:$A$43</c:f>
              <c:strCache>
                <c:ptCount val="4"/>
                <c:pt idx="0">
                  <c:v>Africa</c:v>
                </c:pt>
                <c:pt idx="1">
                  <c:v>Americas</c:v>
                </c:pt>
                <c:pt idx="2">
                  <c:v>Asia</c:v>
                </c:pt>
                <c:pt idx="3">
                  <c:v>Europe</c:v>
                </c:pt>
              </c:strCache>
            </c:strRef>
          </c:cat>
          <c:val>
            <c:numRef>
              <c:f>channelmix!$E$40:$E$43</c:f>
              <c:numCache>
                <c:formatCode>General</c:formatCode>
                <c:ptCount val="4"/>
                <c:pt idx="0">
                  <c:v>145453.94626999996</c:v>
                </c:pt>
                <c:pt idx="1">
                  <c:v>261943.84436999995</c:v>
                </c:pt>
                <c:pt idx="2">
                  <c:v>153059.51016999999</c:v>
                </c:pt>
                <c:pt idx="3">
                  <c:v>200067.16277000002</c:v>
                </c:pt>
              </c:numCache>
            </c:numRef>
          </c:val>
          <c:extLst>
            <c:ext xmlns:c16="http://schemas.microsoft.com/office/drawing/2014/chart" uri="{C3380CC4-5D6E-409C-BE32-E72D297353CC}">
              <c16:uniqueId val="{00000003-AABA-43A5-9B86-2EA9DEE22E9B}"/>
            </c:ext>
          </c:extLst>
        </c:ser>
        <c:ser>
          <c:idx val="4"/>
          <c:order val="4"/>
          <c:tx>
            <c:strRef>
              <c:f>channelmix!$F$38:$F$39</c:f>
              <c:strCache>
                <c:ptCount val="1"/>
                <c:pt idx="0">
                  <c:v>Retail</c:v>
                </c:pt>
              </c:strCache>
            </c:strRef>
          </c:tx>
          <c:spPr>
            <a:solidFill>
              <a:schemeClr val="accent5"/>
            </a:solidFill>
            <a:ln>
              <a:noFill/>
            </a:ln>
            <a:effectLst/>
          </c:spPr>
          <c:invertIfNegative val="0"/>
          <c:cat>
            <c:strRef>
              <c:f>channelmix!$A$40:$A$43</c:f>
              <c:strCache>
                <c:ptCount val="4"/>
                <c:pt idx="0">
                  <c:v>Africa</c:v>
                </c:pt>
                <c:pt idx="1">
                  <c:v>Americas</c:v>
                </c:pt>
                <c:pt idx="2">
                  <c:v>Asia</c:v>
                </c:pt>
                <c:pt idx="3">
                  <c:v>Europe</c:v>
                </c:pt>
              </c:strCache>
            </c:strRef>
          </c:cat>
          <c:val>
            <c:numRef>
              <c:f>channelmix!$F$40:$F$43</c:f>
              <c:numCache>
                <c:formatCode>General</c:formatCode>
                <c:ptCount val="4"/>
                <c:pt idx="0">
                  <c:v>140531.63970999996</c:v>
                </c:pt>
                <c:pt idx="1">
                  <c:v>69035.70921999999</c:v>
                </c:pt>
                <c:pt idx="2">
                  <c:v>153258.55984000003</c:v>
                </c:pt>
                <c:pt idx="3">
                  <c:v>150086.47820999997</c:v>
                </c:pt>
              </c:numCache>
            </c:numRef>
          </c:val>
          <c:extLst>
            <c:ext xmlns:c16="http://schemas.microsoft.com/office/drawing/2014/chart" uri="{C3380CC4-5D6E-409C-BE32-E72D297353CC}">
              <c16:uniqueId val="{00000004-AABA-43A5-9B86-2EA9DEE22E9B}"/>
            </c:ext>
          </c:extLst>
        </c:ser>
        <c:dLbls>
          <c:showLegendKey val="0"/>
          <c:showVal val="0"/>
          <c:showCatName val="0"/>
          <c:showSerName val="0"/>
          <c:showPercent val="0"/>
          <c:showBubbleSize val="0"/>
        </c:dLbls>
        <c:gapWidth val="150"/>
        <c:overlap val="100"/>
        <c:axId val="702000255"/>
        <c:axId val="702000735"/>
      </c:barChart>
      <c:catAx>
        <c:axId val="70200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2000735"/>
        <c:crosses val="autoZero"/>
        <c:auto val="1"/>
        <c:lblAlgn val="ctr"/>
        <c:lblOffset val="100"/>
        <c:noMultiLvlLbl val="0"/>
      </c:catAx>
      <c:valAx>
        <c:axId val="70200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200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workbook compelete.xlsx]channelmix!PivotTable3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channelmix!$B$45</c:f>
              <c:strCache>
                <c:ptCount val="1"/>
                <c:pt idx="0">
                  <c:v>Total</c:v>
                </c:pt>
              </c:strCache>
            </c:strRef>
          </c:tx>
          <c:spPr>
            <a:solidFill>
              <a:schemeClr val="accent1"/>
            </a:solidFill>
            <a:ln>
              <a:noFill/>
            </a:ln>
            <a:effectLst/>
          </c:spPr>
          <c:invertIfNegative val="0"/>
          <c:cat>
            <c:strRef>
              <c:f>channelmix!$A$46:$A$55</c:f>
              <c:strCache>
                <c:ptCount val="10"/>
                <c:pt idx="0">
                  <c:v>CMP-3938</c:v>
                </c:pt>
                <c:pt idx="1">
                  <c:v>CMP-8851</c:v>
                </c:pt>
                <c:pt idx="2">
                  <c:v>LAP-3904</c:v>
                </c:pt>
                <c:pt idx="3">
                  <c:v>LAP-8910</c:v>
                </c:pt>
                <c:pt idx="4">
                  <c:v>MON-2266</c:v>
                </c:pt>
                <c:pt idx="5">
                  <c:v>MON-6699</c:v>
                </c:pt>
                <c:pt idx="6">
                  <c:v>MON-6962</c:v>
                </c:pt>
                <c:pt idx="7">
                  <c:v>NET-2365</c:v>
                </c:pt>
                <c:pt idx="8">
                  <c:v>NET-5523</c:v>
                </c:pt>
                <c:pt idx="9">
                  <c:v>NET-5987</c:v>
                </c:pt>
              </c:strCache>
            </c:strRef>
          </c:cat>
          <c:val>
            <c:numRef>
              <c:f>channelmix!$B$46:$B$55</c:f>
              <c:numCache>
                <c:formatCode>General</c:formatCode>
                <c:ptCount val="10"/>
                <c:pt idx="0">
                  <c:v>84136.119600000005</c:v>
                </c:pt>
                <c:pt idx="1">
                  <c:v>139277.83032000001</c:v>
                </c:pt>
                <c:pt idx="2">
                  <c:v>82514.711519999997</c:v>
                </c:pt>
                <c:pt idx="3">
                  <c:v>102122.94203999999</c:v>
                </c:pt>
                <c:pt idx="4">
                  <c:v>87404.929919999995</c:v>
                </c:pt>
                <c:pt idx="5">
                  <c:v>85637.740319999997</c:v>
                </c:pt>
                <c:pt idx="6">
                  <c:v>92715.25</c:v>
                </c:pt>
                <c:pt idx="7">
                  <c:v>109244</c:v>
                </c:pt>
                <c:pt idx="8">
                  <c:v>79548.755999999994</c:v>
                </c:pt>
                <c:pt idx="9">
                  <c:v>82141.339799999987</c:v>
                </c:pt>
              </c:numCache>
            </c:numRef>
          </c:val>
          <c:extLst>
            <c:ext xmlns:c16="http://schemas.microsoft.com/office/drawing/2014/chart" uri="{C3380CC4-5D6E-409C-BE32-E72D297353CC}">
              <c16:uniqueId val="{00000000-85D5-42D8-9A37-721770029DA5}"/>
            </c:ext>
          </c:extLst>
        </c:ser>
        <c:dLbls>
          <c:showLegendKey val="0"/>
          <c:showVal val="0"/>
          <c:showCatName val="0"/>
          <c:showSerName val="0"/>
          <c:showPercent val="0"/>
          <c:showBubbleSize val="0"/>
        </c:dLbls>
        <c:gapWidth val="219"/>
        <c:overlap val="-27"/>
        <c:axId val="714412687"/>
        <c:axId val="714413647"/>
      </c:barChart>
      <c:catAx>
        <c:axId val="71441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14413647"/>
        <c:crosses val="autoZero"/>
        <c:auto val="1"/>
        <c:lblAlgn val="ctr"/>
        <c:lblOffset val="100"/>
        <c:noMultiLvlLbl val="0"/>
      </c:catAx>
      <c:valAx>
        <c:axId val="71441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1441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workbook compelete.xlsx]sales!PivotTable1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sales!$B$19</c:f>
              <c:strCache>
                <c:ptCount val="1"/>
                <c:pt idx="0">
                  <c:v>Total</c:v>
                </c:pt>
              </c:strCache>
            </c:strRef>
          </c:tx>
          <c:spPr>
            <a:ln w="28575" cap="rnd">
              <a:solidFill>
                <a:schemeClr val="accent1"/>
              </a:solidFill>
              <a:round/>
            </a:ln>
            <a:effectLst/>
          </c:spPr>
          <c:marker>
            <c:symbol val="none"/>
          </c:marker>
          <c:cat>
            <c:strRef>
              <c:f>sales!$A$20:$A$32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sales!$B$20:$B$32</c:f>
              <c:numCache>
                <c:formatCode>0.00</c:formatCode>
                <c:ptCount val="12"/>
                <c:pt idx="0">
                  <c:v>701241.31054999994</c:v>
                </c:pt>
                <c:pt idx="1">
                  <c:v>962551.40801999997</c:v>
                </c:pt>
                <c:pt idx="2">
                  <c:v>798978.3049499999</c:v>
                </c:pt>
                <c:pt idx="3">
                  <c:v>947246.57737999968</c:v>
                </c:pt>
                <c:pt idx="4">
                  <c:v>1262173.9173500005</c:v>
                </c:pt>
                <c:pt idx="5">
                  <c:v>1252428.1889099998</c:v>
                </c:pt>
                <c:pt idx="6">
                  <c:v>1313062.2995500001</c:v>
                </c:pt>
                <c:pt idx="7">
                  <c:v>1089608.8125499997</c:v>
                </c:pt>
                <c:pt idx="8">
                  <c:v>661159.42946000013</c:v>
                </c:pt>
                <c:pt idx="9">
                  <c:v>658776.05551000009</c:v>
                </c:pt>
                <c:pt idx="10">
                  <c:v>543953.69134999986</c:v>
                </c:pt>
                <c:pt idx="11">
                  <c:v>734787.60988000012</c:v>
                </c:pt>
              </c:numCache>
            </c:numRef>
          </c:val>
          <c:smooth val="0"/>
          <c:extLst>
            <c:ext xmlns:c16="http://schemas.microsoft.com/office/drawing/2014/chart" uri="{C3380CC4-5D6E-409C-BE32-E72D297353CC}">
              <c16:uniqueId val="{00000000-BC56-4905-83F4-11179CF0D9E6}"/>
            </c:ext>
          </c:extLst>
        </c:ser>
        <c:dLbls>
          <c:showLegendKey val="0"/>
          <c:showVal val="0"/>
          <c:showCatName val="0"/>
          <c:showSerName val="0"/>
          <c:showPercent val="0"/>
          <c:showBubbleSize val="0"/>
        </c:dLbls>
        <c:smooth val="0"/>
        <c:axId val="331910303"/>
        <c:axId val="331908383"/>
      </c:lineChart>
      <c:catAx>
        <c:axId val="33191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1908383"/>
        <c:crosses val="autoZero"/>
        <c:auto val="1"/>
        <c:lblAlgn val="ctr"/>
        <c:lblOffset val="100"/>
        <c:noMultiLvlLbl val="0"/>
      </c:catAx>
      <c:valAx>
        <c:axId val="331908383"/>
        <c:scaling>
          <c:orientation val="minMax"/>
          <c:min val="500000"/>
        </c:scaling>
        <c:delete val="0"/>
        <c:axPos val="l"/>
        <c:majorGridlines>
          <c:spPr>
            <a:ln w="9525" cap="flat" cmpd="sng" algn="ctr">
              <a:solidFill>
                <a:schemeClr val="tx1">
                  <a:lumMod val="15000"/>
                  <a:lumOff val="85000"/>
                </a:schemeClr>
              </a:solidFill>
              <a:round/>
            </a:ln>
            <a:effectLst/>
          </c:spPr>
        </c:majorGridlines>
        <c:numFmt formatCode="[&gt;=1000000]#,##0.0,,&quot;M&quot;;#,##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191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workbook compelete.xlsx]channelmix!PivotTable2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 &amp; Channel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channelmix!$B$38:$B$39</c:f>
              <c:strCache>
                <c:ptCount val="1"/>
                <c:pt idx="0">
                  <c:v>Direct</c:v>
                </c:pt>
              </c:strCache>
            </c:strRef>
          </c:tx>
          <c:spPr>
            <a:solidFill>
              <a:schemeClr val="accent1">
                <a:shade val="53000"/>
              </a:schemeClr>
            </a:solidFill>
            <a:ln>
              <a:noFill/>
            </a:ln>
            <a:effectLst/>
          </c:spPr>
          <c:invertIfNegative val="0"/>
          <c:cat>
            <c:strRef>
              <c:f>channelmix!$A$40:$A$43</c:f>
              <c:strCache>
                <c:ptCount val="4"/>
                <c:pt idx="0">
                  <c:v>Africa</c:v>
                </c:pt>
                <c:pt idx="1">
                  <c:v>Americas</c:v>
                </c:pt>
                <c:pt idx="2">
                  <c:v>Asia</c:v>
                </c:pt>
                <c:pt idx="3">
                  <c:v>Europe</c:v>
                </c:pt>
              </c:strCache>
            </c:strRef>
          </c:cat>
          <c:val>
            <c:numRef>
              <c:f>channelmix!$B$40:$B$43</c:f>
              <c:numCache>
                <c:formatCode>General</c:formatCode>
                <c:ptCount val="4"/>
                <c:pt idx="0">
                  <c:v>177770.18629999997</c:v>
                </c:pt>
                <c:pt idx="1">
                  <c:v>258674.92591000005</c:v>
                </c:pt>
                <c:pt idx="2">
                  <c:v>229217.47857999997</c:v>
                </c:pt>
                <c:pt idx="3">
                  <c:v>300745.65849999996</c:v>
                </c:pt>
              </c:numCache>
            </c:numRef>
          </c:val>
          <c:extLst>
            <c:ext xmlns:c16="http://schemas.microsoft.com/office/drawing/2014/chart" uri="{C3380CC4-5D6E-409C-BE32-E72D297353CC}">
              <c16:uniqueId val="{00000000-F9DB-4F7D-833F-2D6A13AC43D0}"/>
            </c:ext>
          </c:extLst>
        </c:ser>
        <c:ser>
          <c:idx val="1"/>
          <c:order val="1"/>
          <c:tx>
            <c:strRef>
              <c:f>channelmix!$C$38:$C$39</c:f>
              <c:strCache>
                <c:ptCount val="1"/>
                <c:pt idx="0">
                  <c:v>Distributor</c:v>
                </c:pt>
              </c:strCache>
            </c:strRef>
          </c:tx>
          <c:spPr>
            <a:solidFill>
              <a:schemeClr val="accent1">
                <a:shade val="76000"/>
              </a:schemeClr>
            </a:solidFill>
            <a:ln>
              <a:noFill/>
            </a:ln>
            <a:effectLst/>
          </c:spPr>
          <c:invertIfNegative val="0"/>
          <c:cat>
            <c:strRef>
              <c:f>channelmix!$A$40:$A$43</c:f>
              <c:strCache>
                <c:ptCount val="4"/>
                <c:pt idx="0">
                  <c:v>Africa</c:v>
                </c:pt>
                <c:pt idx="1">
                  <c:v>Americas</c:v>
                </c:pt>
                <c:pt idx="2">
                  <c:v>Asia</c:v>
                </c:pt>
                <c:pt idx="3">
                  <c:v>Europe</c:v>
                </c:pt>
              </c:strCache>
            </c:strRef>
          </c:cat>
          <c:val>
            <c:numRef>
              <c:f>channelmix!$C$40:$C$43</c:f>
              <c:numCache>
                <c:formatCode>General</c:formatCode>
                <c:ptCount val="4"/>
                <c:pt idx="0">
                  <c:v>208429.3297</c:v>
                </c:pt>
                <c:pt idx="1">
                  <c:v>175298.68432</c:v>
                </c:pt>
                <c:pt idx="2">
                  <c:v>151146.74599000002</c:v>
                </c:pt>
                <c:pt idx="3">
                  <c:v>105550.85219999999</c:v>
                </c:pt>
              </c:numCache>
            </c:numRef>
          </c:val>
          <c:extLst>
            <c:ext xmlns:c16="http://schemas.microsoft.com/office/drawing/2014/chart" uri="{C3380CC4-5D6E-409C-BE32-E72D297353CC}">
              <c16:uniqueId val="{00000001-F9DB-4F7D-833F-2D6A13AC43D0}"/>
            </c:ext>
          </c:extLst>
        </c:ser>
        <c:ser>
          <c:idx val="2"/>
          <c:order val="2"/>
          <c:tx>
            <c:strRef>
              <c:f>channelmix!$D$38:$D$39</c:f>
              <c:strCache>
                <c:ptCount val="1"/>
                <c:pt idx="0">
                  <c:v>Marketplace</c:v>
                </c:pt>
              </c:strCache>
            </c:strRef>
          </c:tx>
          <c:spPr>
            <a:solidFill>
              <a:schemeClr val="accent1"/>
            </a:solidFill>
            <a:ln>
              <a:noFill/>
            </a:ln>
            <a:effectLst/>
          </c:spPr>
          <c:invertIfNegative val="0"/>
          <c:cat>
            <c:strRef>
              <c:f>channelmix!$A$40:$A$43</c:f>
              <c:strCache>
                <c:ptCount val="4"/>
                <c:pt idx="0">
                  <c:v>Africa</c:v>
                </c:pt>
                <c:pt idx="1">
                  <c:v>Americas</c:v>
                </c:pt>
                <c:pt idx="2">
                  <c:v>Asia</c:v>
                </c:pt>
                <c:pt idx="3">
                  <c:v>Europe</c:v>
                </c:pt>
              </c:strCache>
            </c:strRef>
          </c:cat>
          <c:val>
            <c:numRef>
              <c:f>channelmix!$D$40:$D$43</c:f>
              <c:numCache>
                <c:formatCode>General</c:formatCode>
                <c:ptCount val="4"/>
                <c:pt idx="0">
                  <c:v>164839.30456000002</c:v>
                </c:pt>
                <c:pt idx="1">
                  <c:v>97387.60751999999</c:v>
                </c:pt>
                <c:pt idx="2">
                  <c:v>144575.43307</c:v>
                </c:pt>
                <c:pt idx="3">
                  <c:v>111146.83825000002</c:v>
                </c:pt>
              </c:numCache>
            </c:numRef>
          </c:val>
          <c:extLst>
            <c:ext xmlns:c16="http://schemas.microsoft.com/office/drawing/2014/chart" uri="{C3380CC4-5D6E-409C-BE32-E72D297353CC}">
              <c16:uniqueId val="{00000002-F9DB-4F7D-833F-2D6A13AC43D0}"/>
            </c:ext>
          </c:extLst>
        </c:ser>
        <c:ser>
          <c:idx val="3"/>
          <c:order val="3"/>
          <c:tx>
            <c:strRef>
              <c:f>channelmix!$E$38:$E$39</c:f>
              <c:strCache>
                <c:ptCount val="1"/>
                <c:pt idx="0">
                  <c:v>Online</c:v>
                </c:pt>
              </c:strCache>
            </c:strRef>
          </c:tx>
          <c:spPr>
            <a:solidFill>
              <a:schemeClr val="accent1">
                <a:tint val="77000"/>
              </a:schemeClr>
            </a:solidFill>
            <a:ln>
              <a:noFill/>
            </a:ln>
            <a:effectLst/>
          </c:spPr>
          <c:invertIfNegative val="0"/>
          <c:cat>
            <c:strRef>
              <c:f>channelmix!$A$40:$A$43</c:f>
              <c:strCache>
                <c:ptCount val="4"/>
                <c:pt idx="0">
                  <c:v>Africa</c:v>
                </c:pt>
                <c:pt idx="1">
                  <c:v>Americas</c:v>
                </c:pt>
                <c:pt idx="2">
                  <c:v>Asia</c:v>
                </c:pt>
                <c:pt idx="3">
                  <c:v>Europe</c:v>
                </c:pt>
              </c:strCache>
            </c:strRef>
          </c:cat>
          <c:val>
            <c:numRef>
              <c:f>channelmix!$E$40:$E$43</c:f>
              <c:numCache>
                <c:formatCode>General</c:formatCode>
                <c:ptCount val="4"/>
                <c:pt idx="0">
                  <c:v>145453.94626999996</c:v>
                </c:pt>
                <c:pt idx="1">
                  <c:v>261943.84436999995</c:v>
                </c:pt>
                <c:pt idx="2">
                  <c:v>153059.51016999999</c:v>
                </c:pt>
                <c:pt idx="3">
                  <c:v>200067.16277000002</c:v>
                </c:pt>
              </c:numCache>
            </c:numRef>
          </c:val>
          <c:extLst>
            <c:ext xmlns:c16="http://schemas.microsoft.com/office/drawing/2014/chart" uri="{C3380CC4-5D6E-409C-BE32-E72D297353CC}">
              <c16:uniqueId val="{00000003-F9DB-4F7D-833F-2D6A13AC43D0}"/>
            </c:ext>
          </c:extLst>
        </c:ser>
        <c:ser>
          <c:idx val="4"/>
          <c:order val="4"/>
          <c:tx>
            <c:strRef>
              <c:f>channelmix!$F$38:$F$39</c:f>
              <c:strCache>
                <c:ptCount val="1"/>
                <c:pt idx="0">
                  <c:v>Retail</c:v>
                </c:pt>
              </c:strCache>
            </c:strRef>
          </c:tx>
          <c:spPr>
            <a:solidFill>
              <a:schemeClr val="accent1">
                <a:tint val="54000"/>
              </a:schemeClr>
            </a:solidFill>
            <a:ln>
              <a:noFill/>
            </a:ln>
            <a:effectLst/>
          </c:spPr>
          <c:invertIfNegative val="0"/>
          <c:cat>
            <c:strRef>
              <c:f>channelmix!$A$40:$A$43</c:f>
              <c:strCache>
                <c:ptCount val="4"/>
                <c:pt idx="0">
                  <c:v>Africa</c:v>
                </c:pt>
                <c:pt idx="1">
                  <c:v>Americas</c:v>
                </c:pt>
                <c:pt idx="2">
                  <c:v>Asia</c:v>
                </c:pt>
                <c:pt idx="3">
                  <c:v>Europe</c:v>
                </c:pt>
              </c:strCache>
            </c:strRef>
          </c:cat>
          <c:val>
            <c:numRef>
              <c:f>channelmix!$F$40:$F$43</c:f>
              <c:numCache>
                <c:formatCode>General</c:formatCode>
                <c:ptCount val="4"/>
                <c:pt idx="0">
                  <c:v>140531.63970999996</c:v>
                </c:pt>
                <c:pt idx="1">
                  <c:v>69035.70921999999</c:v>
                </c:pt>
                <c:pt idx="2">
                  <c:v>153258.55984000003</c:v>
                </c:pt>
                <c:pt idx="3">
                  <c:v>150086.47820999997</c:v>
                </c:pt>
              </c:numCache>
            </c:numRef>
          </c:val>
          <c:extLst>
            <c:ext xmlns:c16="http://schemas.microsoft.com/office/drawing/2014/chart" uri="{C3380CC4-5D6E-409C-BE32-E72D297353CC}">
              <c16:uniqueId val="{00000004-F9DB-4F7D-833F-2D6A13AC43D0}"/>
            </c:ext>
          </c:extLst>
        </c:ser>
        <c:dLbls>
          <c:showLegendKey val="0"/>
          <c:showVal val="0"/>
          <c:showCatName val="0"/>
          <c:showSerName val="0"/>
          <c:showPercent val="0"/>
          <c:showBubbleSize val="0"/>
        </c:dLbls>
        <c:gapWidth val="150"/>
        <c:overlap val="100"/>
        <c:axId val="702000255"/>
        <c:axId val="702000735"/>
      </c:barChart>
      <c:catAx>
        <c:axId val="70200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2000735"/>
        <c:crosses val="autoZero"/>
        <c:auto val="1"/>
        <c:lblAlgn val="ctr"/>
        <c:lblOffset val="100"/>
        <c:noMultiLvlLbl val="0"/>
      </c:catAx>
      <c:valAx>
        <c:axId val="702000735"/>
        <c:scaling>
          <c:orientation val="minMax"/>
          <c:min val="100000"/>
        </c:scaling>
        <c:delete val="0"/>
        <c:axPos val="l"/>
        <c:majorGridlines>
          <c:spPr>
            <a:ln w="9525" cap="flat" cmpd="sng" algn="ctr">
              <a:solidFill>
                <a:schemeClr val="tx1">
                  <a:lumMod val="15000"/>
                  <a:lumOff val="85000"/>
                </a:schemeClr>
              </a:solidFill>
              <a:round/>
            </a:ln>
            <a:effectLst/>
          </c:spPr>
        </c:majorGridlines>
        <c:numFmt formatCode="[&gt;=1000000]#,##0.0,,&quot;M&quot;;#,##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0200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workbook compelete.xlsx]channelmix!PivotTable3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SKUs by Revenue  </a:t>
            </a:r>
          </a:p>
        </c:rich>
      </c:tx>
      <c:layout>
        <c:manualLayout>
          <c:xMode val="edge"/>
          <c:yMode val="edge"/>
          <c:x val="0.30900736234685466"/>
          <c:y val="0.159856333747755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channelmix!$B$45</c:f>
              <c:strCache>
                <c:ptCount val="1"/>
                <c:pt idx="0">
                  <c:v>Total</c:v>
                </c:pt>
              </c:strCache>
            </c:strRef>
          </c:tx>
          <c:spPr>
            <a:solidFill>
              <a:schemeClr val="accent1"/>
            </a:solidFill>
            <a:ln>
              <a:noFill/>
            </a:ln>
            <a:effectLst/>
          </c:spPr>
          <c:invertIfNegative val="0"/>
          <c:cat>
            <c:strRef>
              <c:f>channelmix!$A$46:$A$55</c:f>
              <c:strCache>
                <c:ptCount val="10"/>
                <c:pt idx="0">
                  <c:v>CMP-3938</c:v>
                </c:pt>
                <c:pt idx="1">
                  <c:v>CMP-8851</c:v>
                </c:pt>
                <c:pt idx="2">
                  <c:v>LAP-3904</c:v>
                </c:pt>
                <c:pt idx="3">
                  <c:v>LAP-8910</c:v>
                </c:pt>
                <c:pt idx="4">
                  <c:v>MON-2266</c:v>
                </c:pt>
                <c:pt idx="5">
                  <c:v>MON-6699</c:v>
                </c:pt>
                <c:pt idx="6">
                  <c:v>MON-6962</c:v>
                </c:pt>
                <c:pt idx="7">
                  <c:v>NET-2365</c:v>
                </c:pt>
                <c:pt idx="8">
                  <c:v>NET-5523</c:v>
                </c:pt>
                <c:pt idx="9">
                  <c:v>NET-5987</c:v>
                </c:pt>
              </c:strCache>
            </c:strRef>
          </c:cat>
          <c:val>
            <c:numRef>
              <c:f>channelmix!$B$46:$B$55</c:f>
              <c:numCache>
                <c:formatCode>General</c:formatCode>
                <c:ptCount val="10"/>
                <c:pt idx="0">
                  <c:v>84136.119600000005</c:v>
                </c:pt>
                <c:pt idx="1">
                  <c:v>139277.83032000001</c:v>
                </c:pt>
                <c:pt idx="2">
                  <c:v>82514.711519999997</c:v>
                </c:pt>
                <c:pt idx="3">
                  <c:v>102122.94203999999</c:v>
                </c:pt>
                <c:pt idx="4">
                  <c:v>87404.929919999995</c:v>
                </c:pt>
                <c:pt idx="5">
                  <c:v>85637.740319999997</c:v>
                </c:pt>
                <c:pt idx="6">
                  <c:v>92715.25</c:v>
                </c:pt>
                <c:pt idx="7">
                  <c:v>109244</c:v>
                </c:pt>
                <c:pt idx="8">
                  <c:v>79548.755999999994</c:v>
                </c:pt>
                <c:pt idx="9">
                  <c:v>82141.339799999987</c:v>
                </c:pt>
              </c:numCache>
            </c:numRef>
          </c:val>
          <c:extLst>
            <c:ext xmlns:c16="http://schemas.microsoft.com/office/drawing/2014/chart" uri="{C3380CC4-5D6E-409C-BE32-E72D297353CC}">
              <c16:uniqueId val="{00000000-C201-4459-8B73-D93FA5709F05}"/>
            </c:ext>
          </c:extLst>
        </c:ser>
        <c:dLbls>
          <c:showLegendKey val="0"/>
          <c:showVal val="0"/>
          <c:showCatName val="0"/>
          <c:showSerName val="0"/>
          <c:showPercent val="0"/>
          <c:showBubbleSize val="0"/>
        </c:dLbls>
        <c:gapWidth val="219"/>
        <c:axId val="714412687"/>
        <c:axId val="714413647"/>
      </c:barChart>
      <c:catAx>
        <c:axId val="714412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14413647"/>
        <c:crosses val="autoZero"/>
        <c:auto val="1"/>
        <c:lblAlgn val="ctr"/>
        <c:lblOffset val="100"/>
        <c:noMultiLvlLbl val="0"/>
      </c:catAx>
      <c:valAx>
        <c:axId val="714413647"/>
        <c:scaling>
          <c:orientation val="minMax"/>
          <c:min val="35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1441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Discount Distribution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Discount Distribution   </a:t>
          </a:r>
        </a:p>
      </cx:txPr>
    </cx:title>
    <cx:plotArea>
      <cx:plotAreaRegion>
        <cx:series layoutId="boxWhisker" uniqueId="{00000000-C8DB-42F9-AF46-BB77CFBB604A}">
          <cx:tx>
            <cx:txData>
              <cx:f>_xlchart.v1.0</cx:f>
              <cx:v>DiscountPct</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5</xdr:col>
      <xdr:colOff>225425</xdr:colOff>
      <xdr:row>0</xdr:row>
      <xdr:rowOff>88900</xdr:rowOff>
    </xdr:from>
    <xdr:to>
      <xdr:col>12</xdr:col>
      <xdr:colOff>530225</xdr:colOff>
      <xdr:row>14</xdr:row>
      <xdr:rowOff>165100</xdr:rowOff>
    </xdr:to>
    <xdr:graphicFrame macro="">
      <xdr:nvGraphicFramePr>
        <xdr:cNvPr id="2" name="Chart 1">
          <a:extLst>
            <a:ext uri="{FF2B5EF4-FFF2-40B4-BE49-F238E27FC236}">
              <a16:creationId xmlns:a16="http://schemas.microsoft.com/office/drawing/2014/main" id="{76B68093-96D7-4351-83D6-2987B8A0A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200025</xdr:colOff>
      <xdr:row>16</xdr:row>
      <xdr:rowOff>0</xdr:rowOff>
    </xdr:from>
    <xdr:to>
      <xdr:col>12</xdr:col>
      <xdr:colOff>504825</xdr:colOff>
      <xdr:row>30</xdr:row>
      <xdr:rowOff>165100</xdr:rowOff>
    </xdr:to>
    <xdr:graphicFrame macro="">
      <xdr:nvGraphicFramePr>
        <xdr:cNvPr id="3" name="Chart 2">
          <a:extLst>
            <a:ext uri="{FF2B5EF4-FFF2-40B4-BE49-F238E27FC236}">
              <a16:creationId xmlns:a16="http://schemas.microsoft.com/office/drawing/2014/main" id="{7DC02498-AB4B-DAF3-F2BD-CDF0287818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949324</xdr:colOff>
      <xdr:row>19</xdr:row>
      <xdr:rowOff>63500</xdr:rowOff>
    </xdr:from>
    <xdr:to>
      <xdr:col>8</xdr:col>
      <xdr:colOff>241299</xdr:colOff>
      <xdr:row>37</xdr:row>
      <xdr:rowOff>95250</xdr:rowOff>
    </xdr:to>
    <xdr:graphicFrame macro="">
      <xdr:nvGraphicFramePr>
        <xdr:cNvPr id="2" name="Chart 1">
          <a:extLst>
            <a:ext uri="{FF2B5EF4-FFF2-40B4-BE49-F238E27FC236}">
              <a16:creationId xmlns:a16="http://schemas.microsoft.com/office/drawing/2014/main" id="{DFC9D5C9-BCB8-2A3F-2362-ED2E9FD4E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552450</xdr:colOff>
      <xdr:row>10</xdr:row>
      <xdr:rowOff>19050</xdr:rowOff>
    </xdr:from>
    <xdr:to>
      <xdr:col>8</xdr:col>
      <xdr:colOff>266700</xdr:colOff>
      <xdr:row>25</xdr:row>
      <xdr:rowOff>171450</xdr:rowOff>
    </xdr:to>
    <xdr:graphicFrame macro="">
      <xdr:nvGraphicFramePr>
        <xdr:cNvPr id="3" name="Chart 2">
          <a:extLst>
            <a:ext uri="{FF2B5EF4-FFF2-40B4-BE49-F238E27FC236}">
              <a16:creationId xmlns:a16="http://schemas.microsoft.com/office/drawing/2014/main" id="{AD50969C-6F0A-D7B1-726B-6295D57115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596900</xdr:colOff>
      <xdr:row>10</xdr:row>
      <xdr:rowOff>177800</xdr:rowOff>
    </xdr:from>
    <xdr:to>
      <xdr:col>13</xdr:col>
      <xdr:colOff>927100</xdr:colOff>
      <xdr:row>24</xdr:row>
      <xdr:rowOff>123825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DF205044-1B54-7EC3-9B06-29C9C2975C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874250" y="20193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266700</xdr:colOff>
      <xdr:row>1</xdr:row>
      <xdr:rowOff>63500</xdr:rowOff>
    </xdr:from>
    <xdr:to>
      <xdr:col>9</xdr:col>
      <xdr:colOff>946150</xdr:colOff>
      <xdr:row>15</xdr:row>
      <xdr:rowOff>9525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11D74C18-4E21-FFE6-5F89-9C29D73D174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105650" y="2476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107950</xdr:colOff>
      <xdr:row>0</xdr:row>
      <xdr:rowOff>19050</xdr:rowOff>
    </xdr:from>
    <xdr:to>
      <xdr:col>12</xdr:col>
      <xdr:colOff>577850</xdr:colOff>
      <xdr:row>13</xdr:row>
      <xdr:rowOff>149225</xdr:rowOff>
    </xdr:to>
    <mc:AlternateContent xmlns:mc="http://schemas.openxmlformats.org/markup-compatibility/2006" xmlns:a14="http://schemas.microsoft.com/office/drawing/2010/main">
      <mc:Choice Requires="a14">
        <xdr:graphicFrame macro="">
          <xdr:nvGraphicFramePr>
            <xdr:cNvPr id="4" name="Channel">
              <a:extLst>
                <a:ext uri="{FF2B5EF4-FFF2-40B4-BE49-F238E27FC236}">
                  <a16:creationId xmlns:a16="http://schemas.microsoft.com/office/drawing/2014/main" id="{27A338F1-D85A-7C17-CA6C-1E23453D5AFD}"/>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8775700" y="190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260350</xdr:colOff>
      <xdr:row>14</xdr:row>
      <xdr:rowOff>177800</xdr:rowOff>
    </xdr:from>
    <xdr:to>
      <xdr:col>7</xdr:col>
      <xdr:colOff>1295400</xdr:colOff>
      <xdr:row>28</xdr:row>
      <xdr:rowOff>123825</xdr:rowOff>
    </xdr:to>
    <mc:AlternateContent xmlns:mc="http://schemas.openxmlformats.org/markup-compatibility/2006" xmlns:a14="http://schemas.microsoft.com/office/drawing/2010/main">
      <mc:Choice Requires="a14">
        <xdr:graphicFrame macro="">
          <xdr:nvGraphicFramePr>
            <xdr:cNvPr id="5" name="ProductCategory">
              <a:extLst>
                <a:ext uri="{FF2B5EF4-FFF2-40B4-BE49-F238E27FC236}">
                  <a16:creationId xmlns:a16="http://schemas.microsoft.com/office/drawing/2014/main" id="{CD2762BC-7C6C-B57A-0357-A7557F2FB8E1}"/>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5238750" y="27559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381000</xdr:colOff>
      <xdr:row>4</xdr:row>
      <xdr:rowOff>76200</xdr:rowOff>
    </xdr:from>
    <xdr:to>
      <xdr:col>12</xdr:col>
      <xdr:colOff>850900</xdr:colOff>
      <xdr:row>18</xdr:row>
      <xdr:rowOff>22225</xdr:rowOff>
    </xdr:to>
    <mc:AlternateContent xmlns:mc="http://schemas.openxmlformats.org/markup-compatibility/2006" xmlns:a14="http://schemas.microsoft.com/office/drawing/2010/main">
      <mc:Choice Requires="a14">
        <xdr:graphicFrame macro="">
          <xdr:nvGraphicFramePr>
            <xdr:cNvPr id="6" name="months">
              <a:extLst>
                <a:ext uri="{FF2B5EF4-FFF2-40B4-BE49-F238E27FC236}">
                  <a16:creationId xmlns:a16="http://schemas.microsoft.com/office/drawing/2014/main" id="{8FC9C0B4-90CE-A2E5-9FE0-CFB2473758FB}"/>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8775700" y="8128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425450</xdr:colOff>
      <xdr:row>8</xdr:row>
      <xdr:rowOff>31750</xdr:rowOff>
    </xdr:from>
    <xdr:to>
      <xdr:col>9</xdr:col>
      <xdr:colOff>1104900</xdr:colOff>
      <xdr:row>21</xdr:row>
      <xdr:rowOff>161925</xdr:rowOff>
    </xdr:to>
    <mc:AlternateContent xmlns:mc="http://schemas.openxmlformats.org/markup-compatibility/2006" xmlns:a14="http://schemas.microsoft.com/office/drawing/2010/main">
      <mc:Choice Requires="a14">
        <xdr:graphicFrame macro="">
          <xdr:nvGraphicFramePr>
            <xdr:cNvPr id="7" name="Salesperson">
              <a:extLst>
                <a:ext uri="{FF2B5EF4-FFF2-40B4-BE49-F238E27FC236}">
                  <a16:creationId xmlns:a16="http://schemas.microsoft.com/office/drawing/2014/main" id="{CA7A1036-C8A1-285C-4ECD-60DFACD8962C}"/>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6991350" y="15049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444500</xdr:colOff>
      <xdr:row>33</xdr:row>
      <xdr:rowOff>171450</xdr:rowOff>
    </xdr:from>
    <xdr:to>
      <xdr:col>16</xdr:col>
      <xdr:colOff>139700</xdr:colOff>
      <xdr:row>48</xdr:row>
      <xdr:rowOff>152400</xdr:rowOff>
    </xdr:to>
    <xdr:graphicFrame macro="">
      <xdr:nvGraphicFramePr>
        <xdr:cNvPr id="8" name="Chart 7">
          <a:extLst>
            <a:ext uri="{FF2B5EF4-FFF2-40B4-BE49-F238E27FC236}">
              <a16:creationId xmlns:a16="http://schemas.microsoft.com/office/drawing/2014/main" id="{73FEEA9D-8F97-F90B-A267-BC1699DCB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660400</xdr:colOff>
      <xdr:row>49</xdr:row>
      <xdr:rowOff>31750</xdr:rowOff>
    </xdr:from>
    <xdr:to>
      <xdr:col>11</xdr:col>
      <xdr:colOff>431800</xdr:colOff>
      <xdr:row>64</xdr:row>
      <xdr:rowOff>12700</xdr:rowOff>
    </xdr:to>
    <xdr:graphicFrame macro="">
      <xdr:nvGraphicFramePr>
        <xdr:cNvPr id="9" name="Chart 8">
          <a:extLst>
            <a:ext uri="{FF2B5EF4-FFF2-40B4-BE49-F238E27FC236}">
              <a16:creationId xmlns:a16="http://schemas.microsoft.com/office/drawing/2014/main" id="{2CC5F14F-A326-1215-69B6-A1354CA08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0</xdr:colOff>
      <xdr:row>5</xdr:row>
      <xdr:rowOff>1</xdr:rowOff>
    </xdr:from>
    <xdr:to>
      <xdr:col>19</xdr:col>
      <xdr:colOff>0</xdr:colOff>
      <xdr:row>11</xdr:row>
      <xdr:rowOff>1</xdr:rowOff>
    </xdr:to>
    <mc:AlternateContent xmlns:mc="http://schemas.openxmlformats.org/markup-compatibility/2006" xmlns:a14="http://schemas.microsoft.com/office/drawing/2010/main">
      <mc:Choice Requires="a14">
        <xdr:graphicFrame macro="">
          <xdr:nvGraphicFramePr>
            <xdr:cNvPr id="2" name="Channel 1">
              <a:extLst>
                <a:ext uri="{FF2B5EF4-FFF2-40B4-BE49-F238E27FC236}">
                  <a16:creationId xmlns:a16="http://schemas.microsoft.com/office/drawing/2014/main" id="{2904D6EF-CDEF-4F30-83CD-2DE41C6A880B}"/>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9753600" y="1003301"/>
              <a:ext cx="1828800" cy="11049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6350</xdr:colOff>
      <xdr:row>17</xdr:row>
      <xdr:rowOff>127001</xdr:rowOff>
    </xdr:from>
    <xdr:to>
      <xdr:col>19</xdr:col>
      <xdr:colOff>6350</xdr:colOff>
      <xdr:row>22</xdr:row>
      <xdr:rowOff>260350</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1373DAEA-455A-471A-8100-1747DE6444D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759950" y="3352801"/>
              <a:ext cx="1828800" cy="114934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5</xdr:row>
      <xdr:rowOff>6350</xdr:rowOff>
    </xdr:from>
    <xdr:to>
      <xdr:col>3</xdr:col>
      <xdr:colOff>38100</xdr:colOff>
      <xdr:row>11</xdr:row>
      <xdr:rowOff>95250</xdr:rowOff>
    </xdr:to>
    <mc:AlternateContent xmlns:mc="http://schemas.openxmlformats.org/markup-compatibility/2006" xmlns:a14="http://schemas.microsoft.com/office/drawing/2010/main">
      <mc:Choice Requires="a14">
        <xdr:graphicFrame macro="">
          <xdr:nvGraphicFramePr>
            <xdr:cNvPr id="4" name="ProductCategory 1">
              <a:extLst>
                <a:ext uri="{FF2B5EF4-FFF2-40B4-BE49-F238E27FC236}">
                  <a16:creationId xmlns:a16="http://schemas.microsoft.com/office/drawing/2014/main" id="{58B3804C-3684-4C00-8D26-CAB2923E73FF}"/>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38100" y="1022350"/>
              <a:ext cx="1828800" cy="11938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11</xdr:row>
      <xdr:rowOff>101601</xdr:rowOff>
    </xdr:from>
    <xdr:to>
      <xdr:col>3</xdr:col>
      <xdr:colOff>38100</xdr:colOff>
      <xdr:row>18</xdr:row>
      <xdr:rowOff>31751</xdr:rowOff>
    </xdr:to>
    <mc:AlternateContent xmlns:mc="http://schemas.openxmlformats.org/markup-compatibility/2006" xmlns:a14="http://schemas.microsoft.com/office/drawing/2010/main">
      <mc:Choice Requires="a14">
        <xdr:graphicFrame macro="">
          <xdr:nvGraphicFramePr>
            <xdr:cNvPr id="5" name="Salesperson 1">
              <a:extLst>
                <a:ext uri="{FF2B5EF4-FFF2-40B4-BE49-F238E27FC236}">
                  <a16:creationId xmlns:a16="http://schemas.microsoft.com/office/drawing/2014/main" id="{0648EDA5-98A5-460F-B40A-5E4005F809BD}"/>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38100" y="2222501"/>
              <a:ext cx="1828800" cy="12192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xdr:colOff>
      <xdr:row>11</xdr:row>
      <xdr:rowOff>25401</xdr:rowOff>
    </xdr:from>
    <xdr:to>
      <xdr:col>19</xdr:col>
      <xdr:colOff>19050</xdr:colOff>
      <xdr:row>17</xdr:row>
      <xdr:rowOff>50800</xdr:rowOff>
    </xdr:to>
    <mc:AlternateContent xmlns:mc="http://schemas.openxmlformats.org/markup-compatibility/2006" xmlns:a14="http://schemas.microsoft.com/office/drawing/2010/main">
      <mc:Choice Requires="a14">
        <xdr:graphicFrame macro="">
          <xdr:nvGraphicFramePr>
            <xdr:cNvPr id="6" name="Country 1">
              <a:extLst>
                <a:ext uri="{FF2B5EF4-FFF2-40B4-BE49-F238E27FC236}">
                  <a16:creationId xmlns:a16="http://schemas.microsoft.com/office/drawing/2014/main" id="{693F96DE-7E1E-457B-83EB-234C20EB55B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772650" y="2146301"/>
              <a:ext cx="1828800" cy="113029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18</xdr:row>
      <xdr:rowOff>50801</xdr:rowOff>
    </xdr:from>
    <xdr:to>
      <xdr:col>3</xdr:col>
      <xdr:colOff>31750</xdr:colOff>
      <xdr:row>22</xdr:row>
      <xdr:rowOff>323850</xdr:rowOff>
    </xdr:to>
    <mc:AlternateContent xmlns:mc="http://schemas.openxmlformats.org/markup-compatibility/2006" xmlns:a14="http://schemas.microsoft.com/office/drawing/2010/main">
      <mc:Choice Requires="a14">
        <xdr:graphicFrame macro="">
          <xdr:nvGraphicFramePr>
            <xdr:cNvPr id="7" name="months 1">
              <a:extLst>
                <a:ext uri="{FF2B5EF4-FFF2-40B4-BE49-F238E27FC236}">
                  <a16:creationId xmlns:a16="http://schemas.microsoft.com/office/drawing/2014/main" id="{E81A69E7-8CC8-4797-8628-ADFD0E8B5E97}"/>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31750" y="3460751"/>
              <a:ext cx="1828800" cy="110489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120650</xdr:colOff>
      <xdr:row>5</xdr:row>
      <xdr:rowOff>25400</xdr:rowOff>
    </xdr:from>
    <xdr:to>
      <xdr:col>8</xdr:col>
      <xdr:colOff>476250</xdr:colOff>
      <xdr:row>16</xdr:row>
      <xdr:rowOff>0</xdr:rowOff>
    </xdr:to>
    <xdr:graphicFrame macro="">
      <xdr:nvGraphicFramePr>
        <xdr:cNvPr id="9" name="Chart 8">
          <a:extLst>
            <a:ext uri="{FF2B5EF4-FFF2-40B4-BE49-F238E27FC236}">
              <a16:creationId xmlns:a16="http://schemas.microsoft.com/office/drawing/2014/main" id="{FD72C9CA-122E-48D4-82EC-7FD338CC5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5</xdr:row>
      <xdr:rowOff>19050</xdr:rowOff>
    </xdr:from>
    <xdr:to>
      <xdr:col>15</xdr:col>
      <xdr:colOff>412750</xdr:colOff>
      <xdr:row>17</xdr:row>
      <xdr:rowOff>19050</xdr:rowOff>
    </xdr:to>
    <xdr:graphicFrame macro="">
      <xdr:nvGraphicFramePr>
        <xdr:cNvPr id="10" name="Chart 9">
          <a:extLst>
            <a:ext uri="{FF2B5EF4-FFF2-40B4-BE49-F238E27FC236}">
              <a16:creationId xmlns:a16="http://schemas.microsoft.com/office/drawing/2014/main" id="{0EBB3808-6987-44F0-A078-D89AA30F9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xdr:colOff>
      <xdr:row>16</xdr:row>
      <xdr:rowOff>57150</xdr:rowOff>
    </xdr:from>
    <xdr:to>
      <xdr:col>8</xdr:col>
      <xdr:colOff>527050</xdr:colOff>
      <xdr:row>24</xdr:row>
      <xdr:rowOff>133350</xdr:rowOff>
    </xdr:to>
    <xdr:graphicFrame macro="">
      <xdr:nvGraphicFramePr>
        <xdr:cNvPr id="11" name="Chart 10">
          <a:extLst>
            <a:ext uri="{FF2B5EF4-FFF2-40B4-BE49-F238E27FC236}">
              <a16:creationId xmlns:a16="http://schemas.microsoft.com/office/drawing/2014/main" id="{D966D1D7-AA7C-4034-B639-3315303C9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xdr:colOff>
      <xdr:row>17</xdr:row>
      <xdr:rowOff>44450</xdr:rowOff>
    </xdr:from>
    <xdr:to>
      <xdr:col>15</xdr:col>
      <xdr:colOff>412750</xdr:colOff>
      <xdr:row>24</xdr:row>
      <xdr:rowOff>57150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182BA092-403A-4B3B-83BD-8D8F5C238A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505450" y="3270250"/>
              <a:ext cx="4051300" cy="1790700"/>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2.44231377315" createdVersion="8" refreshedVersion="8" minRefreshableVersion="3" recordCount="632" xr:uid="{62EEABFB-9B82-4203-822F-93FC1CE4FA14}">
  <cacheSource type="worksheet">
    <worksheetSource name="Table1"/>
  </cacheSource>
  <cacheFields count="42">
    <cacheField name="OrderID" numFmtId="0">
      <sharedItems/>
    </cacheField>
    <cacheField name="short_order_id" numFmtId="0">
      <sharedItems/>
    </cacheField>
    <cacheField name="order_year" numFmtId="0">
      <sharedItems containsSemiMixedTypes="0" containsString="0" containsNumber="1" containsInteger="1" minValue="2023" maxValue="2025" count="3">
        <n v="2023"/>
        <n v="2024"/>
        <n v="2025"/>
      </sharedItems>
    </cacheField>
    <cacheField name="first_time_orders" numFmtId="14">
      <sharedItems containsSemiMixedTypes="0" containsNonDate="0" containsDate="1" containsString="0" minDate="2023-01-02T00:00:00" maxDate="2023-03-04T00:00:00"/>
    </cacheField>
    <cacheField name="Cohort" numFmtId="1">
      <sharedItems containsSemiMixedTypes="0" containsString="0" containsNumber="1" containsInteger="1" minValue="0" maxValue="32"/>
    </cacheField>
    <cacheField name="OrderDate" numFmtId="14">
      <sharedItems containsSemiMixedTypes="0" containsNonDate="0" containsDate="1" containsString="0" minDate="2023-01-02T00:00:00" maxDate="2025-09-16T00:00:00"/>
    </cacheField>
    <cacheField name="MMM-YYYY" numFmtId="164">
      <sharedItems/>
    </cacheField>
    <cacheField name="months" numFmtId="1">
      <sharedItems containsSemiMixedTypes="0" containsString="0" containsNumber="1" containsInteger="1" minValue="1" maxValue="12" count="12">
        <n v="2"/>
        <n v="1"/>
        <n v="4"/>
        <n v="12"/>
        <n v="3"/>
        <n v="5"/>
        <n v="6"/>
        <n v="7"/>
        <n v="8"/>
        <n v="10"/>
        <n v="11"/>
        <n v="9"/>
      </sharedItems>
    </cacheField>
    <cacheField name="quarters" numFmtId="1">
      <sharedItems/>
    </cacheField>
    <cacheField name="lead_time" numFmtId="1">
      <sharedItems containsSemiMixedTypes="0" containsString="0" containsNumber="1" containsInteger="1" minValue="-2" maxValue="30"/>
    </cacheField>
    <cacheField name="adj_lead_time" numFmtId="1">
      <sharedItems containsSemiMixedTypes="0" containsString="0" containsNumber="1" containsInteger="1" minValue="0" maxValue="30"/>
    </cacheField>
    <cacheField name="lead_proxy" numFmtId="1">
      <sharedItems containsSemiMixedTypes="0" containsString="0" containsNumber="1" containsInteger="1" minValue="0" maxValue="1"/>
    </cacheField>
    <cacheField name="RequiredDate" numFmtId="14">
      <sharedItems containsSemiMixedTypes="0" containsNonDate="0" containsDate="1" containsString="0" minDate="2023-01-05T00:00:00" maxDate="2025-10-06T00:00:00"/>
    </cacheField>
    <cacheField name="adj_required_date" numFmtId="14">
      <sharedItems containsSemiMixedTypes="0" containsNonDate="0" containsDate="1" containsString="0" minDate="2023-01-05T00:00:00" maxDate="2025-10-06T00:00:00"/>
    </cacheField>
    <cacheField name="Region" numFmtId="0">
      <sharedItems count="4">
        <s v="Africa"/>
        <s v="Asia"/>
        <s v="Europe"/>
        <s v="Americas"/>
      </sharedItems>
    </cacheField>
    <cacheField name="Country" numFmtId="0">
      <sharedItems count="12">
        <s v="Nigeria"/>
        <s v="India"/>
        <s v="United Kingdom"/>
        <s v="Japan"/>
        <s v="China"/>
        <s v="France"/>
        <s v="South Africa"/>
        <s v="Germany"/>
        <s v="Kenya"/>
        <s v="Brazil"/>
        <s v="Canada"/>
        <s v="USA"/>
      </sharedItems>
    </cacheField>
    <cacheField name="City" numFmtId="0">
      <sharedItems/>
    </cacheField>
    <cacheField name="CustomerSegment" numFmtId="0">
      <sharedItems/>
    </cacheField>
    <cacheField name="Channel" numFmtId="0">
      <sharedItems containsBlank="1" count="6">
        <s v="Direct"/>
        <s v="Retail"/>
        <s v="Distributor"/>
        <s v="Marketplace"/>
        <s v="Online"/>
        <m u="1"/>
      </sharedItems>
    </cacheField>
    <cacheField name="Salesperson" numFmtId="0">
      <sharedItems containsBlank="1" count="16">
        <s v="D. Smith"/>
        <s v="B. Chen"/>
        <s v="G. Dubois"/>
        <s v="A. Patel"/>
        <s v="L. Okafor"/>
        <s v="F. Müller"/>
        <s v="M. Rossi"/>
        <s v="O. Wang"/>
        <s v="H. Kim"/>
        <s v="C. Otieno"/>
        <s v="J. Njeri"/>
        <s v="K. Singh"/>
        <s v="E. Garcia"/>
        <s v="I. Johnson"/>
        <s v="N. Brown"/>
        <m u="1"/>
      </sharedItems>
    </cacheField>
    <cacheField name="ProductCategory" numFmtId="0">
      <sharedItems count="7">
        <s v="Accessories"/>
        <s v="Components"/>
        <s v="Laptops"/>
        <s v="Monitors"/>
        <s v="Networking"/>
        <s v="Phones"/>
        <s v="Printers"/>
      </sharedItems>
    </cacheField>
    <cacheField name="SKU" numFmtId="0">
      <sharedItems/>
    </cacheField>
    <cacheField name="UnitCost" numFmtId="0">
      <sharedItems containsSemiMixedTypes="0" containsString="0" containsNumber="1" minValue="5.34" maxValue="1495.79"/>
    </cacheField>
    <cacheField name="adj_unit_cost" numFmtId="0">
      <sharedItems containsSemiMixedTypes="0" containsString="0" containsNumber="1" minValue="5.8740000000000006" maxValue="1645.3690000000001"/>
    </cacheField>
    <cacheField name="UnitPrice" numFmtId="0">
      <sharedItems containsSemiMixedTypes="0" containsString="0" containsNumber="1" minValue="-33.659999999999997" maxValue="3661.07"/>
    </cacheField>
    <cacheField name="price_band" numFmtId="0">
      <sharedItems/>
    </cacheField>
    <cacheField name="DiscountPct" numFmtId="0">
      <sharedItems containsSemiMixedTypes="0" containsString="0" containsNumber="1" minValue="0" maxValue="0.56499999999999995"/>
    </cacheField>
    <cacheField name="cap_adjusted_discount" numFmtId="2">
      <sharedItems containsSemiMixedTypes="0" containsString="0" containsNumber="1" minValue="0" maxValue="0.1"/>
    </cacheField>
    <cacheField name="discount&gt;30%" numFmtId="0">
      <sharedItems/>
    </cacheField>
    <cacheField name="Quantity" numFmtId="0">
      <sharedItems containsSemiMixedTypes="0" containsString="0" containsNumber="1" containsInteger="1" minValue="2" maxValue="61"/>
    </cacheField>
    <cacheField name="scenario_quantity" numFmtId="0">
      <sharedItems containsSemiMixedTypes="0" containsString="0" containsNumber="1" minValue="2.4" maxValue="73.2"/>
    </cacheField>
    <cacheField name="cost_of_goods" numFmtId="0">
      <sharedItems containsSemiMixedTypes="0" containsString="0" containsNumber="1" minValue="22" maxValue="83258.290000000008"/>
    </cacheField>
    <cacheField name="Category_revenue" numFmtId="0">
      <sharedItems containsSemiMixedTypes="0" containsString="0" containsNumber="1" minValue="1331102.9440700002" maxValue="1773719.1704599999"/>
    </cacheField>
    <cacheField name="Cumulative_revenue" numFmtId="0">
      <sharedItems containsSemiMixedTypes="0" containsString="0" containsNumber="1" minValue="685.06776000000002" maxValue="1773719.1704599999"/>
    </cacheField>
    <cacheField name="cumulative_pct" numFmtId="2">
      <sharedItems containsSemiMixedTypes="0" containsString="0" containsNumber="1" minValue="4.2390114144334864E-4" maxValue="1"/>
    </cacheField>
    <cacheField name="ABC" numFmtId="0">
      <sharedItems/>
    </cacheField>
    <cacheField name="Scenario_unit_cost" numFmtId="0">
      <sharedItems containsSemiMixedTypes="0" containsString="0" containsNumber="1" minValue="29.040000000000003" maxValue="109900.94280000002"/>
    </cacheField>
    <cacheField name="scenario_revenue" numFmtId="2">
      <sharedItems containsSemiMixedTypes="0" containsString="0" containsNumber="1" minValue="-1017.8783999999999" maxValue="181666.73520000002"/>
    </cacheField>
    <cacheField name="gross_revenue" numFmtId="2">
      <sharedItems containsSemiMixedTypes="0" containsString="0" containsNumber="1" minValue="-846.34703999999988" maxValue="139277.83032000001"/>
    </cacheField>
    <cacheField name="gross_profit" numFmtId="2">
      <sharedItems containsSemiMixedTypes="0" containsString="0" containsNumber="1" minValue="-68900.986000000004" maxValue="65188.659999999996"/>
    </cacheField>
    <cacheField name="scenario_profit" numFmtId="2">
      <sharedItems containsSemiMixedTypes="0" containsString="0" containsNumber="1" minValue="-90916.543200000015" maxValue="72939.751199999999"/>
    </cacheField>
    <cacheField name="Margin %" numFmtId="2">
      <sharedItems containsSemiMixedTypes="0" containsString="0" containsNumber="1" minValue="-0.87167486187856302" maxValue="252.39750756449052"/>
    </cacheField>
  </cacheFields>
  <extLst>
    <ext xmlns:x14="http://schemas.microsoft.com/office/spreadsheetml/2009/9/main" uri="{725AE2AE-9491-48be-B2B4-4EB974FC3084}">
      <x14:pivotCacheDefinition pivotCacheId="13683355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2.442314583335" createdVersion="8" refreshedVersion="8" minRefreshableVersion="3" recordCount="633" xr:uid="{37335ADA-6D24-41DB-9FB2-EFEAC73197E9}">
  <cacheSource type="worksheet">
    <worksheetSource ref="A1:AP1048576" sheet="clean_data"/>
  </cacheSource>
  <cacheFields count="42">
    <cacheField name="OrderID" numFmtId="0">
      <sharedItems containsBlank="1"/>
    </cacheField>
    <cacheField name="short_order_id" numFmtId="0">
      <sharedItems containsBlank="1"/>
    </cacheField>
    <cacheField name="order_year" numFmtId="0">
      <sharedItems containsString="0" containsBlank="1" containsNumber="1" containsInteger="1" minValue="2023" maxValue="2025"/>
    </cacheField>
    <cacheField name="first_time_orders" numFmtId="14">
      <sharedItems containsNonDate="0" containsDate="1" containsString="0" containsBlank="1" minDate="2023-01-02T00:00:00" maxDate="2023-03-04T00:00:00"/>
    </cacheField>
    <cacheField name="Cohort" numFmtId="1">
      <sharedItems containsString="0" containsBlank="1" containsNumber="1" containsInteger="1" minValue="0" maxValue="32" count="34">
        <n v="0"/>
        <n v="1"/>
        <n v="11"/>
        <n v="12"/>
        <n v="13"/>
        <n v="14"/>
        <n v="15"/>
        <n v="16"/>
        <n v="17"/>
        <n v="18"/>
        <n v="2"/>
        <n v="20"/>
        <n v="22"/>
        <n v="23"/>
        <n v="24"/>
        <n v="25"/>
        <n v="26"/>
        <n v="27"/>
        <n v="28"/>
        <n v="29"/>
        <n v="3"/>
        <n v="30"/>
        <n v="31"/>
        <n v="4"/>
        <n v="5"/>
        <n v="6"/>
        <n v="7"/>
        <n v="8"/>
        <n v="9"/>
        <n v="10"/>
        <n v="19"/>
        <n v="21"/>
        <n v="32"/>
        <m/>
      </sharedItems>
    </cacheField>
    <cacheField name="OrderDate" numFmtId="14">
      <sharedItems containsNonDate="0" containsDate="1" containsString="0" containsBlank="1" minDate="2023-01-02T00:00:00" maxDate="2025-09-16T00:00:00"/>
    </cacheField>
    <cacheField name="MMM-YYYY" numFmtId="0">
      <sharedItems containsBlank="1"/>
    </cacheField>
    <cacheField name="months" numFmtId="1">
      <sharedItems containsString="0" containsBlank="1" containsNumber="1" containsInteger="1" minValue="1" maxValue="12" count="13">
        <n v="2"/>
        <n v="1"/>
        <n v="4"/>
        <n v="12"/>
        <n v="3"/>
        <n v="5"/>
        <n v="6"/>
        <n v="7"/>
        <n v="8"/>
        <n v="10"/>
        <n v="11"/>
        <n v="9"/>
        <m/>
      </sharedItems>
    </cacheField>
    <cacheField name="quarters" numFmtId="1">
      <sharedItems containsBlank="1"/>
    </cacheField>
    <cacheField name="lead_time" numFmtId="1">
      <sharedItems containsString="0" containsBlank="1" containsNumber="1" containsInteger="1" minValue="-2" maxValue="30"/>
    </cacheField>
    <cacheField name="adj_lead_time" numFmtId="1">
      <sharedItems containsString="0" containsBlank="1" containsNumber="1" containsInteger="1" minValue="0" maxValue="30"/>
    </cacheField>
    <cacheField name="lead_proxy" numFmtId="1">
      <sharedItems containsString="0" containsBlank="1" containsNumber="1" containsInteger="1" minValue="0" maxValue="1"/>
    </cacheField>
    <cacheField name="RequiredDate" numFmtId="14">
      <sharedItems containsNonDate="0" containsDate="1" containsString="0" containsBlank="1" minDate="2023-01-05T00:00:00" maxDate="2025-10-06T00:00:00"/>
    </cacheField>
    <cacheField name="adj_required_date" numFmtId="14">
      <sharedItems containsNonDate="0" containsDate="1" containsString="0" containsBlank="1" minDate="2023-01-05T00:00:00" maxDate="2025-10-06T00:00:00"/>
    </cacheField>
    <cacheField name="Region" numFmtId="0">
      <sharedItems containsBlank="1" count="5">
        <s v="Africa"/>
        <s v="Asia"/>
        <s v="Europe"/>
        <s v="Americas"/>
        <m/>
      </sharedItems>
    </cacheField>
    <cacheField name="Country" numFmtId="0">
      <sharedItems containsBlank="1" count="13">
        <s v="Nigeria"/>
        <s v="India"/>
        <s v="United Kingdom"/>
        <s v="Japan"/>
        <s v="China"/>
        <s v="France"/>
        <s v="South Africa"/>
        <s v="Germany"/>
        <s v="Kenya"/>
        <s v="Brazil"/>
        <s v="Canada"/>
        <s v="USA"/>
        <m/>
      </sharedItems>
    </cacheField>
    <cacheField name="City" numFmtId="0">
      <sharedItems containsBlank="1"/>
    </cacheField>
    <cacheField name="CustomerSegment" numFmtId="0">
      <sharedItems containsBlank="1"/>
    </cacheField>
    <cacheField name="Channel" numFmtId="0">
      <sharedItems containsBlank="1" count="6">
        <s v="Direct"/>
        <s v="Retail"/>
        <s v="Distributor"/>
        <s v="Marketplace"/>
        <s v="Online"/>
        <m/>
      </sharedItems>
    </cacheField>
    <cacheField name="Salesperson" numFmtId="0">
      <sharedItems containsBlank="1"/>
    </cacheField>
    <cacheField name="ProductCategory" numFmtId="0">
      <sharedItems containsBlank="1"/>
    </cacheField>
    <cacheField name="SKU" numFmtId="0">
      <sharedItems containsBlank="1" count="631">
        <s v="ACC-8242"/>
        <s v="ACC-4631"/>
        <s v="ACC-3645"/>
        <s v="ACC-7713"/>
        <s v="ACC-9644"/>
        <s v="ACC-6594"/>
        <s v="ACC-3103"/>
        <s v="ACC-6223"/>
        <s v="ACC-7938"/>
        <s v="ACC-1021"/>
        <s v="ACC-2761"/>
        <s v="ACC-6543"/>
        <s v="ACC-7354"/>
        <s v="ACC-2990"/>
        <s v="ACC-7240"/>
        <s v="ACC-9820"/>
        <s v="ACC-5177"/>
        <s v="ACC-2735"/>
        <s v="ACC-7671"/>
        <s v="ACC-8683"/>
        <s v="ACC-9162"/>
        <s v="ACC-3721"/>
        <s v="ACC-7838"/>
        <s v="ACC-4490"/>
        <s v="ACC-6626"/>
        <s v="ACC-2988"/>
        <s v="ACC-4815"/>
        <s v="ACC-1731"/>
        <s v="ACC-9150"/>
        <s v="ACC-9038"/>
        <s v="ACC-6348"/>
        <s v="ACC-7047"/>
        <s v="ACC-1075"/>
        <s v="ACC-9591"/>
        <s v="ACC-5780"/>
        <s v="ACC-2386"/>
        <s v="ACC-8620"/>
        <s v="ACC-5144"/>
        <s v="ACC-1659"/>
        <s v="ACC-4511"/>
        <s v="ACC-5422"/>
        <s v="ACC-3989"/>
        <s v="ACC-5150"/>
        <s v="ACC-4056"/>
        <s v="ACC-1604"/>
        <s v="ACC-9533"/>
        <s v="ACC-1249"/>
        <s v="ACC-2252"/>
        <s v="ACC-3349"/>
        <s v="ACC-3961"/>
        <s v="ACC-2902"/>
        <s v="ACC-1596"/>
        <s v="ACC-1770"/>
        <s v="ACC-1028"/>
        <s v="ACC-8098"/>
        <s v="ACC-7906"/>
        <s v="ACC-8094"/>
        <s v="ACC-9283"/>
        <s v="ACC-8999"/>
        <s v="ACC-4483"/>
        <s v="ACC-1663"/>
        <s v="ACC-6777"/>
        <s v="ACC-2364"/>
        <s v="ACC-5206"/>
        <s v="ACC-4587"/>
        <s v="ACC-1882"/>
        <s v="ACC-3833"/>
        <s v="ACC-5334"/>
        <s v="ACC-2903"/>
        <s v="ACC-3385"/>
        <s v="ACC-1238"/>
        <s v="ACC-8178"/>
        <s v="ACC-9445"/>
        <s v="ACC-3951"/>
        <s v="ACC-7078"/>
        <s v="ACC-4766"/>
        <s v="ACC-3068"/>
        <s v="ACC-1375"/>
        <s v="ACC-1492"/>
        <s v="ACC-3567"/>
        <s v="ACC-2867"/>
        <s v="ACC-3415"/>
        <s v="ACC-3551"/>
        <s v="ACC-5079"/>
        <s v="ACC-4124"/>
        <s v="ACC-5260"/>
        <s v="ACC-8557"/>
        <s v="ACC-1060"/>
        <s v="CMP-2693"/>
        <s v="CMP-1632"/>
        <s v="CMP-8604"/>
        <s v="CMP-8675"/>
        <s v="CMP-1555"/>
        <s v="CMP-1940"/>
        <s v="CMP-4792"/>
        <s v="CMP-4531"/>
        <s v="CMP-5138"/>
        <s v="CMP-8141"/>
        <s v="CMP-5911"/>
        <s v="CMP-1470"/>
        <s v="CMP-9801"/>
        <s v="CMP-2410"/>
        <s v="CMP-9264"/>
        <s v="CMP-8270"/>
        <s v="CMP-9001"/>
        <s v="CMP-3223"/>
        <s v="CMP-7617"/>
        <s v="CMP-6529"/>
        <s v="CMP-8196"/>
        <s v="CMP-8002"/>
        <s v="CMP-6811"/>
        <s v="CMP-3313"/>
        <s v="CMP-8101"/>
        <s v="CMP-5946"/>
        <s v="CMP-6392"/>
        <s v="CMP-2040"/>
        <s v="CMP-5825"/>
        <s v="CMP-3875"/>
        <s v="CMP-1559"/>
        <s v="CMP-3093"/>
        <s v="CMP-7563"/>
        <s v="CMP-5435"/>
        <s v="CMP-8230"/>
        <s v="CMP-2574"/>
        <s v="CMP-3978"/>
        <s v="CMP-1072"/>
        <s v="CMP-8127"/>
        <s v="CMP-9498"/>
        <s v="CMP-4610"/>
        <s v="CMP-5006"/>
        <s v="CMP-3938"/>
        <s v="CMP-2015"/>
        <s v="CMP-6919"/>
        <s v="CMP-2335"/>
        <s v="CMP-8658"/>
        <s v="CMP-3720"/>
        <s v="CMP-1156"/>
        <s v="CMP-7055"/>
        <s v="CMP-5820"/>
        <s v="CMP-3693"/>
        <s v="CMP-5065"/>
        <s v="CMP-3259"/>
        <s v="CMP-3743"/>
        <s v="CMP-6495"/>
        <s v="CMP-3731"/>
        <s v="CMP-9307"/>
        <s v="CMP-5658"/>
        <s v="CMP-2865"/>
        <s v="CMP-4093"/>
        <s v="CMP-4159"/>
        <s v="CMP-1220"/>
        <s v="CMP-8390"/>
        <s v="CMP-9392"/>
        <s v="CMP-5633"/>
        <s v="CMP-7371"/>
        <s v="CMP-4945"/>
        <s v="CMP-2854"/>
        <s v="CMP-8851"/>
        <s v="CMP-6971"/>
        <s v="CMP-6346"/>
        <s v="CMP-4970"/>
        <s v="CMP-5311"/>
        <s v="CMP-6898"/>
        <s v="CMP-4630"/>
        <s v="CMP-5208"/>
        <s v="CMP-1223"/>
        <s v="CMP-6925"/>
        <s v="CMP-6649"/>
        <s v="CMP-8545"/>
        <s v="CMP-7256"/>
        <s v="CMP-8659"/>
        <s v="CMP-5211"/>
        <s v="CMP-7063"/>
        <s v="CMP-2136"/>
        <s v="CMP-6352"/>
        <s v="CMP-1009"/>
        <s v="CMP-2096"/>
        <s v="CMP-4807"/>
        <s v="LAP-8555"/>
        <s v="LAP-4551"/>
        <s v="LAP-9782"/>
        <s v="LAP-3393"/>
        <s v="LAP-3679"/>
        <s v="LAP-1525"/>
        <s v="LAP-4899"/>
        <s v="LAP-7056"/>
        <s v="LAP-2942"/>
        <s v="LAP-9931"/>
        <s v="LAP-3581"/>
        <s v="LAP-5531"/>
        <s v="LAP-8469"/>
        <s v="LAP-5689"/>
        <s v="LAP-2774"/>
        <s v="LAP-8633"/>
        <s v="LAP-2846"/>
        <s v="LAP-9932"/>
        <s v="LAP-9100"/>
        <s v="LAP-8489"/>
        <s v="LAP-5009"/>
        <s v="LAP-1066"/>
        <s v="LAP-4607"/>
        <s v="LAP-1739"/>
        <s v="LAP-4987"/>
        <s v="LAP-9230"/>
        <s v="LAP-6577"/>
        <s v="LAP-7009"/>
        <s v="LAP-9815"/>
        <s v="LAP-1969"/>
        <s v="LAP-7979"/>
        <s v="LAP-4483"/>
        <s v="LAP-9901"/>
        <s v="LAP-5763"/>
        <s v="LAP-7819"/>
        <s v="LAP-6160"/>
        <s v="LAP-5150"/>
        <s v="LAP-5078"/>
        <s v="LAP-8347"/>
        <s v="LAP-7353"/>
        <s v="LAP-8825"/>
        <s v="LAP-3017"/>
        <s v="LAP-8214"/>
        <s v="LAP-6989"/>
        <s v="LAP-3779"/>
        <s v="LAP-8119"/>
        <s v="LAP-7136"/>
        <s v="LAP-4517"/>
        <s v="LAP-3490"/>
        <s v="LAP-9016"/>
        <s v="LAP-7099"/>
        <s v="LAP-1990"/>
        <s v="LAP-4828"/>
        <s v="LAP-1619"/>
        <s v="LAP-3385"/>
        <s v="LAP-8910"/>
        <s v="LAP-7523"/>
        <s v="LAP-1308"/>
        <s v="LAP-1698"/>
        <s v="LAP-1482"/>
        <s v="LAP-2806"/>
        <s v="LAP-6499"/>
        <s v="LAP-3565"/>
        <s v="LAP-9766"/>
        <s v="LAP-2218"/>
        <s v="LAP-3905"/>
        <s v="LAP-3278"/>
        <s v="LAP-7553"/>
        <s v="LAP-3220"/>
        <s v="LAP-1989"/>
        <s v="LAP-3904"/>
        <s v="LAP-6342"/>
        <s v="LAP-4666"/>
        <s v="LAP-1178"/>
        <s v="LAP-4932"/>
        <s v="LAP-6750"/>
        <s v="LAP-3604"/>
        <s v="LAP-7320"/>
        <s v="LAP-9024"/>
        <s v="LAP-2378"/>
        <s v="LAP-1946"/>
        <s v="MON-7207"/>
        <s v="MON-9906"/>
        <s v="MON-9227"/>
        <s v="MON-6699"/>
        <s v="MON-2537"/>
        <s v="MON-2828"/>
        <s v="MON-2073"/>
        <s v="MON-1572"/>
        <s v="MON-3745"/>
        <s v="MON-4278"/>
        <s v="MON-6065"/>
        <s v="MON-8973"/>
        <s v="MON-4195"/>
        <s v="MON-2462"/>
        <s v="MON-8422"/>
        <s v="MON-7099"/>
        <s v="MON-5749"/>
        <s v="MON-3350"/>
        <s v="MON-4361"/>
        <s v="MON-5444"/>
        <s v="MON-6870"/>
        <s v="MON-8651"/>
        <s v="MON-6190"/>
        <s v="MON-6892"/>
        <s v="MON-4271"/>
        <s v="MON-8688"/>
        <s v="MON-1564"/>
        <s v="MON-2100"/>
        <s v="MON-1389"/>
        <s v="MON-6287"/>
        <s v="MON-5386"/>
        <s v="MON-2849"/>
        <s v="MON-8867"/>
        <s v="MON-5249"/>
        <s v="MON-7622"/>
        <s v="MON-3504"/>
        <s v="MON-6341"/>
        <s v="MON-8939"/>
        <s v="MON-9967"/>
        <s v="MON-4373"/>
        <s v="MON-1663"/>
        <s v="MON-4330"/>
        <s v="MON-9733"/>
        <s v="MON-8758"/>
        <s v="MON-8129"/>
        <s v="MON-5188"/>
        <s v="MON-1118"/>
        <s v="MON-4789"/>
        <s v="MON-8629"/>
        <s v="MON-7943"/>
        <s v="MON-4215"/>
        <s v="MON-6310"/>
        <s v="MON-5179"/>
        <s v="MON-1436"/>
        <s v="MON-1593"/>
        <s v="MON-4959"/>
        <s v="MON-7106"/>
        <s v="MON-4925"/>
        <s v="MON-9319"/>
        <s v="MON-5276"/>
        <s v="MON-6962"/>
        <s v="MON-2993"/>
        <s v="MON-3371"/>
        <s v="MON-9216"/>
        <s v="MON-2842"/>
        <s v="MON-5891"/>
        <s v="MON-7626"/>
        <s v="MON-6053"/>
        <s v="MON-5259"/>
        <s v="MON-5086"/>
        <s v="MON-4830"/>
        <s v="MON-2266"/>
        <s v="MON-2465"/>
        <s v="MON-2990"/>
        <s v="MON-3043"/>
        <s v="MON-4317"/>
        <s v="MON-7868"/>
        <s v="MON-1822"/>
        <s v="MON-2998"/>
        <s v="MON-9662"/>
        <s v="MON-9274"/>
        <s v="MON-6882"/>
        <s v="MON-9194"/>
        <s v="MON-7869"/>
        <s v="MON-4326"/>
        <s v="MON-5424"/>
        <s v="MON-1018"/>
        <s v="MON-3307"/>
        <s v="MON-3773"/>
        <s v="MON-7511"/>
        <s v="MON-5517"/>
        <s v="MON-2296"/>
        <s v="MON-7602"/>
        <s v="MON-8697"/>
        <s v="NET-6036"/>
        <s v="NET-4155"/>
        <s v="NET-7349"/>
        <s v="NET-8787"/>
        <s v="NET-3460"/>
        <s v="NET-9666"/>
        <s v="NET-2499"/>
        <s v="NET-5018"/>
        <s v="NET-1282"/>
        <s v="NET-5195"/>
        <s v="NET-6014"/>
        <s v="NET-9569"/>
        <s v="NET-4554"/>
        <s v="NET-7588"/>
        <s v="NET-1412"/>
        <s v="NET-8761"/>
        <s v="NET-9177"/>
        <s v="NET-3850"/>
        <s v="NET-5523"/>
        <s v="NET-1166"/>
        <s v="NET-4228"/>
        <s v="NET-2365"/>
        <s v="NET-6578"/>
        <s v="NET-9575"/>
        <s v="NET-5987"/>
        <s v="NET-4241"/>
        <s v="NET-4675"/>
        <s v="NET-7924"/>
        <s v="NET-8957"/>
        <s v="NET-7998"/>
        <s v="NET-9835"/>
        <s v="NET-6387"/>
        <s v="NET-1145"/>
        <s v="NET-2062"/>
        <s v="NET-5268"/>
        <s v="NET-2628"/>
        <s v="NET-8561"/>
        <s v="NET-3728"/>
        <s v="NET-2932"/>
        <s v="NET-9832"/>
        <s v="NET-4491"/>
        <s v="NET-1846"/>
        <s v="NET-7901"/>
        <s v="NET-5482"/>
        <s v="NET-8430"/>
        <s v="NET-2502"/>
        <s v="NET-6269"/>
        <s v="NET-1966"/>
        <s v="NET-3432"/>
        <s v="NET-8610"/>
        <s v="NET-8329"/>
        <s v="NET-9716"/>
        <s v="NET-7166"/>
        <s v="NET-5270"/>
        <s v="NET-3749"/>
        <s v="NET-3535"/>
        <s v="NET-6370"/>
        <s v="NET-5941"/>
        <s v="NET-1816"/>
        <s v="NET-3255"/>
        <s v="NET-2439"/>
        <s v="NET-1612"/>
        <s v="NET-7966"/>
        <s v="NET-1804"/>
        <s v="NET-1336"/>
        <s v="NET-3785"/>
        <s v="NET-5196"/>
        <s v="NET-6218"/>
        <s v="NET-9003"/>
        <s v="NET-1228"/>
        <s v="NET-1645"/>
        <s v="NET-2394"/>
        <s v="NET-1699"/>
        <s v="NET-3828"/>
        <s v="NET-6533"/>
        <s v="NET-9125"/>
        <s v="NET-2894"/>
        <s v="NET-4735"/>
        <s v="NET-5423"/>
        <s v="NET-3689"/>
        <s v="NET-9989"/>
        <s v="NET-8856"/>
        <s v="NET-3033"/>
        <s v="NET-4104"/>
        <s v="NET-2460"/>
        <s v="NET-1893"/>
        <s v="PHN-2036"/>
        <s v="PHN-3159"/>
        <s v="PHN-4854"/>
        <s v="PHN-8483"/>
        <s v="PHN-6506"/>
        <s v="PHN-4644"/>
        <s v="PHN-7274"/>
        <s v="PHN-3014"/>
        <s v="PHN-7924"/>
        <s v="PHN-5082"/>
        <s v="PHN-1717"/>
        <s v="PHN-4741"/>
        <s v="PHN-7852"/>
        <s v="PHN-3398"/>
        <s v="PHN-4915"/>
        <s v="PHN-4346"/>
        <s v="PHN-5445"/>
        <s v="PHN-9677"/>
        <s v="PHN-9107"/>
        <s v="PHN-6866"/>
        <s v="PHN-2436"/>
        <s v="PHN-7974"/>
        <s v="PHN-4356"/>
        <s v="PHN-9399"/>
        <s v="PHN-6854"/>
        <s v="PHN-6832"/>
        <s v="PHN-7815"/>
        <s v="PHN-6111"/>
        <s v="PHN-3077"/>
        <s v="PHN-2341"/>
        <s v="PHN-8804"/>
        <s v="PHN-9789"/>
        <s v="PHN-8014"/>
        <s v="PHN-1784"/>
        <s v="PHN-7132"/>
        <s v="PHN-6131"/>
        <s v="PHN-4568"/>
        <s v="PHN-7488"/>
        <s v="PHN-1919"/>
        <s v="PHN-7019"/>
        <s v="PHN-6307"/>
        <s v="PHN-2875"/>
        <s v="PHN-8057"/>
        <s v="PHN-1671"/>
        <s v="PHN-8368"/>
        <s v="PHN-5887"/>
        <s v="PHN-1044"/>
        <s v="PHN-4395"/>
        <s v="PHN-3007"/>
        <s v="PHN-4556"/>
        <s v="PHN-2787"/>
        <s v="PHN-4566"/>
        <s v="PHN-3854"/>
        <s v="PHN-6480"/>
        <s v="PHN-3803"/>
        <s v="PHN-8776"/>
        <s v="PHN-5683"/>
        <s v="PHN-5675"/>
        <s v="PHN-8350"/>
        <s v="PHN-2462"/>
        <s v="PHN-3800"/>
        <s v="PHN-3482"/>
        <s v="PHN-7636"/>
        <s v="PHN-3819"/>
        <s v="PHN-7379"/>
        <s v="PHN-5383"/>
        <s v="PHN-5316"/>
        <s v="PHN-8970"/>
        <s v="PHN-1670"/>
        <s v="PHN-5366"/>
        <s v="PHN-6818"/>
        <s v="PHN-9234"/>
        <s v="PHN-1197"/>
        <s v="PHN-6954"/>
        <s v="PHN-2859"/>
        <s v="PHN-9465"/>
        <s v="PHN-2337"/>
        <s v="PHN-1924"/>
        <s v="PHN-4677"/>
        <s v="PHN-1234"/>
        <s v="PHN-3971"/>
        <s v="PHN-8072"/>
        <s v="PHN-2013"/>
        <s v="PHN-8478"/>
        <s v="PHN-8891"/>
        <s v="PHN-9184"/>
        <s v="PHN-2447"/>
        <s v="PHN-5938"/>
        <s v="PRN-6276"/>
        <s v="PRN-4787"/>
        <s v="PRN-1641"/>
        <s v="PRN-7049"/>
        <s v="PRN-1060"/>
        <s v="PRN-4506"/>
        <s v="PRN-9624"/>
        <s v="PRN-7410"/>
        <s v="PRN-7816"/>
        <s v="PRN-1654"/>
        <s v="PRN-8604"/>
        <s v="PRN-6585"/>
        <s v="PRN-7089"/>
        <s v="PRN-6660"/>
        <s v="PRN-5384"/>
        <s v="PRN-4906"/>
        <s v="PRN-8392"/>
        <s v="PRN-6776"/>
        <s v="PRN-6308"/>
        <s v="PRN-6911"/>
        <s v="PRN-2641"/>
        <s v="PRN-7976"/>
        <s v="PRN-1086"/>
        <s v="PRN-8758"/>
        <s v="PRN-7303"/>
        <s v="PRN-5813"/>
        <s v="PRN-3785"/>
        <s v="PRN-4097"/>
        <s v="PRN-1725"/>
        <s v="PRN-4453"/>
        <s v="PRN-5591"/>
        <s v="PRN-2829"/>
        <s v="PRN-3917"/>
        <s v="PRN-6068"/>
        <s v="PRN-1141"/>
        <s v="PRN-2749"/>
        <s v="PRN-9793"/>
        <s v="PRN-3014"/>
        <s v="PRN-1183"/>
        <s v="PRN-4892"/>
        <s v="PRN-7019"/>
        <s v="PRN-5067"/>
        <s v="PRN-8970"/>
        <s v="PRN-9557"/>
        <s v="PRN-5666"/>
        <s v="PRN-3143"/>
        <s v="PRN-4893"/>
        <s v="PRN-9322"/>
        <s v="PRN-9960"/>
        <s v="PRN-2409"/>
        <s v="PRN-2293"/>
        <s v="PRN-5569"/>
        <s v="PRN-1371"/>
        <s v="PRN-9378"/>
        <s v="PRN-2991"/>
        <s v="PRN-4170"/>
        <s v="PRN-4911"/>
        <s v="PRN-5492"/>
        <s v="PRN-4788"/>
        <s v="PRN-6791"/>
        <s v="PRN-1882"/>
        <s v="PRN-9867"/>
        <s v="PRN-5264"/>
        <s v="PRN-8763"/>
        <s v="PRN-5815"/>
        <s v="PRN-6131"/>
        <s v="PRN-3159"/>
        <s v="PRN-8657"/>
        <s v="PRN-6178"/>
        <s v="PRN-8850"/>
        <s v="PRN-2407"/>
        <s v="PRN-9787"/>
        <s v="PRN-6429"/>
        <s v="PRN-3775"/>
        <s v="PRN-5753"/>
        <s v="PRN-9488"/>
        <s v="PRN-1271"/>
        <s v="PRN-9249"/>
        <s v="PRN-9490"/>
        <s v="PRN-2098"/>
        <s v="PRN-5876"/>
        <s v="PRN-8137"/>
        <s v="PRN-1276"/>
        <s v="PRN-6490"/>
        <s v="PRN-1923"/>
        <s v="PRN-3690"/>
        <s v="PRN-2542"/>
        <s v="PRN-8008"/>
        <s v="PRN-6536"/>
        <s v="PRN-2301"/>
        <s v="PRN-1786"/>
        <s v="PRN-1504"/>
        <s v="PRN-4732"/>
        <s v="PRN-9669"/>
        <s v="PRN-9975"/>
        <s v="PRN-5005"/>
        <s v="PRN-7079"/>
        <s v="PRN-5107"/>
        <s v="PRN-6520"/>
        <s v="PRN-4432"/>
        <s v="PRN-4983"/>
        <s v="PRN-8041"/>
        <s v="PRN-8175"/>
        <m/>
      </sharedItems>
    </cacheField>
    <cacheField name="UnitCost" numFmtId="0">
      <sharedItems containsString="0" containsBlank="1" containsNumber="1" minValue="5.34" maxValue="1495.79"/>
    </cacheField>
    <cacheField name="adj_unit_cost" numFmtId="0">
      <sharedItems containsString="0" containsBlank="1" containsNumber="1" minValue="5.8740000000000006" maxValue="1645.3690000000001"/>
    </cacheField>
    <cacheField name="UnitPrice" numFmtId="0">
      <sharedItems containsString="0" containsBlank="1" containsNumber="1" minValue="-33.659999999999997" maxValue="3661.07"/>
    </cacheField>
    <cacheField name="price_band" numFmtId="0">
      <sharedItems containsBlank="1"/>
    </cacheField>
    <cacheField name="DiscountPct" numFmtId="0">
      <sharedItems containsString="0" containsBlank="1" containsNumber="1" minValue="0" maxValue="0.56499999999999995"/>
    </cacheField>
    <cacheField name="cap_adjusted_discount" numFmtId="2">
      <sharedItems containsString="0" containsBlank="1" containsNumber="1" minValue="0" maxValue="0.1"/>
    </cacheField>
    <cacheField name="discount&gt;30%" numFmtId="0">
      <sharedItems containsBlank="1"/>
    </cacheField>
    <cacheField name="Quantity" numFmtId="0">
      <sharedItems containsString="0" containsBlank="1" containsNumber="1" containsInteger="1" minValue="2" maxValue="61"/>
    </cacheField>
    <cacheField name="scenario_quantity" numFmtId="0">
      <sharedItems containsString="0" containsBlank="1" containsNumber="1" minValue="2.4" maxValue="73.2"/>
    </cacheField>
    <cacheField name="cost_of_goods" numFmtId="0">
      <sharedItems containsString="0" containsBlank="1" containsNumber="1" minValue="22" maxValue="83258.290000000008"/>
    </cacheField>
    <cacheField name="Category_revenue" numFmtId="0">
      <sharedItems containsString="0" containsBlank="1" containsNumber="1" minValue="1331102.9440700002" maxValue="1773719.1704599999"/>
    </cacheField>
    <cacheField name="Cumulative_revenue" numFmtId="0">
      <sharedItems containsString="0" containsBlank="1" containsNumber="1" minValue="685.06776000000002" maxValue="1773719.1704599999"/>
    </cacheField>
    <cacheField name="cumulative_pct" numFmtId="2">
      <sharedItems containsString="0" containsBlank="1" containsNumber="1" minValue="4.2390114144334864E-4" maxValue="1"/>
    </cacheField>
    <cacheField name="ABC" numFmtId="0">
      <sharedItems containsBlank="1"/>
    </cacheField>
    <cacheField name="Scenario_unit_cost" numFmtId="0">
      <sharedItems containsString="0" containsBlank="1" containsNumber="1" minValue="29.040000000000003" maxValue="109900.94280000002"/>
    </cacheField>
    <cacheField name="scenario_revenue" numFmtId="2">
      <sharedItems containsString="0" containsBlank="1" containsNumber="1" minValue="-1017.8783999999999" maxValue="181666.73520000002"/>
    </cacheField>
    <cacheField name="gross_revenue" numFmtId="2">
      <sharedItems containsString="0" containsBlank="1" containsNumber="1" minValue="-846.34703999999988" maxValue="139277.83032000001"/>
    </cacheField>
    <cacheField name="gross_profit" numFmtId="2">
      <sharedItems containsString="0" containsBlank="1" containsNumber="1" minValue="-68900.986000000004" maxValue="65188.659999999996"/>
    </cacheField>
    <cacheField name="scenario_profit" numFmtId="0">
      <sharedItems containsString="0" containsBlank="1" containsNumber="1" minValue="-90916.543200000015" maxValue="72939.751199999999"/>
    </cacheField>
    <cacheField name="Margin %" numFmtId="0">
      <sharedItems containsString="0" containsBlank="1" containsNumber="1" minValue="-0.87167486187856302" maxValue="252.3975075644905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3-960380"/>
    <s v="960380"/>
    <x v="0"/>
    <d v="2023-01-15T00:00:00"/>
    <n v="0"/>
    <d v="2023-02-11T00:00:00"/>
    <s v="Feb-2023"/>
    <x v="0"/>
    <s v="Q1-2023"/>
    <n v="1"/>
    <n v="1"/>
    <n v="1"/>
    <d v="2023-02-12T00:00:00"/>
    <d v="2023-02-12T00:00:00"/>
    <x v="0"/>
    <x v="0"/>
    <s v="Port Harcourt"/>
    <s v="Non-Profit"/>
    <x v="0"/>
    <x v="0"/>
    <x v="0"/>
    <s v="ACC-8242"/>
    <n v="944.61"/>
    <n v="1039.0710000000001"/>
    <n v="839.04"/>
    <s v="Medium"/>
    <n v="5.8999999999999997E-2"/>
    <n v="5.8999999999999997E-2"/>
    <s v=""/>
    <n v="6"/>
    <n v="7.1999999999999993"/>
    <n v="5667.66"/>
    <n v="1331102.9440700002"/>
    <n v="4737.2198399999997"/>
    <n v="3.5588681259432916E-3"/>
    <s v="A"/>
    <n v="7481.3112000000001"/>
    <n v="5684.6638079999993"/>
    <n v="4737.2198399999997"/>
    <n v="-930.44016000000011"/>
    <n v="-1796.6473920000008"/>
    <n v="-0.19641059343363726"/>
  </r>
  <r>
    <s v="ORD-2023-521818"/>
    <s v="521818"/>
    <x v="0"/>
    <d v="2023-01-29T00:00:00"/>
    <n v="0"/>
    <d v="2023-01-29T00:00:00"/>
    <s v="Jan-2023"/>
    <x v="1"/>
    <s v="Q1-2023"/>
    <n v="30"/>
    <n v="30"/>
    <n v="0"/>
    <d v="2023-02-28T00:00:00"/>
    <d v="2023-02-28T00:00:00"/>
    <x v="1"/>
    <x v="1"/>
    <s v="Bengaluru"/>
    <s v="Non-Profit"/>
    <x v="1"/>
    <x v="1"/>
    <x v="0"/>
    <s v="ACC-4631"/>
    <n v="1262.0999999999999"/>
    <n v="1388.31"/>
    <n v="1395.53"/>
    <s v="Medium"/>
    <n v="0.23300000000000001"/>
    <n v="0.1"/>
    <s v=""/>
    <n v="25"/>
    <n v="30"/>
    <n v="31552.499999999996"/>
    <n v="1331102.9440700002"/>
    <n v="31496.507590000001"/>
    <n v="2.3661962232384377E-2"/>
    <s v="A"/>
    <n v="41649.299999999996"/>
    <n v="37679.310000000005"/>
    <n v="26759.28775"/>
    <n v="-4793.2122499999969"/>
    <n v="-3969.9899999999907"/>
    <n v="-0.17912331205452198"/>
  </r>
  <r>
    <s v="ORD-2023-780206"/>
    <s v="780206"/>
    <x v="0"/>
    <d v="2023-01-19T00:00:00"/>
    <n v="0"/>
    <d v="2023-01-19T00:00:00"/>
    <s v="Jan-2023"/>
    <x v="1"/>
    <s v="Q1-2023"/>
    <n v="15"/>
    <n v="15"/>
    <n v="0"/>
    <d v="2023-02-03T00:00:00"/>
    <d v="2023-02-03T00:00:00"/>
    <x v="2"/>
    <x v="2"/>
    <s v="London"/>
    <s v="Enterprise"/>
    <x v="2"/>
    <x v="2"/>
    <x v="0"/>
    <s v="ACC-3645"/>
    <n v="873.06"/>
    <n v="960.36599999999999"/>
    <n v="2101.5500000000002"/>
    <s v="High"/>
    <n v="6.6000000000000003E-2"/>
    <n v="6.6000000000000003E-2"/>
    <s v=""/>
    <n v="10"/>
    <n v="12"/>
    <n v="8730.5999999999985"/>
    <n v="1331102.9440700002"/>
    <n v="51124.98459"/>
    <n v="3.8407987013896527E-2"/>
    <s v="A"/>
    <n v="11524.392"/>
    <n v="23554.172399999999"/>
    <n v="19628.476999999999"/>
    <n v="10897.877"/>
    <n v="12029.7804"/>
    <n v="0.55520746719167269"/>
  </r>
  <r>
    <s v="ORD-2023-107265"/>
    <s v="107265"/>
    <x v="0"/>
    <d v="2023-03-03T00:00:00"/>
    <n v="1"/>
    <d v="2023-04-22T00:00:00"/>
    <s v="Apr-2023"/>
    <x v="2"/>
    <s v="Q2-2023"/>
    <n v="22"/>
    <n v="22"/>
    <n v="0"/>
    <d v="2023-05-14T00:00:00"/>
    <d v="2023-05-14T00:00:00"/>
    <x v="1"/>
    <x v="3"/>
    <s v="Nagoya"/>
    <s v="Enterprise"/>
    <x v="1"/>
    <x v="3"/>
    <x v="0"/>
    <s v="ACC-7713"/>
    <n v="1209.22"/>
    <n v="1330.1420000000001"/>
    <n v="1404.33"/>
    <s v="Medium"/>
    <n v="0.10299999999999999"/>
    <n v="0.1"/>
    <s v=""/>
    <n v="11"/>
    <n v="13.2"/>
    <n v="13301.42"/>
    <n v="1331102.9440700002"/>
    <n v="64981.508699999998"/>
    <n v="4.8817793536923275E-2"/>
    <s v="A"/>
    <n v="17557.874400000001"/>
    <n v="16683.440399999999"/>
    <n v="13856.52411"/>
    <n v="555.10411000000022"/>
    <n v="-874.43400000000111"/>
    <n v="4.0060848275751328E-2"/>
  </r>
  <r>
    <s v="ORD-2023-674887"/>
    <s v="674887"/>
    <x v="0"/>
    <d v="2023-01-12T00:00:00"/>
    <n v="11"/>
    <d v="2023-12-16T00:00:00"/>
    <s v="Dec-2023"/>
    <x v="3"/>
    <s v="Q4-2023"/>
    <n v="3"/>
    <n v="3"/>
    <n v="1"/>
    <d v="2023-12-19T00:00:00"/>
    <d v="2023-12-19T00:00:00"/>
    <x v="1"/>
    <x v="4"/>
    <s v="Beijing"/>
    <s v="Education"/>
    <x v="1"/>
    <x v="3"/>
    <x v="0"/>
    <s v="ACC-9644"/>
    <n v="1415.05"/>
    <n v="1556.5550000000001"/>
    <n v="1972.38"/>
    <s v="High"/>
    <n v="0"/>
    <n v="0"/>
    <s v=""/>
    <n v="12"/>
    <n v="14.399999999999999"/>
    <n v="16980.599999999999"/>
    <n v="1331102.9440700002"/>
    <n v="88650.068700000003"/>
    <n v="6.6598957725194585E-2"/>
    <s v="A"/>
    <n v="22414.392"/>
    <n v="28402.271999999997"/>
    <n v="23668.560000000001"/>
    <n v="6687.9600000000028"/>
    <n v="5987.8799999999974"/>
    <n v="0.28256725377462771"/>
  </r>
  <r>
    <s v="ORD-2023-808024"/>
    <s v="808024"/>
    <x v="0"/>
    <d v="2023-01-10T00:00:00"/>
    <n v="11"/>
    <d v="2023-12-30T00:00:00"/>
    <s v="Dec-2023"/>
    <x v="3"/>
    <s v="Q4-2023"/>
    <n v="9"/>
    <n v="9"/>
    <n v="0"/>
    <d v="2024-01-08T00:00:00"/>
    <d v="2024-01-08T00:00:00"/>
    <x v="2"/>
    <x v="5"/>
    <s v="Marseille"/>
    <s v="Consumer"/>
    <x v="3"/>
    <x v="4"/>
    <x v="0"/>
    <s v="ACC-6594"/>
    <n v="861.1"/>
    <n v="947.21000000000015"/>
    <n v="1224.72"/>
    <s v="Medium"/>
    <n v="0.17399999999999999"/>
    <n v="0.1"/>
    <s v=""/>
    <n v="24"/>
    <n v="28.799999999999997"/>
    <n v="20666.400000000001"/>
    <n v="1331102.9440700002"/>
    <n v="112928.91798"/>
    <n v="8.4838605821655574E-2"/>
    <s v="A"/>
    <n v="27279.648000000001"/>
    <n v="31744.742399999996"/>
    <n v="24278.849280000002"/>
    <n v="3612.4492800000007"/>
    <n v="4465.0943999999945"/>
    <n v="0.14878997098827909"/>
  </r>
  <r>
    <s v="ORD-2024-921935"/>
    <s v="921935"/>
    <x v="1"/>
    <d v="2023-01-19T00:00:00"/>
    <n v="11"/>
    <d v="2024-01-01T00:00:00"/>
    <s v="Jan-2024"/>
    <x v="1"/>
    <s v="Q1-2024"/>
    <n v="26"/>
    <n v="26"/>
    <n v="0"/>
    <d v="2024-01-27T00:00:00"/>
    <d v="2024-01-27T00:00:00"/>
    <x v="2"/>
    <x v="2"/>
    <s v="Manchester"/>
    <s v="Education"/>
    <x v="2"/>
    <x v="0"/>
    <x v="0"/>
    <s v="ACC-3103"/>
    <n v="657.45"/>
    <n v="723.19500000000016"/>
    <n v="1325.96"/>
    <s v="Medium"/>
    <n v="0.16700000000000001"/>
    <n v="0.1"/>
    <s v=""/>
    <n v="21"/>
    <n v="25.2"/>
    <n v="13806.45"/>
    <n v="1331102.9440700002"/>
    <n v="136123.93625999999"/>
    <n v="0.10226401862186962"/>
    <s v="A"/>
    <n v="18224.514000000003"/>
    <n v="30072.772800000002"/>
    <n v="23195.01828"/>
    <n v="9388.5682799999995"/>
    <n v="11848.2588"/>
    <n v="0.40476658249048808"/>
  </r>
  <r>
    <s v="ORD-2024-277241"/>
    <s v="277241"/>
    <x v="1"/>
    <d v="2023-01-07T00:00:00"/>
    <n v="12"/>
    <d v="2024-01-28T00:00:00"/>
    <s v="Jan-2024"/>
    <x v="1"/>
    <s v="Q1-2024"/>
    <n v="2"/>
    <n v="2"/>
    <n v="1"/>
    <d v="2024-01-30T00:00:00"/>
    <d v="2024-01-30T00:00:00"/>
    <x v="0"/>
    <x v="6"/>
    <s v="Cape Town"/>
    <s v="Consumer"/>
    <x v="0"/>
    <x v="5"/>
    <x v="0"/>
    <s v="ACC-6223"/>
    <n v="798.45"/>
    <n v="878.29500000000007"/>
    <n v="1592.02"/>
    <s v="Medium"/>
    <n v="6.6000000000000003E-2"/>
    <n v="6.6000000000000003E-2"/>
    <s v=""/>
    <n v="18"/>
    <n v="21.599999999999998"/>
    <n v="14372.1"/>
    <n v="1331102.9440700002"/>
    <n v="162888.97649999999"/>
    <n v="0.12237143432494277"/>
    <s v="A"/>
    <n v="18971.171999999999"/>
    <n v="32118.048287999994"/>
    <n v="26765.040239999998"/>
    <n v="12392.940239999998"/>
    <n v="13146.876287999996"/>
    <n v="0.46302714768494585"/>
  </r>
  <r>
    <s v="ORD-2024-210687"/>
    <s v="210687"/>
    <x v="1"/>
    <d v="2023-01-22T00:00:00"/>
    <n v="12"/>
    <d v="2024-01-28T00:00:00"/>
    <s v="Jan-2024"/>
    <x v="1"/>
    <s v="Q1-2024"/>
    <n v="12"/>
    <n v="12"/>
    <n v="0"/>
    <d v="2024-02-09T00:00:00"/>
    <d v="2024-02-09T00:00:00"/>
    <x v="2"/>
    <x v="7"/>
    <s v="Berlin"/>
    <s v="Corporate"/>
    <x v="4"/>
    <x v="2"/>
    <x v="0"/>
    <s v="ACC-7938"/>
    <n v="644.16999999999996"/>
    <n v="708.58699999999999"/>
    <n v="700.12"/>
    <s v="Low"/>
    <n v="6.0000000000000001E-3"/>
    <n v="6.0000000000000001E-3"/>
    <s v=""/>
    <n v="23"/>
    <n v="27.599999999999998"/>
    <n v="14815.91"/>
    <n v="1331102.9440700002"/>
    <n v="178895.11994"/>
    <n v="0.13439615676380942"/>
    <s v="A"/>
    <n v="19557.001199999999"/>
    <n v="19207.372127999999"/>
    <n v="16006.14344"/>
    <n v="1190.23344"/>
    <n v="-349.62907199999972"/>
    <n v="7.436103796405813E-2"/>
  </r>
  <r>
    <s v="ORD-2024-232632"/>
    <s v="232632"/>
    <x v="1"/>
    <d v="2023-01-12T00:00:00"/>
    <n v="13"/>
    <d v="2024-02-14T00:00:00"/>
    <s v="Feb-2024"/>
    <x v="0"/>
    <s v="Q1-2024"/>
    <n v="0"/>
    <n v="0"/>
    <n v="1"/>
    <d v="2024-02-14T00:00:00"/>
    <d v="2024-02-14T00:00:00"/>
    <x v="1"/>
    <x v="4"/>
    <s v="Beijing"/>
    <s v="Corporate"/>
    <x v="2"/>
    <x v="4"/>
    <x v="0"/>
    <s v="ACC-1021"/>
    <n v="65.930000000000007"/>
    <n v="72.52300000000001"/>
    <n v="84.9"/>
    <s v="Low"/>
    <n v="0.25900000000000001"/>
    <n v="0.1"/>
    <s v=""/>
    <n v="23"/>
    <n v="27.599999999999998"/>
    <n v="1516.39"/>
    <n v="1331102.9440700002"/>
    <n v="180342.07063999999"/>
    <n v="0.13548318816618599"/>
    <s v="A"/>
    <n v="2001.6348"/>
    <n v="2108.9159999999997"/>
    <n v="1446.9507000000001"/>
    <n v="-69.439300000000003"/>
    <n v="107.28119999999967"/>
    <n v="-4.7990093926489688E-2"/>
  </r>
  <r>
    <s v="ORD-2024-287210"/>
    <s v="287210"/>
    <x v="1"/>
    <d v="2023-01-22T00:00:00"/>
    <n v="13"/>
    <d v="2024-03-18T00:00:00"/>
    <s v="Mar-2024"/>
    <x v="4"/>
    <s v="Q1-2024"/>
    <n v="3"/>
    <n v="3"/>
    <n v="1"/>
    <d v="2024-03-21T00:00:00"/>
    <d v="2024-03-21T00:00:00"/>
    <x v="2"/>
    <x v="7"/>
    <s v="Munich"/>
    <s v="Small Business"/>
    <x v="4"/>
    <x v="6"/>
    <x v="0"/>
    <s v="ACC-2761"/>
    <n v="910.63"/>
    <n v="1001.6930000000001"/>
    <n v="1269.4000000000001"/>
    <s v="Medium"/>
    <n v="6.8000000000000005E-2"/>
    <n v="6.8000000000000005E-2"/>
    <s v=""/>
    <n v="9"/>
    <n v="10.799999999999999"/>
    <n v="8195.67"/>
    <n v="1331102.9440700002"/>
    <n v="190989.79783999998"/>
    <n v="0.14348236452398394"/>
    <s v="A"/>
    <n v="10818.2844"/>
    <n v="12777.272639999999"/>
    <n v="10647.727199999999"/>
    <n v="2452.0571999999993"/>
    <n v="1958.9882399999988"/>
    <n v="0.23028925834989455"/>
  </r>
  <r>
    <s v="ORD-2024-211453"/>
    <s v="211453"/>
    <x v="1"/>
    <d v="2023-01-22T00:00:00"/>
    <n v="14"/>
    <d v="2024-04-04T00:00:00"/>
    <s v="Apr-2024"/>
    <x v="2"/>
    <s v="Q2-2024"/>
    <n v="20"/>
    <n v="20"/>
    <n v="0"/>
    <d v="2024-04-24T00:00:00"/>
    <d v="2024-04-24T00:00:00"/>
    <x v="2"/>
    <x v="7"/>
    <s v="Frankfurt"/>
    <s v="Non-Profit"/>
    <x v="0"/>
    <x v="7"/>
    <x v="0"/>
    <s v="ACC-6543"/>
    <n v="683.42"/>
    <n v="751.76200000000006"/>
    <n v="951.51"/>
    <s v="Medium"/>
    <n v="0"/>
    <n v="0"/>
    <s v=""/>
    <n v="14"/>
    <n v="16.8"/>
    <n v="9567.8799999999992"/>
    <n v="1331102.9440700002"/>
    <n v="204310.93783999997"/>
    <n v="0.15348996014935989"/>
    <s v="A"/>
    <n v="12629.601600000002"/>
    <n v="15985.368"/>
    <n v="13321.14"/>
    <n v="3753.26"/>
    <n v="3355.7663999999986"/>
    <n v="0.28175216235247136"/>
  </r>
  <r>
    <s v="ORD-2024-555229"/>
    <s v="555229"/>
    <x v="1"/>
    <d v="2023-01-20T00:00:00"/>
    <n v="15"/>
    <d v="2024-05-18T00:00:00"/>
    <s v="May-2024"/>
    <x v="5"/>
    <s v="Q2-2024"/>
    <n v="4"/>
    <n v="4"/>
    <n v="1"/>
    <d v="2024-05-22T00:00:00"/>
    <d v="2024-05-22T00:00:00"/>
    <x v="0"/>
    <x v="8"/>
    <s v="Nairobi"/>
    <s v="Corporate"/>
    <x v="0"/>
    <x v="8"/>
    <x v="0"/>
    <s v="ACC-7354"/>
    <n v="857.42"/>
    <n v="943.16200000000003"/>
    <n v="1658.92"/>
    <s v="High"/>
    <n v="0.122"/>
    <n v="0.1"/>
    <s v=""/>
    <n v="9"/>
    <n v="10.799999999999999"/>
    <n v="7716.78"/>
    <n v="1331102.9440700002"/>
    <n v="217419.72367999997"/>
    <n v="0.16333802329008015"/>
    <s v="A"/>
    <n v="10186.149599999999"/>
    <n v="16124.7024"/>
    <n v="13108.78584"/>
    <n v="5392.0058400000007"/>
    <n v="5938.5528000000013"/>
    <n v="0.41132763215544305"/>
  </r>
  <r>
    <s v="ORD-2024-247032"/>
    <s v="247032"/>
    <x v="1"/>
    <d v="2023-01-15T00:00:00"/>
    <n v="15"/>
    <d v="2024-04-21T00:00:00"/>
    <s v="Apr-2024"/>
    <x v="2"/>
    <s v="Q2-2024"/>
    <n v="28"/>
    <n v="28"/>
    <n v="0"/>
    <d v="2024-05-19T00:00:00"/>
    <d v="2024-05-19T00:00:00"/>
    <x v="0"/>
    <x v="0"/>
    <s v="Lagos"/>
    <s v="Corporate"/>
    <x v="2"/>
    <x v="3"/>
    <x v="0"/>
    <s v="ACC-2990"/>
    <n v="187.22"/>
    <n v="205.94200000000001"/>
    <n v="309.47000000000003"/>
    <s v="Low"/>
    <n v="0"/>
    <n v="0"/>
    <s v=""/>
    <n v="5"/>
    <n v="6"/>
    <n v="936.1"/>
    <n v="1331102.9440700002"/>
    <n v="218967.07367999997"/>
    <n v="0.16450048033887069"/>
    <s v="A"/>
    <n v="1235.652"/>
    <n v="1856.8200000000002"/>
    <n v="1547.3500000000001"/>
    <n v="611.25000000000011"/>
    <n v="621.16800000000012"/>
    <n v="0.39503021294471197"/>
  </r>
  <r>
    <s v="ORD-2024-578646"/>
    <s v="578646"/>
    <x v="1"/>
    <d v="2023-01-29T00:00:00"/>
    <n v="15"/>
    <d v="2024-05-27T00:00:00"/>
    <s v="May-2024"/>
    <x v="5"/>
    <s v="Q2-2024"/>
    <n v="21"/>
    <n v="21"/>
    <n v="0"/>
    <d v="2024-06-17T00:00:00"/>
    <d v="2024-06-17T00:00:00"/>
    <x v="1"/>
    <x v="1"/>
    <s v="Delhi"/>
    <s v="Small Business"/>
    <x v="4"/>
    <x v="8"/>
    <x v="0"/>
    <s v="ACC-7240"/>
    <n v="465.02"/>
    <n v="511.52200000000005"/>
    <n v="651.55999999999995"/>
    <s v="Low"/>
    <n v="4.2000000000000003E-2"/>
    <n v="4.2000000000000003E-2"/>
    <s v=""/>
    <n v="19"/>
    <n v="22.8"/>
    <n v="8835.3799999999992"/>
    <n v="1331102.9440700002"/>
    <n v="230826.76879999996"/>
    <n v="0.17341015571208984"/>
    <s v="A"/>
    <n v="11662.701600000002"/>
    <n v="14231.634144"/>
    <n v="11859.695119999998"/>
    <n v="3024.3151199999993"/>
    <n v="2568.9325439999975"/>
    <n v="0.25500783025187918"/>
  </r>
  <r>
    <s v="ORD-2024-166150"/>
    <s v="166150"/>
    <x v="1"/>
    <d v="2023-01-20T00:00:00"/>
    <n v="16"/>
    <d v="2024-06-02T00:00:00"/>
    <s v="Jun-2024"/>
    <x v="6"/>
    <s v="Q2-2024"/>
    <n v="6"/>
    <n v="6"/>
    <n v="1"/>
    <d v="2024-06-08T00:00:00"/>
    <d v="2024-06-08T00:00:00"/>
    <x v="0"/>
    <x v="8"/>
    <s v="Kisumu"/>
    <s v="Consumer"/>
    <x v="3"/>
    <x v="3"/>
    <x v="0"/>
    <s v="ACC-9820"/>
    <n v="292.94"/>
    <n v="322.23400000000004"/>
    <n v="356.55"/>
    <s v="Low"/>
    <n v="0.22900000000000001"/>
    <n v="0.1"/>
    <s v=""/>
    <n v="2"/>
    <n v="2.4"/>
    <n v="585.88"/>
    <n v="1331102.9440700002"/>
    <n v="231376.56889999995"/>
    <n v="0.17382319671875979"/>
    <s v="A"/>
    <n v="773.36160000000007"/>
    <n v="770.14800000000002"/>
    <n v="549.80010000000004"/>
    <n v="-36.079899999999952"/>
    <n v="-3.2136000000000422"/>
    <n v="-6.5623669402751925E-2"/>
  </r>
  <r>
    <s v="ORD-2024-638884"/>
    <s v="638884"/>
    <x v="1"/>
    <d v="2023-01-15T00:00:00"/>
    <n v="16"/>
    <d v="2024-05-28T00:00:00"/>
    <s v="May-2024"/>
    <x v="5"/>
    <s v="Q2-2024"/>
    <n v="-2"/>
    <n v="15"/>
    <n v="0"/>
    <d v="2024-05-26T00:00:00"/>
    <d v="2024-06-12T00:00:00"/>
    <x v="0"/>
    <x v="0"/>
    <s v="Abuja"/>
    <s v="Enterprise"/>
    <x v="4"/>
    <x v="5"/>
    <x v="0"/>
    <s v="ACC-5177"/>
    <n v="1227.08"/>
    <n v="1349.788"/>
    <n v="1896.62"/>
    <s v="High"/>
    <n v="0"/>
    <n v="0"/>
    <s v=""/>
    <n v="18"/>
    <n v="21.599999999999998"/>
    <n v="22087.439999999999"/>
    <n v="1331102.9440700002"/>
    <n v="265515.72889999993"/>
    <n v="0.19947046926975842"/>
    <s v="A"/>
    <n v="29155.420799999996"/>
    <n v="40966.991999999991"/>
    <n v="34139.159999999996"/>
    <n v="12051.719999999998"/>
    <n v="11811.571199999995"/>
    <n v="0.353017473189147"/>
  </r>
  <r>
    <s v="ORD-2024-605629"/>
    <s v="605629"/>
    <x v="1"/>
    <d v="2023-03-03T00:00:00"/>
    <n v="16"/>
    <d v="2024-07-15T00:00:00"/>
    <s v="Jul-2024"/>
    <x v="7"/>
    <s v="Q3-2024"/>
    <n v="0"/>
    <n v="0"/>
    <n v="1"/>
    <d v="2024-07-15T00:00:00"/>
    <d v="2024-07-15T00:00:00"/>
    <x v="1"/>
    <x v="3"/>
    <s v="Tokyo"/>
    <s v="Small Business"/>
    <x v="3"/>
    <x v="2"/>
    <x v="0"/>
    <s v="ACC-2735"/>
    <n v="801.77"/>
    <n v="881.947"/>
    <n v="1218.92"/>
    <s v="Medium"/>
    <n v="0.254"/>
    <n v="0.1"/>
    <s v=""/>
    <n v="16"/>
    <n v="19.2"/>
    <n v="12828.32"/>
    <n v="1331102.9440700002"/>
    <n v="280064.75801999995"/>
    <n v="0.21040052481866636"/>
    <s v="A"/>
    <n v="16933.382399999999"/>
    <n v="21062.937600000001"/>
    <n v="14549.029120000001"/>
    <n v="1720.7091200000013"/>
    <n v="4129.5552000000025"/>
    <n v="0.11826968698788344"/>
  </r>
  <r>
    <s v="ORD-2024-787018"/>
    <s v="787018"/>
    <x v="1"/>
    <d v="2023-01-15T00:00:00"/>
    <n v="17"/>
    <d v="2024-06-23T00:00:00"/>
    <s v="Jun-2024"/>
    <x v="6"/>
    <s v="Q2-2024"/>
    <n v="5"/>
    <n v="5"/>
    <n v="1"/>
    <d v="2024-06-28T00:00:00"/>
    <d v="2024-06-28T00:00:00"/>
    <x v="0"/>
    <x v="0"/>
    <s v="Port Harcourt"/>
    <s v="Non-Profit"/>
    <x v="0"/>
    <x v="6"/>
    <x v="0"/>
    <s v="ACC-7671"/>
    <n v="242.31"/>
    <n v="266.541"/>
    <n v="587.95000000000005"/>
    <s v="Low"/>
    <n v="0.22900000000000001"/>
    <n v="0.1"/>
    <s v=""/>
    <n v="6"/>
    <n v="7.1999999999999993"/>
    <n v="1453.8600000000001"/>
    <n v="1331102.9440700002"/>
    <n v="282784.61471999995"/>
    <n v="0.21244383537711478"/>
    <s v="A"/>
    <n v="1919.0951999999997"/>
    <n v="3809.9159999999997"/>
    <n v="2719.8567000000003"/>
    <n v="1265.9967000000001"/>
    <n v="1890.8208"/>
    <n v="0.46546448568411714"/>
  </r>
  <r>
    <s v="ORD-2024-215294"/>
    <s v="215294"/>
    <x v="1"/>
    <d v="2023-01-29T00:00:00"/>
    <n v="17"/>
    <d v="2024-06-30T00:00:00"/>
    <s v="Jun-2024"/>
    <x v="6"/>
    <s v="Q2-2024"/>
    <n v="14"/>
    <n v="14"/>
    <n v="0"/>
    <d v="2024-07-14T00:00:00"/>
    <d v="2024-07-14T00:00:00"/>
    <x v="3"/>
    <x v="9"/>
    <s v="Brasília"/>
    <s v="Education"/>
    <x v="1"/>
    <x v="9"/>
    <x v="0"/>
    <s v="ACC-8683"/>
    <n v="1491.85"/>
    <n v="1641.0350000000001"/>
    <n v="2583.02"/>
    <s v="High"/>
    <n v="0.16800000000000001"/>
    <n v="0.1"/>
    <s v=""/>
    <n v="4"/>
    <n v="4.8"/>
    <n v="5967.4"/>
    <n v="1331102.9440700002"/>
    <n v="291380.90527999995"/>
    <n v="0.21890185622238154"/>
    <s v="A"/>
    <n v="7876.9679999999998"/>
    <n v="11158.6464"/>
    <n v="8596.2905599999995"/>
    <n v="2628.8905599999998"/>
    <n v="3281.6783999999998"/>
    <n v="0.30581685689321325"/>
  </r>
  <r>
    <s v="ORD-2024-451005"/>
    <s v="451005"/>
    <x v="1"/>
    <d v="2023-01-29T00:00:00"/>
    <n v="17"/>
    <d v="2024-06-30T00:00:00"/>
    <s v="Jun-2024"/>
    <x v="6"/>
    <s v="Q2-2024"/>
    <n v="-2"/>
    <n v="15"/>
    <n v="0"/>
    <d v="2024-06-28T00:00:00"/>
    <d v="2024-07-15T00:00:00"/>
    <x v="3"/>
    <x v="9"/>
    <s v="Rio de Janeiro"/>
    <s v="Small Business"/>
    <x v="0"/>
    <x v="4"/>
    <x v="0"/>
    <s v="ACC-9162"/>
    <n v="1112.98"/>
    <n v="1224.278"/>
    <n v="2095.73"/>
    <s v="High"/>
    <n v="7.1999999999999995E-2"/>
    <n v="7.1999999999999995E-2"/>
    <s v=""/>
    <n v="17"/>
    <n v="20.399999999999999"/>
    <n v="18920.66"/>
    <n v="1331102.9440700002"/>
    <n v="324443.14175999997"/>
    <n v="0.24374008276773679"/>
    <s v="A"/>
    <n v="24975.271199999999"/>
    <n v="39674.683776000005"/>
    <n v="33062.236480000007"/>
    <n v="14141.576480000007"/>
    <n v="14699.412576000006"/>
    <n v="0.42772594916724777"/>
  </r>
  <r>
    <s v="ORD-2024-468615"/>
    <s v="468615"/>
    <x v="1"/>
    <d v="2023-01-12T00:00:00"/>
    <n v="17"/>
    <d v="2024-07-09T00:00:00"/>
    <s v="Jul-2024"/>
    <x v="7"/>
    <s v="Q3-2024"/>
    <n v="3"/>
    <n v="3"/>
    <n v="1"/>
    <d v="2024-07-12T00:00:00"/>
    <d v="2024-07-12T00:00:00"/>
    <x v="1"/>
    <x v="4"/>
    <s v="Shanghai"/>
    <s v="Small Business"/>
    <x v="1"/>
    <x v="0"/>
    <x v="0"/>
    <s v="ACC-3721"/>
    <n v="748.39"/>
    <n v="823.22900000000004"/>
    <n v="979.42"/>
    <s v="Medium"/>
    <n v="0"/>
    <n v="0"/>
    <s v=""/>
    <n v="23"/>
    <n v="27.599999999999998"/>
    <n v="17212.97"/>
    <n v="1331102.9440700002"/>
    <n v="346969.80175999994"/>
    <n v="0.26066338693467234"/>
    <s v="A"/>
    <n v="22721.1204"/>
    <n v="27031.991999999998"/>
    <n v="22526.66"/>
    <n v="5313.6899999999987"/>
    <n v="4310.8715999999986"/>
    <n v="0.23588450307324738"/>
  </r>
  <r>
    <s v="ORD-2024-704056"/>
    <s v="704056"/>
    <x v="1"/>
    <d v="2023-01-19T00:00:00"/>
    <n v="17"/>
    <d v="2024-06-23T00:00:00"/>
    <s v="Jun-2024"/>
    <x v="6"/>
    <s v="Q2-2024"/>
    <n v="2"/>
    <n v="2"/>
    <n v="1"/>
    <d v="2024-06-25T00:00:00"/>
    <d v="2024-06-25T00:00:00"/>
    <x v="2"/>
    <x v="2"/>
    <s v="Birmingham"/>
    <s v="Small Business"/>
    <x v="3"/>
    <x v="4"/>
    <x v="0"/>
    <s v="ACC-7838"/>
    <n v="951.44"/>
    <n v="1046.5840000000001"/>
    <n v="1646.43"/>
    <s v="High"/>
    <n v="0.11"/>
    <n v="0.1"/>
    <s v=""/>
    <n v="24"/>
    <n v="28.799999999999997"/>
    <n v="22834.560000000001"/>
    <n v="1331102.9440700002"/>
    <n v="382137.54655999993"/>
    <n v="0.28708339070423095"/>
    <s v="A"/>
    <n v="30141.619199999997"/>
    <n v="42675.465599999996"/>
    <n v="35167.7448"/>
    <n v="12333.184799999999"/>
    <n v="12533.846399999999"/>
    <n v="0.35069592520473475"/>
  </r>
  <r>
    <s v="ORD-2024-446699"/>
    <s v="446699"/>
    <x v="1"/>
    <d v="2023-01-29T00:00:00"/>
    <n v="18"/>
    <d v="2024-08-28T00:00:00"/>
    <s v="Aug-2024"/>
    <x v="8"/>
    <s v="Q3-2024"/>
    <n v="28"/>
    <n v="28"/>
    <n v="0"/>
    <d v="2024-09-25T00:00:00"/>
    <d v="2024-09-25T00:00:00"/>
    <x v="3"/>
    <x v="9"/>
    <s v="Rio de Janeiro"/>
    <s v="Non-Profit"/>
    <x v="4"/>
    <x v="4"/>
    <x v="0"/>
    <s v="ACC-4490"/>
    <n v="1394.65"/>
    <n v="1534.1150000000002"/>
    <n v="3144.1"/>
    <s v="High"/>
    <n v="0.13400000000000001"/>
    <n v="0.1"/>
    <s v=""/>
    <n v="13"/>
    <n v="15.6"/>
    <n v="18130.45"/>
    <n v="1331102.9440700002"/>
    <n v="417533.82435999991"/>
    <n v="0.31367508142033124"/>
    <s v="A"/>
    <n v="23932.194000000003"/>
    <n v="44143.163999999997"/>
    <n v="35396.277799999996"/>
    <n v="17265.827799999995"/>
    <n v="20210.969999999994"/>
    <n v="0.4877865378263021"/>
  </r>
  <r>
    <s v="ORD-2024-901115"/>
    <s v="901115"/>
    <x v="1"/>
    <d v="2023-01-02T00:00:00"/>
    <n v="18"/>
    <d v="2024-07-25T00:00:00"/>
    <s v="Jul-2024"/>
    <x v="7"/>
    <s v="Q3-2024"/>
    <n v="8"/>
    <n v="8"/>
    <n v="0"/>
    <d v="2024-08-02T00:00:00"/>
    <d v="2024-08-02T00:00:00"/>
    <x v="3"/>
    <x v="10"/>
    <s v="Montreal"/>
    <s v="Consumer"/>
    <x v="0"/>
    <x v="10"/>
    <x v="0"/>
    <s v="ACC-6626"/>
    <n v="986.81"/>
    <n v="1085.491"/>
    <n v="2050.31"/>
    <s v="High"/>
    <n v="0.10299999999999999"/>
    <n v="0.1"/>
    <s v=""/>
    <n v="43"/>
    <n v="51.6"/>
    <n v="42432.829999999994"/>
    <n v="1331102.9440700002"/>
    <n v="496616.33136999991"/>
    <n v="0.3730863443600676"/>
    <s v="A"/>
    <n v="56011.335599999999"/>
    <n v="95216.396399999998"/>
    <n v="79082.507010000001"/>
    <n v="36649.677010000007"/>
    <n v="39205.060799999999"/>
    <n v="0.46343595310358138"/>
  </r>
  <r>
    <s v="ORD-2023-835010"/>
    <s v="835010"/>
    <x v="0"/>
    <d v="2023-01-20T00:00:00"/>
    <n v="2"/>
    <d v="2023-03-23T00:00:00"/>
    <s v="Mar-2023"/>
    <x v="4"/>
    <s v="Q1-2023"/>
    <n v="23"/>
    <n v="23"/>
    <n v="0"/>
    <d v="2023-04-15T00:00:00"/>
    <d v="2023-04-15T00:00:00"/>
    <x v="0"/>
    <x v="8"/>
    <s v="Mombasa"/>
    <s v="Small Business"/>
    <x v="1"/>
    <x v="9"/>
    <x v="0"/>
    <s v="ACC-2988"/>
    <n v="875.36"/>
    <n v="962.89600000000007"/>
    <n v="1178.6199999999999"/>
    <s v="Medium"/>
    <n v="0.151"/>
    <n v="0.1"/>
    <s v=""/>
    <n v="53"/>
    <n v="63.599999999999994"/>
    <n v="46394.080000000002"/>
    <n v="1331102.9440700002"/>
    <n v="549650.69550999987"/>
    <n v="0.41292876554639696"/>
    <s v="A"/>
    <n v="61240.185599999997"/>
    <n v="67464.208799999993"/>
    <n v="53034.364139999991"/>
    <n v="6640.2841399999888"/>
    <n v="6224.023199999996"/>
    <n v="0.12520719815685888"/>
  </r>
  <r>
    <s v="ORD-2023-727290"/>
    <s v="727290"/>
    <x v="0"/>
    <d v="2023-01-10T00:00:00"/>
    <n v="2"/>
    <d v="2023-04-03T00:00:00"/>
    <s v="Apr-2023"/>
    <x v="2"/>
    <s v="Q2-2023"/>
    <n v="13"/>
    <n v="13"/>
    <n v="0"/>
    <d v="2023-04-16T00:00:00"/>
    <d v="2023-04-16T00:00:00"/>
    <x v="2"/>
    <x v="5"/>
    <s v="Marseille"/>
    <s v="Non-Profit"/>
    <x v="3"/>
    <x v="6"/>
    <x v="0"/>
    <s v="ACC-4815"/>
    <n v="790.54"/>
    <n v="869.59400000000005"/>
    <n v="601.49"/>
    <s v="Low"/>
    <n v="0"/>
    <n v="0"/>
    <s v=""/>
    <n v="15"/>
    <n v="18"/>
    <n v="11858.099999999999"/>
    <n v="1331102.9440700002"/>
    <n v="558673.04550999985"/>
    <n v="0.41970686639892241"/>
    <s v="A"/>
    <n v="15652.692000000001"/>
    <n v="10826.82"/>
    <n v="9022.35"/>
    <n v="-2835.7499999999982"/>
    <n v="-4825.8720000000012"/>
    <n v="-0.31430281467688553"/>
  </r>
  <r>
    <s v="ORD-2023-609394"/>
    <s v="609394"/>
    <x v="0"/>
    <d v="2023-01-22T00:00:00"/>
    <n v="2"/>
    <d v="2023-04-16T00:00:00"/>
    <s v="Apr-2023"/>
    <x v="2"/>
    <s v="Q2-2023"/>
    <n v="3"/>
    <n v="3"/>
    <n v="1"/>
    <d v="2023-04-19T00:00:00"/>
    <d v="2023-04-19T00:00:00"/>
    <x v="2"/>
    <x v="7"/>
    <s v="Munich"/>
    <s v="Corporate"/>
    <x v="0"/>
    <x v="1"/>
    <x v="0"/>
    <s v="ACC-1731"/>
    <n v="553.61"/>
    <n v="608.97100000000012"/>
    <n v="699.47"/>
    <s v="Low"/>
    <n v="0.02"/>
    <n v="0.02"/>
    <s v=""/>
    <n v="33"/>
    <n v="39.6"/>
    <n v="18269.13"/>
    <n v="1331102.9440700002"/>
    <n v="581293.90530999983"/>
    <n v="0.43670093879638411"/>
    <s v="A"/>
    <n v="24115.251600000007"/>
    <n v="27145.031760000002"/>
    <n v="22620.859800000002"/>
    <n v="4351.729800000001"/>
    <n v="3029.7801599999948"/>
    <n v="0.19237685209472014"/>
  </r>
  <r>
    <s v="ORD-2023-548874"/>
    <s v="548874"/>
    <x v="0"/>
    <d v="2023-01-19T00:00:00"/>
    <n v="2"/>
    <d v="2023-03-19T00:00:00"/>
    <s v="Mar-2023"/>
    <x v="4"/>
    <s v="Q1-2023"/>
    <n v="21"/>
    <n v="21"/>
    <n v="0"/>
    <d v="2023-04-09T00:00:00"/>
    <d v="2023-04-09T00:00:00"/>
    <x v="2"/>
    <x v="2"/>
    <s v="Manchester"/>
    <s v="Consumer"/>
    <x v="1"/>
    <x v="4"/>
    <x v="0"/>
    <s v="ACC-9150"/>
    <n v="1082.17"/>
    <n v="1190.3870000000002"/>
    <n v="1234.0999999999999"/>
    <s v="Medium"/>
    <n v="0.189"/>
    <n v="0.1"/>
    <s v=""/>
    <n v="16"/>
    <n v="19.2"/>
    <n v="17314.72"/>
    <n v="1331102.9440700002"/>
    <n v="597307.58690999984"/>
    <n v="0.44873132432842744"/>
    <s v="A"/>
    <n v="22855.430400000001"/>
    <n v="21325.248"/>
    <n v="16013.681599999998"/>
    <n v="-1301.0384000000031"/>
    <n v="-1530.1824000000015"/>
    <n v="-8.124542703534228E-2"/>
  </r>
  <r>
    <s v="ORD-2024-997336"/>
    <s v="997336"/>
    <x v="1"/>
    <d v="2023-01-15T00:00:00"/>
    <n v="20"/>
    <d v="2024-10-04T00:00:00"/>
    <s v="Oct-2024"/>
    <x v="9"/>
    <s v="Q4-2024"/>
    <n v="29"/>
    <n v="29"/>
    <n v="0"/>
    <d v="2024-11-02T00:00:00"/>
    <d v="2024-11-02T00:00:00"/>
    <x v="0"/>
    <x v="0"/>
    <s v="Abuja"/>
    <s v="Corporate"/>
    <x v="2"/>
    <x v="5"/>
    <x v="0"/>
    <s v="ACC-9038"/>
    <n v="412.09"/>
    <n v="453.29900000000004"/>
    <n v="968.94"/>
    <s v="Medium"/>
    <n v="9.9000000000000005E-2"/>
    <n v="9.9000000000000005E-2"/>
    <s v=""/>
    <n v="23"/>
    <n v="27.599999999999998"/>
    <n v="9478.07"/>
    <n v="1331102.9440700002"/>
    <n v="617386.9305299999"/>
    <n v="0.46381606567728595"/>
    <s v="A"/>
    <n v="12511.0524"/>
    <n v="24095.212344"/>
    <n v="20079.343620000003"/>
    <n v="10601.273620000004"/>
    <n v="11584.159943999999"/>
    <n v="0.52796913189137418"/>
  </r>
  <r>
    <s v="ORD-2024-468501"/>
    <s v="468501"/>
    <x v="1"/>
    <d v="2023-01-02T00:00:00"/>
    <n v="22"/>
    <d v="2024-11-06T00:00:00"/>
    <s v="Nov-2024"/>
    <x v="10"/>
    <s v="Q4-2024"/>
    <n v="16"/>
    <n v="16"/>
    <n v="0"/>
    <d v="2024-11-22T00:00:00"/>
    <d v="2024-11-22T00:00:00"/>
    <x v="3"/>
    <x v="10"/>
    <s v="Toronto"/>
    <s v="Non-Profit"/>
    <x v="2"/>
    <x v="0"/>
    <x v="0"/>
    <s v="ACC-6348"/>
    <n v="1454.11"/>
    <n v="1599.521"/>
    <n v="2629.75"/>
    <s v="High"/>
    <n v="0.29199999999999998"/>
    <n v="0.1"/>
    <s v=""/>
    <n v="8"/>
    <n v="9.6"/>
    <n v="11632.88"/>
    <n v="1331102.9440700002"/>
    <n v="632281.83452999988"/>
    <n v="0.47500596204582457"/>
    <s v="A"/>
    <n v="15355.401599999999"/>
    <n v="22721.040000000001"/>
    <n v="14894.903999999999"/>
    <n v="3262.0239999999994"/>
    <n v="7365.6384000000016"/>
    <n v="0.21900268709351867"/>
  </r>
  <r>
    <s v="ORD-2024-961756"/>
    <s v="961756"/>
    <x v="1"/>
    <d v="2023-01-12T00:00:00"/>
    <n v="22"/>
    <d v="2024-11-25T00:00:00"/>
    <s v="Nov-2024"/>
    <x v="10"/>
    <s v="Q4-2024"/>
    <n v="12"/>
    <n v="12"/>
    <n v="0"/>
    <d v="2024-12-07T00:00:00"/>
    <d v="2024-12-07T00:00:00"/>
    <x v="1"/>
    <x v="4"/>
    <s v="Shanghai"/>
    <s v="Corporate"/>
    <x v="2"/>
    <x v="3"/>
    <x v="0"/>
    <s v="ACC-7047"/>
    <n v="769.9"/>
    <n v="846.8900000000001"/>
    <n v="814.36"/>
    <s v="Low"/>
    <n v="0"/>
    <n v="0"/>
    <s v=""/>
    <n v="5"/>
    <n v="6"/>
    <n v="3849.5"/>
    <n v="1331102.9440700002"/>
    <n v="636353.63452999992"/>
    <n v="0.47806492906121562"/>
    <s v="A"/>
    <n v="5081.34"/>
    <n v="4886.16"/>
    <n v="4071.8"/>
    <n v="222.30000000000018"/>
    <n v="-195.18000000000029"/>
    <n v="5.4595019401738831E-2"/>
  </r>
  <r>
    <s v="ORD-2024-655710"/>
    <s v="655710"/>
    <x v="1"/>
    <d v="2023-01-29T00:00:00"/>
    <n v="22"/>
    <d v="2024-11-30T00:00:00"/>
    <s v="Nov-2024"/>
    <x v="10"/>
    <s v="Q4-2024"/>
    <n v="10"/>
    <n v="10"/>
    <n v="0"/>
    <d v="2024-12-10T00:00:00"/>
    <d v="2024-12-10T00:00:00"/>
    <x v="1"/>
    <x v="1"/>
    <s v="Hyderabad"/>
    <s v="Small Business"/>
    <x v="1"/>
    <x v="5"/>
    <x v="0"/>
    <s v="ACC-1075"/>
    <n v="851.49"/>
    <n v="936.63900000000012"/>
    <n v="901.79"/>
    <s v="Medium"/>
    <n v="0.245"/>
    <n v="0.1"/>
    <s v=""/>
    <n v="16"/>
    <n v="19.2"/>
    <n v="13623.84"/>
    <n v="1331102.9440700002"/>
    <n v="647247.25772999995"/>
    <n v="0.48624883643557054"/>
    <s v="A"/>
    <n v="17983.468800000002"/>
    <n v="15582.931199999999"/>
    <n v="10893.6232"/>
    <n v="-2730.2168000000001"/>
    <n v="-2400.5376000000033"/>
    <n v="-0.25062522816100341"/>
  </r>
  <r>
    <s v="ORD-2025-898843"/>
    <s v="898843"/>
    <x v="2"/>
    <d v="2023-03-03T00:00:00"/>
    <n v="22"/>
    <d v="2025-02-02T00:00:00"/>
    <s v="Feb-2025"/>
    <x v="0"/>
    <s v="Q1-2025"/>
    <n v="30"/>
    <n v="30"/>
    <n v="0"/>
    <d v="2025-03-04T00:00:00"/>
    <d v="2025-03-04T00:00:00"/>
    <x v="1"/>
    <x v="3"/>
    <s v="Osaka"/>
    <s v="Education"/>
    <x v="2"/>
    <x v="4"/>
    <x v="0"/>
    <s v="ACC-9591"/>
    <n v="766.59"/>
    <n v="843.24900000000014"/>
    <n v="1912.8"/>
    <s v="High"/>
    <n v="0.19600000000000001"/>
    <n v="0.1"/>
    <s v=""/>
    <n v="5"/>
    <n v="6"/>
    <n v="3832.9500000000003"/>
    <n v="1331102.9440700002"/>
    <n v="654936.71372999996"/>
    <n v="0.49202559174533539"/>
    <s v="A"/>
    <n v="5059.4940000000006"/>
    <n v="10329.119999999999"/>
    <n v="7689.4560000000001"/>
    <n v="3856.5059999999999"/>
    <n v="5269.6259999999984"/>
    <n v="0.50153170783472845"/>
  </r>
  <r>
    <s v="ORD-2024-289089"/>
    <s v="289089"/>
    <x v="1"/>
    <d v="2023-01-22T00:00:00"/>
    <n v="22"/>
    <d v="2024-12-17T00:00:00"/>
    <s v="Dec-2024"/>
    <x v="3"/>
    <s v="Q4-2024"/>
    <n v="1"/>
    <n v="1"/>
    <n v="1"/>
    <d v="2024-12-18T00:00:00"/>
    <d v="2024-12-18T00:00:00"/>
    <x v="2"/>
    <x v="7"/>
    <s v="Munich"/>
    <s v="Education"/>
    <x v="1"/>
    <x v="4"/>
    <x v="0"/>
    <s v="ACC-5780"/>
    <n v="346.82"/>
    <n v="381.50200000000001"/>
    <n v="701.95"/>
    <s v="Low"/>
    <n v="0.14699999999999999"/>
    <n v="0.1"/>
    <s v=""/>
    <n v="8"/>
    <n v="9.6"/>
    <n v="2774.56"/>
    <n v="1331102.9440700002"/>
    <n v="659726.82052999991"/>
    <n v="0.4956241915541178"/>
    <s v="A"/>
    <n v="3662.4191999999998"/>
    <n v="6064.848"/>
    <n v="4790.1068000000005"/>
    <n v="2015.5468000000005"/>
    <n v="2402.4288000000001"/>
    <n v="0.42077283120284509"/>
  </r>
  <r>
    <s v="ORD-2024-478165"/>
    <s v="478165"/>
    <x v="1"/>
    <d v="2023-01-02T00:00:00"/>
    <n v="23"/>
    <d v="2024-12-05T00:00:00"/>
    <s v="Dec-2024"/>
    <x v="3"/>
    <s v="Q4-2024"/>
    <n v="23"/>
    <n v="23"/>
    <n v="0"/>
    <d v="2024-12-28T00:00:00"/>
    <d v="2024-12-28T00:00:00"/>
    <x v="3"/>
    <x v="10"/>
    <s v="Vancouver"/>
    <s v="Corporate"/>
    <x v="0"/>
    <x v="5"/>
    <x v="0"/>
    <s v="ACC-2386"/>
    <n v="107.03"/>
    <n v="117.733"/>
    <n v="242.29"/>
    <s v="Low"/>
    <n v="0.18"/>
    <n v="0.1"/>
    <s v=""/>
    <n v="30"/>
    <n v="36"/>
    <n v="3210.9"/>
    <n v="1331102.9440700002"/>
    <n v="665687.15452999994"/>
    <n v="0.50010193238291922"/>
    <s v="A"/>
    <n v="4238.3879999999999"/>
    <n v="7850.1960000000008"/>
    <n v="5960.3340000000007"/>
    <n v="2749.4340000000007"/>
    <n v="3611.8080000000009"/>
    <n v="0.46128857879440988"/>
  </r>
  <r>
    <s v="ORD-2024-257550"/>
    <s v="257550"/>
    <x v="1"/>
    <d v="2023-01-02T00:00:00"/>
    <n v="23"/>
    <d v="2024-12-27T00:00:00"/>
    <s v="Dec-2024"/>
    <x v="3"/>
    <s v="Q4-2024"/>
    <n v="2"/>
    <n v="2"/>
    <n v="1"/>
    <d v="2024-12-29T00:00:00"/>
    <d v="2024-12-29T00:00:00"/>
    <x v="3"/>
    <x v="10"/>
    <s v="Vancouver"/>
    <s v="Enterprise"/>
    <x v="3"/>
    <x v="9"/>
    <x v="0"/>
    <s v="ACC-8620"/>
    <n v="1146.72"/>
    <n v="1261.3920000000001"/>
    <n v="2074.34"/>
    <s v="High"/>
    <n v="0.111"/>
    <n v="0.1"/>
    <s v=""/>
    <n v="8"/>
    <n v="9.6"/>
    <n v="9173.76"/>
    <n v="1331102.9440700002"/>
    <n v="680439.86060999997"/>
    <n v="0.51118500161187908"/>
    <s v="A"/>
    <n v="12109.3632"/>
    <n v="17922.297600000002"/>
    <n v="14752.706080000002"/>
    <n v="5578.9460800000015"/>
    <n v="5812.9344000000019"/>
    <n v="0.37816425337472737"/>
  </r>
  <r>
    <s v="ORD-2025-332931"/>
    <s v="332931"/>
    <x v="2"/>
    <d v="2023-01-20T00:00:00"/>
    <n v="24"/>
    <d v="2025-02-15T00:00:00"/>
    <s v="Feb-2025"/>
    <x v="0"/>
    <s v="Q1-2025"/>
    <n v="14"/>
    <n v="14"/>
    <n v="0"/>
    <d v="2025-03-01T00:00:00"/>
    <d v="2025-03-01T00:00:00"/>
    <x v="0"/>
    <x v="8"/>
    <s v="Mombasa"/>
    <s v="Education"/>
    <x v="0"/>
    <x v="4"/>
    <x v="0"/>
    <s v="ACC-5144"/>
    <n v="1162.8599999999999"/>
    <n v="1279.146"/>
    <n v="1447.68"/>
    <s v="Medium"/>
    <n v="8.6999999999999994E-2"/>
    <n v="8.6999999999999994E-2"/>
    <s v=""/>
    <n v="12"/>
    <n v="14.399999999999999"/>
    <n v="13954.32"/>
    <n v="1331102.9440700002"/>
    <n v="696300.64269000001"/>
    <n v="0.523100520355684"/>
    <s v="A"/>
    <n v="18419.702399999998"/>
    <n v="19032.938496000002"/>
    <n v="15860.782080000001"/>
    <n v="1906.4620800000012"/>
    <n v="613.23609600000418"/>
    <n v="0.12019975247021369"/>
  </r>
  <r>
    <s v="ORD-2025-146850"/>
    <s v="146850"/>
    <x v="2"/>
    <d v="2023-01-20T00:00:00"/>
    <n v="24"/>
    <d v="2025-01-21T00:00:00"/>
    <s v="Jan-2025"/>
    <x v="1"/>
    <s v="Q1-2025"/>
    <n v="24"/>
    <n v="24"/>
    <n v="0"/>
    <d v="2025-02-14T00:00:00"/>
    <d v="2025-02-14T00:00:00"/>
    <x v="0"/>
    <x v="8"/>
    <s v="Nairobi"/>
    <s v="Small Business"/>
    <x v="1"/>
    <x v="10"/>
    <x v="0"/>
    <s v="ACC-1659"/>
    <n v="1030.44"/>
    <n v="1133.4840000000002"/>
    <n v="2562.84"/>
    <s v="High"/>
    <n v="0.14799999999999999"/>
    <n v="0.1"/>
    <s v=""/>
    <n v="13"/>
    <n v="15.6"/>
    <n v="13395.720000000001"/>
    <n v="1331102.9440700002"/>
    <n v="724686.65853000002"/>
    <n v="0.54442570483255581"/>
    <s v="A"/>
    <n v="17682.350400000003"/>
    <n v="35982.273600000008"/>
    <n v="28386.015839999996"/>
    <n v="14990.295839999995"/>
    <n v="18299.923200000005"/>
    <n v="0.52808734852027039"/>
  </r>
  <r>
    <s v="ORD-2025-649239"/>
    <s v="649239"/>
    <x v="2"/>
    <d v="2023-01-13T00:00:00"/>
    <n v="24"/>
    <d v="2025-01-17T00:00:00"/>
    <s v="Jan-2025"/>
    <x v="1"/>
    <s v="Q1-2025"/>
    <n v="7"/>
    <n v="7"/>
    <n v="1"/>
    <d v="2025-01-24T00:00:00"/>
    <d v="2025-01-24T00:00:00"/>
    <x v="3"/>
    <x v="11"/>
    <s v="Austin"/>
    <s v="Enterprise"/>
    <x v="4"/>
    <x v="2"/>
    <x v="0"/>
    <s v="ACC-4511"/>
    <n v="142.09"/>
    <n v="156.29900000000001"/>
    <n v="218.5"/>
    <s v="Low"/>
    <n v="0.11899999999999999"/>
    <n v="0.1"/>
    <s v=""/>
    <n v="11"/>
    <n v="13.2"/>
    <n v="1562.99"/>
    <n v="1331102.9440700002"/>
    <n v="726804.14202999999"/>
    <n v="0.54601647849092183"/>
    <s v="A"/>
    <n v="2063.1468"/>
    <n v="2595.7799999999997"/>
    <n v="2117.4834999999998"/>
    <n v="554.49349999999981"/>
    <n v="532.63319999999976"/>
    <n v="0.26186437816398561"/>
  </r>
  <r>
    <s v="ORD-2025-939953"/>
    <s v="939953"/>
    <x v="2"/>
    <d v="2023-01-10T00:00:00"/>
    <n v="24"/>
    <d v="2025-01-22T00:00:00"/>
    <s v="Jan-2025"/>
    <x v="1"/>
    <s v="Q1-2025"/>
    <n v="0"/>
    <n v="0"/>
    <n v="1"/>
    <d v="2025-01-22T00:00:00"/>
    <d v="2025-01-22T00:00:00"/>
    <x v="2"/>
    <x v="5"/>
    <s v="Lyon"/>
    <s v="Small Business"/>
    <x v="4"/>
    <x v="1"/>
    <x v="0"/>
    <s v="ACC-5422"/>
    <n v="591.72"/>
    <n v="650.89200000000005"/>
    <n v="577.24"/>
    <s v="Low"/>
    <n v="0"/>
    <n v="0"/>
    <s v=""/>
    <n v="22"/>
    <n v="26.4"/>
    <n v="13017.84"/>
    <n v="1331102.9440700002"/>
    <n v="739503.42203000002"/>
    <n v="0.55555689762722882"/>
    <s v="A"/>
    <n v="17183.5488"/>
    <n v="15239.135999999999"/>
    <n v="12699.28"/>
    <n v="-318.55999999999949"/>
    <n v="-1944.4128000000019"/>
    <n v="-2.5084886702238195E-2"/>
  </r>
  <r>
    <s v="ORD-2025-766923"/>
    <s v="766923"/>
    <x v="2"/>
    <d v="2023-01-22T00:00:00"/>
    <n v="24"/>
    <d v="2025-02-15T00:00:00"/>
    <s v="Feb-2025"/>
    <x v="0"/>
    <s v="Q1-2025"/>
    <n v="0"/>
    <n v="0"/>
    <n v="1"/>
    <d v="2025-02-15T00:00:00"/>
    <d v="2025-02-15T00:00:00"/>
    <x v="2"/>
    <x v="7"/>
    <s v="Frankfurt"/>
    <s v="Small Business"/>
    <x v="3"/>
    <x v="4"/>
    <x v="0"/>
    <s v="ACC-3989"/>
    <n v="815.83"/>
    <n v="897.41300000000012"/>
    <n v="1982.18"/>
    <s v="High"/>
    <n v="0.127"/>
    <n v="0.1"/>
    <s v=""/>
    <n v="6"/>
    <n v="7.1999999999999993"/>
    <n v="4894.9800000000005"/>
    <n v="1331102.9440700002"/>
    <n v="749886.08087000006"/>
    <n v="0.56335693960463884"/>
    <s v="A"/>
    <n v="6461.3735999999999"/>
    <n v="12844.526400000001"/>
    <n v="10382.65884"/>
    <n v="5487.6788399999996"/>
    <n v="6383.1528000000008"/>
    <n v="0.52854272923408507"/>
  </r>
  <r>
    <s v="ORD-2025-337268"/>
    <s v="337268"/>
    <x v="2"/>
    <d v="2023-01-22T00:00:00"/>
    <n v="24"/>
    <d v="2025-02-16T00:00:00"/>
    <s v="Feb-2025"/>
    <x v="0"/>
    <s v="Q1-2025"/>
    <n v="29"/>
    <n v="29"/>
    <n v="0"/>
    <d v="2025-03-17T00:00:00"/>
    <d v="2025-03-17T00:00:00"/>
    <x v="2"/>
    <x v="7"/>
    <s v="Munich"/>
    <s v="Consumer"/>
    <x v="1"/>
    <x v="4"/>
    <x v="0"/>
    <s v="ACC-5150"/>
    <n v="730.42"/>
    <n v="803.46199999999999"/>
    <n v="956.7"/>
    <s v="Medium"/>
    <n v="4.2000000000000003E-2"/>
    <n v="4.2000000000000003E-2"/>
    <s v=""/>
    <n v="22"/>
    <n v="26.4"/>
    <n v="16069.24"/>
    <n v="1331102.9440700002"/>
    <n v="770049.49007000006"/>
    <n v="0.57850483578338818"/>
    <s v="A"/>
    <n v="21211.396799999999"/>
    <n v="24196.091039999999"/>
    <n v="20163.409200000002"/>
    <n v="4094.1692000000021"/>
    <n v="2984.6942400000007"/>
    <n v="0.20304945256975698"/>
  </r>
  <r>
    <s v="ORD-2025-501927"/>
    <s v="501927"/>
    <x v="2"/>
    <d v="2023-01-15T00:00:00"/>
    <n v="25"/>
    <d v="2025-03-03T00:00:00"/>
    <s v="Mar-2025"/>
    <x v="4"/>
    <s v="Q1-2025"/>
    <n v="21"/>
    <n v="21"/>
    <n v="0"/>
    <d v="2025-03-24T00:00:00"/>
    <d v="2025-03-24T00:00:00"/>
    <x v="0"/>
    <x v="0"/>
    <s v="Abuja"/>
    <s v="Enterprise"/>
    <x v="0"/>
    <x v="8"/>
    <x v="0"/>
    <s v="ACC-4056"/>
    <n v="555.95000000000005"/>
    <n v="611.54500000000007"/>
    <n v="468.09"/>
    <s v="Low"/>
    <n v="0.14199999999999999"/>
    <n v="0.1"/>
    <s v=""/>
    <n v="11"/>
    <n v="13.2"/>
    <n v="6115.4500000000007"/>
    <n v="1331102.9440700002"/>
    <n v="774467.3234900001"/>
    <n v="0.58182376272264658"/>
    <s v="A"/>
    <n v="8072.3940000000002"/>
    <n v="5560.9092000000001"/>
    <n v="4417.8334199999999"/>
    <n v="-1697.6165800000008"/>
    <n v="-2511.4848000000002"/>
    <n v="-0.38426450674095375"/>
  </r>
  <r>
    <s v="ORD-2025-281062"/>
    <s v="281062"/>
    <x v="2"/>
    <d v="2023-01-10T00:00:00"/>
    <n v="25"/>
    <d v="2025-02-15T00:00:00"/>
    <s v="Feb-2025"/>
    <x v="0"/>
    <s v="Q1-2025"/>
    <n v="12"/>
    <n v="12"/>
    <n v="0"/>
    <d v="2025-02-27T00:00:00"/>
    <d v="2025-02-27T00:00:00"/>
    <x v="2"/>
    <x v="5"/>
    <s v="Lyon"/>
    <s v="Non-Profit"/>
    <x v="0"/>
    <x v="11"/>
    <x v="0"/>
    <s v="ACC-1604"/>
    <n v="1027.26"/>
    <n v="1129.9860000000001"/>
    <n v="2200.41"/>
    <s v="High"/>
    <n v="8.7999999999999995E-2"/>
    <n v="8.7999999999999995E-2"/>
    <s v=""/>
    <n v="6"/>
    <n v="7.1999999999999993"/>
    <n v="6163.5599999999995"/>
    <n v="1331102.9440700002"/>
    <n v="786507.96701000014"/>
    <n v="0.59086937679302376"/>
    <s v="A"/>
    <n v="8135.8991999999998"/>
    <n v="14448.772223999998"/>
    <n v="12040.64352"/>
    <n v="5877.0835200000001"/>
    <n v="6312.8730239999986"/>
    <n v="0.48810377204822358"/>
  </r>
  <r>
    <s v="ORD-2025-944081"/>
    <s v="944081"/>
    <x v="2"/>
    <d v="2023-01-15T00:00:00"/>
    <n v="26"/>
    <d v="2025-03-25T00:00:00"/>
    <s v="Mar-2025"/>
    <x v="4"/>
    <s v="Q1-2025"/>
    <n v="1"/>
    <n v="1"/>
    <n v="1"/>
    <d v="2025-03-26T00:00:00"/>
    <d v="2025-03-26T00:00:00"/>
    <x v="0"/>
    <x v="0"/>
    <s v="Lagos"/>
    <s v="Education"/>
    <x v="2"/>
    <x v="2"/>
    <x v="0"/>
    <s v="ACC-9533"/>
    <n v="1450.43"/>
    <n v="1595.4730000000002"/>
    <n v="1994.67"/>
    <s v="High"/>
    <n v="0.1"/>
    <n v="0.1"/>
    <s v=""/>
    <n v="24"/>
    <n v="28.799999999999997"/>
    <n v="34810.32"/>
    <n v="1331102.9440700002"/>
    <n v="829592.83901000011"/>
    <n v="0.62323717538586809"/>
    <s v="A"/>
    <n v="45949.6224"/>
    <n v="51701.846400000002"/>
    <n v="43084.872000000003"/>
    <n v="8274.5520000000033"/>
    <n v="5752.224000000002"/>
    <n v="0.19205237513529116"/>
  </r>
  <r>
    <s v="ORD-2025-486350"/>
    <s v="486350"/>
    <x v="2"/>
    <d v="2023-03-03T00:00:00"/>
    <n v="26"/>
    <d v="2025-05-27T00:00:00"/>
    <s v="May-2025"/>
    <x v="5"/>
    <s v="Q2-2025"/>
    <n v="12"/>
    <n v="12"/>
    <n v="0"/>
    <d v="2025-06-08T00:00:00"/>
    <d v="2025-06-08T00:00:00"/>
    <x v="1"/>
    <x v="3"/>
    <s v="Osaka"/>
    <s v="Corporate"/>
    <x v="1"/>
    <x v="8"/>
    <x v="0"/>
    <s v="ACC-1249"/>
    <n v="653.6"/>
    <n v="718.96"/>
    <n v="842.09"/>
    <s v="Medium"/>
    <n v="9.8000000000000004E-2"/>
    <n v="9.8000000000000004E-2"/>
    <s v=""/>
    <n v="19"/>
    <n v="22.8"/>
    <n v="12418.4"/>
    <n v="1331102.9440700002"/>
    <n v="844024.57743000006"/>
    <n v="0.63407911551100471"/>
    <s v="A"/>
    <n v="16392.288"/>
    <n v="17318.086104000002"/>
    <n v="14431.738420000001"/>
    <n v="2013.3384200000019"/>
    <n v="925.79810400000133"/>
    <n v="0.13950768517324622"/>
  </r>
  <r>
    <s v="ORD-2025-762301"/>
    <s v="762301"/>
    <x v="2"/>
    <d v="2023-01-20T00:00:00"/>
    <n v="27"/>
    <d v="2025-05-02T00:00:00"/>
    <s v="May-2025"/>
    <x v="5"/>
    <s v="Q2-2025"/>
    <n v="11"/>
    <n v="11"/>
    <n v="0"/>
    <d v="2025-05-13T00:00:00"/>
    <d v="2025-05-13T00:00:00"/>
    <x v="0"/>
    <x v="8"/>
    <s v="Nakuru"/>
    <s v="Small Business"/>
    <x v="4"/>
    <x v="3"/>
    <x v="0"/>
    <s v="ACC-2252"/>
    <n v="1057.5999999999999"/>
    <n v="1163.3599999999999"/>
    <n v="1437.06"/>
    <s v="Medium"/>
    <n v="0.20499999999999999"/>
    <n v="0.1"/>
    <s v=""/>
    <n v="4"/>
    <n v="4.8"/>
    <n v="4230.3999999999996"/>
    <n v="1331102.9440700002"/>
    <n v="848594.42823000008"/>
    <n v="0.63751224652491945"/>
    <s v="A"/>
    <n v="5584.1279999999997"/>
    <n v="6208.0991999999997"/>
    <n v="4569.8508000000002"/>
    <n v="339.45080000000053"/>
    <n v="623.97119999999995"/>
    <n v="7.4280499485891424E-2"/>
  </r>
  <r>
    <s v="ORD-2025-828263"/>
    <s v="828263"/>
    <x v="2"/>
    <d v="2023-01-15T00:00:00"/>
    <n v="28"/>
    <d v="2025-05-17T00:00:00"/>
    <s v="May-2025"/>
    <x v="5"/>
    <s v="Q2-2025"/>
    <n v="13"/>
    <n v="13"/>
    <n v="0"/>
    <d v="2025-05-30T00:00:00"/>
    <d v="2025-05-30T00:00:00"/>
    <x v="0"/>
    <x v="0"/>
    <s v="Lagos"/>
    <s v="Consumer"/>
    <x v="2"/>
    <x v="5"/>
    <x v="0"/>
    <s v="ACC-3349"/>
    <n v="66.400000000000006"/>
    <n v="73.040000000000006"/>
    <n v="141.43"/>
    <s v="Low"/>
    <n v="0.107"/>
    <n v="0.1"/>
    <s v=""/>
    <n v="8"/>
    <n v="9.6"/>
    <n v="531.20000000000005"/>
    <n v="1331102.9440700002"/>
    <n v="849604.8041500001"/>
    <n v="0.63827129820045003"/>
    <s v="A"/>
    <n v="701.18400000000008"/>
    <n v="1221.9552000000001"/>
    <n v="1010.3759200000001"/>
    <n v="479.17592000000002"/>
    <n v="520.77120000000002"/>
    <n v="0.47425508715607551"/>
  </r>
  <r>
    <s v="ORD-2025-580047"/>
    <s v="580047"/>
    <x v="2"/>
    <d v="2023-01-15T00:00:00"/>
    <n v="28"/>
    <d v="2025-06-14T00:00:00"/>
    <s v="Jun-2025"/>
    <x v="6"/>
    <s v="Q2-2025"/>
    <n v="15"/>
    <n v="15"/>
    <n v="0"/>
    <d v="2025-06-29T00:00:00"/>
    <d v="2025-06-29T00:00:00"/>
    <x v="0"/>
    <x v="0"/>
    <s v="Port Harcourt"/>
    <s v="Consumer"/>
    <x v="3"/>
    <x v="6"/>
    <x v="0"/>
    <s v="ACC-3961"/>
    <n v="730.99"/>
    <n v="804.08900000000006"/>
    <n v="1242.8399999999999"/>
    <s v="Medium"/>
    <n v="0.12"/>
    <n v="0.1"/>
    <s v=""/>
    <n v="10"/>
    <n v="12"/>
    <n v="7309.9"/>
    <n v="1331102.9440700002"/>
    <n v="860541.79615000007"/>
    <n v="0.64648778667620899"/>
    <s v="A"/>
    <n v="9649.0680000000011"/>
    <n v="13422.671999999999"/>
    <n v="10936.992"/>
    <n v="3627.0920000000006"/>
    <n v="3773.6039999999975"/>
    <n v="0.33163524303574515"/>
  </r>
  <r>
    <s v="ORD-2025-411385"/>
    <s v="411385"/>
    <x v="2"/>
    <d v="2023-01-29T00:00:00"/>
    <n v="28"/>
    <d v="2025-06-05T00:00:00"/>
    <s v="Jun-2025"/>
    <x v="6"/>
    <s v="Q2-2025"/>
    <n v="9"/>
    <n v="9"/>
    <n v="0"/>
    <d v="2025-06-14T00:00:00"/>
    <d v="2025-06-14T00:00:00"/>
    <x v="1"/>
    <x v="1"/>
    <s v="Delhi"/>
    <s v="Non-Profit"/>
    <x v="1"/>
    <x v="3"/>
    <x v="0"/>
    <s v="ACC-2902"/>
    <n v="618.69000000000005"/>
    <n v="680.55900000000008"/>
    <n v="796.15"/>
    <s v="Low"/>
    <n v="0.09"/>
    <n v="0.09"/>
    <s v=""/>
    <n v="11"/>
    <n v="13.2"/>
    <n v="6805.59"/>
    <n v="1331102.9440700002"/>
    <n v="868511.25765000004"/>
    <n v="0.65247489799280822"/>
    <s v="A"/>
    <n v="8983.3788000000004"/>
    <n v="9563.353799999999"/>
    <n v="7969.4615000000003"/>
    <n v="1163.8715000000002"/>
    <n v="579.97499999999854"/>
    <n v="0.14604142325049191"/>
  </r>
  <r>
    <s v="ORD-2025-703623"/>
    <s v="703623"/>
    <x v="2"/>
    <d v="2023-03-03T00:00:00"/>
    <n v="28"/>
    <d v="2025-07-23T00:00:00"/>
    <s v="Jul-2025"/>
    <x v="7"/>
    <s v="Q3-2025"/>
    <n v="27"/>
    <n v="27"/>
    <n v="0"/>
    <d v="2025-08-19T00:00:00"/>
    <d v="2025-08-19T00:00:00"/>
    <x v="1"/>
    <x v="3"/>
    <s v="Nagoya"/>
    <s v="Consumer"/>
    <x v="3"/>
    <x v="1"/>
    <x v="0"/>
    <s v="ACC-1596"/>
    <n v="896.09"/>
    <n v="985.69900000000007"/>
    <n v="744.27"/>
    <s v="Low"/>
    <n v="8.3000000000000004E-2"/>
    <n v="8.3000000000000004E-2"/>
    <s v=""/>
    <n v="11"/>
    <n v="13.2"/>
    <n v="9856.99"/>
    <n v="1331102.9440700002"/>
    <n v="876018.70914000005"/>
    <n v="0.65811492119570569"/>
    <s v="A"/>
    <n v="13011.2268"/>
    <n v="9008.9417880000001"/>
    <n v="7507.4514899999995"/>
    <n v="-2349.5385100000003"/>
    <n v="-4002.2850120000003"/>
    <n v="-0.31296086469950679"/>
  </r>
  <r>
    <s v="ORD-2025-639542"/>
    <s v="639542"/>
    <x v="2"/>
    <d v="2023-01-10T00:00:00"/>
    <n v="28"/>
    <d v="2025-06-09T00:00:00"/>
    <s v="Jun-2025"/>
    <x v="6"/>
    <s v="Q2-2025"/>
    <n v="9"/>
    <n v="9"/>
    <n v="0"/>
    <d v="2025-06-18T00:00:00"/>
    <d v="2025-06-18T00:00:00"/>
    <x v="2"/>
    <x v="5"/>
    <s v="Marseille"/>
    <s v="Small Business"/>
    <x v="3"/>
    <x v="8"/>
    <x v="0"/>
    <s v="ACC-1770"/>
    <n v="1225.5"/>
    <n v="1348.0500000000002"/>
    <n v="-5.27"/>
    <s v="Low"/>
    <n v="7.4999999999999997E-2"/>
    <n v="7.4999999999999997E-2"/>
    <s v=""/>
    <n v="56"/>
    <n v="67.2"/>
    <n v="68628"/>
    <n v="1331102.9440700002"/>
    <n v="875745.72314000002"/>
    <n v="0.65790983863524999"/>
    <s v="A"/>
    <n v="90588.960000000021"/>
    <n v="-327.58320000000003"/>
    <n v="-272.98599999999999"/>
    <n v="-68900.986000000004"/>
    <n v="-90916.543200000015"/>
    <n v="252.39750756449052"/>
  </r>
  <r>
    <s v="ORD-2025-649633"/>
    <s v="649633"/>
    <x v="2"/>
    <d v="2023-01-20T00:00:00"/>
    <n v="29"/>
    <d v="2025-07-19T00:00:00"/>
    <s v="Jul-2025"/>
    <x v="7"/>
    <s v="Q3-2025"/>
    <n v="12"/>
    <n v="12"/>
    <n v="0"/>
    <d v="2025-07-31T00:00:00"/>
    <d v="2025-07-31T00:00:00"/>
    <x v="0"/>
    <x v="8"/>
    <s v="Nairobi"/>
    <s v="Small Business"/>
    <x v="3"/>
    <x v="7"/>
    <x v="0"/>
    <s v="ACC-1028"/>
    <n v="619.64"/>
    <n v="681.60400000000004"/>
    <n v="861.16"/>
    <s v="Medium"/>
    <n v="0.113"/>
    <n v="0.1"/>
    <s v=""/>
    <n v="14"/>
    <n v="16.8"/>
    <n v="8674.9599999999991"/>
    <n v="1331102.9440700002"/>
    <n v="886439.60802000004"/>
    <n v="0.66594369125922681"/>
    <s v="A"/>
    <n v="11450.947200000001"/>
    <n v="13020.7392"/>
    <n v="10693.88488"/>
    <n v="2018.9248800000005"/>
    <n v="1569.7919999999995"/>
    <n v="0.18879246435276761"/>
  </r>
  <r>
    <s v="ORD-2025-843974"/>
    <s v="843974"/>
    <x v="2"/>
    <d v="2023-01-29T00:00:00"/>
    <n v="29"/>
    <d v="2025-07-20T00:00:00"/>
    <s v="Jul-2025"/>
    <x v="7"/>
    <s v="Q3-2025"/>
    <n v="16"/>
    <n v="16"/>
    <n v="0"/>
    <d v="2025-08-05T00:00:00"/>
    <d v="2025-08-05T00:00:00"/>
    <x v="3"/>
    <x v="9"/>
    <s v="Brasília"/>
    <s v="Enterprise"/>
    <x v="3"/>
    <x v="2"/>
    <x v="0"/>
    <s v="ACC-8098"/>
    <n v="1068.17"/>
    <n v="1174.9870000000001"/>
    <n v="2375.37"/>
    <s v="High"/>
    <n v="0.109"/>
    <n v="0.1"/>
    <s v=""/>
    <n v="18"/>
    <n v="21.599999999999998"/>
    <n v="19227.060000000001"/>
    <n v="1331102.9440700002"/>
    <n v="924535.79208000004"/>
    <n v="0.69456370463213435"/>
    <s v="A"/>
    <n v="25379.7192"/>
    <n v="46177.19279999999"/>
    <n v="38096.18406"/>
    <n v="18869.124059999998"/>
    <n v="20797.47359999999"/>
    <n v="0.49530220744108822"/>
  </r>
  <r>
    <s v="ORD-2025-856556"/>
    <s v="856556"/>
    <x v="2"/>
    <d v="2023-01-10T00:00:00"/>
    <n v="29"/>
    <d v="2025-06-15T00:00:00"/>
    <s v="Jun-2025"/>
    <x v="6"/>
    <s v="Q2-2025"/>
    <n v="27"/>
    <n v="27"/>
    <n v="0"/>
    <d v="2025-07-12T00:00:00"/>
    <d v="2025-07-12T00:00:00"/>
    <x v="2"/>
    <x v="5"/>
    <s v="Marseille"/>
    <s v="Consumer"/>
    <x v="0"/>
    <x v="9"/>
    <x v="0"/>
    <s v="ACC-7906"/>
    <n v="318.83"/>
    <n v="350.71300000000002"/>
    <n v="699.5"/>
    <s v="Low"/>
    <n v="0.08"/>
    <n v="0.08"/>
    <s v=""/>
    <n v="13"/>
    <n v="15.6"/>
    <n v="4144.79"/>
    <n v="1331102.9440700002"/>
    <n v="932901.81208000006"/>
    <n v="0.70084873317727447"/>
    <s v="A"/>
    <n v="5471.1228000000001"/>
    <n v="10039.224"/>
    <n v="8366.02"/>
    <n v="4221.2300000000005"/>
    <n v="4568.1012000000001"/>
    <n v="0.50456848059172699"/>
  </r>
  <r>
    <s v="ORD-2025-678328"/>
    <s v="678328"/>
    <x v="2"/>
    <d v="2023-01-22T00:00:00"/>
    <n v="29"/>
    <d v="2025-06-24T00:00:00"/>
    <s v="Jun-2025"/>
    <x v="6"/>
    <s v="Q2-2025"/>
    <n v="20"/>
    <n v="20"/>
    <n v="0"/>
    <d v="2025-07-14T00:00:00"/>
    <d v="2025-07-14T00:00:00"/>
    <x v="2"/>
    <x v="7"/>
    <s v="Berlin"/>
    <s v="Corporate"/>
    <x v="0"/>
    <x v="7"/>
    <x v="0"/>
    <s v="ACC-8094"/>
    <n v="385.08"/>
    <n v="423.58800000000002"/>
    <n v="893.19"/>
    <s v="Medium"/>
    <n v="0.151"/>
    <n v="0.1"/>
    <s v=""/>
    <n v="8"/>
    <n v="9.6"/>
    <n v="3080.64"/>
    <n v="1331102.9440700002"/>
    <n v="938968.35856000008"/>
    <n v="0.70540626684289076"/>
    <s v="A"/>
    <n v="4066.4448000000002"/>
    <n v="7717.1616000000004"/>
    <n v="6066.54648"/>
    <n v="2985.9064800000001"/>
    <n v="3650.7168000000001"/>
    <n v="0.49219213762621666"/>
  </r>
  <r>
    <s v="ORD-2023-957692"/>
    <s v="957692"/>
    <x v="0"/>
    <d v="2023-01-29T00:00:00"/>
    <n v="3"/>
    <d v="2023-05-07T00:00:00"/>
    <s v="May-2023"/>
    <x v="5"/>
    <s v="Q2-2023"/>
    <n v="13"/>
    <n v="13"/>
    <n v="0"/>
    <d v="2023-05-20T00:00:00"/>
    <d v="2023-05-20T00:00:00"/>
    <x v="1"/>
    <x v="1"/>
    <s v="Mumbai"/>
    <s v="Enterprise"/>
    <x v="1"/>
    <x v="0"/>
    <x v="0"/>
    <s v="ACC-9283"/>
    <n v="1443.28"/>
    <n v="1587.6080000000002"/>
    <n v="2580.5700000000002"/>
    <s v="High"/>
    <n v="0"/>
    <n v="0"/>
    <s v=""/>
    <n v="18"/>
    <n v="21.599999999999998"/>
    <n v="25979.040000000001"/>
    <n v="1331102.9440700002"/>
    <n v="985418.61856000009"/>
    <n v="0.74030233570588422"/>
    <s v="A"/>
    <n v="34292.332800000004"/>
    <n v="55740.311999999998"/>
    <n v="46450.26"/>
    <n v="20471.22"/>
    <n v="21447.979199999994"/>
    <n v="0.4407127107577008"/>
  </r>
  <r>
    <s v="ORD-2025-629393"/>
    <s v="629393"/>
    <x v="2"/>
    <d v="2023-01-15T00:00:00"/>
    <n v="30"/>
    <d v="2025-07-21T00:00:00"/>
    <s v="Jul-2025"/>
    <x v="7"/>
    <s v="Q3-2025"/>
    <n v="17"/>
    <n v="17"/>
    <n v="0"/>
    <d v="2025-08-07T00:00:00"/>
    <d v="2025-08-07T00:00:00"/>
    <x v="0"/>
    <x v="0"/>
    <s v="Lagos"/>
    <s v="Enterprise"/>
    <x v="0"/>
    <x v="6"/>
    <x v="0"/>
    <s v="ACC-8999"/>
    <n v="1204.95"/>
    <n v="1325.4450000000002"/>
    <n v="2065.73"/>
    <s v="High"/>
    <n v="0.13600000000000001"/>
    <n v="0.1"/>
    <s v=""/>
    <n v="10"/>
    <n v="12"/>
    <n v="12049.5"/>
    <n v="1331102.9440700002"/>
    <n v="1003266.5257600001"/>
    <n v="0.75371069550218062"/>
    <s v="A"/>
    <n v="15905.340000000002"/>
    <n v="22309.884000000002"/>
    <n v="17847.907199999998"/>
    <n v="5798.4071999999978"/>
    <n v="6404.5439999999999"/>
    <n v="0.32487882949100039"/>
  </r>
  <r>
    <s v="ORD-2025-922513"/>
    <s v="922513"/>
    <x v="2"/>
    <d v="2023-01-15T00:00:00"/>
    <n v="31"/>
    <d v="2025-08-28T00:00:00"/>
    <s v="Aug-2025"/>
    <x v="8"/>
    <s v="Q3-2025"/>
    <n v="-2"/>
    <n v="15"/>
    <n v="0"/>
    <d v="2025-08-26T00:00:00"/>
    <d v="2025-09-12T00:00:00"/>
    <x v="0"/>
    <x v="0"/>
    <s v="Port Harcourt"/>
    <s v="Small Business"/>
    <x v="1"/>
    <x v="3"/>
    <x v="0"/>
    <s v="ACC-4483"/>
    <n v="521.05999999999995"/>
    <n v="573.16599999999994"/>
    <n v="1240.31"/>
    <s v="Medium"/>
    <n v="0.14599999999999999"/>
    <n v="0.1"/>
    <s v=""/>
    <n v="18"/>
    <n v="21.599999999999998"/>
    <n v="9379.0799999999981"/>
    <n v="1331102.9440700002"/>
    <n v="1022332.5710800001"/>
    <n v="0.76803418971796489"/>
    <s v="A"/>
    <n v="12380.385599999998"/>
    <n v="24111.626399999997"/>
    <n v="19066.045319999997"/>
    <n v="9686.9653199999993"/>
    <n v="11731.2408"/>
    <n v="0.50807417885650974"/>
  </r>
  <r>
    <s v="ORD-2025-840976"/>
    <s v="840976"/>
    <x v="2"/>
    <d v="2023-01-29T00:00:00"/>
    <n v="31"/>
    <d v="2025-09-01T00:00:00"/>
    <s v="Sept-2025"/>
    <x v="11"/>
    <s v="Q3-2025"/>
    <n v="29"/>
    <n v="29"/>
    <n v="0"/>
    <d v="2025-09-30T00:00:00"/>
    <d v="2025-09-30T00:00:00"/>
    <x v="3"/>
    <x v="9"/>
    <s v="Brasília"/>
    <s v="Education"/>
    <x v="1"/>
    <x v="11"/>
    <x v="0"/>
    <s v="ACC-1663"/>
    <n v="780.59"/>
    <n v="858.64900000000011"/>
    <n v="631.57000000000005"/>
    <s v="Low"/>
    <n v="0"/>
    <n v="0"/>
    <s v=""/>
    <n v="12"/>
    <n v="14.399999999999999"/>
    <n v="9367.08"/>
    <n v="1331102.9440700002"/>
    <n v="1029911.4110800001"/>
    <n v="0.77372784401702821"/>
    <s v="A"/>
    <n v="12364.545600000001"/>
    <n v="9094.6080000000002"/>
    <n v="7578.84"/>
    <n v="-1788.2399999999998"/>
    <n v="-3269.9376000000011"/>
    <n v="-0.23595167598207639"/>
  </r>
  <r>
    <s v="ORD-2025-667201"/>
    <s v="667201"/>
    <x v="2"/>
    <d v="2023-01-29T00:00:00"/>
    <n v="31"/>
    <d v="2025-09-15T00:00:00"/>
    <s v="Sept-2025"/>
    <x v="11"/>
    <s v="Q3-2025"/>
    <n v="3"/>
    <n v="3"/>
    <n v="1"/>
    <d v="2025-09-18T00:00:00"/>
    <d v="2025-09-18T00:00:00"/>
    <x v="3"/>
    <x v="9"/>
    <s v="Rio de Janeiro"/>
    <s v="Non-Profit"/>
    <x v="0"/>
    <x v="4"/>
    <x v="0"/>
    <s v="ACC-6777"/>
    <n v="5.5"/>
    <n v="6.0500000000000007"/>
    <n v="5.92"/>
    <s v="Low"/>
    <n v="0.21199999999999999"/>
    <n v="0.1"/>
    <s v=""/>
    <n v="4"/>
    <n v="4.8"/>
    <n v="22"/>
    <n v="1331102.9440700002"/>
    <n v="1029930.0709200001"/>
    <n v="0.77374186234677733"/>
    <s v="A"/>
    <n v="29.040000000000003"/>
    <n v="25.574400000000001"/>
    <n v="18.659839999999999"/>
    <n v="-3.3401600000000009"/>
    <n v="-3.465600000000002"/>
    <n v="-0.17900260666758133"/>
  </r>
  <r>
    <s v="ORD-2023-144816"/>
    <s v="144816"/>
    <x v="0"/>
    <d v="2023-01-07T00:00:00"/>
    <n v="4"/>
    <d v="2023-05-07T00:00:00"/>
    <s v="May-2023"/>
    <x v="5"/>
    <s v="Q2-2023"/>
    <n v="22"/>
    <n v="22"/>
    <n v="0"/>
    <d v="2023-05-29T00:00:00"/>
    <d v="2023-05-29T00:00:00"/>
    <x v="0"/>
    <x v="6"/>
    <s v="Durban"/>
    <s v="Education"/>
    <x v="2"/>
    <x v="11"/>
    <x v="0"/>
    <s v="ACC-2364"/>
    <n v="653.86"/>
    <n v="719.24600000000009"/>
    <n v="931.84"/>
    <s v="Medium"/>
    <n v="0.121"/>
    <n v="0.1"/>
    <s v=""/>
    <n v="12"/>
    <n v="14.399999999999999"/>
    <n v="7846.32"/>
    <n v="1331102.9440700002"/>
    <n v="1039759.11924"/>
    <n v="0.78112600071397709"/>
    <s v="A"/>
    <n v="10357.142400000001"/>
    <n v="12076.6464"/>
    <n v="9829.0483199999999"/>
    <n v="1982.7283200000002"/>
    <n v="1719.503999999999"/>
    <n v="0.20172129136506273"/>
  </r>
  <r>
    <s v="ORD-2023-704111"/>
    <s v="704111"/>
    <x v="0"/>
    <d v="2023-01-07T00:00:00"/>
    <n v="4"/>
    <d v="2023-05-17T00:00:00"/>
    <s v="May-2023"/>
    <x v="5"/>
    <s v="Q2-2023"/>
    <n v="29"/>
    <n v="29"/>
    <n v="0"/>
    <d v="2023-06-15T00:00:00"/>
    <d v="2023-06-15T00:00:00"/>
    <x v="0"/>
    <x v="6"/>
    <s v="Durban"/>
    <s v="Enterprise"/>
    <x v="1"/>
    <x v="11"/>
    <x v="0"/>
    <s v="ACC-5206"/>
    <n v="40.89"/>
    <n v="44.979000000000006"/>
    <n v="62.82"/>
    <s v="Low"/>
    <n v="0.129"/>
    <n v="0.1"/>
    <s v=""/>
    <n v="17"/>
    <n v="20.399999999999999"/>
    <n v="695.13"/>
    <n v="1331102.9440700002"/>
    <n v="1040689.29498"/>
    <n v="0.78182480146725009"/>
    <s v="A"/>
    <n v="917.5716000000001"/>
    <n v="1153.3751999999999"/>
    <n v="930.17574000000002"/>
    <n v="235.04574000000002"/>
    <n v="235.80359999999985"/>
    <n v="0.25268960465470752"/>
  </r>
  <r>
    <s v="ORD-2023-868460"/>
    <s v="868460"/>
    <x v="0"/>
    <d v="2023-01-29T00:00:00"/>
    <n v="4"/>
    <d v="2023-06-01T00:00:00"/>
    <s v="Jun-2023"/>
    <x v="6"/>
    <s v="Q2-2023"/>
    <n v="0"/>
    <n v="0"/>
    <n v="1"/>
    <d v="2023-06-01T00:00:00"/>
    <d v="2023-06-01T00:00:00"/>
    <x v="1"/>
    <x v="1"/>
    <s v="Bengaluru"/>
    <s v="Corporate"/>
    <x v="1"/>
    <x v="12"/>
    <x v="0"/>
    <s v="ACC-4587"/>
    <n v="669.37"/>
    <n v="736.30700000000002"/>
    <n v="997.2"/>
    <s v="Medium"/>
    <n v="8.2000000000000003E-2"/>
    <n v="8.2000000000000003E-2"/>
    <s v=""/>
    <n v="5"/>
    <n v="6"/>
    <n v="3346.85"/>
    <n v="1331102.9440700002"/>
    <n v="1045266.4429800001"/>
    <n v="0.78526341455152804"/>
    <s v="A"/>
    <n v="4417.8420000000006"/>
    <n v="5492.5776000000005"/>
    <n v="4577.1480000000001"/>
    <n v="1230.2980000000002"/>
    <n v="1074.7356"/>
    <n v="0.26879139586484863"/>
  </r>
  <r>
    <s v="ORD-2023-521280"/>
    <s v="521280"/>
    <x v="0"/>
    <d v="2023-01-22T00:00:00"/>
    <n v="4"/>
    <d v="2023-05-27T00:00:00"/>
    <s v="May-2023"/>
    <x v="5"/>
    <s v="Q2-2023"/>
    <n v="23"/>
    <n v="23"/>
    <n v="0"/>
    <d v="2023-06-19T00:00:00"/>
    <d v="2023-06-19T00:00:00"/>
    <x v="2"/>
    <x v="7"/>
    <s v="Berlin"/>
    <s v="Education"/>
    <x v="1"/>
    <x v="7"/>
    <x v="0"/>
    <s v="ACC-1882"/>
    <n v="1471.58"/>
    <n v="1618.7380000000001"/>
    <n v="2576.65"/>
    <s v="High"/>
    <n v="4.0000000000000001E-3"/>
    <n v="4.0000000000000001E-3"/>
    <s v=""/>
    <n v="7"/>
    <n v="8.4"/>
    <n v="10301.06"/>
    <n v="1331102.9440700002"/>
    <n v="1063230.84678"/>
    <n v="0.79875929319865335"/>
    <s v="A"/>
    <n v="13597.399200000002"/>
    <n v="21557.28456"/>
    <n v="17964.4038"/>
    <n v="7663.3438000000006"/>
    <n v="7959.8853599999984"/>
    <n v="0.4265849223451546"/>
  </r>
  <r>
    <s v="ORD-2023-173313"/>
    <s v="173313"/>
    <x v="0"/>
    <d v="2023-01-19T00:00:00"/>
    <n v="4"/>
    <d v="2023-06-15T00:00:00"/>
    <s v="Jun-2023"/>
    <x v="6"/>
    <s v="Q2-2023"/>
    <n v="27"/>
    <n v="27"/>
    <n v="0"/>
    <d v="2023-07-12T00:00:00"/>
    <d v="2023-07-12T00:00:00"/>
    <x v="2"/>
    <x v="2"/>
    <s v="Manchester"/>
    <s v="Consumer"/>
    <x v="0"/>
    <x v="13"/>
    <x v="0"/>
    <s v="ACC-3833"/>
    <n v="751.28"/>
    <n v="826.40800000000002"/>
    <n v="1111.8800000000001"/>
    <s v="Medium"/>
    <n v="0.13500000000000001"/>
    <n v="0.1"/>
    <s v=""/>
    <n v="7"/>
    <n v="8.4"/>
    <n v="5258.96"/>
    <n v="1331102.9440700002"/>
    <n v="1069963.28018"/>
    <n v="0.80381707887179965"/>
    <s v="B"/>
    <n v="6941.8272000000006"/>
    <n v="8405.8128000000015"/>
    <n v="6732.4334000000008"/>
    <n v="1473.4734000000008"/>
    <n v="1463.9856000000009"/>
    <n v="0.21886193482433863"/>
  </r>
  <r>
    <s v="ORD-2023-479747"/>
    <s v="479747"/>
    <x v="0"/>
    <d v="2023-01-15T00:00:00"/>
    <n v="5"/>
    <d v="2023-07-14T00:00:00"/>
    <s v="Jul-2023"/>
    <x v="7"/>
    <s v="Q3-2023"/>
    <n v="0"/>
    <n v="0"/>
    <n v="1"/>
    <d v="2023-07-14T00:00:00"/>
    <d v="2023-07-14T00:00:00"/>
    <x v="0"/>
    <x v="0"/>
    <s v="Lagos"/>
    <s v="Education"/>
    <x v="1"/>
    <x v="13"/>
    <x v="0"/>
    <s v="ACC-5334"/>
    <n v="956.38"/>
    <n v="1052.018"/>
    <n v="1454.22"/>
    <s v="Medium"/>
    <n v="3.9E-2"/>
    <n v="3.9E-2"/>
    <s v=""/>
    <n v="19"/>
    <n v="22.8"/>
    <n v="18171.22"/>
    <n v="1331102.9440700002"/>
    <n v="1096515.88316"/>
    <n v="0.82376489966078559"/>
    <s v="B"/>
    <n v="23986.010400000003"/>
    <n v="31863.123575999998"/>
    <n v="26552.60298"/>
    <n v="8381.3829799999985"/>
    <n v="7877.1131759999953"/>
    <n v="0.31565202802576603"/>
  </r>
  <r>
    <s v="ORD-2023-890605"/>
    <s v="890605"/>
    <x v="0"/>
    <d v="2023-01-02T00:00:00"/>
    <n v="5"/>
    <d v="2023-06-24T00:00:00"/>
    <s v="Jun-2023"/>
    <x v="6"/>
    <s v="Q2-2023"/>
    <n v="-2"/>
    <n v="15"/>
    <n v="0"/>
    <d v="2023-06-22T00:00:00"/>
    <d v="2023-07-09T00:00:00"/>
    <x v="3"/>
    <x v="10"/>
    <s v="Toronto"/>
    <s v="Non-Profit"/>
    <x v="1"/>
    <x v="6"/>
    <x v="0"/>
    <s v="ACC-2903"/>
    <n v="471.42"/>
    <n v="518.56200000000001"/>
    <n v="824.81"/>
    <s v="Medium"/>
    <n v="8.7999999999999995E-2"/>
    <n v="8.7999999999999995E-2"/>
    <s v=""/>
    <n v="15"/>
    <n v="18"/>
    <n v="7071.3"/>
    <n v="1331102.9440700002"/>
    <n v="1107799.2839599999"/>
    <n v="0.83224163006715046"/>
    <s v="B"/>
    <n v="9334.116"/>
    <n v="13540.080959999999"/>
    <n v="11283.400799999999"/>
    <n v="4212.1007999999993"/>
    <n v="4205.9649599999993"/>
    <n v="0.37330064531608231"/>
  </r>
  <r>
    <s v="ORD-2023-399631"/>
    <s v="399631"/>
    <x v="0"/>
    <d v="2023-01-10T00:00:00"/>
    <n v="5"/>
    <d v="2023-06-22T00:00:00"/>
    <s v="Jun-2023"/>
    <x v="6"/>
    <s v="Q2-2023"/>
    <n v="29"/>
    <n v="29"/>
    <n v="0"/>
    <d v="2023-07-21T00:00:00"/>
    <d v="2023-07-21T00:00:00"/>
    <x v="2"/>
    <x v="5"/>
    <s v="Lyon"/>
    <s v="Corporate"/>
    <x v="1"/>
    <x v="10"/>
    <x v="0"/>
    <s v="ACC-3385"/>
    <n v="734.34"/>
    <n v="807.77400000000011"/>
    <n v="887.9"/>
    <s v="Medium"/>
    <n v="2.5000000000000001E-2"/>
    <n v="2.5000000000000001E-2"/>
    <s v=""/>
    <n v="12"/>
    <n v="14.399999999999999"/>
    <n v="8812.08"/>
    <n v="1331102.9440700002"/>
    <n v="1118187.7139599998"/>
    <n v="0.84004600766715487"/>
    <s v="B"/>
    <n v="11631.945600000001"/>
    <n v="12466.115999999998"/>
    <n v="10388.429999999998"/>
    <n v="1576.3499999999985"/>
    <n v="834.17039999999724"/>
    <n v="0.15174092716608753"/>
  </r>
  <r>
    <s v="ORD-2023-261081"/>
    <s v="261081"/>
    <x v="0"/>
    <d v="2023-01-20T00:00:00"/>
    <n v="6"/>
    <d v="2023-07-24T00:00:00"/>
    <s v="Jul-2023"/>
    <x v="7"/>
    <s v="Q3-2023"/>
    <n v="26"/>
    <n v="26"/>
    <n v="0"/>
    <d v="2023-08-19T00:00:00"/>
    <d v="2023-08-19T00:00:00"/>
    <x v="0"/>
    <x v="8"/>
    <s v="Nairobi"/>
    <s v="Enterprise"/>
    <x v="2"/>
    <x v="6"/>
    <x v="0"/>
    <s v="ACC-1238"/>
    <n v="661.45"/>
    <n v="727.59500000000014"/>
    <n v="1634.86"/>
    <s v="Medium"/>
    <n v="0.56499999999999995"/>
    <n v="0.1"/>
    <s v="&gt;0.3"/>
    <n v="24"/>
    <n v="28.799999999999997"/>
    <n v="15874.800000000001"/>
    <n v="1331102.9440700002"/>
    <n v="1135255.6523599999"/>
    <n v="0.8528684106796619"/>
    <s v="B"/>
    <n v="20954.736000000001"/>
    <n v="42375.571199999998"/>
    <n v="17067.938400000003"/>
    <n v="1193.1384000000016"/>
    <n v="21420.835199999998"/>
    <n v="6.9905244092045793E-2"/>
  </r>
  <r>
    <s v="ORD-2023-660608"/>
    <s v="660608"/>
    <x v="0"/>
    <d v="2023-01-15T00:00:00"/>
    <n v="6"/>
    <d v="2023-07-25T00:00:00"/>
    <s v="Jul-2023"/>
    <x v="7"/>
    <s v="Q3-2023"/>
    <n v="16"/>
    <n v="16"/>
    <n v="0"/>
    <d v="2023-08-10T00:00:00"/>
    <d v="2023-08-10T00:00:00"/>
    <x v="0"/>
    <x v="0"/>
    <s v="Port Harcourt"/>
    <s v="Corporate"/>
    <x v="2"/>
    <x v="13"/>
    <x v="0"/>
    <s v="ACC-8178"/>
    <n v="506.83"/>
    <n v="557.51300000000003"/>
    <n v="441.74"/>
    <s v="Low"/>
    <n v="0.24"/>
    <n v="0.1"/>
    <s v=""/>
    <n v="9"/>
    <n v="10.799999999999999"/>
    <n v="4561.47"/>
    <n v="1331102.9440700002"/>
    <n v="1138277.15396"/>
    <n v="0.85513833398909544"/>
    <s v="B"/>
    <n v="6021.1403999999993"/>
    <n v="4293.7127999999993"/>
    <n v="3021.5016000000001"/>
    <n v="-1539.9684000000002"/>
    <n v="-1727.4276"/>
    <n v="-0.50966989393618067"/>
  </r>
  <r>
    <s v="ORD-2023-621393"/>
    <s v="621393"/>
    <x v="0"/>
    <d v="2023-01-07T00:00:00"/>
    <n v="6"/>
    <d v="2023-07-07T00:00:00"/>
    <s v="Jul-2023"/>
    <x v="7"/>
    <s v="Q3-2023"/>
    <n v="6"/>
    <n v="6"/>
    <n v="1"/>
    <d v="2023-07-13T00:00:00"/>
    <d v="2023-07-13T00:00:00"/>
    <x v="0"/>
    <x v="6"/>
    <s v="Cape Town"/>
    <s v="Small Business"/>
    <x v="3"/>
    <x v="1"/>
    <x v="0"/>
    <s v="ACC-9445"/>
    <n v="612.59"/>
    <n v="673.84900000000005"/>
    <n v="1424.74"/>
    <s v="Medium"/>
    <n v="4.3999999999999997E-2"/>
    <n v="4.3999999999999997E-2"/>
    <s v=""/>
    <n v="15"/>
    <n v="18"/>
    <n v="9188.85"/>
    <n v="1331102.9440700002"/>
    <n v="1158707.9255600001"/>
    <n v="0.87048708796114405"/>
    <s v="B"/>
    <n v="12129.282000000001"/>
    <n v="24516.925919999998"/>
    <n v="20430.771599999996"/>
    <n v="11241.921599999996"/>
    <n v="12387.643919999997"/>
    <n v="0.55024459281802152"/>
  </r>
  <r>
    <s v="ORD-2023-253245"/>
    <s v="253245"/>
    <x v="0"/>
    <d v="2023-01-29T00:00:00"/>
    <n v="6"/>
    <d v="2023-08-03T00:00:00"/>
    <s v="Aug-2023"/>
    <x v="8"/>
    <s v="Q3-2023"/>
    <n v="11"/>
    <n v="11"/>
    <n v="0"/>
    <d v="2023-08-14T00:00:00"/>
    <d v="2023-08-14T00:00:00"/>
    <x v="3"/>
    <x v="9"/>
    <s v="Brasília"/>
    <s v="Corporate"/>
    <x v="0"/>
    <x v="10"/>
    <x v="0"/>
    <s v="ACC-3951"/>
    <n v="232.73"/>
    <n v="256.00299999999999"/>
    <n v="334.19"/>
    <s v="Low"/>
    <n v="0.13400000000000001"/>
    <n v="0.1"/>
    <s v=""/>
    <n v="25"/>
    <n v="30"/>
    <n v="5818.25"/>
    <n v="1331102.9440700002"/>
    <n v="1165943.1390600002"/>
    <n v="0.87592259055110722"/>
    <s v="B"/>
    <n v="7680.0899999999992"/>
    <n v="9023.130000000001"/>
    <n v="7235.2134999999998"/>
    <n v="1416.9634999999998"/>
    <n v="1343.0400000000018"/>
    <n v="0.1958426658729559"/>
  </r>
  <r>
    <s v="ORD-2023-912395"/>
    <s v="912395"/>
    <x v="0"/>
    <d v="2023-01-13T00:00:00"/>
    <n v="6"/>
    <d v="2023-07-26T00:00:00"/>
    <s v="Jul-2023"/>
    <x v="7"/>
    <s v="Q3-2023"/>
    <n v="30"/>
    <n v="30"/>
    <n v="0"/>
    <d v="2023-08-25T00:00:00"/>
    <d v="2023-08-25T00:00:00"/>
    <x v="3"/>
    <x v="11"/>
    <s v="New York"/>
    <s v="Consumer"/>
    <x v="1"/>
    <x v="6"/>
    <x v="0"/>
    <s v="ACC-7078"/>
    <n v="1261.48"/>
    <n v="1387.6280000000002"/>
    <n v="1643.18"/>
    <s v="High"/>
    <n v="0.151"/>
    <n v="0.1"/>
    <s v=""/>
    <n v="23"/>
    <n v="27.599999999999998"/>
    <n v="29014.04"/>
    <n v="1331102.9440700002"/>
    <n v="1198029.5149200002"/>
    <n v="0.90002769527117665"/>
    <s v="B"/>
    <n v="38298.532800000001"/>
    <n v="40816.591199999995"/>
    <n v="32086.37586"/>
    <n v="3072.3358599999992"/>
    <n v="2518.0583999999944"/>
    <n v="9.5752037357079045E-2"/>
  </r>
  <r>
    <s v="ORD-2023-755337"/>
    <s v="755337"/>
    <x v="0"/>
    <d v="2023-01-20T00:00:00"/>
    <n v="7"/>
    <d v="2023-09-08T00:00:00"/>
    <s v="Sept-2023"/>
    <x v="11"/>
    <s v="Q3-2023"/>
    <n v="6"/>
    <n v="6"/>
    <n v="1"/>
    <d v="2023-09-14T00:00:00"/>
    <d v="2023-09-14T00:00:00"/>
    <x v="0"/>
    <x v="8"/>
    <s v="Nakuru"/>
    <s v="Education"/>
    <x v="0"/>
    <x v="13"/>
    <x v="0"/>
    <s v="ACC-4766"/>
    <n v="251.03"/>
    <n v="276.13300000000004"/>
    <n v="411.48"/>
    <s v="Low"/>
    <n v="0.16500000000000001"/>
    <n v="0.1"/>
    <s v=""/>
    <n v="3"/>
    <n v="3.5999999999999996"/>
    <n v="753.09"/>
    <n v="1331102.9440700002"/>
    <n v="1199060.2723200002"/>
    <n v="0.90080205867003471"/>
    <s v="B"/>
    <n v="994.0788"/>
    <n v="1333.1952000000001"/>
    <n v="1030.7574"/>
    <n v="277.66739999999993"/>
    <n v="339.11640000000011"/>
    <n v="0.26938191275658069"/>
  </r>
  <r>
    <s v="ORD-2023-944052"/>
    <s v="944052"/>
    <x v="0"/>
    <d v="2023-01-29T00:00:00"/>
    <n v="7"/>
    <d v="2023-08-30T00:00:00"/>
    <s v="Aug-2023"/>
    <x v="8"/>
    <s v="Q3-2023"/>
    <n v="4"/>
    <n v="4"/>
    <n v="1"/>
    <d v="2023-09-03T00:00:00"/>
    <d v="2023-09-03T00:00:00"/>
    <x v="1"/>
    <x v="1"/>
    <s v="Delhi"/>
    <s v="Small Business"/>
    <x v="3"/>
    <x v="4"/>
    <x v="0"/>
    <s v="ACC-3068"/>
    <n v="1082.25"/>
    <n v="1190.4750000000001"/>
    <n v="2433.34"/>
    <s v="High"/>
    <n v="0.27"/>
    <n v="0.1"/>
    <s v=""/>
    <n v="4"/>
    <n v="4.8"/>
    <n v="4329"/>
    <n v="1331102.9440700002"/>
    <n v="1206165.6251200002"/>
    <n v="0.90614000253955584"/>
    <s v="B"/>
    <n v="5714.2800000000007"/>
    <n v="10512.028800000002"/>
    <n v="7105.3528000000006"/>
    <n v="2776.3528000000006"/>
    <n v="4797.7488000000012"/>
    <n v="0.3907410199251472"/>
  </r>
  <r>
    <s v="ORD-2023-842820"/>
    <s v="842820"/>
    <x v="0"/>
    <d v="2023-01-29T00:00:00"/>
    <n v="7"/>
    <d v="2023-09-20T00:00:00"/>
    <s v="Sept-2023"/>
    <x v="11"/>
    <s v="Q3-2023"/>
    <n v="8"/>
    <n v="8"/>
    <n v="0"/>
    <d v="2023-09-28T00:00:00"/>
    <d v="2023-09-28T00:00:00"/>
    <x v="1"/>
    <x v="1"/>
    <s v="Delhi"/>
    <s v="Corporate"/>
    <x v="3"/>
    <x v="1"/>
    <x v="0"/>
    <s v="ACC-1375"/>
    <n v="1362.06"/>
    <n v="1498.2660000000001"/>
    <n v="3398.37"/>
    <s v="High"/>
    <n v="0.157"/>
    <n v="0.1"/>
    <s v=""/>
    <n v="11"/>
    <n v="13.2"/>
    <n v="14982.66"/>
    <n v="1331102.9440700002"/>
    <n v="1237678.7101300003"/>
    <n v="0.92981441866972014"/>
    <s v="B"/>
    <n v="19777.111199999999"/>
    <n v="40372.635600000001"/>
    <n v="31513.085009999999"/>
    <n v="16530.425009999999"/>
    <n v="20595.524400000002"/>
    <n v="0.52455749745714919"/>
  </r>
  <r>
    <s v="ORD-2023-375011"/>
    <s v="375011"/>
    <x v="0"/>
    <d v="2023-01-19T00:00:00"/>
    <n v="7"/>
    <d v="2023-08-23T00:00:00"/>
    <s v="Aug-2023"/>
    <x v="8"/>
    <s v="Q3-2023"/>
    <n v="30"/>
    <n v="30"/>
    <n v="0"/>
    <d v="2023-09-22T00:00:00"/>
    <d v="2023-09-22T00:00:00"/>
    <x v="2"/>
    <x v="2"/>
    <s v="London"/>
    <s v="Consumer"/>
    <x v="2"/>
    <x v="7"/>
    <x v="0"/>
    <s v="ACC-1492"/>
    <n v="209.81"/>
    <n v="230.79100000000003"/>
    <n v="523"/>
    <s v="Low"/>
    <n v="5.8999999999999997E-2"/>
    <n v="5.8999999999999997E-2"/>
    <s v=""/>
    <n v="15"/>
    <n v="18"/>
    <n v="3147.15"/>
    <n v="1331102.9440700002"/>
    <n v="1245060.8551300003"/>
    <n v="0.93536030453293395"/>
    <s v="B"/>
    <n v="4154.2380000000003"/>
    <n v="8858.5740000000005"/>
    <n v="7382.1450000000004"/>
    <n v="4234.9950000000008"/>
    <n v="4704.3360000000002"/>
    <n v="0.57368082041195356"/>
  </r>
  <r>
    <s v="ORD-2023-888140"/>
    <s v="888140"/>
    <x v="0"/>
    <d v="2023-01-29T00:00:00"/>
    <n v="8"/>
    <d v="2023-10-11T00:00:00"/>
    <s v="Oct-2023"/>
    <x v="9"/>
    <s v="Q4-2023"/>
    <n v="2"/>
    <n v="2"/>
    <n v="1"/>
    <d v="2023-10-13T00:00:00"/>
    <d v="2023-10-13T00:00:00"/>
    <x v="3"/>
    <x v="9"/>
    <s v="Brasília"/>
    <s v="Consumer"/>
    <x v="2"/>
    <x v="4"/>
    <x v="0"/>
    <s v="ACC-3567"/>
    <n v="715.94"/>
    <n v="787.53400000000011"/>
    <n v="550.07000000000005"/>
    <s v="Low"/>
    <n v="0.14000000000000001"/>
    <n v="0.1"/>
    <s v=""/>
    <n v="16"/>
    <n v="19.2"/>
    <n v="11455.04"/>
    <n v="1331102.9440700002"/>
    <n v="1252629.8183300004"/>
    <n v="0.94104653881986078"/>
    <s v="B"/>
    <n v="15120.652800000002"/>
    <n v="9505.209600000002"/>
    <n v="7568.9632000000001"/>
    <n v="-3886.0768000000007"/>
    <n v="-5615.4431999999997"/>
    <n v="-0.51342260456491595"/>
  </r>
  <r>
    <s v="ORD-2023-406606"/>
    <s v="406606"/>
    <x v="0"/>
    <d v="2023-01-29T00:00:00"/>
    <n v="8"/>
    <d v="2023-10-25T00:00:00"/>
    <s v="Oct-2023"/>
    <x v="9"/>
    <s v="Q4-2023"/>
    <n v="3"/>
    <n v="3"/>
    <n v="1"/>
    <d v="2023-10-28T00:00:00"/>
    <d v="2023-10-28T00:00:00"/>
    <x v="3"/>
    <x v="9"/>
    <s v="Brasília"/>
    <s v="Corporate"/>
    <x v="2"/>
    <x v="4"/>
    <x v="0"/>
    <s v="ACC-2867"/>
    <n v="509.31"/>
    <n v="560.2410000000001"/>
    <n v="1145.9000000000001"/>
    <s v="Medium"/>
    <n v="5.7000000000000002E-2"/>
    <n v="5.7000000000000002E-2"/>
    <s v=""/>
    <n v="8"/>
    <n v="9.6"/>
    <n v="4074.48"/>
    <n v="1331102.9440700002"/>
    <n v="1261274.4879300003"/>
    <n v="0.94754090474288089"/>
    <s v="B"/>
    <n v="5378.3136000000004"/>
    <n v="10373.603520000001"/>
    <n v="8644.6696000000011"/>
    <n v="4570.1896000000015"/>
    <n v="4995.2899200000002"/>
    <n v="0.52867140231709964"/>
  </r>
  <r>
    <s v="ORD-2023-488227"/>
    <s v="488227"/>
    <x v="0"/>
    <d v="2023-01-02T00:00:00"/>
    <n v="8"/>
    <d v="2023-09-08T00:00:00"/>
    <s v="Sept-2023"/>
    <x v="11"/>
    <s v="Q3-2023"/>
    <n v="24"/>
    <n v="24"/>
    <n v="0"/>
    <d v="2023-10-02T00:00:00"/>
    <d v="2023-10-02T00:00:00"/>
    <x v="3"/>
    <x v="10"/>
    <s v="Toronto"/>
    <s v="Education"/>
    <x v="0"/>
    <x v="3"/>
    <x v="0"/>
    <s v="ACC-3415"/>
    <n v="1299.03"/>
    <n v="1428.933"/>
    <n v="2451.2199999999998"/>
    <s v="High"/>
    <n v="0.20799999999999999"/>
    <n v="0.1"/>
    <s v=""/>
    <n v="8"/>
    <n v="9.6"/>
    <n v="10392.24"/>
    <n v="1331102.9440700002"/>
    <n v="1276805.4178500003"/>
    <n v="0.95920861984274564"/>
    <s v="C"/>
    <n v="13717.756799999999"/>
    <n v="21178.540799999995"/>
    <n v="15530.929919999999"/>
    <n v="5138.6899199999989"/>
    <n v="7460.783999999996"/>
    <n v="0.3308681416032041"/>
  </r>
  <r>
    <s v="ORD-2023-271918"/>
    <s v="271918"/>
    <x v="0"/>
    <d v="2023-01-13T00:00:00"/>
    <n v="8"/>
    <d v="2023-09-25T00:00:00"/>
    <s v="Sept-2023"/>
    <x v="11"/>
    <s v="Q3-2023"/>
    <n v="7"/>
    <n v="7"/>
    <n v="1"/>
    <d v="2023-10-02T00:00:00"/>
    <d v="2023-10-02T00:00:00"/>
    <x v="3"/>
    <x v="11"/>
    <s v="New York"/>
    <s v="Education"/>
    <x v="3"/>
    <x v="13"/>
    <x v="0"/>
    <s v="ACC-3551"/>
    <n v="145.58000000000001"/>
    <n v="160.13800000000003"/>
    <n v="228.15"/>
    <s v="Low"/>
    <n v="0.20399999999999999"/>
    <n v="0.1"/>
    <s v=""/>
    <n v="5"/>
    <n v="6"/>
    <n v="727.90000000000009"/>
    <n v="1331102.9440700002"/>
    <n v="1277713.4548500003"/>
    <n v="0.9598907887193493"/>
    <s v="C"/>
    <n v="960.8280000000002"/>
    <n v="1232.0100000000002"/>
    <n v="908.03700000000003"/>
    <n v="180.13699999999994"/>
    <n v="271.18200000000002"/>
    <n v="0.19838068272548359"/>
  </r>
  <r>
    <s v="ORD-2023-302041"/>
    <s v="302041"/>
    <x v="0"/>
    <d v="2023-01-13T00:00:00"/>
    <n v="8"/>
    <d v="2023-10-04T00:00:00"/>
    <s v="Oct-2023"/>
    <x v="9"/>
    <s v="Q4-2023"/>
    <n v="25"/>
    <n v="25"/>
    <n v="0"/>
    <d v="2023-10-29T00:00:00"/>
    <d v="2023-10-29T00:00:00"/>
    <x v="3"/>
    <x v="11"/>
    <s v="San Francisco"/>
    <s v="Small Business"/>
    <x v="2"/>
    <x v="7"/>
    <x v="0"/>
    <s v="ACC-5079"/>
    <n v="1239.8399999999999"/>
    <n v="1363.8240000000001"/>
    <n v="1482.75"/>
    <s v="Medium"/>
    <n v="6.7000000000000004E-2"/>
    <n v="6.7000000000000004E-2"/>
    <s v=""/>
    <n v="4"/>
    <n v="4.8"/>
    <n v="4959.3599999999997"/>
    <n v="1331102.9440700002"/>
    <n v="1283247.0778500002"/>
    <n v="0.96404796005207893"/>
    <s v="C"/>
    <n v="6546.3552"/>
    <n v="6640.3476000000001"/>
    <n v="5533.6230000000005"/>
    <n v="574.26300000000083"/>
    <n v="93.992400000000089"/>
    <n v="0.10377703721413634"/>
  </r>
  <r>
    <s v="ORD-2023-842488"/>
    <s v="842488"/>
    <x v="0"/>
    <d v="2023-01-20T00:00:00"/>
    <n v="9"/>
    <d v="2023-10-31T00:00:00"/>
    <s v="Oct-2023"/>
    <x v="9"/>
    <s v="Q4-2023"/>
    <n v="2"/>
    <n v="2"/>
    <n v="1"/>
    <d v="2023-11-02T00:00:00"/>
    <d v="2023-11-02T00:00:00"/>
    <x v="0"/>
    <x v="8"/>
    <s v="Kisumu"/>
    <s v="Education"/>
    <x v="1"/>
    <x v="7"/>
    <x v="0"/>
    <s v="ACC-4124"/>
    <n v="867.89"/>
    <n v="954.67900000000009"/>
    <n v="1349.94"/>
    <s v="Medium"/>
    <n v="0.184"/>
    <n v="0.1"/>
    <s v=""/>
    <n v="10"/>
    <n v="12"/>
    <n v="8678.9"/>
    <n v="1331102.9440700002"/>
    <n v="1294262.5882500003"/>
    <n v="0.97232343600160909"/>
    <s v="C"/>
    <n v="11456.148000000001"/>
    <n v="14579.352000000001"/>
    <n v="11015.510400000003"/>
    <n v="2336.6104000000032"/>
    <n v="3123.2039999999997"/>
    <n v="0.21212003031652557"/>
  </r>
  <r>
    <s v="ORD-2023-653343"/>
    <s v="653343"/>
    <x v="0"/>
    <d v="2023-01-29T00:00:00"/>
    <n v="9"/>
    <d v="2023-11-10T00:00:00"/>
    <s v="Nov-2023"/>
    <x v="10"/>
    <s v="Q4-2023"/>
    <n v="18"/>
    <n v="18"/>
    <n v="0"/>
    <d v="2023-11-28T00:00:00"/>
    <d v="2023-11-28T00:00:00"/>
    <x v="3"/>
    <x v="9"/>
    <s v="Brasília"/>
    <s v="Education"/>
    <x v="3"/>
    <x v="4"/>
    <x v="0"/>
    <s v="ACC-5260"/>
    <n v="388.51"/>
    <n v="427.36100000000005"/>
    <n v="776.46"/>
    <s v="Low"/>
    <n v="0.157"/>
    <n v="0.1"/>
    <s v=""/>
    <n v="12"/>
    <n v="14.399999999999999"/>
    <n v="4662.12"/>
    <n v="1331102.9440700002"/>
    <n v="1302117.2576100002"/>
    <n v="0.97822430895436763"/>
    <s v="C"/>
    <n v="6153.9984000000004"/>
    <n v="10062.9216"/>
    <n v="7854.6693599999999"/>
    <n v="3192.54936"/>
    <n v="3908.9231999999993"/>
    <n v="0.40645241876864946"/>
  </r>
  <r>
    <s v="ORD-2023-667815"/>
    <s v="667815"/>
    <x v="0"/>
    <d v="2023-01-19T00:00:00"/>
    <n v="9"/>
    <d v="2023-10-21T00:00:00"/>
    <s v="Oct-2023"/>
    <x v="9"/>
    <s v="Q4-2023"/>
    <n v="19"/>
    <n v="19"/>
    <n v="0"/>
    <d v="2023-11-09T00:00:00"/>
    <d v="2023-11-09T00:00:00"/>
    <x v="2"/>
    <x v="2"/>
    <s v="London"/>
    <s v="Non-Profit"/>
    <x v="0"/>
    <x v="3"/>
    <x v="0"/>
    <s v="ACC-8557"/>
    <n v="1142.48"/>
    <n v="1256.7280000000001"/>
    <n v="2105.5300000000002"/>
    <s v="High"/>
    <n v="0.20699999999999999"/>
    <n v="0.1"/>
    <s v=""/>
    <n v="14"/>
    <n v="16.8"/>
    <n v="15994.720000000001"/>
    <n v="1331102.9440700002"/>
    <n v="1325492.8516700002"/>
    <n v="0.99578538051846954"/>
    <s v="C"/>
    <n v="21113.030400000003"/>
    <n v="31835.613600000004"/>
    <n v="23375.594060000003"/>
    <n v="7380.8740600000019"/>
    <n v="10722.583200000001"/>
    <n v="0.31575129346680658"/>
  </r>
  <r>
    <s v="ORD-2023-181257"/>
    <s v="181257"/>
    <x v="0"/>
    <d v="2023-01-19T00:00:00"/>
    <n v="9"/>
    <d v="2023-11-15T00:00:00"/>
    <s v="Nov-2023"/>
    <x v="10"/>
    <s v="Q4-2023"/>
    <n v="21"/>
    <n v="21"/>
    <n v="0"/>
    <d v="2023-12-06T00:00:00"/>
    <d v="2023-12-06T00:00:00"/>
    <x v="2"/>
    <x v="2"/>
    <s v="Manchester"/>
    <s v="Education"/>
    <x v="0"/>
    <x v="8"/>
    <x v="0"/>
    <s v="ACC-1060"/>
    <n v="1184.99"/>
    <n v="1303.489"/>
    <n v="1154.3399999999999"/>
    <s v="Medium"/>
    <n v="2.8000000000000001E-2"/>
    <n v="2.8000000000000001E-2"/>
    <s v=""/>
    <n v="5"/>
    <n v="6"/>
    <n v="5924.95"/>
    <n v="1331102.9440700002"/>
    <n v="1331102.9440700002"/>
    <n v="1"/>
    <s v="C"/>
    <n v="7820.9340000000002"/>
    <n v="6732.1108799999993"/>
    <n v="5610.0923999999995"/>
    <n v="-314.85760000000028"/>
    <n v="-1088.8231200000009"/>
    <n v="-5.6123424990290764E-2"/>
  </r>
  <r>
    <s v="ORD-2023-271836"/>
    <s v="271836"/>
    <x v="0"/>
    <d v="2023-01-29T00:00:00"/>
    <n v="0"/>
    <d v="2023-02-07T00:00:00"/>
    <s v="Feb-2023"/>
    <x v="0"/>
    <s v="Q1-2023"/>
    <n v="5"/>
    <n v="5"/>
    <n v="1"/>
    <d v="2023-02-12T00:00:00"/>
    <d v="2023-02-12T00:00:00"/>
    <x v="3"/>
    <x v="9"/>
    <s v="São Paulo"/>
    <s v="Education"/>
    <x v="4"/>
    <x v="14"/>
    <x v="1"/>
    <s v="CMP-2693"/>
    <n v="948.55"/>
    <n v="1043.405"/>
    <n v="2089.16"/>
    <s v="High"/>
    <n v="7.0000000000000001E-3"/>
    <n v="7.0000000000000001E-3"/>
    <s v=""/>
    <n v="12"/>
    <n v="14.399999999999999"/>
    <n v="11382.599999999999"/>
    <n v="1545646.9975799995"/>
    <n v="24894.430559999997"/>
    <n v="1.6106155285765054E-2"/>
    <s v="A"/>
    <n v="15025.031999999997"/>
    <n v="29873.316671999994"/>
    <n v="24894.430559999997"/>
    <n v="13511.830559999999"/>
    <n v="14848.284671999996"/>
    <n v="0.54276519912492427"/>
  </r>
  <r>
    <s v="ORD-2023-286994"/>
    <s v="286994"/>
    <x v="0"/>
    <d v="2023-01-13T00:00:00"/>
    <n v="1"/>
    <d v="2023-02-24T00:00:00"/>
    <s v="Feb-2023"/>
    <x v="0"/>
    <s v="Q1-2023"/>
    <n v="13"/>
    <n v="13"/>
    <n v="0"/>
    <d v="2023-03-09T00:00:00"/>
    <d v="2023-03-09T00:00:00"/>
    <x v="3"/>
    <x v="11"/>
    <s v="New York"/>
    <s v="Enterprise"/>
    <x v="4"/>
    <x v="6"/>
    <x v="1"/>
    <s v="CMP-1632"/>
    <n v="6.85"/>
    <n v="7.5350000000000001"/>
    <n v="10.18"/>
    <s v="Low"/>
    <n v="4.7E-2"/>
    <n v="4.7E-2"/>
    <s v=""/>
    <n v="10"/>
    <n v="12"/>
    <n v="68.5"/>
    <n v="1545646.9975799995"/>
    <n v="24991.445959999997"/>
    <n v="1.6168922140132123E-2"/>
    <s v="A"/>
    <n v="90.42"/>
    <n v="116.41847999999999"/>
    <n v="97.0154"/>
    <n v="28.5154"/>
    <n v="25.998479999999986"/>
    <n v="0.2939265312517394"/>
  </r>
  <r>
    <s v="ORD-2023-752962"/>
    <s v="752962"/>
    <x v="0"/>
    <d v="2023-03-03T00:00:00"/>
    <n v="1"/>
    <d v="2023-04-21T00:00:00"/>
    <s v="Apr-2023"/>
    <x v="2"/>
    <s v="Q2-2023"/>
    <n v="-2"/>
    <n v="15"/>
    <n v="0"/>
    <d v="2023-04-19T00:00:00"/>
    <d v="2023-05-06T00:00:00"/>
    <x v="1"/>
    <x v="3"/>
    <s v="Nagoya"/>
    <s v="Small Business"/>
    <x v="0"/>
    <x v="6"/>
    <x v="1"/>
    <s v="CMP-8604"/>
    <n v="607.04"/>
    <n v="667.74400000000003"/>
    <n v="1229.3399999999999"/>
    <s v="Medium"/>
    <n v="0.14699999999999999"/>
    <n v="0.1"/>
    <s v=""/>
    <n v="7"/>
    <n v="8.4"/>
    <n v="4249.28"/>
    <n v="1545646.9975799995"/>
    <n v="32331.835099999997"/>
    <n v="2.0917994309581394E-2"/>
    <s v="A"/>
    <n v="5609.0496000000003"/>
    <n v="9293.8104000000003"/>
    <n v="7340.3891399999993"/>
    <n v="3091.1091399999996"/>
    <n v="3684.7608"/>
    <n v="0.42110970972310058"/>
  </r>
  <r>
    <s v="ORD-2023-799597"/>
    <s v="799597"/>
    <x v="0"/>
    <d v="2023-01-22T00:00:00"/>
    <n v="1"/>
    <d v="2023-03-14T00:00:00"/>
    <s v="Mar-2023"/>
    <x v="4"/>
    <s v="Q1-2023"/>
    <n v="4"/>
    <n v="4"/>
    <n v="1"/>
    <d v="2023-03-18T00:00:00"/>
    <d v="2023-03-18T00:00:00"/>
    <x v="2"/>
    <x v="7"/>
    <s v="Frankfurt"/>
    <s v="Enterprise"/>
    <x v="0"/>
    <x v="3"/>
    <x v="1"/>
    <s v="CMP-8675"/>
    <n v="472.33"/>
    <n v="519.56299999999999"/>
    <n v="360.34"/>
    <s v="Low"/>
    <n v="0.16500000000000001"/>
    <n v="0.1"/>
    <s v=""/>
    <n v="14"/>
    <n v="16.8"/>
    <n v="6612.62"/>
    <n v="1545646.9975799995"/>
    <n v="36544.209699999992"/>
    <n v="2.364330908494424E-2"/>
    <s v="A"/>
    <n v="8728.6584000000003"/>
    <n v="5448.3407999999999"/>
    <n v="4212.3745999999992"/>
    <n v="-2400.2454000000007"/>
    <n v="-3280.3176000000003"/>
    <n v="-0.56980815523861561"/>
  </r>
  <r>
    <s v="ORD-2023-249805"/>
    <s v="249805"/>
    <x v="0"/>
    <d v="2023-01-29T00:00:00"/>
    <n v="10"/>
    <d v="2023-12-22T00:00:00"/>
    <s v="Dec-2023"/>
    <x v="3"/>
    <s v="Q4-2023"/>
    <n v="25"/>
    <n v="25"/>
    <n v="0"/>
    <d v="2024-01-16T00:00:00"/>
    <d v="2024-01-16T00:00:00"/>
    <x v="1"/>
    <x v="1"/>
    <s v="Hyderabad"/>
    <s v="Small Business"/>
    <x v="1"/>
    <x v="3"/>
    <x v="1"/>
    <s v="CMP-1555"/>
    <n v="1346.81"/>
    <n v="1481.491"/>
    <n v="978.09"/>
    <s v="Medium"/>
    <n v="0.159"/>
    <n v="0.1"/>
    <s v=""/>
    <n v="17"/>
    <n v="20.399999999999999"/>
    <n v="22895.77"/>
    <n v="1545646.9975799995"/>
    <n v="50527.962429999992"/>
    <n v="3.2690493048613947E-2"/>
    <s v="A"/>
    <n v="30222.416399999998"/>
    <n v="17957.732400000001"/>
    <n v="13983.752729999998"/>
    <n v="-8912.0172700000021"/>
    <n v="-12264.683999999997"/>
    <n v="-0.6373122753293996"/>
  </r>
  <r>
    <s v="ORD-2023-961864"/>
    <s v="961864"/>
    <x v="0"/>
    <d v="2023-01-22T00:00:00"/>
    <n v="10"/>
    <d v="2023-12-07T00:00:00"/>
    <s v="Dec-2023"/>
    <x v="3"/>
    <s v="Q4-2023"/>
    <n v="26"/>
    <n v="26"/>
    <n v="0"/>
    <d v="2024-01-02T00:00:00"/>
    <d v="2024-01-02T00:00:00"/>
    <x v="2"/>
    <x v="7"/>
    <s v="Frankfurt"/>
    <s v="Enterprise"/>
    <x v="2"/>
    <x v="12"/>
    <x v="1"/>
    <s v="CMP-1940"/>
    <n v="1071.99"/>
    <n v="1179.1890000000001"/>
    <n v="2397.3000000000002"/>
    <s v="High"/>
    <n v="6.2E-2"/>
    <n v="6.2E-2"/>
    <s v=""/>
    <n v="18"/>
    <n v="21.599999999999998"/>
    <n v="19295.82"/>
    <n v="1545646.9975799995"/>
    <n v="91003.975630000001"/>
    <n v="5.8877593507756822E-2"/>
    <s v="A"/>
    <n v="25470.482400000001"/>
    <n v="48571.215839999997"/>
    <n v="40476.013200000001"/>
    <n v="21180.193200000002"/>
    <n v="23100.733439999996"/>
    <n v="0.52327765324476183"/>
  </r>
  <r>
    <s v="ORD-2023-208944"/>
    <s v="208944"/>
    <x v="0"/>
    <d v="2023-01-15T00:00:00"/>
    <n v="11"/>
    <d v="2023-12-21T00:00:00"/>
    <s v="Dec-2023"/>
    <x v="3"/>
    <s v="Q4-2023"/>
    <n v="16"/>
    <n v="16"/>
    <n v="0"/>
    <d v="2024-01-06T00:00:00"/>
    <d v="2024-01-06T00:00:00"/>
    <x v="0"/>
    <x v="0"/>
    <s v="Port Harcourt"/>
    <s v="Corporate"/>
    <x v="3"/>
    <x v="11"/>
    <x v="1"/>
    <s v="CMP-4792"/>
    <n v="932.61"/>
    <n v="1025.8710000000001"/>
    <n v="1982.98"/>
    <s v="High"/>
    <n v="0.14399999999999999"/>
    <n v="0.1"/>
    <s v=""/>
    <n v="16"/>
    <n v="19.2"/>
    <n v="14921.76"/>
    <n v="1545646.9975799995"/>
    <n v="118162.86971"/>
    <n v="7.6448807454099252E-2"/>
    <s v="A"/>
    <n v="19696.7232"/>
    <n v="34265.894400000005"/>
    <n v="27158.894079999998"/>
    <n v="12237.134079999998"/>
    <n v="14569.171200000004"/>
    <n v="0.45057556629345635"/>
  </r>
  <r>
    <s v="ORD-2023-841426"/>
    <s v="841426"/>
    <x v="0"/>
    <d v="2023-01-07T00:00:00"/>
    <n v="11"/>
    <d v="2023-12-22T00:00:00"/>
    <s v="Dec-2023"/>
    <x v="3"/>
    <s v="Q4-2023"/>
    <n v="1"/>
    <n v="1"/>
    <n v="1"/>
    <d v="2023-12-23T00:00:00"/>
    <d v="2023-12-23T00:00:00"/>
    <x v="0"/>
    <x v="6"/>
    <s v="Cape Town"/>
    <s v="Non-Profit"/>
    <x v="3"/>
    <x v="0"/>
    <x v="1"/>
    <s v="CMP-4531"/>
    <n v="1186.18"/>
    <n v="1304.7980000000002"/>
    <n v="1285.0899999999999"/>
    <s v="Medium"/>
    <n v="7.0000000000000007E-2"/>
    <n v="7.0000000000000007E-2"/>
    <s v=""/>
    <n v="11"/>
    <n v="13.2"/>
    <n v="13047.980000000001"/>
    <n v="1545646.9975799995"/>
    <n v="131309.34041"/>
    <n v="8.4954288149615934E-2"/>
    <s v="A"/>
    <n v="17223.333600000002"/>
    <n v="15775.764839999998"/>
    <n v="13146.470699999998"/>
    <n v="98.49069999999665"/>
    <n v="-1447.5687600000037"/>
    <n v="7.4917977796121861E-3"/>
  </r>
  <r>
    <s v="ORD-2024-153053"/>
    <s v="153053"/>
    <x v="1"/>
    <d v="2023-01-29T00:00:00"/>
    <n v="11"/>
    <d v="2024-01-12T00:00:00"/>
    <s v="Jan-2024"/>
    <x v="1"/>
    <s v="Q1-2024"/>
    <n v="17"/>
    <n v="17"/>
    <n v="0"/>
    <d v="2024-01-29T00:00:00"/>
    <d v="2024-01-29T00:00:00"/>
    <x v="1"/>
    <x v="1"/>
    <s v="Hyderabad"/>
    <s v="Small Business"/>
    <x v="0"/>
    <x v="1"/>
    <x v="1"/>
    <s v="CMP-5138"/>
    <n v="310.02"/>
    <n v="341.02199999999999"/>
    <n v="619.51"/>
    <s v="Low"/>
    <n v="4.2000000000000003E-2"/>
    <n v="4.2000000000000003E-2"/>
    <s v=""/>
    <n v="4"/>
    <n v="4.8"/>
    <n v="1240.08"/>
    <n v="1545646.9975799995"/>
    <n v="133683.30273"/>
    <n v="8.649019015293033E-2"/>
    <s v="A"/>
    <n v="1636.9055999999998"/>
    <n v="2848.7547839999997"/>
    <n v="2373.9623200000001"/>
    <n v="1133.8823200000002"/>
    <n v="1211.8491839999999"/>
    <n v="0.47763282106347843"/>
  </r>
  <r>
    <s v="ORD-2024-851883"/>
    <s v="851883"/>
    <x v="1"/>
    <d v="2023-01-29T00:00:00"/>
    <n v="11"/>
    <d v="2024-01-13T00:00:00"/>
    <s v="Jan-2024"/>
    <x v="1"/>
    <s v="Q1-2024"/>
    <n v="9"/>
    <n v="9"/>
    <n v="0"/>
    <d v="2024-01-22T00:00:00"/>
    <d v="2024-01-22T00:00:00"/>
    <x v="1"/>
    <x v="1"/>
    <s v="Mumbai"/>
    <s v="Enterprise"/>
    <x v="3"/>
    <x v="10"/>
    <x v="1"/>
    <s v="CMP-8141"/>
    <n v="313.60000000000002"/>
    <n v="344.96000000000004"/>
    <n v="334.28"/>
    <s v="Low"/>
    <n v="0.14000000000000001"/>
    <n v="0.1"/>
    <s v=""/>
    <n v="22"/>
    <n v="26.4"/>
    <n v="6899.2000000000007"/>
    <n v="1545646.9975799995"/>
    <n v="140007.88032999999"/>
    <n v="9.0582054343073551E-2"/>
    <s v="A"/>
    <n v="9106.9440000000013"/>
    <n v="7942.4927999999991"/>
    <n v="6324.5775999999996"/>
    <n v="-574.62240000000111"/>
    <n v="-1164.4512000000022"/>
    <n v="-9.0855458868905517E-2"/>
  </r>
  <r>
    <s v="ORD-2024-979401"/>
    <s v="979401"/>
    <x v="1"/>
    <d v="2023-01-20T00:00:00"/>
    <n v="12"/>
    <d v="2024-02-08T00:00:00"/>
    <s v="Feb-2024"/>
    <x v="0"/>
    <s v="Q1-2024"/>
    <n v="1"/>
    <n v="1"/>
    <n v="1"/>
    <d v="2024-02-09T00:00:00"/>
    <d v="2024-02-09T00:00:00"/>
    <x v="0"/>
    <x v="8"/>
    <s v="Mombasa"/>
    <s v="Corporate"/>
    <x v="0"/>
    <x v="5"/>
    <x v="1"/>
    <s v="CMP-5911"/>
    <n v="1233.52"/>
    <n v="1356.8720000000001"/>
    <n v="1543.76"/>
    <s v="Medium"/>
    <n v="0.126"/>
    <n v="0.1"/>
    <s v=""/>
    <n v="13"/>
    <n v="15.6"/>
    <n v="16035.76"/>
    <n v="1545646.9975799995"/>
    <n v="157548.08145"/>
    <n v="0.10193018308622286"/>
    <s v="A"/>
    <n v="21167.2032"/>
    <n v="21674.3904"/>
    <n v="17540.201120000002"/>
    <n v="1504.4411200000013"/>
    <n v="507.1872000000003"/>
    <n v="8.5771030201277493E-2"/>
  </r>
  <r>
    <s v="ORD-2024-838925"/>
    <s v="838925"/>
    <x v="1"/>
    <d v="2023-01-07T00:00:00"/>
    <n v="12"/>
    <d v="2024-01-28T00:00:00"/>
    <s v="Jan-2024"/>
    <x v="1"/>
    <s v="Q1-2024"/>
    <n v="-1"/>
    <n v="15"/>
    <n v="0"/>
    <d v="2024-01-27T00:00:00"/>
    <d v="2024-02-12T00:00:00"/>
    <x v="0"/>
    <x v="6"/>
    <s v="Cape Town"/>
    <s v="Enterprise"/>
    <x v="0"/>
    <x v="7"/>
    <x v="1"/>
    <s v="CMP-1470"/>
    <n v="109.75"/>
    <n v="120.72500000000001"/>
    <n v="124.25"/>
    <s v="Low"/>
    <n v="0.12"/>
    <n v="0.1"/>
    <s v=""/>
    <n v="19"/>
    <n v="22.8"/>
    <n v="2085.25"/>
    <n v="1545646.9975799995"/>
    <n v="159625.54144999999"/>
    <n v="0.10327425453542997"/>
    <s v="A"/>
    <n v="2752.53"/>
    <n v="2549.61"/>
    <n v="2077.46"/>
    <n v="-7.7899999999999636"/>
    <n v="-202.92000000000007"/>
    <n v="-3.7497713554051405E-3"/>
  </r>
  <r>
    <s v="ORD-2024-206121"/>
    <s v="206121"/>
    <x v="1"/>
    <d v="2023-01-29T00:00:00"/>
    <n v="12"/>
    <d v="2024-02-18T00:00:00"/>
    <s v="Feb-2024"/>
    <x v="0"/>
    <s v="Q1-2024"/>
    <n v="22"/>
    <n v="22"/>
    <n v="0"/>
    <d v="2024-03-11T00:00:00"/>
    <d v="2024-03-11T00:00:00"/>
    <x v="3"/>
    <x v="9"/>
    <s v="São Paulo"/>
    <s v="Consumer"/>
    <x v="4"/>
    <x v="3"/>
    <x v="1"/>
    <s v="CMP-9801"/>
    <n v="80.48"/>
    <n v="88.528000000000006"/>
    <n v="65.650000000000006"/>
    <s v="Low"/>
    <n v="0.17599999999999999"/>
    <n v="0.1"/>
    <s v=""/>
    <n v="13"/>
    <n v="15.6"/>
    <n v="1046.24"/>
    <n v="1545646.9975799995"/>
    <n v="160328.78425"/>
    <n v="0.10372923733622541"/>
    <s v="A"/>
    <n v="1381.0368000000001"/>
    <n v="921.72600000000011"/>
    <n v="703.2428000000001"/>
    <n v="-342.99719999999991"/>
    <n v="-459.31079999999997"/>
    <n v="-0.48773652570634191"/>
  </r>
  <r>
    <s v="ORD-2024-206311"/>
    <s v="206311"/>
    <x v="1"/>
    <d v="2023-01-13T00:00:00"/>
    <n v="12"/>
    <d v="2024-01-13T00:00:00"/>
    <s v="Jan-2024"/>
    <x v="1"/>
    <s v="Q1-2024"/>
    <n v="2"/>
    <n v="2"/>
    <n v="1"/>
    <d v="2024-01-15T00:00:00"/>
    <d v="2024-01-15T00:00:00"/>
    <x v="3"/>
    <x v="11"/>
    <s v="San Francisco"/>
    <s v="Non-Profit"/>
    <x v="0"/>
    <x v="12"/>
    <x v="1"/>
    <s v="CMP-2410"/>
    <n v="1061.3699999999999"/>
    <n v="1167.5070000000001"/>
    <n v="1938.33"/>
    <s v="High"/>
    <n v="0.17"/>
    <n v="0.1"/>
    <s v=""/>
    <n v="4"/>
    <n v="4.8"/>
    <n v="4245.4799999999996"/>
    <n v="1545646.9975799995"/>
    <n v="166764.03985"/>
    <n v="0.10789270778586599"/>
    <s v="A"/>
    <n v="5604.0335999999998"/>
    <n v="8373.5855999999985"/>
    <n v="6435.2555999999995"/>
    <n v="2189.7755999999999"/>
    <n v="2769.5519999999988"/>
    <n v="0.34027795259600879"/>
  </r>
  <r>
    <s v="ORD-2024-960952"/>
    <s v="960952"/>
    <x v="1"/>
    <d v="2023-01-22T00:00:00"/>
    <n v="12"/>
    <d v="2024-02-03T00:00:00"/>
    <s v="Feb-2024"/>
    <x v="0"/>
    <s v="Q1-2024"/>
    <n v="18"/>
    <n v="18"/>
    <n v="0"/>
    <d v="2024-02-21T00:00:00"/>
    <d v="2024-02-21T00:00:00"/>
    <x v="2"/>
    <x v="7"/>
    <s v="Frankfurt"/>
    <s v="Corporate"/>
    <x v="1"/>
    <x v="8"/>
    <x v="1"/>
    <s v="CMP-9264"/>
    <n v="39.229999999999997"/>
    <n v="43.152999999999999"/>
    <n v="30.09"/>
    <s v="Low"/>
    <n v="0.17699999999999999"/>
    <n v="0.1"/>
    <s v=""/>
    <n v="13"/>
    <n v="15.6"/>
    <n v="509.98999999999995"/>
    <n v="1545646.9975799995"/>
    <n v="167085.97276"/>
    <n v="0.10810099137875884"/>
    <s v="A"/>
    <n v="673.18679999999995"/>
    <n v="422.46359999999999"/>
    <n v="321.93290999999999"/>
    <n v="-188.05708999999996"/>
    <n v="-250.72319999999996"/>
    <n v="-0.58414993981199359"/>
  </r>
  <r>
    <s v="ORD-2024-275203"/>
    <s v="275203"/>
    <x v="1"/>
    <d v="2023-01-20T00:00:00"/>
    <n v="13"/>
    <d v="2024-03-11T00:00:00"/>
    <s v="Mar-2024"/>
    <x v="4"/>
    <s v="Q1-2024"/>
    <n v="26"/>
    <n v="26"/>
    <n v="0"/>
    <d v="2024-04-06T00:00:00"/>
    <d v="2024-04-06T00:00:00"/>
    <x v="0"/>
    <x v="8"/>
    <s v="Kisumu"/>
    <s v="Corporate"/>
    <x v="1"/>
    <x v="9"/>
    <x v="1"/>
    <s v="CMP-8270"/>
    <n v="279.24"/>
    <n v="307.16400000000004"/>
    <n v="608.9"/>
    <s v="Low"/>
    <n v="0.112"/>
    <n v="0.1"/>
    <s v=""/>
    <n v="9"/>
    <n v="10.799999999999999"/>
    <n v="2513.16"/>
    <n v="1545646.9975799995"/>
    <n v="171952.30155999999"/>
    <n v="0.1112494003024129"/>
    <s v="A"/>
    <n v="3317.3712"/>
    <n v="5918.5079999999989"/>
    <n v="4866.3287999999993"/>
    <n v="2353.1687999999995"/>
    <n v="2601.1367999999989"/>
    <n v="0.48356140670149533"/>
  </r>
  <r>
    <s v="ORD-2024-243988"/>
    <s v="243988"/>
    <x v="1"/>
    <d v="2023-01-15T00:00:00"/>
    <n v="13"/>
    <d v="2024-03-13T00:00:00"/>
    <s v="Mar-2024"/>
    <x v="4"/>
    <s v="Q1-2024"/>
    <n v="24"/>
    <n v="24"/>
    <n v="0"/>
    <d v="2024-04-06T00:00:00"/>
    <d v="2024-04-06T00:00:00"/>
    <x v="0"/>
    <x v="0"/>
    <s v="Abuja"/>
    <s v="Consumer"/>
    <x v="2"/>
    <x v="4"/>
    <x v="1"/>
    <s v="CMP-9001"/>
    <n v="1232.78"/>
    <n v="1356.058"/>
    <n v="1731.75"/>
    <s v="High"/>
    <n v="9.2999999999999999E-2"/>
    <n v="9.2999999999999999E-2"/>
    <s v=""/>
    <n v="16"/>
    <n v="19.2"/>
    <n v="19724.48"/>
    <n v="1545646.9975799995"/>
    <n v="197083.45755999998"/>
    <n v="0.12750871180067061"/>
    <s v="A"/>
    <n v="26036.313599999998"/>
    <n v="30157.387200000001"/>
    <n v="25131.155999999999"/>
    <n v="5406.6759999999995"/>
    <n v="4121.0736000000034"/>
    <n v="0.21513837246484005"/>
  </r>
  <r>
    <s v="ORD-2024-961501"/>
    <s v="961501"/>
    <x v="1"/>
    <d v="2023-01-13T00:00:00"/>
    <n v="13"/>
    <d v="2024-03-02T00:00:00"/>
    <s v="Mar-2024"/>
    <x v="4"/>
    <s v="Q1-2024"/>
    <n v="21"/>
    <n v="21"/>
    <n v="0"/>
    <d v="2024-03-23T00:00:00"/>
    <d v="2024-03-23T00:00:00"/>
    <x v="3"/>
    <x v="11"/>
    <s v="Chicago"/>
    <s v="Small Business"/>
    <x v="4"/>
    <x v="5"/>
    <x v="1"/>
    <s v="CMP-3223"/>
    <n v="225.01"/>
    <n v="247.51100000000002"/>
    <n v="333.48"/>
    <s v="Low"/>
    <n v="0.11899999999999999"/>
    <n v="0.1"/>
    <s v=""/>
    <n v="12"/>
    <n v="14.399999999999999"/>
    <n v="2700.12"/>
    <n v="1545646.9975799995"/>
    <n v="200609.00811999998"/>
    <n v="0.12978966635596034"/>
    <s v="A"/>
    <n v="3564.1583999999998"/>
    <n v="4321.9008000000003"/>
    <n v="3525.5505600000001"/>
    <n v="825.43056000000024"/>
    <n v="757.74240000000054"/>
    <n v="0.23412813004729685"/>
  </r>
  <r>
    <s v="ORD-2024-692673"/>
    <s v="692673"/>
    <x v="1"/>
    <d v="2023-01-22T00:00:00"/>
    <n v="13"/>
    <d v="2024-03-07T00:00:00"/>
    <s v="Mar-2024"/>
    <x v="4"/>
    <s v="Q1-2024"/>
    <n v="18"/>
    <n v="18"/>
    <n v="0"/>
    <d v="2024-03-25T00:00:00"/>
    <d v="2024-03-25T00:00:00"/>
    <x v="2"/>
    <x v="7"/>
    <s v="Munich"/>
    <s v="Corporate"/>
    <x v="4"/>
    <x v="1"/>
    <x v="1"/>
    <s v="CMP-7617"/>
    <n v="712.84"/>
    <n v="784.12400000000014"/>
    <n v="927.51"/>
    <s v="Medium"/>
    <n v="0.24299999999999999"/>
    <n v="0.1"/>
    <s v=""/>
    <n v="27"/>
    <n v="32.4"/>
    <n v="19246.68"/>
    <n v="1545646.9975799995"/>
    <n v="219566.38500999997"/>
    <n v="0.14205467700825114"/>
    <s v="A"/>
    <n v="25405.617600000005"/>
    <n v="27046.191599999998"/>
    <n v="18957.37689"/>
    <n v="-289.30311000000074"/>
    <n v="1640.5739999999932"/>
    <n v="-1.5260714163076427E-2"/>
  </r>
  <r>
    <s v="ORD-2024-310809"/>
    <s v="310809"/>
    <x v="1"/>
    <d v="2023-01-15T00:00:00"/>
    <n v="14"/>
    <d v="2024-04-05T00:00:00"/>
    <s v="Apr-2024"/>
    <x v="2"/>
    <s v="Q2-2024"/>
    <n v="4"/>
    <n v="4"/>
    <n v="1"/>
    <d v="2024-04-09T00:00:00"/>
    <d v="2024-04-09T00:00:00"/>
    <x v="0"/>
    <x v="0"/>
    <s v="Lagos"/>
    <s v="Non-Profit"/>
    <x v="0"/>
    <x v="11"/>
    <x v="1"/>
    <s v="CMP-6529"/>
    <n v="395.07"/>
    <n v="434.57700000000006"/>
    <n v="970.27"/>
    <s v="Medium"/>
    <n v="0.123"/>
    <n v="0.1"/>
    <s v=""/>
    <n v="38"/>
    <n v="45.6"/>
    <n v="15012.66"/>
    <n v="1545646.9975799995"/>
    <n v="251901.60302999997"/>
    <n v="0.16297485999351677"/>
    <s v="A"/>
    <n v="19816.711200000002"/>
    <n v="39819.880799999999"/>
    <n v="32335.21802"/>
    <n v="17322.55802"/>
    <n v="20003.169599999997"/>
    <n v="0.53571799049833657"/>
  </r>
  <r>
    <s v="ORD-2024-594592"/>
    <s v="594592"/>
    <x v="1"/>
    <d v="2023-01-12T00:00:00"/>
    <n v="14"/>
    <d v="2024-04-06T00:00:00"/>
    <s v="Apr-2024"/>
    <x v="2"/>
    <s v="Q2-2024"/>
    <n v="19"/>
    <n v="19"/>
    <n v="0"/>
    <d v="2024-04-25T00:00:00"/>
    <d v="2024-04-25T00:00:00"/>
    <x v="1"/>
    <x v="4"/>
    <s v="Shanghai"/>
    <s v="Corporate"/>
    <x v="1"/>
    <x v="11"/>
    <x v="1"/>
    <s v="CMP-8196"/>
    <n v="1366.48"/>
    <n v="1503.1280000000002"/>
    <n v="1678.14"/>
    <s v="High"/>
    <n v="0.154"/>
    <n v="0.1"/>
    <s v=""/>
    <n v="10"/>
    <n v="12"/>
    <n v="13664.8"/>
    <n v="1545646.9975799995"/>
    <n v="266098.66742999997"/>
    <n v="0.17216005196958128"/>
    <s v="A"/>
    <n v="18037.536"/>
    <n v="18123.912"/>
    <n v="14197.064400000001"/>
    <n v="532.26440000000184"/>
    <n v="86.376000000000204"/>
    <n v="3.7491159087790132E-2"/>
  </r>
  <r>
    <s v="ORD-2024-906395"/>
    <s v="906395"/>
    <x v="1"/>
    <d v="2023-01-10T00:00:00"/>
    <n v="14"/>
    <d v="2024-03-10T00:00:00"/>
    <s v="Mar-2024"/>
    <x v="4"/>
    <s v="Q1-2024"/>
    <n v="30"/>
    <n v="30"/>
    <n v="0"/>
    <d v="2024-04-09T00:00:00"/>
    <d v="2024-04-09T00:00:00"/>
    <x v="2"/>
    <x v="5"/>
    <s v="Lyon"/>
    <s v="Corporate"/>
    <x v="0"/>
    <x v="13"/>
    <x v="1"/>
    <s v="CMP-8002"/>
    <n v="1176.56"/>
    <n v="1294.2160000000001"/>
    <n v="1911.89"/>
    <s v="High"/>
    <n v="0.11899999999999999"/>
    <n v="0.1"/>
    <s v=""/>
    <n v="20"/>
    <n v="24"/>
    <n v="23531.199999999997"/>
    <n v="1545646.9975799995"/>
    <n v="299786.16923"/>
    <n v="0.19395513315742308"/>
    <s v="A"/>
    <n v="31061.184000000001"/>
    <n v="41296.824000000001"/>
    <n v="33687.501800000005"/>
    <n v="10156.301800000008"/>
    <n v="10235.64"/>
    <n v="0.30148575160892477"/>
  </r>
  <r>
    <s v="ORD-2024-851993"/>
    <s v="851993"/>
    <x v="1"/>
    <d v="2023-01-29T00:00:00"/>
    <n v="15"/>
    <d v="2024-05-01T00:00:00"/>
    <s v="May-2024"/>
    <x v="5"/>
    <s v="Q2-2024"/>
    <n v="15"/>
    <n v="15"/>
    <n v="0"/>
    <d v="2024-05-16T00:00:00"/>
    <d v="2024-05-16T00:00:00"/>
    <x v="1"/>
    <x v="1"/>
    <s v="Bengaluru"/>
    <s v="Small Business"/>
    <x v="1"/>
    <x v="4"/>
    <x v="1"/>
    <s v="CMP-6811"/>
    <n v="901.19"/>
    <n v="991.3090000000002"/>
    <n v="2125.44"/>
    <s v="High"/>
    <n v="7.0999999999999994E-2"/>
    <n v="7.0999999999999994E-2"/>
    <s v=""/>
    <n v="12"/>
    <n v="14.399999999999999"/>
    <n v="10814.28"/>
    <n v="1545646.9975799995"/>
    <n v="323480.57435000001"/>
    <n v="0.20928489807599637"/>
    <s v="A"/>
    <n v="14274.849600000001"/>
    <n v="28433.286144000002"/>
    <n v="23694.405119999999"/>
    <n v="12880.125119999999"/>
    <n v="14158.436544"/>
    <n v="0.54359352154100415"/>
  </r>
  <r>
    <s v="ORD-2024-202166"/>
    <s v="202166"/>
    <x v="1"/>
    <d v="2023-01-10T00:00:00"/>
    <n v="15"/>
    <d v="2024-05-05T00:00:00"/>
    <s v="May-2024"/>
    <x v="5"/>
    <s v="Q2-2024"/>
    <n v="13"/>
    <n v="13"/>
    <n v="0"/>
    <d v="2024-05-18T00:00:00"/>
    <d v="2024-05-18T00:00:00"/>
    <x v="2"/>
    <x v="5"/>
    <s v="Marseille"/>
    <s v="Corporate"/>
    <x v="3"/>
    <x v="3"/>
    <x v="1"/>
    <s v="CMP-3313"/>
    <n v="1264.04"/>
    <n v="1390.444"/>
    <n v="1870.89"/>
    <s v="High"/>
    <n v="0"/>
    <n v="0"/>
    <s v=""/>
    <n v="13"/>
    <n v="15.6"/>
    <n v="16432.52"/>
    <n v="1545646.9975799995"/>
    <n v="347802.14435000002"/>
    <n v="0.22502042503530856"/>
    <s v="A"/>
    <n v="21690.9264"/>
    <n v="29185.884000000002"/>
    <n v="24321.57"/>
    <n v="7889.0499999999993"/>
    <n v="7494.9576000000015"/>
    <n v="0.32436433996653996"/>
  </r>
  <r>
    <s v="ORD-2024-155337"/>
    <s v="155337"/>
    <x v="1"/>
    <d v="2023-01-07T00:00:00"/>
    <n v="16"/>
    <d v="2024-05-21T00:00:00"/>
    <s v="May-2024"/>
    <x v="5"/>
    <s v="Q2-2024"/>
    <n v="6"/>
    <n v="6"/>
    <n v="1"/>
    <d v="2024-05-27T00:00:00"/>
    <d v="2024-05-27T00:00:00"/>
    <x v="0"/>
    <x v="6"/>
    <s v="Johannesburg"/>
    <s v="Non-Profit"/>
    <x v="4"/>
    <x v="6"/>
    <x v="1"/>
    <s v="CMP-8101"/>
    <n v="1157.51"/>
    <n v="1273.2610000000002"/>
    <n v="1394.3"/>
    <s v="Medium"/>
    <n v="0.27800000000000002"/>
    <n v="0.1"/>
    <s v=""/>
    <n v="12"/>
    <n v="14.399999999999999"/>
    <n v="13890.119999999999"/>
    <n v="1545646.9975799995"/>
    <n v="359882.35954999999"/>
    <n v="0.23283606160621628"/>
    <s v="A"/>
    <n v="18334.9584"/>
    <n v="18070.128000000001"/>
    <n v="12080.215199999999"/>
    <n v="-1809.9048000000003"/>
    <n v="-264.83039999999892"/>
    <n v="-0.14982388724333326"/>
  </r>
  <r>
    <s v="ORD-2024-389336"/>
    <s v="389336"/>
    <x v="1"/>
    <d v="2023-01-02T00:00:00"/>
    <n v="16"/>
    <d v="2024-05-20T00:00:00"/>
    <s v="May-2024"/>
    <x v="5"/>
    <s v="Q2-2024"/>
    <n v="13"/>
    <n v="13"/>
    <n v="0"/>
    <d v="2024-06-02T00:00:00"/>
    <d v="2024-06-02T00:00:00"/>
    <x v="3"/>
    <x v="10"/>
    <s v="Vancouver"/>
    <s v="Enterprise"/>
    <x v="3"/>
    <x v="11"/>
    <x v="1"/>
    <s v="CMP-5946"/>
    <n v="675.43"/>
    <n v="742.97299999999996"/>
    <n v="996.36"/>
    <s v="Medium"/>
    <n v="0.182"/>
    <n v="0.1"/>
    <s v=""/>
    <n v="22"/>
    <n v="26.4"/>
    <n v="14859.46"/>
    <n v="1545646.9975799995"/>
    <n v="377812.85411000001"/>
    <n v="0.24443670171878634"/>
    <s v="A"/>
    <n v="19614.4872"/>
    <n v="23673.513599999998"/>
    <n v="17930.494560000003"/>
    <n v="3071.0345600000037"/>
    <n v="4059.0263999999988"/>
    <n v="0.17127439233332575"/>
  </r>
  <r>
    <s v="ORD-2024-909942"/>
    <s v="909942"/>
    <x v="1"/>
    <d v="2023-01-12T00:00:00"/>
    <n v="16"/>
    <d v="2024-06-09T00:00:00"/>
    <s v="Jun-2024"/>
    <x v="6"/>
    <s v="Q2-2024"/>
    <n v="28"/>
    <n v="28"/>
    <n v="0"/>
    <d v="2024-07-07T00:00:00"/>
    <d v="2024-07-07T00:00:00"/>
    <x v="1"/>
    <x v="4"/>
    <s v="Shenzhen"/>
    <s v="Corporate"/>
    <x v="4"/>
    <x v="10"/>
    <x v="1"/>
    <s v="CMP-6392"/>
    <n v="550.22"/>
    <n v="605.24200000000008"/>
    <n v="1025.05"/>
    <s v="Medium"/>
    <n v="0"/>
    <n v="0"/>
    <s v=""/>
    <n v="27"/>
    <n v="32.4"/>
    <n v="14855.94"/>
    <n v="1545646.9975799995"/>
    <n v="405489.20410999999"/>
    <n v="0.26234269839418023"/>
    <s v="A"/>
    <n v="19609.840800000002"/>
    <n v="33211.619999999995"/>
    <n v="27676.35"/>
    <n v="12820.409999999998"/>
    <n v="13601.779199999994"/>
    <n v="0.46322618408858102"/>
  </r>
  <r>
    <s v="ORD-2024-584090"/>
    <s v="584090"/>
    <x v="1"/>
    <d v="2023-01-22T00:00:00"/>
    <n v="16"/>
    <d v="2024-06-07T00:00:00"/>
    <s v="Jun-2024"/>
    <x v="6"/>
    <s v="Q2-2024"/>
    <n v="19"/>
    <n v="19"/>
    <n v="0"/>
    <d v="2024-06-26T00:00:00"/>
    <d v="2024-06-26T00:00:00"/>
    <x v="2"/>
    <x v="7"/>
    <s v="Berlin"/>
    <s v="Non-Profit"/>
    <x v="3"/>
    <x v="6"/>
    <x v="1"/>
    <s v="CMP-2040"/>
    <n v="1064.32"/>
    <n v="1170.752"/>
    <n v="1848.39"/>
    <s v="High"/>
    <n v="7.2999999999999995E-2"/>
    <n v="7.2999999999999995E-2"/>
    <s v=""/>
    <n v="38"/>
    <n v="45.6"/>
    <n v="40444.159999999996"/>
    <n v="1545646.9975799995"/>
    <n v="470600.59025000001"/>
    <n v="0.30446834949171031"/>
    <s v="A"/>
    <n v="53386.2912"/>
    <n v="78133.663368000009"/>
    <n v="65111.38614000001"/>
    <n v="24667.226140000013"/>
    <n v="24747.372168000009"/>
    <n v="0.3788465827921631"/>
  </r>
  <r>
    <s v="ORD-2024-892879"/>
    <s v="892879"/>
    <x v="1"/>
    <d v="2023-01-10T00:00:00"/>
    <n v="17"/>
    <d v="2024-07-09T00:00:00"/>
    <s v="Jul-2024"/>
    <x v="7"/>
    <s v="Q3-2024"/>
    <n v="30"/>
    <n v="30"/>
    <n v="0"/>
    <d v="2024-08-08T00:00:00"/>
    <d v="2024-08-08T00:00:00"/>
    <x v="2"/>
    <x v="5"/>
    <s v="Marseille"/>
    <s v="Corporate"/>
    <x v="0"/>
    <x v="10"/>
    <x v="1"/>
    <s v="CMP-5825"/>
    <n v="1062.3800000000001"/>
    <n v="1168.6180000000002"/>
    <n v="1503.96"/>
    <s v="Medium"/>
    <n v="0.18"/>
    <n v="0.1"/>
    <s v=""/>
    <n v="6"/>
    <n v="7.1999999999999993"/>
    <n v="6374.2800000000007"/>
    <n v="1545646.9975799995"/>
    <n v="478000.07345000003"/>
    <n v="0.30925565423308093"/>
    <s v="A"/>
    <n v="8414.0496000000003"/>
    <n v="9745.6607999999997"/>
    <n v="7399.4832000000006"/>
    <n v="1025.2031999999999"/>
    <n v="1331.6111999999994"/>
    <n v="0.13855064905073369"/>
  </r>
  <r>
    <s v="ORD-2024-553449"/>
    <s v="553449"/>
    <x v="1"/>
    <d v="2023-01-29T00:00:00"/>
    <n v="18"/>
    <d v="2024-08-27T00:00:00"/>
    <s v="Aug-2024"/>
    <x v="8"/>
    <s v="Q3-2024"/>
    <n v="22"/>
    <n v="22"/>
    <n v="0"/>
    <d v="2024-09-18T00:00:00"/>
    <d v="2024-09-18T00:00:00"/>
    <x v="1"/>
    <x v="1"/>
    <s v="Delhi"/>
    <s v="Consumer"/>
    <x v="0"/>
    <x v="1"/>
    <x v="1"/>
    <s v="CMP-3875"/>
    <n v="896.75"/>
    <n v="986.42500000000007"/>
    <n v="1651.14"/>
    <s v="High"/>
    <n v="2.5000000000000001E-2"/>
    <n v="2.5000000000000001E-2"/>
    <s v=""/>
    <n v="15"/>
    <n v="18"/>
    <n v="13451.25"/>
    <n v="1545646.9975799995"/>
    <n v="502147.99595000001"/>
    <n v="0.3248788350355592"/>
    <s v="A"/>
    <n v="17755.650000000001"/>
    <n v="28977.507000000001"/>
    <n v="24147.922500000001"/>
    <n v="10696.672500000001"/>
    <n v="11221.857"/>
    <n v="0.44296450346815552"/>
  </r>
  <r>
    <s v="ORD-2024-167215"/>
    <s v="167215"/>
    <x v="1"/>
    <d v="2023-01-07T00:00:00"/>
    <n v="19"/>
    <d v="2024-08-23T00:00:00"/>
    <s v="Aug-2024"/>
    <x v="8"/>
    <s v="Q3-2024"/>
    <n v="-2"/>
    <n v="15"/>
    <n v="0"/>
    <d v="2024-08-21T00:00:00"/>
    <d v="2024-09-07T00:00:00"/>
    <x v="0"/>
    <x v="6"/>
    <s v="Johannesburg"/>
    <s v="Education"/>
    <x v="1"/>
    <x v="12"/>
    <x v="1"/>
    <s v="CMP-1559"/>
    <n v="1432.52"/>
    <n v="1575.7720000000002"/>
    <n v="3036.87"/>
    <s v="High"/>
    <n v="0"/>
    <n v="0"/>
    <s v=""/>
    <n v="9"/>
    <n v="10.799999999999999"/>
    <n v="12892.68"/>
    <n v="1545646.9975799995"/>
    <n v="529479.82594999997"/>
    <n v="0.34256193476194757"/>
    <s v="A"/>
    <n v="17018.337599999999"/>
    <n v="32798.195999999996"/>
    <n v="27331.829999999998"/>
    <n v="14439.149999999998"/>
    <n v="15779.858399999997"/>
    <n v="0.52829064135112791"/>
  </r>
  <r>
    <s v="ORD-2024-500890"/>
    <s v="500890"/>
    <x v="1"/>
    <d v="2023-01-29T00:00:00"/>
    <n v="19"/>
    <d v="2024-09-09T00:00:00"/>
    <s v="Sept-2024"/>
    <x v="11"/>
    <s v="Q3-2024"/>
    <n v="29"/>
    <n v="29"/>
    <n v="0"/>
    <d v="2024-10-08T00:00:00"/>
    <d v="2024-10-08T00:00:00"/>
    <x v="3"/>
    <x v="9"/>
    <s v="São Paulo"/>
    <s v="Education"/>
    <x v="0"/>
    <x v="10"/>
    <x v="1"/>
    <s v="CMP-3093"/>
    <n v="1010.33"/>
    <n v="1111.3630000000001"/>
    <n v="2492.14"/>
    <s v="High"/>
    <n v="5.0999999999999997E-2"/>
    <n v="5.0999999999999997E-2"/>
    <s v=""/>
    <n v="11"/>
    <n v="13.2"/>
    <n v="11113.630000000001"/>
    <n v="1545646.9975799995"/>
    <n v="555495.27541"/>
    <n v="0.35939336490138574"/>
    <s v="A"/>
    <n v="14669.991599999999"/>
    <n v="31218.539352"/>
    <n v="26015.449459999996"/>
    <n v="14901.819459999995"/>
    <n v="16548.547751999999"/>
    <n v="0.57280653493656752"/>
  </r>
  <r>
    <s v="ORD-2024-664046"/>
    <s v="664046"/>
    <x v="1"/>
    <d v="2023-01-13T00:00:00"/>
    <n v="19"/>
    <d v="2024-09-02T00:00:00"/>
    <s v="Sept-2024"/>
    <x v="11"/>
    <s v="Q3-2024"/>
    <n v="6"/>
    <n v="6"/>
    <n v="1"/>
    <d v="2024-09-08T00:00:00"/>
    <d v="2024-09-08T00:00:00"/>
    <x v="3"/>
    <x v="11"/>
    <s v="Austin"/>
    <s v="Consumer"/>
    <x v="0"/>
    <x v="8"/>
    <x v="1"/>
    <s v="CMP-7563"/>
    <n v="462.94"/>
    <n v="509.23400000000004"/>
    <n v="1015.7"/>
    <s v="Medium"/>
    <n v="0.14299999999999999"/>
    <n v="0.1"/>
    <s v=""/>
    <n v="14"/>
    <n v="16.8"/>
    <n v="6481.16"/>
    <n v="1545646.9975799995"/>
    <n v="567681.64401000005"/>
    <n v="0.36727768041397046"/>
    <s v="A"/>
    <n v="8555.1312000000016"/>
    <n v="15357.384000000002"/>
    <n v="12186.368600000002"/>
    <n v="5705.2086000000018"/>
    <n v="6802.2528000000002"/>
    <n v="0.46816314090483041"/>
  </r>
  <r>
    <s v="ORD-2024-792353"/>
    <s v="792353"/>
    <x v="1"/>
    <d v="2023-01-10T00:00:00"/>
    <n v="19"/>
    <d v="2024-08-19T00:00:00"/>
    <s v="Aug-2024"/>
    <x v="8"/>
    <s v="Q3-2024"/>
    <n v="19"/>
    <n v="19"/>
    <n v="0"/>
    <d v="2024-09-07T00:00:00"/>
    <d v="2024-09-07T00:00:00"/>
    <x v="2"/>
    <x v="5"/>
    <s v="Lyon"/>
    <s v="Corporate"/>
    <x v="0"/>
    <x v="10"/>
    <x v="1"/>
    <s v="CMP-5435"/>
    <n v="297.58999999999997"/>
    <n v="327.34899999999999"/>
    <n v="666.41"/>
    <s v="Low"/>
    <n v="0"/>
    <n v="0"/>
    <s v=""/>
    <n v="10"/>
    <n v="12"/>
    <n v="2975.8999999999996"/>
    <n v="1545646.9975799995"/>
    <n v="574345.74401000002"/>
    <n v="0.37158920821458336"/>
    <s v="A"/>
    <n v="3928.1880000000001"/>
    <n v="7996.92"/>
    <n v="6664.0999999999995"/>
    <n v="3688.2"/>
    <n v="4068.732"/>
    <n v="0.55344307558409989"/>
  </r>
  <r>
    <s v="ORD-2023-946143"/>
    <s v="946143"/>
    <x v="0"/>
    <d v="2023-01-07T00:00:00"/>
    <n v="2"/>
    <d v="2023-03-14T00:00:00"/>
    <s v="Mar-2023"/>
    <x v="4"/>
    <s v="Q1-2023"/>
    <n v="16"/>
    <n v="16"/>
    <n v="0"/>
    <d v="2023-03-30T00:00:00"/>
    <d v="2023-03-30T00:00:00"/>
    <x v="0"/>
    <x v="6"/>
    <s v="Cape Town"/>
    <s v="Consumer"/>
    <x v="2"/>
    <x v="11"/>
    <x v="1"/>
    <s v="CMP-8230"/>
    <n v="1309.77"/>
    <n v="1440.7470000000001"/>
    <n v="1589.07"/>
    <s v="Medium"/>
    <n v="0.10199999999999999"/>
    <n v="0.1"/>
    <s v=""/>
    <n v="10"/>
    <n v="12"/>
    <n v="13097.7"/>
    <n v="1545646.9975799995"/>
    <n v="588615.59261000005"/>
    <n v="0.38082148998548065"/>
    <s v="A"/>
    <n v="17288.964"/>
    <n v="17161.956000000002"/>
    <n v="14269.848599999999"/>
    <n v="1172.1485999999986"/>
    <n v="-127.00799999999799"/>
    <n v="8.2141628328137886E-2"/>
  </r>
  <r>
    <s v="ORD-2023-281890"/>
    <s v="281890"/>
    <x v="0"/>
    <d v="2023-01-07T00:00:00"/>
    <n v="2"/>
    <d v="2023-03-13T00:00:00"/>
    <s v="Mar-2023"/>
    <x v="4"/>
    <s v="Q1-2023"/>
    <n v="22"/>
    <n v="22"/>
    <n v="0"/>
    <d v="2023-04-04T00:00:00"/>
    <d v="2023-04-04T00:00:00"/>
    <x v="0"/>
    <x v="6"/>
    <s v="Durban"/>
    <s v="Small Business"/>
    <x v="1"/>
    <x v="3"/>
    <x v="1"/>
    <s v="CMP-2574"/>
    <n v="1113.7"/>
    <n v="1225.0700000000002"/>
    <n v="1620.6"/>
    <s v="Medium"/>
    <n v="0.13900000000000001"/>
    <n v="0.1"/>
    <s v=""/>
    <n v="11"/>
    <n v="13.2"/>
    <n v="12250.7"/>
    <n v="1545646.9975799995"/>
    <n v="603964.29521000001"/>
    <n v="0.39075176683655422"/>
    <s v="A"/>
    <n v="16170.924000000001"/>
    <n v="19252.727999999999"/>
    <n v="15348.702599999999"/>
    <n v="3098.002599999998"/>
    <n v="3081.8039999999983"/>
    <n v="0.20184133348182787"/>
  </r>
  <r>
    <s v="ORD-2024-686712"/>
    <s v="686712"/>
    <x v="1"/>
    <d v="2023-01-07T00:00:00"/>
    <n v="20"/>
    <d v="2024-10-02T00:00:00"/>
    <s v="Oct-2024"/>
    <x v="9"/>
    <s v="Q4-2024"/>
    <n v="21"/>
    <n v="21"/>
    <n v="0"/>
    <d v="2024-10-23T00:00:00"/>
    <d v="2024-10-23T00:00:00"/>
    <x v="0"/>
    <x v="6"/>
    <s v="Durban"/>
    <s v="Corporate"/>
    <x v="3"/>
    <x v="3"/>
    <x v="1"/>
    <s v="CMP-3978"/>
    <n v="1095.6099999999999"/>
    <n v="1205.171"/>
    <n v="2366.5100000000002"/>
    <s v="High"/>
    <n v="0.152"/>
    <n v="0.1"/>
    <s v=""/>
    <n v="9"/>
    <n v="10.799999999999999"/>
    <n v="9860.49"/>
    <n v="1545646.9975799995"/>
    <n v="622025.49953000003"/>
    <n v="0.40243697332178546"/>
    <s v="A"/>
    <n v="13015.846799999999"/>
    <n v="23002.477200000001"/>
    <n v="18061.204320000004"/>
    <n v="8200.7143200000046"/>
    <n v="9986.6304000000018"/>
    <n v="0.4540513564158607"/>
  </r>
  <r>
    <s v="ORD-2024-942981"/>
    <s v="942981"/>
    <x v="1"/>
    <d v="2023-01-19T00:00:00"/>
    <n v="20"/>
    <d v="2024-10-09T00:00:00"/>
    <s v="Oct-2024"/>
    <x v="9"/>
    <s v="Q4-2024"/>
    <n v="30"/>
    <n v="30"/>
    <n v="0"/>
    <d v="2024-11-08T00:00:00"/>
    <d v="2024-11-08T00:00:00"/>
    <x v="2"/>
    <x v="2"/>
    <s v="Manchester"/>
    <s v="Small Business"/>
    <x v="2"/>
    <x v="10"/>
    <x v="1"/>
    <s v="CMP-1072"/>
    <n v="343.85"/>
    <n v="378.23500000000007"/>
    <n v="538.04"/>
    <s v="Low"/>
    <n v="0.13900000000000001"/>
    <n v="0.1"/>
    <s v=""/>
    <n v="5"/>
    <n v="6"/>
    <n v="1719.25"/>
    <n v="1545646.9975799995"/>
    <n v="624341.76173000003"/>
    <n v="0.40393554460204967"/>
    <s v="A"/>
    <n v="2269.4100000000003"/>
    <n v="2905.4159999999997"/>
    <n v="2316.2621999999997"/>
    <n v="597.01219999999967"/>
    <n v="636.0059999999994"/>
    <n v="0.25774810813732563"/>
  </r>
  <r>
    <s v="ORD-2024-964950"/>
    <s v="964950"/>
    <x v="1"/>
    <d v="2023-01-19T00:00:00"/>
    <n v="20"/>
    <d v="2024-10-10T00:00:00"/>
    <s v="Oct-2024"/>
    <x v="9"/>
    <s v="Q4-2024"/>
    <n v="1"/>
    <n v="1"/>
    <n v="1"/>
    <d v="2024-10-11T00:00:00"/>
    <d v="2024-10-11T00:00:00"/>
    <x v="2"/>
    <x v="2"/>
    <s v="Manchester"/>
    <s v="Non-Profit"/>
    <x v="2"/>
    <x v="4"/>
    <x v="1"/>
    <s v="CMP-8127"/>
    <n v="1389.46"/>
    <n v="1528.4060000000002"/>
    <n v="1784.7"/>
    <s v="High"/>
    <n v="0.14599999999999999"/>
    <n v="0.1"/>
    <s v=""/>
    <n v="33"/>
    <n v="39.6"/>
    <n v="45852.18"/>
    <n v="1545646.9975799995"/>
    <n v="674638.17712999997"/>
    <n v="0.4364762317568453"/>
    <s v="A"/>
    <n v="60524.877600000007"/>
    <n v="63606.708000000013"/>
    <n v="50296.415399999998"/>
    <n v="4444.2353999999978"/>
    <n v="3081.8304000000062"/>
    <n v="8.8360877503011831E-2"/>
  </r>
  <r>
    <s v="ORD-2024-250862"/>
    <s v="250862"/>
    <x v="1"/>
    <d v="2023-01-13T00:00:00"/>
    <n v="21"/>
    <d v="2024-10-25T00:00:00"/>
    <s v="Oct-2024"/>
    <x v="9"/>
    <s v="Q4-2024"/>
    <n v="11"/>
    <n v="11"/>
    <n v="0"/>
    <d v="2024-11-05T00:00:00"/>
    <d v="2024-11-05T00:00:00"/>
    <x v="3"/>
    <x v="11"/>
    <s v="New York"/>
    <s v="Corporate"/>
    <x v="2"/>
    <x v="14"/>
    <x v="1"/>
    <s v="CMP-9498"/>
    <n v="446.66"/>
    <n v="491.32600000000008"/>
    <n v="527.64"/>
    <s v="Low"/>
    <n v="0.14499999999999999"/>
    <n v="0.1"/>
    <s v=""/>
    <n v="15"/>
    <n v="18"/>
    <n v="6699.9000000000005"/>
    <n v="1545646.9975799995"/>
    <n v="681405.16012999997"/>
    <n v="0.44085432262144442"/>
    <s v="A"/>
    <n v="8843.8680000000022"/>
    <n v="8547.768"/>
    <n v="6766.9829999999993"/>
    <n v="67.082999999998719"/>
    <n v="-296.10000000000218"/>
    <n v="9.9132804087137105E-3"/>
  </r>
  <r>
    <s v="ORD-2024-357368"/>
    <s v="357368"/>
    <x v="1"/>
    <d v="2023-01-12T00:00:00"/>
    <n v="21"/>
    <d v="2024-10-30T00:00:00"/>
    <s v="Oct-2024"/>
    <x v="9"/>
    <s v="Q4-2024"/>
    <n v="25"/>
    <n v="25"/>
    <n v="0"/>
    <d v="2024-11-24T00:00:00"/>
    <d v="2024-11-24T00:00:00"/>
    <x v="1"/>
    <x v="4"/>
    <s v="Shenzhen"/>
    <s v="Small Business"/>
    <x v="4"/>
    <x v="12"/>
    <x v="1"/>
    <s v="CMP-4610"/>
    <n v="811.05"/>
    <n v="892.15499999999997"/>
    <n v="1217.71"/>
    <s v="Medium"/>
    <n v="7.1999999999999995E-2"/>
    <n v="7.1999999999999995E-2"/>
    <s v=""/>
    <n v="5"/>
    <n v="6"/>
    <n v="4055.25"/>
    <n v="1545646.9975799995"/>
    <n v="687055.33452999999"/>
    <n v="0.4445098626049247"/>
    <s v="A"/>
    <n v="5352.93"/>
    <n v="6780.2092800000009"/>
    <n v="5650.1744000000008"/>
    <n v="1594.9244000000008"/>
    <n v="1427.2792800000007"/>
    <n v="0.28227879125288602"/>
  </r>
  <r>
    <s v="ORD-2024-756884"/>
    <s v="756884"/>
    <x v="1"/>
    <d v="2023-01-10T00:00:00"/>
    <n v="21"/>
    <d v="2024-10-13T00:00:00"/>
    <s v="Oct-2024"/>
    <x v="9"/>
    <s v="Q4-2024"/>
    <n v="11"/>
    <n v="11"/>
    <n v="0"/>
    <d v="2024-10-24T00:00:00"/>
    <d v="2024-10-24T00:00:00"/>
    <x v="2"/>
    <x v="5"/>
    <s v="Paris"/>
    <s v="Education"/>
    <x v="2"/>
    <x v="5"/>
    <x v="1"/>
    <s v="CMP-5006"/>
    <n v="816.7"/>
    <n v="898.37000000000012"/>
    <n v="1010.75"/>
    <s v="Medium"/>
    <n v="4.7E-2"/>
    <n v="4.7E-2"/>
    <s v=""/>
    <n v="43"/>
    <n v="51.6"/>
    <n v="35118.1"/>
    <n v="1545646.9975799995"/>
    <n v="728474.85878000001"/>
    <n v="0.4713073941983934"/>
    <s v="A"/>
    <n v="46355.892000000007"/>
    <n v="49703.429100000001"/>
    <n v="41419.524249999995"/>
    <n v="6301.4242499999964"/>
    <n v="3347.5370999999941"/>
    <n v="0.15213656757537472"/>
  </r>
  <r>
    <s v="ORD-2024-508213"/>
    <s v="508213"/>
    <x v="1"/>
    <d v="2023-01-20T00:00:00"/>
    <n v="22"/>
    <d v="2024-11-22T00:00:00"/>
    <s v="Nov-2024"/>
    <x v="10"/>
    <s v="Q4-2024"/>
    <n v="23"/>
    <n v="23"/>
    <n v="0"/>
    <d v="2024-12-15T00:00:00"/>
    <d v="2024-12-15T00:00:00"/>
    <x v="0"/>
    <x v="8"/>
    <s v="Mombasa"/>
    <s v="Non-Profit"/>
    <x v="2"/>
    <x v="9"/>
    <x v="1"/>
    <s v="CMP-3938"/>
    <n v="1335.76"/>
    <n v="1469.336"/>
    <n v="2665.91"/>
    <s v="High"/>
    <n v="0.21099999999999999"/>
    <n v="0.1"/>
    <s v=""/>
    <n v="40"/>
    <n v="48"/>
    <n v="53430.400000000001"/>
    <n v="1545646.9975799995"/>
    <n v="812610.97837999999"/>
    <n v="0.52574163418445152"/>
    <s v="A"/>
    <n v="70528.127999999997"/>
    <n v="115167.31199999999"/>
    <n v="84136.119600000005"/>
    <n v="30705.719600000004"/>
    <n v="44639.183999999994"/>
    <n v="0.36495288522909253"/>
  </r>
  <r>
    <s v="ORD-2024-170021"/>
    <s v="170021"/>
    <x v="1"/>
    <d v="2023-01-02T00:00:00"/>
    <n v="22"/>
    <d v="2024-11-05T00:00:00"/>
    <s v="Nov-2024"/>
    <x v="10"/>
    <s v="Q4-2024"/>
    <n v="3"/>
    <n v="3"/>
    <n v="1"/>
    <d v="2024-11-08T00:00:00"/>
    <d v="2024-11-08T00:00:00"/>
    <x v="3"/>
    <x v="10"/>
    <s v="Toronto"/>
    <s v="Education"/>
    <x v="3"/>
    <x v="7"/>
    <x v="1"/>
    <s v="CMP-2015"/>
    <n v="1020.4"/>
    <n v="1122.44"/>
    <n v="1184.71"/>
    <s v="Medium"/>
    <n v="0.106"/>
    <n v="0.1"/>
    <s v=""/>
    <n v="16"/>
    <n v="19.2"/>
    <n v="16326.4"/>
    <n v="1545646.9975799995"/>
    <n v="829557.07021999999"/>
    <n v="0.53670538714132487"/>
    <s v="A"/>
    <n v="21550.848000000002"/>
    <n v="20471.788800000002"/>
    <n v="16946.091840000001"/>
    <n v="619.69184000000132"/>
    <n v="-1079.0591999999997"/>
    <n v="3.6568422138328345E-2"/>
  </r>
  <r>
    <s v="ORD-2024-170313"/>
    <s v="170313"/>
    <x v="1"/>
    <d v="2023-01-29T00:00:00"/>
    <n v="22"/>
    <d v="2024-12-27T00:00:00"/>
    <s v="Dec-2024"/>
    <x v="3"/>
    <s v="Q4-2024"/>
    <n v="19"/>
    <n v="19"/>
    <n v="0"/>
    <d v="2025-01-15T00:00:00"/>
    <d v="2025-01-15T00:00:00"/>
    <x v="1"/>
    <x v="1"/>
    <s v="Delhi"/>
    <s v="Non-Profit"/>
    <x v="2"/>
    <x v="2"/>
    <x v="1"/>
    <s v="CMP-6919"/>
    <n v="495.59"/>
    <n v="545.149"/>
    <n v="631.78"/>
    <s v="Low"/>
    <n v="8.6999999999999994E-2"/>
    <n v="8.6999999999999994E-2"/>
    <s v=""/>
    <n v="17"/>
    <n v="20.399999999999999"/>
    <n v="8425.0299999999988"/>
    <n v="1545646.9975799995"/>
    <n v="839362.92760000005"/>
    <n v="0.54304956365468982"/>
    <s v="A"/>
    <n v="11121.0396"/>
    <n v="11767.028855999999"/>
    <n v="9805.8573800000013"/>
    <n v="1380.8273800000024"/>
    <n v="645.98925599999893"/>
    <n v="0.14081658813601899"/>
  </r>
  <r>
    <s v="ORD-2024-382152"/>
    <s v="382152"/>
    <x v="1"/>
    <d v="2023-01-10T00:00:00"/>
    <n v="22"/>
    <d v="2024-12-08T00:00:00"/>
    <s v="Dec-2024"/>
    <x v="3"/>
    <s v="Q4-2024"/>
    <n v="0"/>
    <n v="0"/>
    <n v="1"/>
    <d v="2024-12-08T00:00:00"/>
    <d v="2024-12-08T00:00:00"/>
    <x v="2"/>
    <x v="5"/>
    <s v="Lyon"/>
    <s v="Enterprise"/>
    <x v="1"/>
    <x v="8"/>
    <x v="1"/>
    <s v="CMP-2335"/>
    <n v="257.44"/>
    <n v="283.18400000000003"/>
    <n v="290.33"/>
    <s v="Low"/>
    <n v="9.1999999999999998E-2"/>
    <n v="9.1999999999999998E-2"/>
    <s v=""/>
    <n v="23"/>
    <n v="27.599999999999998"/>
    <n v="5921.12"/>
    <n v="1545646.9975799995"/>
    <n v="845426.17932"/>
    <n v="0.54697235568255453"/>
    <s v="A"/>
    <n v="7815.8784000000005"/>
    <n v="7275.9020639999999"/>
    <n v="6063.2517199999993"/>
    <n v="142.1317199999994"/>
    <n v="-539.97633600000063"/>
    <n v="2.3441500792581216E-2"/>
  </r>
  <r>
    <s v="ORD-2025-909340"/>
    <s v="909340"/>
    <x v="2"/>
    <d v="2023-01-29T00:00:00"/>
    <n v="23"/>
    <d v="2025-01-20T00:00:00"/>
    <s v="Jan-2025"/>
    <x v="1"/>
    <s v="Q1-2025"/>
    <n v="14"/>
    <n v="14"/>
    <n v="0"/>
    <d v="2025-02-03T00:00:00"/>
    <d v="2025-02-03T00:00:00"/>
    <x v="3"/>
    <x v="9"/>
    <s v="Brasília"/>
    <s v="Enterprise"/>
    <x v="3"/>
    <x v="5"/>
    <x v="1"/>
    <s v="CMP-8658"/>
    <n v="974.11"/>
    <n v="1071.5210000000002"/>
    <n v="880.99"/>
    <s v="Medium"/>
    <n v="0.111"/>
    <n v="0.1"/>
    <s v=""/>
    <n v="10"/>
    <n v="12"/>
    <n v="9741.1"/>
    <n v="1545646.9975799995"/>
    <n v="853258.18041999999"/>
    <n v="0.55203949010086772"/>
    <s v="A"/>
    <n v="12858.252000000002"/>
    <n v="9514.6920000000009"/>
    <n v="7832.0010999999995"/>
    <n v="-1909.0989000000009"/>
    <n v="-3343.5600000000013"/>
    <n v="-0.2437562093805121"/>
  </r>
  <r>
    <s v="ORD-2024-836421"/>
    <s v="836421"/>
    <x v="1"/>
    <d v="2023-01-12T00:00:00"/>
    <n v="23"/>
    <d v="2024-12-14T00:00:00"/>
    <s v="Dec-2024"/>
    <x v="3"/>
    <s v="Q4-2024"/>
    <n v="29"/>
    <n v="29"/>
    <n v="0"/>
    <d v="2025-01-12T00:00:00"/>
    <d v="2025-01-12T00:00:00"/>
    <x v="1"/>
    <x v="4"/>
    <s v="Shenzhen"/>
    <s v="Education"/>
    <x v="4"/>
    <x v="10"/>
    <x v="1"/>
    <s v="CMP-3720"/>
    <n v="1412.15"/>
    <n v="1553.3650000000002"/>
    <n v="1631.04"/>
    <s v="Medium"/>
    <n v="8.9999999999999993E-3"/>
    <n v="8.9999999999999993E-3"/>
    <s v=""/>
    <n v="6"/>
    <n v="7.1999999999999993"/>
    <n v="8472.9000000000015"/>
    <n v="1545646.9975799995"/>
    <n v="862956.34426000004"/>
    <n v="0.55831399123546332"/>
    <s v="A"/>
    <n v="11184.228000000001"/>
    <n v="11637.796607999999"/>
    <n v="9698.1638399999993"/>
    <n v="1225.2638399999978"/>
    <n v="453.56860799999777"/>
    <n v="0.12633977526203535"/>
  </r>
  <r>
    <s v="ORD-2025-137394"/>
    <s v="137394"/>
    <x v="2"/>
    <d v="2023-01-29T00:00:00"/>
    <n v="23"/>
    <d v="2025-01-04T00:00:00"/>
    <s v="Jan-2025"/>
    <x v="1"/>
    <s v="Q1-2025"/>
    <n v="1"/>
    <n v="1"/>
    <n v="1"/>
    <d v="2025-01-05T00:00:00"/>
    <d v="2025-01-05T00:00:00"/>
    <x v="1"/>
    <x v="1"/>
    <s v="Delhi"/>
    <s v="Education"/>
    <x v="1"/>
    <x v="13"/>
    <x v="1"/>
    <s v="CMP-1156"/>
    <n v="1428.33"/>
    <n v="1571.163"/>
    <n v="3028.05"/>
    <s v="High"/>
    <n v="0"/>
    <n v="0"/>
    <s v=""/>
    <n v="11"/>
    <n v="13.2"/>
    <n v="15711.63"/>
    <n v="1545646.9975799995"/>
    <n v="896264.89426000009"/>
    <n v="0.57986389884835998"/>
    <s v="A"/>
    <n v="20739.351599999998"/>
    <n v="39970.26"/>
    <n v="33308.550000000003"/>
    <n v="17596.920000000006"/>
    <n v="19230.908400000004"/>
    <n v="0.52830039134096207"/>
  </r>
  <r>
    <s v="ORD-2025-125517"/>
    <s v="125517"/>
    <x v="2"/>
    <d v="2023-03-03T00:00:00"/>
    <n v="24"/>
    <d v="2025-03-21T00:00:00"/>
    <s v="Mar-2025"/>
    <x v="4"/>
    <s v="Q1-2025"/>
    <n v="19"/>
    <n v="19"/>
    <n v="0"/>
    <d v="2025-04-09T00:00:00"/>
    <d v="2025-04-09T00:00:00"/>
    <x v="1"/>
    <x v="3"/>
    <s v="Tokyo"/>
    <s v="Small Business"/>
    <x v="2"/>
    <x v="12"/>
    <x v="1"/>
    <s v="CMP-7055"/>
    <n v="1055.45"/>
    <n v="1160.9950000000001"/>
    <n v="1210.04"/>
    <s v="Medium"/>
    <n v="8.9999999999999993E-3"/>
    <n v="8.9999999999999993E-3"/>
    <s v=""/>
    <n v="18"/>
    <n v="21.599999999999998"/>
    <n v="18998.100000000002"/>
    <n v="1545646.9975799995"/>
    <n v="917849.58778000006"/>
    <n v="0.59382872623378158"/>
    <s v="A"/>
    <n v="25077.491999999998"/>
    <n v="25901.632223999997"/>
    <n v="21584.693520000001"/>
    <n v="2586.5935199999985"/>
    <n v="824.14022399999885"/>
    <n v="0.1198346188053727"/>
  </r>
  <r>
    <s v="ORD-2025-192876"/>
    <s v="192876"/>
    <x v="2"/>
    <d v="2023-01-19T00:00:00"/>
    <n v="24"/>
    <d v="2025-01-31T00:00:00"/>
    <s v="Jan-2025"/>
    <x v="1"/>
    <s v="Q1-2025"/>
    <n v="17"/>
    <n v="17"/>
    <n v="0"/>
    <d v="2025-02-17T00:00:00"/>
    <d v="2025-02-17T00:00:00"/>
    <x v="2"/>
    <x v="2"/>
    <s v="London"/>
    <s v="Enterprise"/>
    <x v="1"/>
    <x v="8"/>
    <x v="1"/>
    <s v="CMP-5820"/>
    <n v="378.26"/>
    <n v="416.08600000000001"/>
    <n v="541.55999999999995"/>
    <s v="Low"/>
    <n v="0.16300000000000001"/>
    <n v="0.1"/>
    <s v=""/>
    <n v="25"/>
    <n v="30"/>
    <n v="9456.5"/>
    <n v="1545646.9975799995"/>
    <n v="929181.7307800001"/>
    <n v="0.60116037635683217"/>
    <s v="A"/>
    <n v="12482.58"/>
    <n v="14622.119999999999"/>
    <n v="11332.142999999998"/>
    <n v="1875.6429999999982"/>
    <n v="2139.5399999999991"/>
    <n v="0.16551529573885526"/>
  </r>
  <r>
    <s v="ORD-2025-487261"/>
    <s v="487261"/>
    <x v="2"/>
    <d v="2023-01-29T00:00:00"/>
    <n v="25"/>
    <d v="2025-03-06T00:00:00"/>
    <s v="Mar-2025"/>
    <x v="4"/>
    <s v="Q1-2025"/>
    <n v="25"/>
    <n v="25"/>
    <n v="0"/>
    <d v="2025-03-31T00:00:00"/>
    <d v="2025-03-31T00:00:00"/>
    <x v="3"/>
    <x v="9"/>
    <s v="Brasília"/>
    <s v="Non-Profit"/>
    <x v="4"/>
    <x v="10"/>
    <x v="1"/>
    <s v="CMP-3693"/>
    <n v="331.57"/>
    <n v="364.72700000000003"/>
    <n v="548.4"/>
    <s v="Low"/>
    <n v="9.4E-2"/>
    <n v="9.4E-2"/>
    <s v=""/>
    <n v="10"/>
    <n v="12"/>
    <n v="3315.7"/>
    <n v="1545646.9975799995"/>
    <n v="934150.23478000006"/>
    <n v="0.60437489041326231"/>
    <s v="A"/>
    <n v="4376.7240000000002"/>
    <n v="5962.2047999999995"/>
    <n v="4968.5039999999999"/>
    <n v="1652.8040000000001"/>
    <n v="1585.4807999999994"/>
    <n v="0.33265626836568918"/>
  </r>
  <r>
    <s v="ORD-2025-705398"/>
    <s v="705398"/>
    <x v="2"/>
    <d v="2023-01-02T00:00:00"/>
    <n v="25"/>
    <d v="2025-02-17T00:00:00"/>
    <s v="Feb-2025"/>
    <x v="0"/>
    <s v="Q1-2025"/>
    <n v="-2"/>
    <n v="15"/>
    <n v="0"/>
    <d v="2025-02-15T00:00:00"/>
    <d v="2025-03-04T00:00:00"/>
    <x v="3"/>
    <x v="10"/>
    <s v="Toronto"/>
    <s v="Small Business"/>
    <x v="1"/>
    <x v="0"/>
    <x v="1"/>
    <s v="CMP-5065"/>
    <n v="1133.47"/>
    <n v="1246.8170000000002"/>
    <n v="1698.75"/>
    <s v="High"/>
    <n v="4.2999999999999997E-2"/>
    <n v="4.2999999999999997E-2"/>
    <s v=""/>
    <n v="5"/>
    <n v="6"/>
    <n v="5667.35"/>
    <n v="1545646.9975799995"/>
    <n v="942278.7535300001"/>
    <n v="0.60963386530385943"/>
    <s v="A"/>
    <n v="7480.9020000000019"/>
    <n v="9754.2224999999999"/>
    <n v="8128.5187499999993"/>
    <n v="2461.1687499999989"/>
    <n v="2273.320499999998"/>
    <n v="0.30278194904821976"/>
  </r>
  <r>
    <s v="ORD-2025-624006"/>
    <s v="624006"/>
    <x v="2"/>
    <d v="2023-01-29T00:00:00"/>
    <n v="25"/>
    <d v="2025-03-15T00:00:00"/>
    <s v="Mar-2025"/>
    <x v="4"/>
    <s v="Q1-2025"/>
    <n v="14"/>
    <n v="14"/>
    <n v="0"/>
    <d v="2025-03-29T00:00:00"/>
    <d v="2025-03-29T00:00:00"/>
    <x v="1"/>
    <x v="1"/>
    <s v="Mumbai"/>
    <s v="Enterprise"/>
    <x v="0"/>
    <x v="9"/>
    <x v="1"/>
    <s v="CMP-3259"/>
    <n v="935.83"/>
    <n v="1029.4130000000002"/>
    <n v="2303.46"/>
    <s v="High"/>
    <n v="0.105"/>
    <n v="0.1"/>
    <s v=""/>
    <n v="9"/>
    <n v="10.799999999999999"/>
    <n v="8422.4700000000012"/>
    <n v="1545646.9975799995"/>
    <n v="960833.12383000006"/>
    <n v="0.62163813945510504"/>
    <s v="A"/>
    <n v="11117.660400000001"/>
    <n v="22389.6312"/>
    <n v="18554.370299999999"/>
    <n v="10131.900299999998"/>
    <n v="11271.970799999999"/>
    <n v="0.54606543559174292"/>
  </r>
  <r>
    <s v="ORD-2025-487025"/>
    <s v="487025"/>
    <x v="2"/>
    <d v="2023-03-03T00:00:00"/>
    <n v="25"/>
    <d v="2025-04-11T00:00:00"/>
    <s v="Apr-2025"/>
    <x v="2"/>
    <s v="Q2-2025"/>
    <n v="23"/>
    <n v="23"/>
    <n v="0"/>
    <d v="2025-05-04T00:00:00"/>
    <d v="2025-05-04T00:00:00"/>
    <x v="1"/>
    <x v="3"/>
    <s v="Osaka"/>
    <s v="Small Business"/>
    <x v="4"/>
    <x v="6"/>
    <x v="1"/>
    <s v="CMP-3743"/>
    <n v="786.2"/>
    <n v="864.82000000000016"/>
    <n v="1075.3"/>
    <s v="Medium"/>
    <n v="0.08"/>
    <n v="0.08"/>
    <s v=""/>
    <n v="9"/>
    <n v="10.799999999999999"/>
    <n v="7075.8"/>
    <n v="1545646.9975799995"/>
    <n v="969736.60783000011"/>
    <n v="0.62739850001216624"/>
    <s v="A"/>
    <n v="9340.0560000000005"/>
    <n v="10684.180799999998"/>
    <n v="8903.4839999999986"/>
    <n v="1827.6839999999984"/>
    <n v="1344.1247999999978"/>
    <n v="0.20527739478163815"/>
  </r>
  <r>
    <s v="ORD-2025-169093"/>
    <s v="169093"/>
    <x v="2"/>
    <d v="2023-03-03T00:00:00"/>
    <n v="25"/>
    <d v="2025-04-13T00:00:00"/>
    <s v="Apr-2025"/>
    <x v="2"/>
    <s v="Q2-2025"/>
    <n v="1"/>
    <n v="1"/>
    <n v="1"/>
    <d v="2025-04-14T00:00:00"/>
    <d v="2025-04-14T00:00:00"/>
    <x v="1"/>
    <x v="3"/>
    <s v="Osaka"/>
    <s v="Enterprise"/>
    <x v="4"/>
    <x v="2"/>
    <x v="1"/>
    <s v="CMP-6495"/>
    <n v="138.9"/>
    <n v="152.79000000000002"/>
    <n v="289.92"/>
    <s v="Low"/>
    <n v="2.9000000000000001E-2"/>
    <n v="2.9000000000000001E-2"/>
    <s v=""/>
    <n v="12"/>
    <n v="14.399999999999999"/>
    <n v="1666.8000000000002"/>
    <n v="1545646.9975799995"/>
    <n v="973114.7556700001"/>
    <n v="0.62958408821263456"/>
    <s v="A"/>
    <n v="2200.1759999999999"/>
    <n v="4053.7774079999999"/>
    <n v="3378.1478400000001"/>
    <n v="1711.3478399999999"/>
    <n v="1853.601408"/>
    <n v="0.50659353025828491"/>
  </r>
  <r>
    <s v="ORD-2025-997421"/>
    <s v="997421"/>
    <x v="2"/>
    <d v="2023-01-29T00:00:00"/>
    <n v="27"/>
    <d v="2025-05-21T00:00:00"/>
    <s v="May-2025"/>
    <x v="5"/>
    <s v="Q2-2025"/>
    <n v="19"/>
    <n v="19"/>
    <n v="0"/>
    <d v="2025-06-09T00:00:00"/>
    <d v="2025-06-09T00:00:00"/>
    <x v="3"/>
    <x v="9"/>
    <s v="São Paulo"/>
    <s v="Non-Profit"/>
    <x v="4"/>
    <x v="3"/>
    <x v="1"/>
    <s v="CMP-3731"/>
    <n v="1331.38"/>
    <n v="1464.5180000000003"/>
    <n v="2309.56"/>
    <s v="High"/>
    <n v="0.14899999999999999"/>
    <n v="0.1"/>
    <s v=""/>
    <n v="31"/>
    <n v="37.199999999999996"/>
    <n v="41272.780000000006"/>
    <n v="1545646.9975799995"/>
    <n v="1034043.2580300001"/>
    <n v="0.66900350445411461"/>
    <s v="A"/>
    <n v="54480.069600000003"/>
    <n v="77324.068799999994"/>
    <n v="60928.502359999999"/>
    <n v="19655.722359999992"/>
    <n v="22843.999199999991"/>
    <n v="0.32260307735553528"/>
  </r>
  <r>
    <s v="ORD-2025-191328"/>
    <s v="191328"/>
    <x v="2"/>
    <d v="2023-01-02T00:00:00"/>
    <n v="28"/>
    <d v="2025-05-10T00:00:00"/>
    <s v="May-2025"/>
    <x v="5"/>
    <s v="Q2-2025"/>
    <n v="17"/>
    <n v="17"/>
    <n v="0"/>
    <d v="2025-05-27T00:00:00"/>
    <d v="2025-05-27T00:00:00"/>
    <x v="3"/>
    <x v="10"/>
    <s v="Vancouver"/>
    <s v="Education"/>
    <x v="0"/>
    <x v="9"/>
    <x v="1"/>
    <s v="CMP-9307"/>
    <n v="862.89"/>
    <n v="949.17900000000009"/>
    <n v="1426.03"/>
    <s v="Medium"/>
    <n v="5.6000000000000001E-2"/>
    <n v="5.6000000000000001E-2"/>
    <s v=""/>
    <n v="19"/>
    <n v="22.8"/>
    <n v="16394.91"/>
    <n v="1545646.9975799995"/>
    <n v="1059620.53211"/>
    <n v="0.68555144465006235"/>
    <s v="A"/>
    <n v="21641.281200000001"/>
    <n v="30692.728896000001"/>
    <n v="25577.274079999999"/>
    <n v="9182.3640799999994"/>
    <n v="9051.4476959999993"/>
    <n v="0.35900479665188778"/>
  </r>
  <r>
    <s v="ORD-2025-496178"/>
    <s v="496178"/>
    <x v="2"/>
    <d v="2023-03-03T00:00:00"/>
    <n v="28"/>
    <d v="2025-07-27T00:00:00"/>
    <s v="Jul-2025"/>
    <x v="7"/>
    <s v="Q3-2025"/>
    <n v="19"/>
    <n v="19"/>
    <n v="0"/>
    <d v="2025-08-15T00:00:00"/>
    <d v="2025-08-15T00:00:00"/>
    <x v="1"/>
    <x v="3"/>
    <s v="Tokyo"/>
    <s v="Small Business"/>
    <x v="3"/>
    <x v="10"/>
    <x v="1"/>
    <s v="CMP-5658"/>
    <n v="275.43"/>
    <n v="302.97300000000001"/>
    <n v="608.36"/>
    <s v="Low"/>
    <n v="0.25700000000000001"/>
    <n v="0.1"/>
    <s v=""/>
    <n v="4"/>
    <n v="4.8"/>
    <n v="1101.72"/>
    <n v="1545646.9975799995"/>
    <n v="1061428.57803"/>
    <n v="0.68672121104745498"/>
    <s v="A"/>
    <n v="1454.2704000000001"/>
    <n v="2628.1152000000002"/>
    <n v="1808.04592"/>
    <n v="706.32592"/>
    <n v="1173.8448000000001"/>
    <n v="0.39065706915231446"/>
  </r>
  <r>
    <s v="ORD-2025-114382"/>
    <s v="114382"/>
    <x v="2"/>
    <d v="2023-01-10T00:00:00"/>
    <n v="28"/>
    <d v="2025-05-14T00:00:00"/>
    <s v="May-2025"/>
    <x v="5"/>
    <s v="Q2-2025"/>
    <n v="10"/>
    <n v="10"/>
    <n v="0"/>
    <d v="2025-05-24T00:00:00"/>
    <d v="2025-05-24T00:00:00"/>
    <x v="2"/>
    <x v="5"/>
    <s v="Paris"/>
    <s v="Small Business"/>
    <x v="3"/>
    <x v="11"/>
    <x v="1"/>
    <s v="CMP-2865"/>
    <n v="170.39"/>
    <n v="187.429"/>
    <n v="388.04"/>
    <s v="Low"/>
    <n v="8.4000000000000005E-2"/>
    <n v="8.4000000000000005E-2"/>
    <s v=""/>
    <n v="15"/>
    <n v="18"/>
    <n v="2555.85"/>
    <n v="1545646.9975799995"/>
    <n v="1066760.2476299999"/>
    <n v="0.69017068535067405"/>
    <s v="A"/>
    <n v="3373.7220000000002"/>
    <n v="6398.0035200000002"/>
    <n v="5331.6696000000002"/>
    <n v="2775.8196000000003"/>
    <n v="3024.28152"/>
    <n v="0.52062858508711796"/>
  </r>
  <r>
    <s v="ORD-2025-231184"/>
    <s v="231184"/>
    <x v="2"/>
    <d v="2023-01-10T00:00:00"/>
    <n v="28"/>
    <d v="2025-06-01T00:00:00"/>
    <s v="Jun-2025"/>
    <x v="6"/>
    <s v="Q2-2025"/>
    <n v="5"/>
    <n v="5"/>
    <n v="1"/>
    <d v="2025-06-06T00:00:00"/>
    <d v="2025-06-06T00:00:00"/>
    <x v="2"/>
    <x v="5"/>
    <s v="Paris"/>
    <s v="Consumer"/>
    <x v="2"/>
    <x v="2"/>
    <x v="1"/>
    <s v="CMP-4093"/>
    <n v="379.45"/>
    <n v="417.39500000000004"/>
    <n v="742.23"/>
    <s v="Low"/>
    <n v="0.09"/>
    <n v="0.09"/>
    <s v=""/>
    <n v="13"/>
    <n v="15.6"/>
    <n v="4932.8499999999995"/>
    <n v="1545646.9975799995"/>
    <n v="1075540.8285299998"/>
    <n v="0.69585153027435165"/>
    <s v="A"/>
    <n v="6511.3620000000001"/>
    <n v="10536.69708"/>
    <n v="8780.5809000000008"/>
    <n v="3847.7309000000014"/>
    <n v="4025.3350799999998"/>
    <n v="0.43820915083192286"/>
  </r>
  <r>
    <s v="ORD-2025-795385"/>
    <s v="795385"/>
    <x v="2"/>
    <d v="2023-01-22T00:00:00"/>
    <n v="28"/>
    <d v="2025-06-01T00:00:00"/>
    <s v="Jun-2025"/>
    <x v="6"/>
    <s v="Q2-2025"/>
    <n v="4"/>
    <n v="4"/>
    <n v="1"/>
    <d v="2025-06-05T00:00:00"/>
    <d v="2025-06-05T00:00:00"/>
    <x v="2"/>
    <x v="7"/>
    <s v="Munich"/>
    <s v="Enterprise"/>
    <x v="0"/>
    <x v="6"/>
    <x v="1"/>
    <s v="CMP-4159"/>
    <n v="1171.42"/>
    <n v="1288.5620000000001"/>
    <n v="2187.8000000000002"/>
    <s v="High"/>
    <n v="0.23"/>
    <n v="0.1"/>
    <s v=""/>
    <n v="15"/>
    <n v="18"/>
    <n v="17571.300000000003"/>
    <n v="1545646.9975799995"/>
    <n v="1100809.9185299999"/>
    <n v="0.71220008207147201"/>
    <s v="A"/>
    <n v="23194.116000000002"/>
    <n v="35442.36"/>
    <n v="25269.09"/>
    <n v="7697.7899999999972"/>
    <n v="12248.243999999999"/>
    <n v="0.30463265594447592"/>
  </r>
  <r>
    <s v="ORD-2025-779659"/>
    <s v="779659"/>
    <x v="2"/>
    <d v="2023-01-12T00:00:00"/>
    <n v="29"/>
    <d v="2025-07-03T00:00:00"/>
    <s v="Jul-2025"/>
    <x v="7"/>
    <s v="Q3-2025"/>
    <n v="20"/>
    <n v="20"/>
    <n v="0"/>
    <d v="2025-07-23T00:00:00"/>
    <d v="2025-07-23T00:00:00"/>
    <x v="1"/>
    <x v="4"/>
    <s v="Beijing"/>
    <s v="Small Business"/>
    <x v="4"/>
    <x v="6"/>
    <x v="1"/>
    <s v="CMP-1220"/>
    <n v="647.36"/>
    <n v="712.09600000000012"/>
    <n v="1383.6"/>
    <s v="Medium"/>
    <n v="7.3999999999999996E-2"/>
    <n v="7.3999999999999996E-2"/>
    <s v=""/>
    <n v="12"/>
    <n v="14.399999999999999"/>
    <n v="7768.32"/>
    <n v="1545646.9975799995"/>
    <n v="1116184.4817299999"/>
    <n v="0.72214709016845124"/>
    <s v="A"/>
    <n v="10254.182400000002"/>
    <n v="18449.475839999999"/>
    <n v="15374.563199999999"/>
    <n v="7606.243199999999"/>
    <n v="8195.2934399999976"/>
    <n v="0.49472906000997802"/>
  </r>
  <r>
    <s v="ORD-2025-718992"/>
    <s v="718992"/>
    <x v="2"/>
    <d v="2023-01-12T00:00:00"/>
    <n v="29"/>
    <d v="2025-06-24T00:00:00"/>
    <s v="Jun-2025"/>
    <x v="6"/>
    <s v="Q2-2025"/>
    <n v="16"/>
    <n v="16"/>
    <n v="0"/>
    <d v="2025-07-10T00:00:00"/>
    <d v="2025-07-10T00:00:00"/>
    <x v="1"/>
    <x v="4"/>
    <s v="Shanghai"/>
    <s v="Enterprise"/>
    <x v="0"/>
    <x v="14"/>
    <x v="1"/>
    <s v="CMP-8390"/>
    <n v="757.19"/>
    <n v="832.90900000000011"/>
    <n v="1735.41"/>
    <s v="High"/>
    <n v="0.13600000000000001"/>
    <n v="0.1"/>
    <s v=""/>
    <n v="8"/>
    <n v="9.6"/>
    <n v="6057.52"/>
    <n v="1545646.9975799995"/>
    <n v="1128179.6356499998"/>
    <n v="0.7299076939407102"/>
    <s v="A"/>
    <n v="7995.9264000000003"/>
    <n v="14993.942400000002"/>
    <n v="11995.153920000001"/>
    <n v="5937.6339200000002"/>
    <n v="6998.0160000000014"/>
    <n v="0.4950027285685718"/>
  </r>
  <r>
    <s v="ORD-2023-632893"/>
    <s v="632893"/>
    <x v="0"/>
    <d v="2023-01-15T00:00:00"/>
    <n v="3"/>
    <d v="2023-05-07T00:00:00"/>
    <s v="May-2023"/>
    <x v="5"/>
    <s v="Q2-2023"/>
    <n v="-2"/>
    <n v="15"/>
    <n v="0"/>
    <d v="2023-05-05T00:00:00"/>
    <d v="2023-05-22T00:00:00"/>
    <x v="0"/>
    <x v="0"/>
    <s v="Port Harcourt"/>
    <s v="Non-Profit"/>
    <x v="3"/>
    <x v="3"/>
    <x v="1"/>
    <s v="CMP-9392"/>
    <n v="1269.6500000000001"/>
    <n v="1396.6150000000002"/>
    <n v="2462.77"/>
    <s v="High"/>
    <n v="0.107"/>
    <n v="0.1"/>
    <s v=""/>
    <n v="8"/>
    <n v="9.6"/>
    <n v="10157.200000000001"/>
    <n v="1545646.9975799995"/>
    <n v="1145773.66453"/>
    <n v="0.74129064807418754"/>
    <s v="A"/>
    <n v="13407.504000000003"/>
    <n v="21278.3328"/>
    <n v="17594.028880000002"/>
    <n v="7436.8288800000009"/>
    <n v="7870.8287999999975"/>
    <n v="0.42269050089225502"/>
  </r>
  <r>
    <s v="ORD-2023-125739"/>
    <s v="125739"/>
    <x v="0"/>
    <d v="2023-01-15T00:00:00"/>
    <n v="3"/>
    <d v="2023-05-01T00:00:00"/>
    <s v="May-2023"/>
    <x v="5"/>
    <s v="Q2-2023"/>
    <n v="17"/>
    <n v="17"/>
    <n v="0"/>
    <d v="2023-05-18T00:00:00"/>
    <d v="2023-05-18T00:00:00"/>
    <x v="0"/>
    <x v="0"/>
    <s v="Port Harcourt"/>
    <s v="Corporate"/>
    <x v="0"/>
    <x v="5"/>
    <x v="1"/>
    <s v="CMP-5633"/>
    <n v="327.97"/>
    <n v="360.76700000000005"/>
    <n v="299.94"/>
    <s v="Low"/>
    <n v="4.9000000000000002E-2"/>
    <n v="4.9000000000000002E-2"/>
    <s v=""/>
    <n v="3"/>
    <n v="3.5999999999999996"/>
    <n v="983.91000000000008"/>
    <n v="1545646.9975799995"/>
    <n v="1146629.39335"/>
    <n v="0.74184428601437691"/>
    <s v="A"/>
    <n v="1298.7612000000001"/>
    <n v="1026.8745839999999"/>
    <n v="855.72881999999993"/>
    <n v="-128.18118000000015"/>
    <n v="-271.88661600000023"/>
    <n v="-0.14979182306843442"/>
  </r>
  <r>
    <s v="ORD-2023-809913"/>
    <s v="809913"/>
    <x v="0"/>
    <d v="2023-01-12T00:00:00"/>
    <n v="3"/>
    <d v="2023-04-21T00:00:00"/>
    <s v="Apr-2023"/>
    <x v="2"/>
    <s v="Q2-2023"/>
    <n v="19"/>
    <n v="19"/>
    <n v="0"/>
    <d v="2023-05-10T00:00:00"/>
    <d v="2023-05-10T00:00:00"/>
    <x v="1"/>
    <x v="4"/>
    <s v="Shanghai"/>
    <s v="Corporate"/>
    <x v="1"/>
    <x v="3"/>
    <x v="1"/>
    <s v="CMP-7371"/>
    <n v="882.33"/>
    <n v="970.5630000000001"/>
    <n v="1880.15"/>
    <s v="High"/>
    <n v="0.05"/>
    <n v="0.05"/>
    <s v=""/>
    <n v="5"/>
    <n v="6"/>
    <n v="4411.6500000000005"/>
    <n v="1545646.9975799995"/>
    <n v="1155560.1058499999"/>
    <n v="0.74762226281890121"/>
    <s v="A"/>
    <n v="5823.3780000000006"/>
    <n v="10716.855000000001"/>
    <n v="8930.7124999999996"/>
    <n v="4519.0624999999991"/>
    <n v="4893.4770000000008"/>
    <n v="0.50601365792482955"/>
  </r>
  <r>
    <s v="ORD-2023-340056"/>
    <s v="340056"/>
    <x v="0"/>
    <d v="2023-01-10T00:00:00"/>
    <n v="3"/>
    <d v="2023-04-26T00:00:00"/>
    <s v="Apr-2023"/>
    <x v="2"/>
    <s v="Q2-2023"/>
    <n v="0"/>
    <n v="0"/>
    <n v="1"/>
    <d v="2023-04-26T00:00:00"/>
    <d v="2023-04-26T00:00:00"/>
    <x v="2"/>
    <x v="5"/>
    <s v="Marseille"/>
    <s v="Consumer"/>
    <x v="0"/>
    <x v="6"/>
    <x v="1"/>
    <s v="CMP-4945"/>
    <n v="81.489999999999995"/>
    <n v="89.638999999999996"/>
    <n v="113.08"/>
    <s v="Low"/>
    <n v="0.121"/>
    <n v="0.1"/>
    <s v=""/>
    <n v="5"/>
    <n v="6"/>
    <n v="407.45"/>
    <n v="1545646.9975799995"/>
    <n v="1156057.0924499999"/>
    <n v="0.74794380234298274"/>
    <s v="A"/>
    <n v="537.83399999999995"/>
    <n v="610.63200000000006"/>
    <n v="496.98660000000001"/>
    <n v="89.536600000000021"/>
    <n v="72.798000000000116"/>
    <n v="0.18015898215364362"/>
  </r>
  <r>
    <s v="ORD-2025-863978"/>
    <s v="863978"/>
    <x v="2"/>
    <d v="2023-01-20T00:00:00"/>
    <n v="30"/>
    <d v="2025-08-07T00:00:00"/>
    <s v="Aug-2025"/>
    <x v="8"/>
    <s v="Q3-2025"/>
    <n v="12"/>
    <n v="12"/>
    <n v="0"/>
    <d v="2025-08-19T00:00:00"/>
    <d v="2025-08-19T00:00:00"/>
    <x v="0"/>
    <x v="8"/>
    <s v="Nakuru"/>
    <s v="Corporate"/>
    <x v="0"/>
    <x v="6"/>
    <x v="1"/>
    <s v="CMP-2854"/>
    <n v="601.51"/>
    <n v="661.66100000000006"/>
    <n v="679.35"/>
    <s v="Low"/>
    <n v="0.188"/>
    <n v="0.1"/>
    <s v=""/>
    <n v="3"/>
    <n v="3.5999999999999996"/>
    <n v="1804.53"/>
    <n v="1545646.9975799995"/>
    <n v="1157711.98905"/>
    <n v="0.74901448446030394"/>
    <s v="A"/>
    <n v="2381.9796000000001"/>
    <n v="2201.0940000000001"/>
    <n v="1654.8966000000003"/>
    <n v="-149.63339999999971"/>
    <n v="-180.88560000000007"/>
    <n v="-9.0418579626062243E-2"/>
  </r>
  <r>
    <s v="ORD-2025-132174"/>
    <s v="132174"/>
    <x v="2"/>
    <d v="2023-01-02T00:00:00"/>
    <n v="30"/>
    <d v="2025-07-17T00:00:00"/>
    <s v="Jul-2025"/>
    <x v="7"/>
    <s v="Q3-2025"/>
    <n v="6"/>
    <n v="6"/>
    <n v="1"/>
    <d v="2025-07-23T00:00:00"/>
    <d v="2025-07-23T00:00:00"/>
    <x v="3"/>
    <x v="10"/>
    <s v="Vancouver"/>
    <s v="Consumer"/>
    <x v="4"/>
    <x v="8"/>
    <x v="1"/>
    <s v="CMP-8851"/>
    <n v="1364.89"/>
    <n v="1501.3790000000001"/>
    <n v="2757.54"/>
    <s v="High"/>
    <n v="0.17199999999999999"/>
    <n v="0.1"/>
    <s v=""/>
    <n v="61"/>
    <n v="73.2"/>
    <n v="83258.290000000008"/>
    <n v="1545646.9975799995"/>
    <n v="1296989.8193699999"/>
    <n v="0.83912421232058865"/>
    <s v="B"/>
    <n v="109900.94280000002"/>
    <n v="181666.73520000002"/>
    <n v="139277.83032000001"/>
    <n v="56019.54032"/>
    <n v="71765.792400000006"/>
    <n v="0.4022143379983118"/>
  </r>
  <r>
    <s v="ORD-2025-779574"/>
    <s v="779574"/>
    <x v="2"/>
    <d v="2023-03-03T00:00:00"/>
    <n v="30"/>
    <d v="2025-09-10T00:00:00"/>
    <s v="Sept-2025"/>
    <x v="11"/>
    <s v="Q3-2025"/>
    <n v="2"/>
    <n v="2"/>
    <n v="1"/>
    <d v="2025-09-12T00:00:00"/>
    <d v="2025-09-12T00:00:00"/>
    <x v="1"/>
    <x v="3"/>
    <s v="Tokyo"/>
    <s v="Consumer"/>
    <x v="4"/>
    <x v="7"/>
    <x v="1"/>
    <s v="CMP-6971"/>
    <n v="1470.15"/>
    <n v="1617.1650000000002"/>
    <n v="2593.7800000000002"/>
    <s v="High"/>
    <n v="0.11"/>
    <n v="0.1"/>
    <s v=""/>
    <n v="12"/>
    <n v="14.399999999999999"/>
    <n v="17641.800000000003"/>
    <n v="1545646.9975799995"/>
    <n v="1324691.38977"/>
    <n v="0.85704652604640841"/>
    <s v="B"/>
    <n v="23287.175999999999"/>
    <n v="33615.388800000001"/>
    <n v="27701.570400000001"/>
    <n v="10059.770399999998"/>
    <n v="10328.212800000001"/>
    <n v="0.36314801849645306"/>
  </r>
  <r>
    <s v="ORD-2025-537785"/>
    <s v="537785"/>
    <x v="2"/>
    <d v="2023-01-19T00:00:00"/>
    <n v="30"/>
    <d v="2025-08-05T00:00:00"/>
    <s v="Aug-2025"/>
    <x v="8"/>
    <s v="Q3-2025"/>
    <n v="9"/>
    <n v="9"/>
    <n v="0"/>
    <d v="2025-08-14T00:00:00"/>
    <d v="2025-08-14T00:00:00"/>
    <x v="2"/>
    <x v="2"/>
    <s v="London"/>
    <s v="Non-Profit"/>
    <x v="0"/>
    <x v="12"/>
    <x v="1"/>
    <s v="CMP-6346"/>
    <n v="41.76"/>
    <n v="45.936"/>
    <n v="45.19"/>
    <s v="Low"/>
    <n v="0.17899999999999999"/>
    <n v="0.1"/>
    <s v=""/>
    <n v="23"/>
    <n v="27.599999999999998"/>
    <n v="960.4799999999999"/>
    <n v="1545646.9975799995"/>
    <n v="1325544.71254"/>
    <n v="0.85759860732456317"/>
    <s v="B"/>
    <n v="1267.8335999999999"/>
    <n v="1122.5195999999999"/>
    <n v="853.32276999999988"/>
    <n v="-107.15723000000003"/>
    <n v="-145.31400000000008"/>
    <n v="-0.12557643340514638"/>
  </r>
  <r>
    <s v="ORD-2025-762212"/>
    <s v="762212"/>
    <x v="2"/>
    <d v="2023-01-20T00:00:00"/>
    <n v="31"/>
    <d v="2025-08-25T00:00:00"/>
    <s v="Aug-2025"/>
    <x v="8"/>
    <s v="Q3-2025"/>
    <n v="30"/>
    <n v="30"/>
    <n v="0"/>
    <d v="2025-09-24T00:00:00"/>
    <d v="2025-09-24T00:00:00"/>
    <x v="0"/>
    <x v="8"/>
    <s v="Nairobi"/>
    <s v="Consumer"/>
    <x v="0"/>
    <x v="1"/>
    <x v="1"/>
    <s v="CMP-4970"/>
    <n v="589.14"/>
    <n v="648.05400000000009"/>
    <n v="1300.58"/>
    <s v="Medium"/>
    <n v="5.5E-2"/>
    <n v="5.5E-2"/>
    <s v=""/>
    <n v="11"/>
    <n v="13.2"/>
    <n v="6480.54"/>
    <n v="1545646.9975799995"/>
    <n v="1339064.2416399999"/>
    <n v="0.86634544869336683"/>
    <s v="B"/>
    <n v="8554.3128000000015"/>
    <n v="16223.434919999998"/>
    <n v="13519.529099999998"/>
    <n v="7038.989099999998"/>
    <n v="7669.1221199999964"/>
    <n v="0.52065342275863724"/>
  </r>
  <r>
    <s v="ORD-2025-993993"/>
    <s v="993993"/>
    <x v="2"/>
    <d v="2023-01-10T00:00:00"/>
    <n v="31"/>
    <d v="2025-08-30T00:00:00"/>
    <s v="Aug-2025"/>
    <x v="8"/>
    <s v="Q3-2025"/>
    <n v="23"/>
    <n v="23"/>
    <n v="0"/>
    <d v="2025-09-22T00:00:00"/>
    <d v="2025-09-22T00:00:00"/>
    <x v="2"/>
    <x v="5"/>
    <s v="Marseille"/>
    <s v="Corporate"/>
    <x v="0"/>
    <x v="12"/>
    <x v="1"/>
    <s v="CMP-5311"/>
    <n v="663.9"/>
    <n v="730.29000000000008"/>
    <n v="947.77"/>
    <s v="Medium"/>
    <n v="0.17399999999999999"/>
    <n v="0.1"/>
    <s v=""/>
    <n v="15"/>
    <n v="18"/>
    <n v="9958.5"/>
    <n v="1545646.9975799995"/>
    <n v="1350807.11194"/>
    <n v="0.87394283044895893"/>
    <s v="B"/>
    <n v="13145.220000000001"/>
    <n v="15353.874000000002"/>
    <n v="11742.8703"/>
    <n v="1784.3703000000005"/>
    <n v="2208.6540000000005"/>
    <n v="0.1519535049280073"/>
  </r>
  <r>
    <s v="ORD-2025-588029"/>
    <s v="588029"/>
    <x v="2"/>
    <d v="2023-01-07T00:00:00"/>
    <n v="32"/>
    <d v="2025-09-14T00:00:00"/>
    <s v="Sept-2025"/>
    <x v="11"/>
    <s v="Q3-2025"/>
    <n v="9"/>
    <n v="9"/>
    <n v="0"/>
    <d v="2025-09-23T00:00:00"/>
    <d v="2025-09-23T00:00:00"/>
    <x v="0"/>
    <x v="6"/>
    <s v="Durban"/>
    <s v="Non-Profit"/>
    <x v="4"/>
    <x v="0"/>
    <x v="1"/>
    <s v="CMP-6898"/>
    <n v="1310.3"/>
    <n v="1441.3300000000002"/>
    <n v="2875.8"/>
    <s v="High"/>
    <n v="8.3000000000000004E-2"/>
    <n v="8.3000000000000004E-2"/>
    <s v=""/>
    <n v="5"/>
    <n v="6"/>
    <n v="6551.5"/>
    <n v="1545646.9975799995"/>
    <n v="1363992.65494"/>
    <n v="0.88247359007301573"/>
    <s v="B"/>
    <n v="8647.9800000000014"/>
    <n v="15822.651600000003"/>
    <n v="13185.543"/>
    <n v="6634.0429999999997"/>
    <n v="7174.6716000000015"/>
    <n v="0.50313005691157353"/>
  </r>
  <r>
    <s v="ORD-2023-638181"/>
    <s v="638181"/>
    <x v="0"/>
    <d v="2023-01-15T00:00:00"/>
    <n v="4"/>
    <d v="2023-05-20T00:00:00"/>
    <s v="May-2023"/>
    <x v="5"/>
    <s v="Q2-2023"/>
    <n v="18"/>
    <n v="18"/>
    <n v="0"/>
    <d v="2023-06-07T00:00:00"/>
    <d v="2023-06-07T00:00:00"/>
    <x v="0"/>
    <x v="0"/>
    <s v="Port Harcourt"/>
    <s v="Enterprise"/>
    <x v="2"/>
    <x v="12"/>
    <x v="1"/>
    <s v="CMP-4630"/>
    <n v="1120.06"/>
    <n v="1232.066"/>
    <n v="2068.21"/>
    <s v="High"/>
    <n v="7.8E-2"/>
    <n v="7.8E-2"/>
    <s v=""/>
    <n v="12"/>
    <n v="14.399999999999999"/>
    <n v="13440.72"/>
    <n v="1545646.9975799995"/>
    <n v="1386875.3303799999"/>
    <n v="0.89727818353829403"/>
    <s v="B"/>
    <n v="17741.750399999997"/>
    <n v="27459.210528"/>
    <n v="22882.675440000003"/>
    <n v="9441.9554400000034"/>
    <n v="9717.4601280000024"/>
    <n v="0.41262462795303284"/>
  </r>
  <r>
    <s v="ORD-2023-382272"/>
    <s v="382272"/>
    <x v="0"/>
    <d v="2023-01-07T00:00:00"/>
    <n v="4"/>
    <d v="2023-05-20T00:00:00"/>
    <s v="May-2023"/>
    <x v="5"/>
    <s v="Q2-2023"/>
    <n v="-2"/>
    <n v="15"/>
    <n v="0"/>
    <d v="2023-05-18T00:00:00"/>
    <d v="2023-06-04T00:00:00"/>
    <x v="0"/>
    <x v="6"/>
    <s v="Durban"/>
    <s v="Corporate"/>
    <x v="2"/>
    <x v="3"/>
    <x v="1"/>
    <s v="CMP-5208"/>
    <n v="917.88"/>
    <n v="1009.6680000000001"/>
    <n v="1347.92"/>
    <s v="Medium"/>
    <n v="0.34300000000000003"/>
    <n v="0.1"/>
    <s v="&gt;0.3"/>
    <n v="5"/>
    <n v="6"/>
    <n v="4589.3999999999996"/>
    <n v="1545646.9975799995"/>
    <n v="1391303.24758"/>
    <n v="0.90014294968925401"/>
    <s v="B"/>
    <n v="6058.0080000000007"/>
    <n v="7278.7680000000009"/>
    <n v="4427.9172000000008"/>
    <n v="-161.48279999999886"/>
    <n v="1220.7600000000002"/>
    <n v="-3.6469245630880096E-2"/>
  </r>
  <r>
    <s v="ORD-2023-244375"/>
    <s v="244375"/>
    <x v="0"/>
    <d v="2023-01-29T00:00:00"/>
    <n v="4"/>
    <d v="2023-06-03T00:00:00"/>
    <s v="Jun-2023"/>
    <x v="6"/>
    <s v="Q2-2023"/>
    <n v="28"/>
    <n v="28"/>
    <n v="0"/>
    <d v="2023-07-01T00:00:00"/>
    <d v="2023-07-01T00:00:00"/>
    <x v="3"/>
    <x v="9"/>
    <s v="Brasília"/>
    <s v="Small Business"/>
    <x v="3"/>
    <x v="3"/>
    <x v="1"/>
    <s v="CMP-1223"/>
    <n v="860.4"/>
    <n v="946.44"/>
    <n v="2066.6"/>
    <s v="High"/>
    <n v="0.01"/>
    <n v="0.01"/>
    <s v=""/>
    <n v="3"/>
    <n v="3.5999999999999996"/>
    <n v="2581.1999999999998"/>
    <n v="1545646.9975799995"/>
    <n v="1397441.0495799999"/>
    <n v="0.9041139741273112"/>
    <s v="B"/>
    <n v="3407.1839999999997"/>
    <n v="7365.3623999999991"/>
    <n v="6137.8019999999988"/>
    <n v="3556.601999999999"/>
    <n v="3958.1783999999993"/>
    <n v="0.57945857491004105"/>
  </r>
  <r>
    <s v="ORD-2023-603650"/>
    <s v="603650"/>
    <x v="0"/>
    <d v="2023-01-12T00:00:00"/>
    <n v="4"/>
    <d v="2023-05-23T00:00:00"/>
    <s v="May-2023"/>
    <x v="5"/>
    <s v="Q2-2023"/>
    <n v="18"/>
    <n v="18"/>
    <n v="0"/>
    <d v="2023-06-10T00:00:00"/>
    <d v="2023-06-10T00:00:00"/>
    <x v="1"/>
    <x v="4"/>
    <s v="Shanghai"/>
    <s v="Corporate"/>
    <x v="2"/>
    <x v="12"/>
    <x v="1"/>
    <s v="CMP-6925"/>
    <n v="54.62"/>
    <n v="60.082000000000001"/>
    <n v="48.94"/>
    <s v="Low"/>
    <n v="0.14799999999999999"/>
    <n v="0.1"/>
    <s v=""/>
    <n v="16"/>
    <n v="19.2"/>
    <n v="873.92"/>
    <n v="1545646.9975799995"/>
    <n v="1398108.1996599999"/>
    <n v="0.90454560572304077"/>
    <s v="B"/>
    <n v="1153.5744"/>
    <n v="845.68319999999994"/>
    <n v="667.15008"/>
    <n v="-206.76991999999996"/>
    <n v="-307.89120000000003"/>
    <n v="-0.3099301434543783"/>
  </r>
  <r>
    <s v="ORD-2023-539967"/>
    <s v="539967"/>
    <x v="0"/>
    <d v="2023-03-03T00:00:00"/>
    <n v="4"/>
    <d v="2023-07-09T00:00:00"/>
    <s v="Jul-2023"/>
    <x v="7"/>
    <s v="Q3-2023"/>
    <n v="10"/>
    <n v="10"/>
    <n v="0"/>
    <d v="2023-07-19T00:00:00"/>
    <d v="2023-07-19T00:00:00"/>
    <x v="1"/>
    <x v="3"/>
    <s v="Tokyo"/>
    <s v="Enterprise"/>
    <x v="2"/>
    <x v="14"/>
    <x v="1"/>
    <s v="CMP-6649"/>
    <n v="141.26"/>
    <n v="155.386"/>
    <n v="206.88"/>
    <s v="Low"/>
    <n v="0.107"/>
    <n v="0.1"/>
    <s v=""/>
    <n v="9"/>
    <n v="10.799999999999999"/>
    <n v="1271.3399999999999"/>
    <n v="1545646.9975799995"/>
    <n v="1399770.8942199999"/>
    <n v="0.90562133295092861"/>
    <s v="B"/>
    <n v="1678.1687999999997"/>
    <n v="2010.8735999999997"/>
    <n v="1662.6945600000001"/>
    <n v="391.35456000000022"/>
    <n v="332.70479999999998"/>
    <n v="0.23537369365062469"/>
  </r>
  <r>
    <s v="ORD-2023-927385"/>
    <s v="927385"/>
    <x v="0"/>
    <d v="2023-01-19T00:00:00"/>
    <n v="4"/>
    <d v="2023-05-29T00:00:00"/>
    <s v="May-2023"/>
    <x v="5"/>
    <s v="Q2-2023"/>
    <n v="22"/>
    <n v="22"/>
    <n v="0"/>
    <d v="2023-06-20T00:00:00"/>
    <d v="2023-06-20T00:00:00"/>
    <x v="2"/>
    <x v="2"/>
    <s v="London"/>
    <s v="Small Business"/>
    <x v="0"/>
    <x v="11"/>
    <x v="1"/>
    <s v="CMP-8545"/>
    <n v="1295.3900000000001"/>
    <n v="1424.9290000000003"/>
    <n v="2905.06"/>
    <s v="High"/>
    <n v="0.14799999999999999"/>
    <n v="0.1"/>
    <s v=""/>
    <n v="8"/>
    <n v="9.6"/>
    <n v="10363.120000000001"/>
    <n v="1545646.9975799995"/>
    <n v="1419571.7831799998"/>
    <n v="0.91843207757179091"/>
    <s v="B"/>
    <n v="13679.318400000002"/>
    <n v="25099.718399999998"/>
    <n v="19800.88896"/>
    <n v="9437.7689599999994"/>
    <n v="11420.399999999996"/>
    <n v="0.47663359857556614"/>
  </r>
  <r>
    <s v="ORD-2023-290279"/>
    <s v="290279"/>
    <x v="0"/>
    <d v="2023-01-19T00:00:00"/>
    <n v="4"/>
    <d v="2023-06-14T00:00:00"/>
    <s v="Jun-2023"/>
    <x v="6"/>
    <s v="Q2-2023"/>
    <n v="2"/>
    <n v="2"/>
    <n v="1"/>
    <d v="2023-06-16T00:00:00"/>
    <d v="2023-06-16T00:00:00"/>
    <x v="2"/>
    <x v="2"/>
    <s v="Manchester"/>
    <s v="Non-Profit"/>
    <x v="0"/>
    <x v="11"/>
    <x v="1"/>
    <s v="CMP-5820"/>
    <n v="357.36"/>
    <n v="393.09600000000006"/>
    <n v="703.62"/>
    <s v="Low"/>
    <n v="0.25700000000000001"/>
    <n v="0.1"/>
    <s v=""/>
    <n v="20"/>
    <n v="24"/>
    <n v="7147.2000000000007"/>
    <n v="1545646.9975799995"/>
    <n v="1430027.5763799998"/>
    <n v="0.92519674842895971"/>
    <s v="B"/>
    <n v="9434.3040000000019"/>
    <n v="15198.192000000001"/>
    <n v="10455.7932"/>
    <n v="3308.5931999999993"/>
    <n v="5763.887999999999"/>
    <n v="0.31643636563125593"/>
  </r>
  <r>
    <s v="ORD-2023-920483"/>
    <s v="920483"/>
    <x v="0"/>
    <d v="2023-01-19T00:00:00"/>
    <n v="5"/>
    <d v="2023-07-02T00:00:00"/>
    <s v="Jul-2023"/>
    <x v="7"/>
    <s v="Q3-2023"/>
    <n v="30"/>
    <n v="30"/>
    <n v="0"/>
    <d v="2023-08-01T00:00:00"/>
    <d v="2023-08-01T00:00:00"/>
    <x v="2"/>
    <x v="2"/>
    <s v="Birmingham"/>
    <s v="Small Business"/>
    <x v="1"/>
    <x v="1"/>
    <x v="1"/>
    <s v="CMP-7256"/>
    <n v="137.46"/>
    <n v="151.20600000000002"/>
    <n v="188.3"/>
    <s v="Low"/>
    <n v="3.7999999999999999E-2"/>
    <n v="3.7999999999999999E-2"/>
    <s v=""/>
    <n v="37"/>
    <n v="44.4"/>
    <n v="5086.0200000000004"/>
    <n v="1545646.9975799995"/>
    <n v="1436729.9265799997"/>
    <n v="0.92953302327728782"/>
    <s v="B"/>
    <n v="6713.5464000000002"/>
    <n v="8042.82024"/>
    <n v="6702.3501999999999"/>
    <n v="1616.3301999999994"/>
    <n v="1329.2738399999998"/>
    <n v="0.24115872071262398"/>
  </r>
  <r>
    <s v="ORD-2023-369150"/>
    <s v="369150"/>
    <x v="0"/>
    <d v="2023-01-07T00:00:00"/>
    <n v="6"/>
    <d v="2023-07-18T00:00:00"/>
    <s v="Jul-2023"/>
    <x v="7"/>
    <s v="Q3-2023"/>
    <n v="23"/>
    <n v="23"/>
    <n v="0"/>
    <d v="2023-08-10T00:00:00"/>
    <d v="2023-08-10T00:00:00"/>
    <x v="0"/>
    <x v="6"/>
    <s v="Johannesburg"/>
    <s v="Small Business"/>
    <x v="1"/>
    <x v="4"/>
    <x v="1"/>
    <s v="CMP-8659"/>
    <n v="1271.56"/>
    <n v="1398.7160000000001"/>
    <n v="995.47"/>
    <s v="Medium"/>
    <n v="0.192"/>
    <n v="0.1"/>
    <s v=""/>
    <n v="13"/>
    <n v="15.6"/>
    <n v="16530.28"/>
    <n v="1545646.9975799995"/>
    <n v="1447186.3434599997"/>
    <n v="0.93629809764185579"/>
    <s v="B"/>
    <n v="21819.9696"/>
    <n v="13976.398800000001"/>
    <n v="10456.416880000001"/>
    <n v="-6073.8631199999982"/>
    <n v="-7843.5707999999995"/>
    <n v="-0.58087423155607754"/>
  </r>
  <r>
    <s v="ORD-2023-450877"/>
    <s v="450877"/>
    <x v="0"/>
    <d v="2023-03-03T00:00:00"/>
    <n v="6"/>
    <d v="2023-09-21T00:00:00"/>
    <s v="Sept-2023"/>
    <x v="11"/>
    <s v="Q3-2023"/>
    <n v="19"/>
    <n v="19"/>
    <n v="0"/>
    <d v="2023-10-10T00:00:00"/>
    <d v="2023-10-10T00:00:00"/>
    <x v="1"/>
    <x v="3"/>
    <s v="Tokyo"/>
    <s v="Education"/>
    <x v="4"/>
    <x v="0"/>
    <x v="1"/>
    <s v="CMP-5211"/>
    <n v="845.63"/>
    <n v="930.1930000000001"/>
    <n v="2062.12"/>
    <s v="High"/>
    <n v="0.13400000000000001"/>
    <n v="0.1"/>
    <s v=""/>
    <n v="5"/>
    <n v="6"/>
    <n v="4228.1499999999996"/>
    <n v="1545646.9975799995"/>
    <n v="1456115.3230599996"/>
    <n v="0.94207495329775914"/>
    <s v="B"/>
    <n v="5581.1580000000004"/>
    <n v="11135.448"/>
    <n v="8928.9795999999988"/>
    <n v="4700.8295999999991"/>
    <n v="5554.29"/>
    <n v="0.52646884757133949"/>
  </r>
  <r>
    <s v="ORD-2023-713375"/>
    <s v="713375"/>
    <x v="0"/>
    <d v="2023-01-07T00:00:00"/>
    <n v="7"/>
    <d v="2023-08-26T00:00:00"/>
    <s v="Aug-2023"/>
    <x v="8"/>
    <s v="Q3-2023"/>
    <n v="15"/>
    <n v="15"/>
    <n v="0"/>
    <d v="2023-09-10T00:00:00"/>
    <d v="2023-09-10T00:00:00"/>
    <x v="0"/>
    <x v="6"/>
    <s v="Cape Town"/>
    <s v="Non-Profit"/>
    <x v="0"/>
    <x v="14"/>
    <x v="1"/>
    <s v="CMP-7063"/>
    <n v="241.14"/>
    <n v="265.25400000000002"/>
    <n v="496.52"/>
    <s v="Low"/>
    <n v="9.2999999999999999E-2"/>
    <n v="9.2999999999999999E-2"/>
    <s v=""/>
    <n v="10"/>
    <n v="12"/>
    <n v="2411.3999999999996"/>
    <n v="1545646.9975799995"/>
    <n v="1460618.7594599996"/>
    <n v="0.94498857872908393"/>
    <s v="B"/>
    <n v="3183.0480000000002"/>
    <n v="5404.1236799999997"/>
    <n v="4503.4363999999996"/>
    <n v="2092.0364"/>
    <n v="2221.0756799999995"/>
    <n v="0.46454223268257994"/>
  </r>
  <r>
    <s v="ORD-2023-603238"/>
    <s v="603238"/>
    <x v="0"/>
    <d v="2023-01-02T00:00:00"/>
    <n v="7"/>
    <d v="2023-08-21T00:00:00"/>
    <s v="Aug-2023"/>
    <x v="8"/>
    <s v="Q3-2023"/>
    <n v="14"/>
    <n v="14"/>
    <n v="0"/>
    <d v="2023-09-04T00:00:00"/>
    <d v="2023-09-04T00:00:00"/>
    <x v="3"/>
    <x v="10"/>
    <s v="Montreal"/>
    <s v="Education"/>
    <x v="2"/>
    <x v="5"/>
    <x v="1"/>
    <s v="CMP-2136"/>
    <n v="178.19"/>
    <n v="196.00900000000001"/>
    <n v="284.43"/>
    <s v="Low"/>
    <n v="8.8999999999999996E-2"/>
    <n v="8.8999999999999996E-2"/>
    <s v=""/>
    <n v="8"/>
    <n v="9.6"/>
    <n v="1425.52"/>
    <n v="1545646.9975799995"/>
    <n v="1462691.6852999995"/>
    <n v="0.94632971667535859"/>
    <s v="B"/>
    <n v="1881.6864"/>
    <n v="2487.5110079999999"/>
    <n v="2072.9258400000003"/>
    <n v="647.40584000000035"/>
    <n v="605.8246079999999"/>
    <n v="0.31231500302972742"/>
  </r>
  <r>
    <s v="ORD-2023-883066"/>
    <s v="883066"/>
    <x v="0"/>
    <d v="2023-01-12T00:00:00"/>
    <n v="7"/>
    <d v="2023-08-12T00:00:00"/>
    <s v="Aug-2023"/>
    <x v="8"/>
    <s v="Q3-2023"/>
    <n v="25"/>
    <n v="25"/>
    <n v="0"/>
    <d v="2023-09-06T00:00:00"/>
    <d v="2023-09-06T00:00:00"/>
    <x v="1"/>
    <x v="4"/>
    <s v="Shanghai"/>
    <s v="Small Business"/>
    <x v="1"/>
    <x v="1"/>
    <x v="1"/>
    <s v="CMP-6352"/>
    <n v="950.77"/>
    <n v="1045.847"/>
    <n v="694.78"/>
    <s v="Low"/>
    <n v="8.4000000000000005E-2"/>
    <n v="8.4000000000000005E-2"/>
    <s v=""/>
    <n v="14"/>
    <n v="16.8"/>
    <n v="13310.779999999999"/>
    <n v="1545646.9975799995"/>
    <n v="1471601.5440199994"/>
    <n v="0.95209420153765245"/>
    <s v="C"/>
    <n v="17570.229599999999"/>
    <n v="10691.830464000001"/>
    <n v="8909.8587200000002"/>
    <n v="-4400.9212799999987"/>
    <n v="-6878.3991359999982"/>
    <n v="-0.49393839097821279"/>
  </r>
  <r>
    <s v="ORD-2023-722117"/>
    <s v="722117"/>
    <x v="0"/>
    <d v="2023-01-29T00:00:00"/>
    <n v="7"/>
    <d v="2023-09-18T00:00:00"/>
    <s v="Sept-2023"/>
    <x v="11"/>
    <s v="Q3-2023"/>
    <n v="20"/>
    <n v="20"/>
    <n v="0"/>
    <d v="2023-10-08T00:00:00"/>
    <d v="2023-10-08T00:00:00"/>
    <x v="1"/>
    <x v="1"/>
    <s v="Delhi"/>
    <s v="Small Business"/>
    <x v="0"/>
    <x v="1"/>
    <x v="1"/>
    <s v="CMP-1009"/>
    <n v="825.64"/>
    <n v="908.20400000000006"/>
    <n v="1108.43"/>
    <s v="Medium"/>
    <n v="0.114"/>
    <n v="0.1"/>
    <s v=""/>
    <n v="7"/>
    <n v="8.4"/>
    <n v="5779.48"/>
    <n v="1545646.9975799995"/>
    <n v="1478476.0268799996"/>
    <n v="0.9565418424742721"/>
    <s v="C"/>
    <n v="7628.9136000000008"/>
    <n v="8379.7308000000012"/>
    <n v="6874.4828600000001"/>
    <n v="1095.0028600000005"/>
    <n v="750.81720000000041"/>
    <n v="0.15928512475773349"/>
  </r>
  <r>
    <s v="ORD-2023-368449"/>
    <s v="368449"/>
    <x v="0"/>
    <d v="2023-01-12T00:00:00"/>
    <n v="8"/>
    <d v="2023-10-09T00:00:00"/>
    <s v="Oct-2023"/>
    <x v="9"/>
    <s v="Q4-2023"/>
    <n v="17"/>
    <n v="17"/>
    <n v="0"/>
    <d v="2023-10-26T00:00:00"/>
    <d v="2023-10-26T00:00:00"/>
    <x v="1"/>
    <x v="4"/>
    <s v="Shanghai"/>
    <s v="Consumer"/>
    <x v="3"/>
    <x v="9"/>
    <x v="1"/>
    <s v="CMP-2096"/>
    <n v="1132.03"/>
    <n v="1245.2330000000002"/>
    <n v="2137.21"/>
    <s v="High"/>
    <n v="0.35699999999999998"/>
    <n v="0.1"/>
    <s v="&gt;0.3"/>
    <n v="35"/>
    <n v="42"/>
    <n v="39621.049999999996"/>
    <n v="1545646.9975799995"/>
    <n v="1526573.9379299995"/>
    <n v="0.98766014511731182"/>
    <s v="C"/>
    <n v="52299.786000000007"/>
    <n v="80786.538000000015"/>
    <n v="48097.911050000002"/>
    <n v="8476.8610500000068"/>
    <n v="28486.752000000008"/>
    <n v="0.17624177152284051"/>
  </r>
  <r>
    <s v="ORD-2023-474313"/>
    <s v="474313"/>
    <x v="0"/>
    <d v="2023-01-29T00:00:00"/>
    <n v="8"/>
    <d v="2023-10-05T00:00:00"/>
    <s v="Oct-2023"/>
    <x v="9"/>
    <s v="Q4-2023"/>
    <n v="1"/>
    <n v="1"/>
    <n v="1"/>
    <d v="2023-10-06T00:00:00"/>
    <d v="2023-10-06T00:00:00"/>
    <x v="1"/>
    <x v="1"/>
    <s v="Bengaluru"/>
    <s v="Non-Profit"/>
    <x v="4"/>
    <x v="13"/>
    <x v="1"/>
    <s v="CMP-4807"/>
    <n v="1470.26"/>
    <n v="1617.2860000000001"/>
    <n v="2562.5500000000002"/>
    <s v="High"/>
    <n v="0.17299999999999999"/>
    <n v="0.1"/>
    <s v=""/>
    <n v="9"/>
    <n v="10.799999999999999"/>
    <n v="13232.34"/>
    <n v="1545646.9975799995"/>
    <n v="1545646.9975799995"/>
    <n v="1"/>
    <s v="C"/>
    <n v="17466.6888"/>
    <n v="24907.986000000001"/>
    <n v="19073.059649999999"/>
    <n v="5840.7196499999991"/>
    <n v="7441.2972000000009"/>
    <n v="0.30622877279157462"/>
  </r>
  <r>
    <s v="ORD-2023-723587"/>
    <s v="723587"/>
    <x v="0"/>
    <d v="2023-01-02T00:00:00"/>
    <n v="0"/>
    <d v="2023-01-02T00:00:00"/>
    <s v="Jan-2023"/>
    <x v="1"/>
    <s v="Q1-2023"/>
    <n v="3"/>
    <n v="3"/>
    <n v="1"/>
    <d v="2023-01-05T00:00:00"/>
    <d v="2023-01-05T00:00:00"/>
    <x v="3"/>
    <x v="10"/>
    <s v="Toronto"/>
    <s v="Corporate"/>
    <x v="2"/>
    <x v="1"/>
    <x v="2"/>
    <s v="LAP-8555"/>
    <n v="315.87"/>
    <n v="347.45700000000005"/>
    <n v="591.67999999999995"/>
    <s v="Low"/>
    <n v="0"/>
    <n v="0"/>
    <s v=""/>
    <n v="7"/>
    <n v="8.4"/>
    <n v="2211.09"/>
    <n v="1711094.3776"/>
    <n v="4141.7599999999993"/>
    <n v="2.4205327620848583E-3"/>
    <s v="A"/>
    <n v="2918.6388000000006"/>
    <n v="4970.1120000000001"/>
    <n v="4141.7599999999993"/>
    <n v="1930.6699999999992"/>
    <n v="2051.4731999999995"/>
    <n v="0.46614724175229844"/>
  </r>
  <r>
    <s v="ORD-2023-884192"/>
    <s v="884192"/>
    <x v="0"/>
    <d v="2023-01-10T00:00:00"/>
    <n v="0"/>
    <d v="2023-01-10T00:00:00"/>
    <s v="Jan-2023"/>
    <x v="1"/>
    <s v="Q1-2023"/>
    <n v="19"/>
    <n v="19"/>
    <n v="0"/>
    <d v="2023-01-29T00:00:00"/>
    <d v="2023-01-29T00:00:00"/>
    <x v="2"/>
    <x v="5"/>
    <s v="Lyon"/>
    <s v="Non-Profit"/>
    <x v="0"/>
    <x v="0"/>
    <x v="2"/>
    <s v="LAP-4551"/>
    <n v="401.66"/>
    <n v="441.82600000000008"/>
    <n v="772.09"/>
    <s v="Low"/>
    <n v="8.8999999999999996E-2"/>
    <n v="8.8999999999999996E-2"/>
    <s v=""/>
    <n v="14"/>
    <n v="16.8"/>
    <n v="5623.2400000000007"/>
    <n v="1711094.3776"/>
    <n v="13988.995859999999"/>
    <n v="8.1754671414566386E-3"/>
    <s v="A"/>
    <n v="7422.676800000002"/>
    <n v="11816.683032000001"/>
    <n v="9847.2358600000007"/>
    <n v="4223.99586"/>
    <n v="4394.0062319999988"/>
    <n v="0.42895244107619046"/>
  </r>
  <r>
    <s v="ORD-2023-430904"/>
    <s v="430904"/>
    <x v="0"/>
    <d v="2023-01-19T00:00:00"/>
    <n v="0"/>
    <d v="2023-01-27T00:00:00"/>
    <s v="Jan-2023"/>
    <x v="1"/>
    <s v="Q1-2023"/>
    <n v="4"/>
    <n v="4"/>
    <n v="1"/>
    <d v="2023-01-31T00:00:00"/>
    <d v="2023-01-31T00:00:00"/>
    <x v="2"/>
    <x v="2"/>
    <s v="Manchester"/>
    <s v="Enterprise"/>
    <x v="4"/>
    <x v="14"/>
    <x v="2"/>
    <s v="LAP-9782"/>
    <n v="941.2"/>
    <n v="1035.3200000000002"/>
    <n v="668.02"/>
    <s v="Low"/>
    <n v="0.22"/>
    <n v="0.1"/>
    <s v=""/>
    <n v="16"/>
    <n v="19.2"/>
    <n v="15059.2"/>
    <n v="1711094.3776"/>
    <n v="22325.885459999998"/>
    <n v="1.3047722996620754E-2"/>
    <s v="A"/>
    <n v="19878.144000000004"/>
    <n v="11543.3856"/>
    <n v="8336.8896000000004"/>
    <n v="-6722.3104000000003"/>
    <n v="-8334.7584000000043"/>
    <n v="-0.80633314371825193"/>
  </r>
  <r>
    <s v="ORD-2023-480975"/>
    <s v="480975"/>
    <x v="0"/>
    <d v="2023-01-07T00:00:00"/>
    <n v="1"/>
    <d v="2023-02-15T00:00:00"/>
    <s v="Feb-2023"/>
    <x v="0"/>
    <s v="Q1-2023"/>
    <n v="11"/>
    <n v="11"/>
    <n v="0"/>
    <d v="2023-02-26T00:00:00"/>
    <d v="2023-02-26T00:00:00"/>
    <x v="0"/>
    <x v="6"/>
    <s v="Johannesburg"/>
    <s v="Non-Profit"/>
    <x v="1"/>
    <x v="11"/>
    <x v="2"/>
    <s v="LAP-3393"/>
    <n v="498.5"/>
    <n v="548.35"/>
    <n v="755.87"/>
    <s v="Low"/>
    <n v="0.13"/>
    <n v="0.1"/>
    <s v=""/>
    <n v="40"/>
    <n v="48"/>
    <n v="19940"/>
    <n v="1711094.3776"/>
    <n v="48630.161459999996"/>
    <n v="2.8420502163188217E-2"/>
    <s v="A"/>
    <n v="26320.800000000003"/>
    <n v="32653.584000000003"/>
    <n v="26304.275999999998"/>
    <n v="6364.275999999998"/>
    <n v="6332.7839999999997"/>
    <n v="0.24194834330357537"/>
  </r>
  <r>
    <s v="ORD-2023-422918"/>
    <s v="422918"/>
    <x v="0"/>
    <d v="2023-01-22T00:00:00"/>
    <n v="1"/>
    <d v="2023-02-28T00:00:00"/>
    <s v="Feb-2023"/>
    <x v="0"/>
    <s v="Q1-2023"/>
    <n v="20"/>
    <n v="20"/>
    <n v="0"/>
    <d v="2023-03-20T00:00:00"/>
    <d v="2023-03-20T00:00:00"/>
    <x v="2"/>
    <x v="7"/>
    <s v="Berlin"/>
    <s v="Small Business"/>
    <x v="0"/>
    <x v="8"/>
    <x v="2"/>
    <s v="LAP-3679"/>
    <n v="1200.78"/>
    <n v="1320.8580000000002"/>
    <n v="2001.17"/>
    <s v="High"/>
    <n v="0.29199999999999998"/>
    <n v="0.1"/>
    <s v=""/>
    <n v="18"/>
    <n v="21.599999999999998"/>
    <n v="21614.04"/>
    <n v="1711094.3776"/>
    <n v="74133.071939999994"/>
    <n v="4.3324946251053591E-2"/>
    <s v="A"/>
    <n v="28530.532800000001"/>
    <n v="38902.7448"/>
    <n v="25502.910479999999"/>
    <n v="3888.8704799999978"/>
    <n v="10372.212"/>
    <n v="0.15248732034132906"/>
  </r>
  <r>
    <s v="ORD-2023-825495"/>
    <s v="825495"/>
    <x v="0"/>
    <d v="2023-01-07T00:00:00"/>
    <n v="10"/>
    <d v="2023-11-30T00:00:00"/>
    <s v="Nov-2023"/>
    <x v="10"/>
    <s v="Q4-2023"/>
    <n v="-1"/>
    <n v="15"/>
    <n v="0"/>
    <d v="2023-11-29T00:00:00"/>
    <d v="2023-12-15T00:00:00"/>
    <x v="0"/>
    <x v="6"/>
    <s v="Durban"/>
    <s v="Small Business"/>
    <x v="3"/>
    <x v="12"/>
    <x v="2"/>
    <s v="LAP-1525"/>
    <n v="275.56"/>
    <n v="303.11600000000004"/>
    <n v="630.72"/>
    <s v="Low"/>
    <n v="0.107"/>
    <n v="0.1"/>
    <s v=""/>
    <n v="23"/>
    <n v="27.599999999999998"/>
    <n v="6337.88"/>
    <n v="1711094.3776"/>
    <n v="87087.43002"/>
    <n v="5.0895749036444032E-2"/>
    <s v="A"/>
    <n v="8366.0016000000014"/>
    <n v="15667.084800000001"/>
    <n v="12954.358080000002"/>
    <n v="6616.4780800000017"/>
    <n v="7301.0831999999991"/>
    <n v="0.5107530638831933"/>
  </r>
  <r>
    <s v="ORD-2023-191563"/>
    <s v="191563"/>
    <x v="0"/>
    <d v="2023-01-22T00:00:00"/>
    <n v="10"/>
    <d v="2023-11-30T00:00:00"/>
    <s v="Nov-2023"/>
    <x v="10"/>
    <s v="Q4-2023"/>
    <n v="10"/>
    <n v="10"/>
    <n v="0"/>
    <d v="2023-12-10T00:00:00"/>
    <d v="2023-12-10T00:00:00"/>
    <x v="2"/>
    <x v="7"/>
    <s v="Munich"/>
    <s v="Small Business"/>
    <x v="0"/>
    <x v="5"/>
    <x v="2"/>
    <s v="LAP-4899"/>
    <n v="174.74"/>
    <n v="192.21400000000003"/>
    <n v="415.96"/>
    <s v="Low"/>
    <n v="0.125"/>
    <n v="0.1"/>
    <s v=""/>
    <n v="21"/>
    <n v="25.2"/>
    <n v="3669.54"/>
    <n v="1711094.3776"/>
    <n v="94730.695019999999"/>
    <n v="5.536263590139915E-2"/>
    <s v="A"/>
    <n v="4843.7928000000002"/>
    <n v="9433.9727999999996"/>
    <n v="7643.2649999999994"/>
    <n v="3973.7249999999995"/>
    <n v="4590.1799999999994"/>
    <n v="0.51989889137691803"/>
  </r>
  <r>
    <s v="ORD-2024-499009"/>
    <s v="499009"/>
    <x v="1"/>
    <d v="2023-01-29T00:00:00"/>
    <n v="11"/>
    <d v="2024-01-25T00:00:00"/>
    <s v="Jan-2024"/>
    <x v="1"/>
    <s v="Q1-2024"/>
    <n v="2"/>
    <n v="2"/>
    <n v="1"/>
    <d v="2024-01-27T00:00:00"/>
    <d v="2024-01-27T00:00:00"/>
    <x v="3"/>
    <x v="9"/>
    <s v="São Paulo"/>
    <s v="Non-Profit"/>
    <x v="3"/>
    <x v="14"/>
    <x v="2"/>
    <s v="LAP-7056"/>
    <n v="1410.97"/>
    <n v="1552.0670000000002"/>
    <n v="1650.75"/>
    <s v="High"/>
    <n v="0.13500000000000001"/>
    <n v="0.1"/>
    <s v=""/>
    <n v="6"/>
    <n v="7.1999999999999993"/>
    <n v="8465.82"/>
    <n v="1711094.3776"/>
    <n v="103298.08752"/>
    <n v="6.0369602560956949E-2"/>
    <s v="A"/>
    <n v="11174.8824"/>
    <n v="10696.86"/>
    <n v="8567.3924999999999"/>
    <n v="101.57250000000022"/>
    <n v="-478.02239999999983"/>
    <n v="1.1855707556295596E-2"/>
  </r>
  <r>
    <s v="ORD-2023-813340"/>
    <s v="813340"/>
    <x v="0"/>
    <d v="2023-01-10T00:00:00"/>
    <n v="11"/>
    <d v="2023-12-26T00:00:00"/>
    <s v="Dec-2023"/>
    <x v="3"/>
    <s v="Q4-2023"/>
    <n v="8"/>
    <n v="8"/>
    <n v="0"/>
    <d v="2024-01-03T00:00:00"/>
    <d v="2024-01-03T00:00:00"/>
    <x v="2"/>
    <x v="5"/>
    <s v="Lyon"/>
    <s v="Small Business"/>
    <x v="1"/>
    <x v="6"/>
    <x v="2"/>
    <s v="LAP-2942"/>
    <n v="492.75"/>
    <n v="542.02500000000009"/>
    <n v="731.29"/>
    <s v="Low"/>
    <n v="5.8000000000000003E-2"/>
    <n v="5.8000000000000003E-2"/>
    <s v=""/>
    <n v="6"/>
    <n v="7.1999999999999993"/>
    <n v="2956.5"/>
    <n v="1711094.3776"/>
    <n v="107431.3386"/>
    <n v="6.2785162528956703E-2"/>
    <s v="A"/>
    <n v="3902.5800000000004"/>
    <n v="4959.9012959999991"/>
    <n v="4133.25108"/>
    <n v="1176.75108"/>
    <n v="1057.3212959999987"/>
    <n v="0.28470350753528384"/>
  </r>
  <r>
    <s v="ORD-2024-366010"/>
    <s v="366010"/>
    <x v="1"/>
    <d v="2023-01-22T00:00:00"/>
    <n v="11"/>
    <d v="2024-01-13T00:00:00"/>
    <s v="Jan-2024"/>
    <x v="1"/>
    <s v="Q1-2024"/>
    <n v="23"/>
    <n v="23"/>
    <n v="0"/>
    <d v="2024-02-05T00:00:00"/>
    <d v="2024-02-05T00:00:00"/>
    <x v="2"/>
    <x v="7"/>
    <s v="Frankfurt"/>
    <s v="Education"/>
    <x v="0"/>
    <x v="1"/>
    <x v="2"/>
    <s v="LAP-9931"/>
    <n v="1017.93"/>
    <n v="1119.723"/>
    <n v="1529.14"/>
    <s v="Medium"/>
    <n v="0.155"/>
    <n v="0.1"/>
    <s v=""/>
    <n v="12"/>
    <n v="14.399999999999999"/>
    <n v="12215.16"/>
    <n v="1711094.3776"/>
    <n v="122936.81820000001"/>
    <n v="7.1846895068659253E-2"/>
    <s v="A"/>
    <n v="16124.011199999997"/>
    <n v="19817.654399999999"/>
    <n v="15505.479600000001"/>
    <n v="3290.3196000000007"/>
    <n v="3693.6432000000023"/>
    <n v="0.21220366508366503"/>
  </r>
  <r>
    <s v="ORD-2024-355095"/>
    <s v="355095"/>
    <x v="1"/>
    <d v="2023-01-02T00:00:00"/>
    <n v="12"/>
    <d v="2024-01-02T00:00:00"/>
    <s v="Jan-2024"/>
    <x v="1"/>
    <s v="Q1-2024"/>
    <n v="0"/>
    <n v="0"/>
    <n v="1"/>
    <d v="2024-01-02T00:00:00"/>
    <d v="2024-01-02T00:00:00"/>
    <x v="3"/>
    <x v="10"/>
    <s v="Vancouver"/>
    <s v="Education"/>
    <x v="0"/>
    <x v="3"/>
    <x v="2"/>
    <s v="LAP-3581"/>
    <n v="444.41"/>
    <n v="488.85100000000006"/>
    <n v="754.24"/>
    <s v="Low"/>
    <n v="0.20699999999999999"/>
    <n v="0.1"/>
    <s v=""/>
    <n v="32"/>
    <n v="38.4"/>
    <n v="14221.12"/>
    <n v="1711094.3776"/>
    <n v="142076.41244000001"/>
    <n v="8.3032481609388475E-2"/>
    <s v="A"/>
    <n v="18771.878400000001"/>
    <n v="26066.5344"/>
    <n v="19139.594240000002"/>
    <n v="4918.4742400000014"/>
    <n v="7294.655999999999"/>
    <n v="0.25697902360546598"/>
  </r>
  <r>
    <s v="ORD-2024-760799"/>
    <s v="760799"/>
    <x v="1"/>
    <d v="2023-01-12T00:00:00"/>
    <n v="12"/>
    <d v="2024-02-03T00:00:00"/>
    <s v="Feb-2024"/>
    <x v="0"/>
    <s v="Q1-2024"/>
    <n v="16"/>
    <n v="16"/>
    <n v="0"/>
    <d v="2024-02-19T00:00:00"/>
    <d v="2024-02-19T00:00:00"/>
    <x v="1"/>
    <x v="4"/>
    <s v="Shenzhen"/>
    <s v="Small Business"/>
    <x v="4"/>
    <x v="8"/>
    <x v="2"/>
    <s v="LAP-5531"/>
    <n v="993.75"/>
    <n v="1093.125"/>
    <n v="1310.29"/>
    <s v="Medium"/>
    <n v="0.215"/>
    <n v="0.1"/>
    <s v=""/>
    <n v="19"/>
    <n v="22.8"/>
    <n v="18881.25"/>
    <n v="1711094.3776"/>
    <n v="161619.38779000001"/>
    <n v="9.4453812662682671E-2"/>
    <s v="A"/>
    <n v="24923.25"/>
    <n v="26887.150800000003"/>
    <n v="19542.975350000001"/>
    <n v="661.72535000000062"/>
    <n v="1963.9008000000031"/>
    <n v="3.3860010471742245E-2"/>
  </r>
  <r>
    <s v="ORD-2024-515105"/>
    <s v="515105"/>
    <x v="1"/>
    <d v="2023-01-29T00:00:00"/>
    <n v="12"/>
    <d v="2024-02-27T00:00:00"/>
    <s v="Feb-2024"/>
    <x v="0"/>
    <s v="Q1-2024"/>
    <n v="28"/>
    <n v="28"/>
    <n v="0"/>
    <d v="2024-03-26T00:00:00"/>
    <d v="2024-03-26T00:00:00"/>
    <x v="1"/>
    <x v="1"/>
    <s v="Mumbai"/>
    <s v="Education"/>
    <x v="3"/>
    <x v="2"/>
    <x v="2"/>
    <s v="LAP-8469"/>
    <n v="1035.19"/>
    <n v="1138.7090000000001"/>
    <n v="2322.6999999999998"/>
    <s v="High"/>
    <n v="0.17299999999999999"/>
    <n v="0.1"/>
    <s v=""/>
    <n v="8"/>
    <n v="9.6"/>
    <n v="8281.52"/>
    <n v="1711094.3776"/>
    <n v="176986.37099"/>
    <n v="0.10343460495629882"/>
    <s v="A"/>
    <n v="10931.606400000001"/>
    <n v="20068.128000000001"/>
    <n v="15366.983199999999"/>
    <n v="7085.4631999999983"/>
    <n v="9136.5216"/>
    <n v="0.46108355217047409"/>
  </r>
  <r>
    <s v="ORD-2024-207669"/>
    <s v="207669"/>
    <x v="1"/>
    <d v="2023-01-19T00:00:00"/>
    <n v="12"/>
    <d v="2024-01-24T00:00:00"/>
    <s v="Jan-2024"/>
    <x v="1"/>
    <s v="Q1-2024"/>
    <n v="11"/>
    <n v="11"/>
    <n v="0"/>
    <d v="2024-02-04T00:00:00"/>
    <d v="2024-02-04T00:00:00"/>
    <x v="2"/>
    <x v="2"/>
    <s v="Manchester"/>
    <s v="Consumer"/>
    <x v="1"/>
    <x v="1"/>
    <x v="2"/>
    <s v="LAP-5689"/>
    <n v="525.34"/>
    <n v="577.87400000000014"/>
    <n v="1233.79"/>
    <s v="Medium"/>
    <n v="0.14299999999999999"/>
    <n v="0.1"/>
    <s v=""/>
    <n v="4"/>
    <n v="4.8"/>
    <n v="2101.36"/>
    <n v="1711094.3776"/>
    <n v="181215.80311000001"/>
    <n v="0.10590637517269813"/>
    <s v="A"/>
    <n v="2773.7952000000005"/>
    <n v="5329.9728000000005"/>
    <n v="4229.4321199999995"/>
    <n v="2128.0721199999994"/>
    <n v="2556.1776"/>
    <n v="0.50315788494082736"/>
  </r>
  <r>
    <s v="ORD-2024-544865"/>
    <s v="544865"/>
    <x v="1"/>
    <d v="2023-01-02T00:00:00"/>
    <n v="13"/>
    <d v="2024-02-16T00:00:00"/>
    <s v="Feb-2024"/>
    <x v="0"/>
    <s v="Q1-2024"/>
    <n v="17"/>
    <n v="17"/>
    <n v="0"/>
    <d v="2024-03-04T00:00:00"/>
    <d v="2024-03-04T00:00:00"/>
    <x v="3"/>
    <x v="10"/>
    <s v="Montreal"/>
    <s v="Non-Profit"/>
    <x v="1"/>
    <x v="0"/>
    <x v="2"/>
    <s v="LAP-2774"/>
    <n v="1350.98"/>
    <n v="1486.0780000000002"/>
    <n v="2210.4"/>
    <s v="High"/>
    <n v="0.26300000000000001"/>
    <n v="0.1"/>
    <s v=""/>
    <n v="6"/>
    <n v="7.1999999999999993"/>
    <n v="8105.88"/>
    <n v="1711094.3776"/>
    <n v="190990.19190999999"/>
    <n v="0.11161873617858821"/>
    <s v="A"/>
    <n v="10699.7616"/>
    <n v="14323.392"/>
    <n v="9774.3888000000006"/>
    <n v="1668.5088000000005"/>
    <n v="3623.6304"/>
    <n v="0.17070211080615091"/>
  </r>
  <r>
    <s v="ORD-2024-907733"/>
    <s v="907733"/>
    <x v="1"/>
    <d v="2023-01-19T00:00:00"/>
    <n v="13"/>
    <d v="2024-03-09T00:00:00"/>
    <s v="Mar-2024"/>
    <x v="4"/>
    <s v="Q1-2024"/>
    <n v="13"/>
    <n v="13"/>
    <n v="0"/>
    <d v="2024-03-22T00:00:00"/>
    <d v="2024-03-22T00:00:00"/>
    <x v="2"/>
    <x v="2"/>
    <s v="Manchester"/>
    <s v="Consumer"/>
    <x v="4"/>
    <x v="12"/>
    <x v="2"/>
    <s v="LAP-8633"/>
    <n v="985.45"/>
    <n v="1083.9950000000001"/>
    <n v="1802.44"/>
    <s v="High"/>
    <n v="8.9999999999999993E-3"/>
    <n v="8.9999999999999993E-3"/>
    <s v=""/>
    <n v="19"/>
    <n v="22.8"/>
    <n v="18723.55"/>
    <n v="1711094.3776"/>
    <n v="224928.33467000001"/>
    <n v="0.13145290967847548"/>
    <s v="A"/>
    <n v="24715.086000000003"/>
    <n v="40725.771312000004"/>
    <n v="33938.142760000002"/>
    <n v="15214.592760000003"/>
    <n v="16010.685312000001"/>
    <n v="0.44830363486867486"/>
  </r>
  <r>
    <s v="ORD-2024-897622"/>
    <s v="897622"/>
    <x v="1"/>
    <d v="2023-01-13T00:00:00"/>
    <n v="14"/>
    <d v="2024-03-30T00:00:00"/>
    <s v="Mar-2024"/>
    <x v="4"/>
    <s v="Q1-2024"/>
    <n v="25"/>
    <n v="25"/>
    <n v="0"/>
    <d v="2024-04-24T00:00:00"/>
    <d v="2024-04-24T00:00:00"/>
    <x v="3"/>
    <x v="11"/>
    <s v="Austin"/>
    <s v="Non-Profit"/>
    <x v="4"/>
    <x v="2"/>
    <x v="2"/>
    <s v="LAP-2846"/>
    <n v="160.82"/>
    <n v="176.90200000000002"/>
    <n v="258.52"/>
    <s v="Low"/>
    <n v="0.13"/>
    <n v="0.1"/>
    <s v=""/>
    <n v="17"/>
    <n v="20.399999999999999"/>
    <n v="2733.94"/>
    <n v="1711094.3776"/>
    <n v="228751.84547"/>
    <n v="0.13368745082948019"/>
    <s v="A"/>
    <n v="3608.8008"/>
    <n v="4746.4271999999992"/>
    <n v="3823.5108"/>
    <n v="1089.5708"/>
    <n v="1137.6263999999992"/>
    <n v="0.28496605789631874"/>
  </r>
  <r>
    <s v="ORD-2024-629525"/>
    <s v="629525"/>
    <x v="1"/>
    <d v="2023-01-19T00:00:00"/>
    <n v="14"/>
    <d v="2024-04-18T00:00:00"/>
    <s v="Apr-2024"/>
    <x v="2"/>
    <s v="Q2-2024"/>
    <n v="20"/>
    <n v="20"/>
    <n v="0"/>
    <d v="2024-05-08T00:00:00"/>
    <d v="2024-05-08T00:00:00"/>
    <x v="2"/>
    <x v="2"/>
    <s v="London"/>
    <s v="Non-Profit"/>
    <x v="0"/>
    <x v="0"/>
    <x v="2"/>
    <s v="LAP-9932"/>
    <n v="645.33000000000004"/>
    <n v="709.86300000000006"/>
    <n v="1321.85"/>
    <s v="Medium"/>
    <n v="0"/>
    <n v="0"/>
    <s v=""/>
    <n v="10"/>
    <n v="12"/>
    <n v="6453.3"/>
    <n v="1711094.3776"/>
    <n v="241970.34547"/>
    <n v="0.14141262377905203"/>
    <s v="A"/>
    <n v="8518.3559999999998"/>
    <n v="15862.199999999999"/>
    <n v="13218.5"/>
    <n v="6765.2"/>
    <n v="7343.8439999999991"/>
    <n v="0.51179785906116426"/>
  </r>
  <r>
    <s v="ORD-2024-527858"/>
    <s v="527858"/>
    <x v="1"/>
    <d v="2023-01-15T00:00:00"/>
    <n v="15"/>
    <d v="2024-05-07T00:00:00"/>
    <s v="May-2024"/>
    <x v="5"/>
    <s v="Q2-2024"/>
    <n v="5"/>
    <n v="5"/>
    <n v="1"/>
    <d v="2024-05-12T00:00:00"/>
    <d v="2024-05-12T00:00:00"/>
    <x v="0"/>
    <x v="0"/>
    <s v="Abuja"/>
    <s v="Non-Profit"/>
    <x v="2"/>
    <x v="4"/>
    <x v="2"/>
    <s v="LAP-9100"/>
    <n v="1163.99"/>
    <n v="1280.3890000000001"/>
    <n v="1617.85"/>
    <s v="Medium"/>
    <n v="0.127"/>
    <n v="0.1"/>
    <s v=""/>
    <n v="14"/>
    <n v="16.8"/>
    <n v="16295.86"/>
    <n v="1711094.3776"/>
    <n v="261743.70817"/>
    <n v="0.15296859810685876"/>
    <s v="A"/>
    <n v="21510.535200000002"/>
    <n v="24461.892"/>
    <n v="19773.362699999998"/>
    <n v="3477.5026999999973"/>
    <n v="2951.3567999999977"/>
    <n v="0.17586804797749436"/>
  </r>
  <r>
    <s v="ORD-2024-939873"/>
    <s v="939873"/>
    <x v="1"/>
    <d v="2023-01-07T00:00:00"/>
    <n v="15"/>
    <d v="2024-04-12T00:00:00"/>
    <s v="Apr-2024"/>
    <x v="2"/>
    <s v="Q2-2024"/>
    <n v="25"/>
    <n v="25"/>
    <n v="0"/>
    <d v="2024-05-07T00:00:00"/>
    <d v="2024-05-07T00:00:00"/>
    <x v="0"/>
    <x v="6"/>
    <s v="Johannesburg"/>
    <s v="Education"/>
    <x v="2"/>
    <x v="3"/>
    <x v="2"/>
    <s v="LAP-8489"/>
    <n v="1376.51"/>
    <n v="1514.1610000000001"/>
    <n v="1455.91"/>
    <s v="Medium"/>
    <n v="0.185"/>
    <n v="0.1"/>
    <s v=""/>
    <n v="17"/>
    <n v="20.399999999999999"/>
    <n v="23400.67"/>
    <n v="1711094.3776"/>
    <n v="281915.34122"/>
    <n v="0.16475733011022897"/>
    <s v="A"/>
    <n v="30888.884399999999"/>
    <n v="26730.507600000001"/>
    <n v="20171.63305"/>
    <n v="-3229.0369499999979"/>
    <n v="-4158.3767999999982"/>
    <n v="-0.1600781127634085"/>
  </r>
  <r>
    <s v="ORD-2024-855600"/>
    <s v="855600"/>
    <x v="1"/>
    <d v="2023-01-22T00:00:00"/>
    <n v="15"/>
    <d v="2024-04-29T00:00:00"/>
    <s v="Apr-2024"/>
    <x v="2"/>
    <s v="Q2-2024"/>
    <n v="20"/>
    <n v="20"/>
    <n v="0"/>
    <d v="2024-05-19T00:00:00"/>
    <d v="2024-05-19T00:00:00"/>
    <x v="2"/>
    <x v="7"/>
    <s v="Frankfurt"/>
    <s v="Enterprise"/>
    <x v="3"/>
    <x v="9"/>
    <x v="2"/>
    <s v="LAP-5009"/>
    <n v="668.97"/>
    <n v="735.86700000000008"/>
    <n v="1667.44"/>
    <s v="High"/>
    <n v="3.4000000000000002E-2"/>
    <n v="3.4000000000000002E-2"/>
    <s v=""/>
    <n v="15"/>
    <n v="18"/>
    <n v="10034.550000000001"/>
    <n v="1711094.3776"/>
    <n v="306076.54681999999"/>
    <n v="0.17887765328836294"/>
    <s v="A"/>
    <n v="13245.606000000002"/>
    <n v="28993.44672"/>
    <n v="24161.205600000001"/>
    <n v="14126.6556"/>
    <n v="15747.840719999998"/>
    <n v="0.58468339013679016"/>
  </r>
  <r>
    <s v="ORD-2024-641220"/>
    <s v="641220"/>
    <x v="1"/>
    <d v="2023-01-19T00:00:00"/>
    <n v="15"/>
    <d v="2024-05-10T00:00:00"/>
    <s v="May-2024"/>
    <x v="5"/>
    <s v="Q2-2024"/>
    <n v="6"/>
    <n v="6"/>
    <n v="1"/>
    <d v="2024-05-16T00:00:00"/>
    <d v="2024-05-16T00:00:00"/>
    <x v="2"/>
    <x v="2"/>
    <s v="Birmingham"/>
    <s v="Non-Profit"/>
    <x v="0"/>
    <x v="2"/>
    <x v="2"/>
    <s v="LAP-1066"/>
    <n v="210.76"/>
    <n v="231.83600000000001"/>
    <n v="221.58"/>
    <s v="Low"/>
    <n v="8.8999999999999996E-2"/>
    <n v="8.8999999999999996E-2"/>
    <s v=""/>
    <n v="5"/>
    <n v="6"/>
    <n v="1053.8"/>
    <n v="1711094.3776"/>
    <n v="307085.84372"/>
    <n v="0.17946750789440499"/>
    <s v="A"/>
    <n v="1391.0160000000001"/>
    <n v="1211.1562800000002"/>
    <n v="1009.2969000000002"/>
    <n v="-44.50309999999979"/>
    <n v="-179.85971999999992"/>
    <n v="-4.4093170205912434E-2"/>
  </r>
  <r>
    <s v="ORD-2024-878493"/>
    <s v="878493"/>
    <x v="1"/>
    <d v="2023-01-20T00:00:00"/>
    <n v="16"/>
    <d v="2024-06-19T00:00:00"/>
    <s v="Jun-2024"/>
    <x v="6"/>
    <s v="Q2-2024"/>
    <n v="1"/>
    <n v="1"/>
    <n v="1"/>
    <d v="2024-06-20T00:00:00"/>
    <d v="2024-06-20T00:00:00"/>
    <x v="0"/>
    <x v="8"/>
    <s v="Kisumu"/>
    <s v="Small Business"/>
    <x v="0"/>
    <x v="10"/>
    <x v="2"/>
    <s v="LAP-4607"/>
    <n v="231.63"/>
    <n v="254.79300000000001"/>
    <n v="537.39"/>
    <s v="Low"/>
    <n v="0.08"/>
    <n v="0.08"/>
    <s v=""/>
    <n v="12"/>
    <n v="14.399999999999999"/>
    <n v="2779.56"/>
    <n v="1711094.3776"/>
    <n v="313018.62932000001"/>
    <n v="0.18293475416536836"/>
    <s v="A"/>
    <n v="3669.0191999999997"/>
    <n v="7119.3427199999996"/>
    <n v="5932.7856000000002"/>
    <n v="3153.2256000000002"/>
    <n v="3450.3235199999999"/>
    <n v="0.53149158129024587"/>
  </r>
  <r>
    <s v="ORD-2024-713332"/>
    <s v="713332"/>
    <x v="1"/>
    <d v="2023-01-20T00:00:00"/>
    <n v="16"/>
    <d v="2024-06-05T00:00:00"/>
    <s v="Jun-2024"/>
    <x v="6"/>
    <s v="Q2-2024"/>
    <n v="18"/>
    <n v="18"/>
    <n v="0"/>
    <d v="2024-06-23T00:00:00"/>
    <d v="2024-06-23T00:00:00"/>
    <x v="0"/>
    <x v="8"/>
    <s v="Nairobi"/>
    <s v="Consumer"/>
    <x v="2"/>
    <x v="0"/>
    <x v="2"/>
    <s v="LAP-1739"/>
    <n v="1208.74"/>
    <n v="1329.614"/>
    <n v="1594.78"/>
    <s v="Medium"/>
    <n v="5.8999999999999997E-2"/>
    <n v="5.8999999999999997E-2"/>
    <s v=""/>
    <n v="39"/>
    <n v="46.8"/>
    <n v="47140.86"/>
    <n v="1711094.3776"/>
    <n v="371545.46054"/>
    <n v="0.2171390809320137"/>
    <s v="A"/>
    <n v="62225.9352"/>
    <n v="70232.197463999997"/>
    <n v="58526.83122"/>
    <n v="11385.971219999999"/>
    <n v="8006.2622639999972"/>
    <n v="0.1945427589817838"/>
  </r>
  <r>
    <s v="ORD-2024-500109"/>
    <s v="500109"/>
    <x v="1"/>
    <d v="2023-01-13T00:00:00"/>
    <n v="16"/>
    <d v="2024-05-18T00:00:00"/>
    <s v="May-2024"/>
    <x v="5"/>
    <s v="Q2-2024"/>
    <n v="5"/>
    <n v="5"/>
    <n v="1"/>
    <d v="2024-05-23T00:00:00"/>
    <d v="2024-05-23T00:00:00"/>
    <x v="3"/>
    <x v="11"/>
    <s v="Chicago"/>
    <s v="Enterprise"/>
    <x v="1"/>
    <x v="8"/>
    <x v="2"/>
    <s v="LAP-4987"/>
    <n v="1274.5899999999999"/>
    <n v="1402.049"/>
    <n v="2553.69"/>
    <s v="High"/>
    <n v="0.01"/>
    <n v="0.01"/>
    <s v=""/>
    <n v="8"/>
    <n v="9.6"/>
    <n v="10196.719999999999"/>
    <n v="1711094.3776"/>
    <n v="391770.68534000003"/>
    <n v="0.22895913309557006"/>
    <s v="A"/>
    <n v="13459.670399999999"/>
    <n v="24270.269759999999"/>
    <n v="20225.2248"/>
    <n v="10028.504800000001"/>
    <n v="10810.59936"/>
    <n v="0.49584145042481803"/>
  </r>
  <r>
    <s v="ORD-2024-223618"/>
    <s v="223618"/>
    <x v="1"/>
    <d v="2023-01-19T00:00:00"/>
    <n v="16"/>
    <d v="2024-06-10T00:00:00"/>
    <s v="Jun-2024"/>
    <x v="6"/>
    <s v="Q2-2024"/>
    <n v="1"/>
    <n v="1"/>
    <n v="1"/>
    <d v="2024-06-11T00:00:00"/>
    <d v="2024-06-11T00:00:00"/>
    <x v="2"/>
    <x v="2"/>
    <s v="Birmingham"/>
    <s v="Small Business"/>
    <x v="3"/>
    <x v="6"/>
    <x v="2"/>
    <s v="LAP-9230"/>
    <n v="1187.1300000000001"/>
    <n v="1305.8430000000003"/>
    <n v="1795.17"/>
    <s v="High"/>
    <n v="1.2E-2"/>
    <n v="1.2E-2"/>
    <s v=""/>
    <n v="17"/>
    <n v="20.399999999999999"/>
    <n v="20181.210000000003"/>
    <n v="1711094.3776"/>
    <n v="421922.36066000001"/>
    <n v="0.24658041437304762"/>
    <s v="A"/>
    <n v="26639.197200000006"/>
    <n v="36182.010384000001"/>
    <n v="30151.675319999998"/>
    <n v="9970.4653199999957"/>
    <n v="9542.8131839999951"/>
    <n v="0.33067699271046663"/>
  </r>
  <r>
    <s v="ORD-2024-442776"/>
    <s v="442776"/>
    <x v="1"/>
    <d v="2023-01-20T00:00:00"/>
    <n v="17"/>
    <d v="2024-06-30T00:00:00"/>
    <s v="Jun-2024"/>
    <x v="6"/>
    <s v="Q2-2024"/>
    <n v="21"/>
    <n v="21"/>
    <n v="0"/>
    <d v="2024-07-21T00:00:00"/>
    <d v="2024-07-21T00:00:00"/>
    <x v="0"/>
    <x v="8"/>
    <s v="Kisumu"/>
    <s v="Small Business"/>
    <x v="1"/>
    <x v="11"/>
    <x v="2"/>
    <s v="LAP-6577"/>
    <n v="753.43"/>
    <n v="828.77300000000002"/>
    <n v="1787.2"/>
    <s v="High"/>
    <n v="7.2999999999999995E-2"/>
    <n v="7.2999999999999995E-2"/>
    <s v=""/>
    <n v="9"/>
    <n v="10.799999999999999"/>
    <n v="6780.87"/>
    <n v="1711094.3776"/>
    <n v="436832.97026000003"/>
    <n v="0.25529449221422074"/>
    <s v="A"/>
    <n v="8950.7483999999986"/>
    <n v="17892.731520000001"/>
    <n v="14910.609600000002"/>
    <n v="8129.7396000000017"/>
    <n v="8941.9831200000026"/>
    <n v="0.54523187301476939"/>
  </r>
  <r>
    <s v="ORD-2024-542244"/>
    <s v="542244"/>
    <x v="1"/>
    <d v="2023-03-03T00:00:00"/>
    <n v="17"/>
    <d v="2024-08-30T00:00:00"/>
    <s v="Aug-2024"/>
    <x v="8"/>
    <s v="Q3-2024"/>
    <n v="6"/>
    <n v="6"/>
    <n v="1"/>
    <d v="2024-09-05T00:00:00"/>
    <d v="2024-09-05T00:00:00"/>
    <x v="1"/>
    <x v="3"/>
    <s v="Nagoya"/>
    <s v="Education"/>
    <x v="4"/>
    <x v="14"/>
    <x v="2"/>
    <s v="LAP-7009"/>
    <n v="466.16"/>
    <n v="512.77600000000007"/>
    <n v="876.81"/>
    <s v="Medium"/>
    <n v="0.24099999999999999"/>
    <n v="0.1"/>
    <s v=""/>
    <n v="8"/>
    <n v="9.6"/>
    <n v="3729.28"/>
    <n v="1711094.3776"/>
    <n v="442156.96058000001"/>
    <n v="0.25840594555641888"/>
    <s v="A"/>
    <n v="4922.6496000000006"/>
    <n v="7575.6383999999989"/>
    <n v="5323.9903199999999"/>
    <n v="1594.7103199999997"/>
    <n v="2652.9887999999983"/>
    <n v="0.29953291124691594"/>
  </r>
  <r>
    <s v="ORD-2024-798002"/>
    <s v="798002"/>
    <x v="1"/>
    <d v="2023-01-20T00:00:00"/>
    <n v="18"/>
    <d v="2024-07-25T00:00:00"/>
    <s v="Jul-2024"/>
    <x v="7"/>
    <s v="Q3-2024"/>
    <n v="-1"/>
    <n v="15"/>
    <n v="0"/>
    <d v="2024-07-24T00:00:00"/>
    <d v="2024-08-09T00:00:00"/>
    <x v="0"/>
    <x v="8"/>
    <s v="Mombasa"/>
    <s v="Non-Profit"/>
    <x v="0"/>
    <x v="10"/>
    <x v="2"/>
    <s v="LAP-9815"/>
    <n v="1494.4"/>
    <n v="1643.8400000000001"/>
    <n v="3661.07"/>
    <s v="High"/>
    <n v="7.1999999999999995E-2"/>
    <n v="7.1999999999999995E-2"/>
    <s v=""/>
    <n v="7"/>
    <n v="8.4"/>
    <n v="10460.800000000001"/>
    <n v="1711094.3776"/>
    <n v="465939.27130000002"/>
    <n v="0.27230483449634824"/>
    <s v="A"/>
    <n v="13808.256000000001"/>
    <n v="28538.772864000002"/>
    <n v="23782.310720000001"/>
    <n v="13321.51072"/>
    <n v="14730.516864000001"/>
    <n v="0.56014366630897339"/>
  </r>
  <r>
    <s v="ORD-2024-689872"/>
    <s v="689872"/>
    <x v="1"/>
    <d v="2023-01-20T00:00:00"/>
    <n v="18"/>
    <d v="2024-08-03T00:00:00"/>
    <s v="Aug-2024"/>
    <x v="8"/>
    <s v="Q3-2024"/>
    <n v="6"/>
    <n v="6"/>
    <n v="1"/>
    <d v="2024-08-09T00:00:00"/>
    <d v="2024-08-09T00:00:00"/>
    <x v="0"/>
    <x v="8"/>
    <s v="Mombasa"/>
    <s v="Consumer"/>
    <x v="3"/>
    <x v="8"/>
    <x v="2"/>
    <s v="LAP-1969"/>
    <n v="643.21"/>
    <n v="707.53100000000006"/>
    <n v="1112.81"/>
    <s v="Medium"/>
    <n v="0.14099999999999999"/>
    <n v="0.1"/>
    <s v=""/>
    <n v="4"/>
    <n v="4.8"/>
    <n v="2572.84"/>
    <n v="1711094.3776"/>
    <n v="469762.88646000001"/>
    <n v="0.27453943663755981"/>
    <s v="A"/>
    <n v="3396.1488000000004"/>
    <n v="4807.3391999999994"/>
    <n v="3823.6151599999998"/>
    <n v="1250.7751599999997"/>
    <n v="1411.190399999999"/>
    <n v="0.32711847496702562"/>
  </r>
  <r>
    <s v="ORD-2024-212990"/>
    <s v="212990"/>
    <x v="1"/>
    <d v="2023-01-13T00:00:00"/>
    <n v="18"/>
    <d v="2024-08-12T00:00:00"/>
    <s v="Aug-2024"/>
    <x v="8"/>
    <s v="Q3-2024"/>
    <n v="22"/>
    <n v="22"/>
    <n v="0"/>
    <d v="2024-09-03T00:00:00"/>
    <d v="2024-09-03T00:00:00"/>
    <x v="3"/>
    <x v="11"/>
    <s v="Austin"/>
    <s v="Consumer"/>
    <x v="2"/>
    <x v="13"/>
    <x v="2"/>
    <s v="LAP-7979"/>
    <n v="797.8"/>
    <n v="877.58"/>
    <n v="886.22"/>
    <s v="Medium"/>
    <n v="0.23599999999999999"/>
    <n v="0.1"/>
    <s v=""/>
    <n v="36"/>
    <n v="43.199999999999996"/>
    <n v="28720.799999999999"/>
    <n v="1711094.3776"/>
    <n v="494137.48134"/>
    <n v="0.2887844690560451"/>
    <s v="A"/>
    <n v="37911.455999999998"/>
    <n v="34456.2336"/>
    <n v="24374.594880000001"/>
    <n v="-4346.2051199999987"/>
    <n v="-3455.2223999999987"/>
    <n v="-0.17830881462428633"/>
  </r>
  <r>
    <s v="ORD-2024-594527"/>
    <s v="594527"/>
    <x v="1"/>
    <d v="2023-03-03T00:00:00"/>
    <n v="18"/>
    <d v="2024-09-06T00:00:00"/>
    <s v="Sept-2024"/>
    <x v="11"/>
    <s v="Q3-2024"/>
    <n v="-2"/>
    <n v="15"/>
    <n v="0"/>
    <d v="2024-09-04T00:00:00"/>
    <d v="2024-09-21T00:00:00"/>
    <x v="1"/>
    <x v="3"/>
    <s v="Osaka"/>
    <s v="Corporate"/>
    <x v="0"/>
    <x v="3"/>
    <x v="2"/>
    <s v="LAP-4483"/>
    <n v="1368.17"/>
    <n v="1504.9870000000003"/>
    <n v="2307.75"/>
    <s v="High"/>
    <n v="0.16300000000000001"/>
    <n v="0.1"/>
    <s v=""/>
    <n v="21"/>
    <n v="25.2"/>
    <n v="28731.57"/>
    <n v="1711094.3776"/>
    <n v="534700.80308999994"/>
    <n v="0.31249053827175638"/>
    <s v="A"/>
    <n v="37925.672400000003"/>
    <n v="52339.77"/>
    <n v="40563.321749999996"/>
    <n v="11831.751749999996"/>
    <n v="14414.097599999994"/>
    <n v="0.29168596750831921"/>
  </r>
  <r>
    <s v="ORD-2024-678110"/>
    <s v="678110"/>
    <x v="1"/>
    <d v="2023-01-10T00:00:00"/>
    <n v="18"/>
    <d v="2024-07-24T00:00:00"/>
    <s v="Jul-2024"/>
    <x v="7"/>
    <s v="Q3-2024"/>
    <n v="15"/>
    <n v="15"/>
    <n v="0"/>
    <d v="2024-08-08T00:00:00"/>
    <d v="2024-08-08T00:00:00"/>
    <x v="2"/>
    <x v="5"/>
    <s v="Marseille"/>
    <s v="Enterprise"/>
    <x v="3"/>
    <x v="8"/>
    <x v="2"/>
    <s v="LAP-9901"/>
    <n v="501.5"/>
    <n v="551.65000000000009"/>
    <n v="1201.47"/>
    <s v="Medium"/>
    <n v="0.126"/>
    <n v="0.1"/>
    <s v=""/>
    <n v="5"/>
    <n v="6"/>
    <n v="2507.5"/>
    <n v="1711094.3776"/>
    <n v="539951.22699"/>
    <n v="0.31555899783116675"/>
    <s v="A"/>
    <n v="3309.9000000000005"/>
    <n v="6487.9380000000001"/>
    <n v="5250.4239000000007"/>
    <n v="2742.9239000000007"/>
    <n v="3178.0379999999996"/>
    <n v="0.52241951359394057"/>
  </r>
  <r>
    <s v="ORD-2024-353078"/>
    <s v="353078"/>
    <x v="1"/>
    <d v="2023-01-13T00:00:00"/>
    <n v="19"/>
    <d v="2024-08-16T00:00:00"/>
    <s v="Aug-2024"/>
    <x v="8"/>
    <s v="Q3-2024"/>
    <n v="10"/>
    <n v="10"/>
    <n v="0"/>
    <d v="2024-08-26T00:00:00"/>
    <d v="2024-08-26T00:00:00"/>
    <x v="3"/>
    <x v="11"/>
    <s v="Chicago"/>
    <s v="Corporate"/>
    <x v="2"/>
    <x v="4"/>
    <x v="2"/>
    <s v="LAP-5763"/>
    <n v="1291.7"/>
    <n v="1420.8700000000001"/>
    <n v="2657.84"/>
    <s v="High"/>
    <n v="8.6999999999999994E-2"/>
    <n v="8.6999999999999994E-2"/>
    <s v=""/>
    <n v="21"/>
    <n v="25.2"/>
    <n v="27125.7"/>
    <n v="1711094.3776"/>
    <n v="590909.99331000005"/>
    <n v="0.34534038627303359"/>
    <s v="A"/>
    <n v="35805.923999999999"/>
    <n v="61150.519584000001"/>
    <n v="50958.766320000002"/>
    <n v="23833.066320000002"/>
    <n v="25344.595584000002"/>
    <n v="0.46769315745083367"/>
  </r>
  <r>
    <s v="ORD-2023-419187"/>
    <s v="419187"/>
    <x v="0"/>
    <d v="2023-01-20T00:00:00"/>
    <n v="2"/>
    <d v="2023-03-31T00:00:00"/>
    <s v="Mar-2023"/>
    <x v="4"/>
    <s v="Q1-2023"/>
    <n v="5"/>
    <n v="5"/>
    <n v="1"/>
    <d v="2023-04-05T00:00:00"/>
    <d v="2023-04-05T00:00:00"/>
    <x v="0"/>
    <x v="8"/>
    <s v="Nakuru"/>
    <s v="Education"/>
    <x v="3"/>
    <x v="1"/>
    <x v="2"/>
    <s v="LAP-7819"/>
    <n v="533.26"/>
    <n v="586.58600000000001"/>
    <n v="385.72"/>
    <s v="Low"/>
    <n v="0"/>
    <n v="0"/>
    <s v=""/>
    <n v="15"/>
    <n v="18"/>
    <n v="7998.9"/>
    <n v="1711094.3776"/>
    <n v="596695.7933100001"/>
    <n v="0.34872173102861354"/>
    <s v="A"/>
    <n v="10558.548000000001"/>
    <n v="6942.9600000000009"/>
    <n v="5785.8"/>
    <n v="-2213.0999999999995"/>
    <n v="-3615.5879999999997"/>
    <n v="-0.38250544436378708"/>
  </r>
  <r>
    <s v="ORD-2023-276806"/>
    <s v="276806"/>
    <x v="0"/>
    <d v="2023-01-02T00:00:00"/>
    <n v="2"/>
    <d v="2023-03-04T00:00:00"/>
    <s v="Mar-2023"/>
    <x v="4"/>
    <s v="Q1-2023"/>
    <n v="20"/>
    <n v="20"/>
    <n v="0"/>
    <d v="2023-03-24T00:00:00"/>
    <d v="2023-03-24T00:00:00"/>
    <x v="3"/>
    <x v="10"/>
    <s v="Montreal"/>
    <s v="Consumer"/>
    <x v="2"/>
    <x v="13"/>
    <x v="2"/>
    <s v="LAP-6160"/>
    <n v="481.71"/>
    <n v="529.88099999999997"/>
    <n v="912.45"/>
    <s v="Medium"/>
    <n v="0.20300000000000001"/>
    <n v="0.1"/>
    <s v=""/>
    <n v="24"/>
    <n v="28.799999999999997"/>
    <n v="11561.039999999999"/>
    <n v="1711094.3776"/>
    <n v="614149.13691000012"/>
    <n v="0.35892183677875938"/>
    <s v="A"/>
    <n v="15260.572799999998"/>
    <n v="23650.703999999998"/>
    <n v="17453.3436"/>
    <n v="5892.3036000000011"/>
    <n v="8390.1311999999998"/>
    <n v="0.33760313983619739"/>
  </r>
  <r>
    <s v="ORD-2024-771210"/>
    <s v="771210"/>
    <x v="1"/>
    <d v="2023-01-12T00:00:00"/>
    <n v="20"/>
    <d v="2024-09-14T00:00:00"/>
    <s v="Sept-2024"/>
    <x v="11"/>
    <s v="Q3-2024"/>
    <n v="21"/>
    <n v="21"/>
    <n v="0"/>
    <d v="2024-10-05T00:00:00"/>
    <d v="2024-10-05T00:00:00"/>
    <x v="1"/>
    <x v="4"/>
    <s v="Shanghai"/>
    <s v="Small Business"/>
    <x v="4"/>
    <x v="8"/>
    <x v="2"/>
    <s v="LAP-5150"/>
    <n v="1405.56"/>
    <n v="1546.116"/>
    <n v="2968.87"/>
    <s v="High"/>
    <n v="0.16900000000000001"/>
    <n v="0.1"/>
    <s v=""/>
    <n v="5"/>
    <n v="6"/>
    <n v="7027.7999999999993"/>
    <n v="1711094.3776"/>
    <n v="626484.79176000017"/>
    <n v="0.36613105621836867"/>
    <s v="A"/>
    <n v="9276.6959999999999"/>
    <n v="16031.898000000001"/>
    <n v="12335.654849999999"/>
    <n v="5307.8548499999997"/>
    <n v="6755.2020000000011"/>
    <n v="0.4302856163327235"/>
  </r>
  <r>
    <s v="ORD-2024-776337"/>
    <s v="776337"/>
    <x v="1"/>
    <d v="2023-01-29T00:00:00"/>
    <n v="21"/>
    <d v="2024-11-12T00:00:00"/>
    <s v="Nov-2024"/>
    <x v="10"/>
    <s v="Q4-2024"/>
    <n v="9"/>
    <n v="9"/>
    <n v="0"/>
    <d v="2024-11-21T00:00:00"/>
    <d v="2024-11-21T00:00:00"/>
    <x v="1"/>
    <x v="1"/>
    <s v="Mumbai"/>
    <s v="Corporate"/>
    <x v="0"/>
    <x v="8"/>
    <x v="2"/>
    <s v="LAP-5078"/>
    <n v="903.41"/>
    <n v="993.75100000000009"/>
    <n v="1860.41"/>
    <s v="High"/>
    <n v="0.108"/>
    <n v="0.1"/>
    <s v=""/>
    <n v="5"/>
    <n v="6"/>
    <n v="4517.05"/>
    <n v="1711094.3776"/>
    <n v="634782.22036000015"/>
    <n v="0.37098025022462683"/>
    <s v="A"/>
    <n v="5962.5060000000003"/>
    <n v="10046.214000000002"/>
    <n v="8297.4286000000011"/>
    <n v="3780.3786000000009"/>
    <n v="4083.7080000000014"/>
    <n v="0.455608451996803"/>
  </r>
  <r>
    <s v="ORD-2024-102866"/>
    <s v="102866"/>
    <x v="1"/>
    <d v="2023-03-03T00:00:00"/>
    <n v="21"/>
    <d v="2024-12-12T00:00:00"/>
    <s v="Dec-2024"/>
    <x v="3"/>
    <s v="Q4-2024"/>
    <n v="8"/>
    <n v="8"/>
    <n v="0"/>
    <d v="2024-12-20T00:00:00"/>
    <d v="2024-12-20T00:00:00"/>
    <x v="1"/>
    <x v="3"/>
    <s v="Tokyo"/>
    <s v="Corporate"/>
    <x v="1"/>
    <x v="1"/>
    <x v="2"/>
    <s v="LAP-8347"/>
    <n v="1202.47"/>
    <n v="1322.7170000000001"/>
    <n v="1444.72"/>
    <s v="Medium"/>
    <n v="0.24099999999999999"/>
    <n v="0.1"/>
    <s v=""/>
    <n v="17"/>
    <n v="20.399999999999999"/>
    <n v="20441.990000000002"/>
    <n v="1711094.3776"/>
    <n v="653423.44252000016"/>
    <n v="0.38187457750664761"/>
    <s v="A"/>
    <n v="26983.426800000001"/>
    <n v="26525.059199999996"/>
    <n v="18641.222160000001"/>
    <n v="-1800.7678400000004"/>
    <n v="-458.36760000000504"/>
    <n v="-9.6601382921343834E-2"/>
  </r>
  <r>
    <s v="ORD-2025-149156"/>
    <s v="149156"/>
    <x v="2"/>
    <d v="2023-01-29T00:00:00"/>
    <n v="23"/>
    <d v="2025-01-10T00:00:00"/>
    <s v="Jan-2025"/>
    <x v="1"/>
    <s v="Q1-2025"/>
    <n v="27"/>
    <n v="27"/>
    <n v="0"/>
    <d v="2025-02-06T00:00:00"/>
    <d v="2025-02-06T00:00:00"/>
    <x v="3"/>
    <x v="9"/>
    <s v="Brasília"/>
    <s v="Non-Profit"/>
    <x v="1"/>
    <x v="1"/>
    <x v="2"/>
    <s v="LAP-7353"/>
    <n v="725.62"/>
    <n v="798.18200000000002"/>
    <n v="1559.19"/>
    <s v="Medium"/>
    <n v="0.19"/>
    <n v="0.1"/>
    <s v=""/>
    <n v="12"/>
    <n v="14.399999999999999"/>
    <n v="8707.44"/>
    <n v="1711094.3776"/>
    <n v="668578.7693200002"/>
    <n v="0.39073167329189418"/>
    <s v="A"/>
    <n v="11493.8208"/>
    <n v="20207.1024"/>
    <n v="15155.326800000001"/>
    <n v="6447.8868000000002"/>
    <n v="8713.2816000000003"/>
    <n v="0.42545349797405885"/>
  </r>
  <r>
    <s v="ORD-2024-651852"/>
    <s v="651852"/>
    <x v="1"/>
    <d v="2023-01-12T00:00:00"/>
    <n v="23"/>
    <d v="2024-12-28T00:00:00"/>
    <s v="Dec-2024"/>
    <x v="3"/>
    <s v="Q4-2024"/>
    <n v="11"/>
    <n v="11"/>
    <n v="0"/>
    <d v="2025-01-08T00:00:00"/>
    <d v="2025-01-08T00:00:00"/>
    <x v="1"/>
    <x v="4"/>
    <s v="Shenzhen"/>
    <s v="Enterprise"/>
    <x v="4"/>
    <x v="11"/>
    <x v="2"/>
    <s v="LAP-8825"/>
    <n v="1201.31"/>
    <n v="1321.441"/>
    <n v="2764.65"/>
    <s v="High"/>
    <n v="0"/>
    <n v="0"/>
    <s v=""/>
    <n v="21"/>
    <n v="25.2"/>
    <n v="25227.51"/>
    <n v="1711094.3776"/>
    <n v="726636.41932000022"/>
    <n v="0.42466180056017044"/>
    <s v="A"/>
    <n v="33300.313199999997"/>
    <n v="69669.180000000008"/>
    <n v="58057.65"/>
    <n v="32830.14"/>
    <n v="36368.866800000011"/>
    <n v="0.56547483406579491"/>
  </r>
  <r>
    <s v="ORD-2025-728935"/>
    <s v="728935"/>
    <x v="2"/>
    <d v="2023-03-03T00:00:00"/>
    <n v="23"/>
    <d v="2025-02-28T00:00:00"/>
    <s v="Feb-2025"/>
    <x v="0"/>
    <s v="Q1-2025"/>
    <n v="10"/>
    <n v="10"/>
    <n v="0"/>
    <d v="2025-03-10T00:00:00"/>
    <d v="2025-03-10T00:00:00"/>
    <x v="1"/>
    <x v="3"/>
    <s v="Osaka"/>
    <s v="Education"/>
    <x v="2"/>
    <x v="14"/>
    <x v="2"/>
    <s v="LAP-3017"/>
    <n v="51.86"/>
    <n v="57.046000000000006"/>
    <n v="45.98"/>
    <s v="Low"/>
    <n v="0.17299999999999999"/>
    <n v="0.1"/>
    <s v=""/>
    <n v="7"/>
    <n v="8.4"/>
    <n v="363.02"/>
    <n v="1711094.3776"/>
    <n v="726902.59754000022"/>
    <n v="0.42481736078144439"/>
    <s v="A"/>
    <n v="479.18640000000005"/>
    <n v="347.60879999999997"/>
    <n v="266.17821999999995"/>
    <n v="-96.841780000000028"/>
    <n v="-131.57760000000007"/>
    <n v="-0.3638230806412337"/>
  </r>
  <r>
    <s v="ORD-2024-474999"/>
    <s v="474999"/>
    <x v="1"/>
    <d v="2023-01-22T00:00:00"/>
    <n v="23"/>
    <d v="2024-12-27T00:00:00"/>
    <s v="Dec-2024"/>
    <x v="3"/>
    <s v="Q4-2024"/>
    <n v="6"/>
    <n v="6"/>
    <n v="1"/>
    <d v="2025-01-02T00:00:00"/>
    <d v="2025-01-02T00:00:00"/>
    <x v="2"/>
    <x v="7"/>
    <s v="Frankfurt"/>
    <s v="Education"/>
    <x v="0"/>
    <x v="5"/>
    <x v="2"/>
    <s v="LAP-8214"/>
    <n v="1391.99"/>
    <n v="1531.1890000000001"/>
    <n v="3469.7"/>
    <s v="High"/>
    <n v="0.184"/>
    <n v="0.1"/>
    <s v=""/>
    <n v="23"/>
    <n v="27.599999999999998"/>
    <n v="32015.77"/>
    <n v="1711094.3776"/>
    <n v="792021.92714000028"/>
    <n v="0.46287448401934383"/>
    <s v="A"/>
    <n v="42260.816399999996"/>
    <n v="86187.347999999984"/>
    <n v="65119.329599999997"/>
    <n v="33103.559599999993"/>
    <n v="43926.531599999988"/>
    <n v="0.50835227886006973"/>
  </r>
  <r>
    <s v="ORD-2025-931538"/>
    <s v="931538"/>
    <x v="2"/>
    <d v="2023-01-29T00:00:00"/>
    <n v="24"/>
    <d v="2025-02-09T00:00:00"/>
    <s v="Feb-2025"/>
    <x v="0"/>
    <s v="Q1-2025"/>
    <n v="20"/>
    <n v="20"/>
    <n v="0"/>
    <d v="2025-03-01T00:00:00"/>
    <d v="2025-03-01T00:00:00"/>
    <x v="3"/>
    <x v="9"/>
    <s v="São Paulo"/>
    <s v="Corporate"/>
    <x v="2"/>
    <x v="1"/>
    <x v="2"/>
    <s v="LAP-6989"/>
    <n v="1154.6400000000001"/>
    <n v="1270.1040000000003"/>
    <n v="2794.13"/>
    <s v="High"/>
    <n v="3.5000000000000003E-2"/>
    <n v="3.5000000000000003E-2"/>
    <s v=""/>
    <n v="11"/>
    <n v="13.2"/>
    <n v="12701.04"/>
    <n v="1711094.3776"/>
    <n v="821681.61709000031"/>
    <n v="0.48020823856747169"/>
    <s v="A"/>
    <n v="16765.372800000001"/>
    <n v="35591.627939999998"/>
    <n v="29659.68995"/>
    <n v="16958.649949999999"/>
    <n v="18826.255139999997"/>
    <n v="0.57177435025749479"/>
  </r>
  <r>
    <s v="ORD-2025-578007"/>
    <s v="578007"/>
    <x v="2"/>
    <d v="2023-01-10T00:00:00"/>
    <n v="24"/>
    <d v="2025-01-21T00:00:00"/>
    <s v="Jan-2025"/>
    <x v="1"/>
    <s v="Q1-2025"/>
    <n v="26"/>
    <n v="26"/>
    <n v="0"/>
    <d v="2025-02-16T00:00:00"/>
    <d v="2025-02-16T00:00:00"/>
    <x v="2"/>
    <x v="5"/>
    <s v="Lyon"/>
    <s v="Corporate"/>
    <x v="2"/>
    <x v="7"/>
    <x v="2"/>
    <s v="LAP-3779"/>
    <n v="204.11"/>
    <n v="224.52100000000004"/>
    <n v="236.87"/>
    <s v="Low"/>
    <n v="0.182"/>
    <n v="0.1"/>
    <s v=""/>
    <n v="13"/>
    <n v="15.6"/>
    <n v="2653.4300000000003"/>
    <n v="1711094.3776"/>
    <n v="824200.4926700003"/>
    <n v="0.48168032310762021"/>
    <s v="A"/>
    <n v="3502.5276000000008"/>
    <n v="3325.6548000000003"/>
    <n v="2518.8755800000004"/>
    <n v="-134.55441999999994"/>
    <n v="-176.87280000000055"/>
    <n v="-5.3418446337075494E-2"/>
  </r>
  <r>
    <s v="ORD-2025-512310"/>
    <s v="512310"/>
    <x v="2"/>
    <d v="2023-01-29T00:00:00"/>
    <n v="25"/>
    <d v="2025-03-08T00:00:00"/>
    <s v="Mar-2025"/>
    <x v="4"/>
    <s v="Q1-2025"/>
    <n v="7"/>
    <n v="7"/>
    <n v="1"/>
    <d v="2025-03-15T00:00:00"/>
    <d v="2025-03-15T00:00:00"/>
    <x v="1"/>
    <x v="1"/>
    <s v="Bengaluru"/>
    <s v="Corporate"/>
    <x v="2"/>
    <x v="11"/>
    <x v="2"/>
    <s v="LAP-8119"/>
    <n v="475.66"/>
    <n v="523.22600000000011"/>
    <n v="529.14"/>
    <s v="Low"/>
    <n v="0.19600000000000001"/>
    <n v="0.1"/>
    <s v=""/>
    <n v="11"/>
    <n v="13.2"/>
    <n v="5232.26"/>
    <n v="1711094.3776"/>
    <n v="828880.20683000027"/>
    <n v="0.48441524773905043"/>
    <s v="A"/>
    <n v="6906.5832000000009"/>
    <n v="6286.1831999999995"/>
    <n v="4679.7141600000004"/>
    <n v="-552.54583999999977"/>
    <n v="-620.40000000000146"/>
    <n v="-0.11807256193613323"/>
  </r>
  <r>
    <s v="ORD-2025-662997"/>
    <s v="662997"/>
    <x v="2"/>
    <d v="2023-01-20T00:00:00"/>
    <n v="26"/>
    <d v="2025-03-31T00:00:00"/>
    <s v="Mar-2025"/>
    <x v="4"/>
    <s v="Q1-2025"/>
    <n v="4"/>
    <n v="4"/>
    <n v="1"/>
    <d v="2025-04-04T00:00:00"/>
    <d v="2025-04-04T00:00:00"/>
    <x v="0"/>
    <x v="8"/>
    <s v="Nakuru"/>
    <s v="Corporate"/>
    <x v="0"/>
    <x v="9"/>
    <x v="2"/>
    <s v="LAP-7136"/>
    <n v="862.08"/>
    <n v="948.28800000000012"/>
    <n v="1952.83"/>
    <s v="High"/>
    <n v="0"/>
    <n v="0"/>
    <s v=""/>
    <n v="7"/>
    <n v="8.4"/>
    <n v="6034.56"/>
    <n v="1711094.3776"/>
    <n v="842550.01683000033"/>
    <n v="0.49240417586537238"/>
    <s v="A"/>
    <n v="7965.619200000001"/>
    <n v="16403.772000000001"/>
    <n v="13669.81"/>
    <n v="7635.2499999999991"/>
    <n v="8438.1527999999998"/>
    <n v="0.5585483631447693"/>
  </r>
  <r>
    <s v="ORD-2025-640677"/>
    <s v="640677"/>
    <x v="2"/>
    <d v="2023-01-29T00:00:00"/>
    <n v="26"/>
    <d v="2025-04-09T00:00:00"/>
    <s v="Apr-2025"/>
    <x v="2"/>
    <s v="Q2-2025"/>
    <n v="27"/>
    <n v="27"/>
    <n v="0"/>
    <d v="2025-05-06T00:00:00"/>
    <d v="2025-05-06T00:00:00"/>
    <x v="3"/>
    <x v="9"/>
    <s v="Brasília"/>
    <s v="Enterprise"/>
    <x v="3"/>
    <x v="5"/>
    <x v="2"/>
    <s v="LAP-4517"/>
    <n v="264.19"/>
    <n v="290.60900000000004"/>
    <n v="620.92999999999995"/>
    <s v="Low"/>
    <n v="0.14199999999999999"/>
    <n v="0.1"/>
    <s v=""/>
    <n v="12"/>
    <n v="14.399999999999999"/>
    <n v="3170.2799999999997"/>
    <n v="1711094.3776"/>
    <n v="848943.11211000034"/>
    <n v="0.49614043691776805"/>
    <s v="A"/>
    <n v="4184.7696000000005"/>
    <n v="8047.2527999999984"/>
    <n v="6393.0952799999995"/>
    <n v="3222.8152799999998"/>
    <n v="3862.4831999999979"/>
    <n v="0.50410875152794532"/>
  </r>
  <r>
    <s v="ORD-2025-440093"/>
    <s v="440093"/>
    <x v="2"/>
    <d v="2023-01-15T00:00:00"/>
    <n v="27"/>
    <d v="2025-04-16T00:00:00"/>
    <s v="Apr-2025"/>
    <x v="2"/>
    <s v="Q2-2025"/>
    <n v="10"/>
    <n v="10"/>
    <n v="0"/>
    <d v="2025-04-26T00:00:00"/>
    <d v="2025-04-26T00:00:00"/>
    <x v="0"/>
    <x v="0"/>
    <s v="Port Harcourt"/>
    <s v="Enterprise"/>
    <x v="3"/>
    <x v="5"/>
    <x v="2"/>
    <s v="LAP-3490"/>
    <n v="1457.44"/>
    <n v="1603.1840000000002"/>
    <n v="1996.81"/>
    <s v="High"/>
    <n v="0.126"/>
    <n v="0.1"/>
    <s v=""/>
    <n v="23"/>
    <n v="27.599999999999998"/>
    <n v="33521.120000000003"/>
    <n v="1711094.3776"/>
    <n v="889082.98673000035"/>
    <n v="0.51959903461142687"/>
    <s v="A"/>
    <n v="44247.878400000001"/>
    <n v="49600.760399999992"/>
    <n v="40139.874619999995"/>
    <n v="6618.7546199999924"/>
    <n v="5352.8819999999905"/>
    <n v="0.16489225944672353"/>
  </r>
  <r>
    <s v="ORD-2025-983096"/>
    <s v="983096"/>
    <x v="2"/>
    <d v="2023-01-29T00:00:00"/>
    <n v="27"/>
    <d v="2025-05-17T00:00:00"/>
    <s v="May-2025"/>
    <x v="5"/>
    <s v="Q2-2025"/>
    <n v="11"/>
    <n v="11"/>
    <n v="0"/>
    <d v="2025-05-28T00:00:00"/>
    <d v="2025-05-28T00:00:00"/>
    <x v="1"/>
    <x v="1"/>
    <s v="Bengaluru"/>
    <s v="Corporate"/>
    <x v="2"/>
    <x v="1"/>
    <x v="2"/>
    <s v="LAP-9016"/>
    <n v="623.4"/>
    <n v="685.74"/>
    <n v="1100.0899999999999"/>
    <s v="Medium"/>
    <n v="0.114"/>
    <n v="0.1"/>
    <s v=""/>
    <n v="12"/>
    <n v="14.399999999999999"/>
    <n v="7480.7999999999993"/>
    <n v="1711094.3776"/>
    <n v="900779.14361000038"/>
    <n v="0.52643451781627804"/>
    <s v="A"/>
    <n v="9874.655999999999"/>
    <n v="14257.166399999996"/>
    <n v="11696.156879999999"/>
    <n v="4215.3568799999994"/>
    <n v="4382.5103999999974"/>
    <n v="0.36040529579490388"/>
  </r>
  <r>
    <s v="ORD-2025-700847"/>
    <s v="700847"/>
    <x v="2"/>
    <d v="2023-01-07T00:00:00"/>
    <n v="28"/>
    <d v="2025-05-21T00:00:00"/>
    <s v="May-2025"/>
    <x v="5"/>
    <s v="Q2-2025"/>
    <n v="-2"/>
    <n v="15"/>
    <n v="0"/>
    <d v="2025-05-19T00:00:00"/>
    <d v="2025-06-05T00:00:00"/>
    <x v="0"/>
    <x v="6"/>
    <s v="Johannesburg"/>
    <s v="Non-Profit"/>
    <x v="2"/>
    <x v="7"/>
    <x v="2"/>
    <s v="LAP-7099"/>
    <n v="1263.8399999999999"/>
    <n v="1390.2239999999999"/>
    <n v="2281.7199999999998"/>
    <s v="High"/>
    <n v="7.8E-2"/>
    <n v="7.8E-2"/>
    <s v=""/>
    <n v="15"/>
    <n v="18"/>
    <n v="18957.599999999999"/>
    <n v="1711094.3776"/>
    <n v="932335.33121000032"/>
    <n v="0.54487662598582332"/>
    <s v="A"/>
    <n v="25024.031999999999"/>
    <n v="37867.42512"/>
    <n v="31556.187599999997"/>
    <n v="12598.587599999999"/>
    <n v="12843.393120000001"/>
    <n v="0.39924301882398494"/>
  </r>
  <r>
    <s v="ORD-2025-480172"/>
    <s v="480172"/>
    <x v="2"/>
    <d v="2023-01-29T00:00:00"/>
    <n v="28"/>
    <d v="2025-06-17T00:00:00"/>
    <s v="Jun-2025"/>
    <x v="6"/>
    <s v="Q2-2025"/>
    <n v="18"/>
    <n v="18"/>
    <n v="0"/>
    <d v="2025-07-05T00:00:00"/>
    <d v="2025-07-05T00:00:00"/>
    <x v="1"/>
    <x v="1"/>
    <s v="Delhi"/>
    <s v="Consumer"/>
    <x v="3"/>
    <x v="4"/>
    <x v="2"/>
    <s v="LAP-1990"/>
    <n v="982.93"/>
    <n v="1081.223"/>
    <n v="2299.3000000000002"/>
    <s v="High"/>
    <n v="0.113"/>
    <n v="0.1"/>
    <s v=""/>
    <n v="6"/>
    <n v="7.1999999999999993"/>
    <n v="5897.58"/>
    <n v="1711094.3776"/>
    <n v="944572.20581000031"/>
    <n v="0.55202811614334668"/>
    <s v="A"/>
    <n v="7784.8055999999988"/>
    <n v="14899.464"/>
    <n v="12236.874600000001"/>
    <n v="6339.2946000000011"/>
    <n v="7114.6584000000012"/>
    <n v="0.51804850562087157"/>
  </r>
  <r>
    <s v="ORD-2025-646342"/>
    <s v="646342"/>
    <x v="2"/>
    <d v="2023-03-03T00:00:00"/>
    <n v="28"/>
    <d v="2025-08-02T00:00:00"/>
    <s v="Aug-2025"/>
    <x v="8"/>
    <s v="Q3-2025"/>
    <n v="6"/>
    <n v="6"/>
    <n v="1"/>
    <d v="2025-08-08T00:00:00"/>
    <d v="2025-08-08T00:00:00"/>
    <x v="1"/>
    <x v="3"/>
    <s v="Osaka"/>
    <s v="Consumer"/>
    <x v="0"/>
    <x v="14"/>
    <x v="2"/>
    <s v="LAP-4828"/>
    <n v="1225.94"/>
    <n v="1348.5340000000001"/>
    <n v="1793.08"/>
    <s v="High"/>
    <n v="0.13600000000000001"/>
    <n v="0.1"/>
    <s v=""/>
    <n v="22"/>
    <n v="26.4"/>
    <n v="26970.68"/>
    <n v="1711094.3776"/>
    <n v="978655.07045000035"/>
    <n v="0.57194686819243301"/>
    <s v="A"/>
    <n v="35601.297599999998"/>
    <n v="42603.580799999996"/>
    <n v="34082.864639999993"/>
    <n v="7112.1846399999922"/>
    <n v="7002.283199999998"/>
    <n v="0.20867332353434462"/>
  </r>
  <r>
    <s v="ORD-2025-398335"/>
    <s v="398335"/>
    <x v="2"/>
    <d v="2023-01-22T00:00:00"/>
    <n v="28"/>
    <d v="2025-06-01T00:00:00"/>
    <s v="Jun-2025"/>
    <x v="6"/>
    <s v="Q2-2025"/>
    <n v="26"/>
    <n v="26"/>
    <n v="0"/>
    <d v="2025-06-27T00:00:00"/>
    <d v="2025-06-27T00:00:00"/>
    <x v="2"/>
    <x v="7"/>
    <s v="Munich"/>
    <s v="Consumer"/>
    <x v="2"/>
    <x v="12"/>
    <x v="2"/>
    <s v="LAP-1619"/>
    <n v="1362.31"/>
    <n v="1498.5410000000002"/>
    <n v="3294.57"/>
    <s v="High"/>
    <n v="0.113"/>
    <n v="0.1"/>
    <s v=""/>
    <n v="7"/>
    <n v="8.4"/>
    <n v="9536.17"/>
    <n v="1711094.3776"/>
    <n v="999111.05558000039"/>
    <n v="0.58390178160795825"/>
    <s v="A"/>
    <n v="12587.744400000001"/>
    <n v="24906.949200000003"/>
    <n v="20455.985130000001"/>
    <n v="10919.815130000001"/>
    <n v="12319.204800000001"/>
    <n v="0.5338200561157721"/>
  </r>
  <r>
    <s v="ORD-2025-745263"/>
    <s v="745263"/>
    <x v="2"/>
    <d v="2023-01-19T00:00:00"/>
    <n v="28"/>
    <d v="2025-05-21T00:00:00"/>
    <s v="May-2025"/>
    <x v="5"/>
    <s v="Q2-2025"/>
    <n v="-2"/>
    <n v="15"/>
    <n v="0"/>
    <d v="2025-05-19T00:00:00"/>
    <d v="2025-06-05T00:00:00"/>
    <x v="2"/>
    <x v="2"/>
    <s v="Birmingham"/>
    <s v="Enterprise"/>
    <x v="4"/>
    <x v="6"/>
    <x v="2"/>
    <s v="LAP-3385"/>
    <n v="1015.16"/>
    <n v="1116.6760000000002"/>
    <n v="2148.14"/>
    <s v="High"/>
    <n v="3.7999999999999999E-2"/>
    <n v="3.7999999999999999E-2"/>
    <s v=""/>
    <n v="19"/>
    <n v="22.8"/>
    <n v="19288.04"/>
    <n v="1711094.3776"/>
    <n v="1038374.7585000003"/>
    <n v="0.60684832589797666"/>
    <s v="A"/>
    <n v="25460.212800000005"/>
    <n v="47116.443503999995"/>
    <n v="39263.702919999996"/>
    <n v="19975.662919999995"/>
    <n v="21656.230703999991"/>
    <n v="0.50875647059322227"/>
  </r>
  <r>
    <s v="ORD-2025-650841"/>
    <s v="650841"/>
    <x v="2"/>
    <d v="2023-01-15T00:00:00"/>
    <n v="29"/>
    <d v="2025-07-03T00:00:00"/>
    <s v="Jul-2025"/>
    <x v="7"/>
    <s v="Q3-2025"/>
    <n v="3"/>
    <n v="3"/>
    <n v="1"/>
    <d v="2025-07-06T00:00:00"/>
    <d v="2025-07-06T00:00:00"/>
    <x v="0"/>
    <x v="0"/>
    <s v="Lagos"/>
    <s v="Consumer"/>
    <x v="4"/>
    <x v="3"/>
    <x v="2"/>
    <s v="LAP-8910"/>
    <n v="1313.3"/>
    <n v="1444.63"/>
    <n v="2884.34"/>
    <s v="High"/>
    <n v="0.157"/>
    <n v="0.1"/>
    <s v=""/>
    <n v="42"/>
    <n v="50.4"/>
    <n v="55158.6"/>
    <n v="1711094.3776"/>
    <n v="1140497.7005400003"/>
    <n v="0.66653114841022099"/>
    <s v="A"/>
    <n v="72809.351999999999"/>
    <n v="130833.6624"/>
    <n v="102122.94203999999"/>
    <n v="46964.342039999996"/>
    <n v="58024.310400000002"/>
    <n v="0.45988042551305253"/>
  </r>
  <r>
    <s v="ORD-2025-929414"/>
    <s v="929414"/>
    <x v="2"/>
    <d v="2023-01-15T00:00:00"/>
    <n v="29"/>
    <d v="2025-06-26T00:00:00"/>
    <s v="Jun-2025"/>
    <x v="6"/>
    <s v="Q2-2025"/>
    <n v="15"/>
    <n v="15"/>
    <n v="0"/>
    <d v="2025-07-11T00:00:00"/>
    <d v="2025-07-11T00:00:00"/>
    <x v="0"/>
    <x v="0"/>
    <s v="Port Harcourt"/>
    <s v="Small Business"/>
    <x v="4"/>
    <x v="3"/>
    <x v="2"/>
    <s v="LAP-7523"/>
    <n v="1170.1500000000001"/>
    <n v="1287.1650000000002"/>
    <n v="2115.19"/>
    <s v="High"/>
    <n v="9.1999999999999998E-2"/>
    <n v="9.1999999999999998E-2"/>
    <s v=""/>
    <n v="23"/>
    <n v="27.599999999999998"/>
    <n v="26913.45"/>
    <n v="1711094.3776"/>
    <n v="1184671.3285000003"/>
    <n v="0.6923471574733554"/>
    <s v="A"/>
    <n v="35525.754000000001"/>
    <n v="53008.353552"/>
    <n v="44173.627960000005"/>
    <n v="17260.177960000005"/>
    <n v="17482.599552"/>
    <n v="0.39073489674946776"/>
  </r>
  <r>
    <s v="ORD-2025-312803"/>
    <s v="312803"/>
    <x v="2"/>
    <d v="2023-01-07T00:00:00"/>
    <n v="29"/>
    <d v="2025-06-24T00:00:00"/>
    <s v="Jun-2025"/>
    <x v="6"/>
    <s v="Q2-2025"/>
    <n v="20"/>
    <n v="20"/>
    <n v="0"/>
    <d v="2025-07-14T00:00:00"/>
    <d v="2025-07-14T00:00:00"/>
    <x v="0"/>
    <x v="6"/>
    <s v="Johannesburg"/>
    <s v="Enterprise"/>
    <x v="3"/>
    <x v="10"/>
    <x v="2"/>
    <s v="LAP-1308"/>
    <n v="1151.06"/>
    <n v="1266.1659999999999"/>
    <n v="2821.36"/>
    <s v="High"/>
    <n v="0.248"/>
    <n v="0.1"/>
    <s v=""/>
    <n v="20"/>
    <n v="24"/>
    <n v="23021.199999999997"/>
    <n v="1711094.3776"/>
    <n v="1227104.5829000003"/>
    <n v="0.71714605515865859"/>
    <s v="A"/>
    <n v="30387.983999999997"/>
    <n v="60941.376000000004"/>
    <n v="42433.254400000005"/>
    <n v="19412.054400000008"/>
    <n v="30553.392000000007"/>
    <n v="0.45747267501594235"/>
  </r>
  <r>
    <s v="ORD-2023-937291"/>
    <s v="937291"/>
    <x v="0"/>
    <d v="2023-01-20T00:00:00"/>
    <n v="3"/>
    <d v="2023-04-23T00:00:00"/>
    <s v="Apr-2023"/>
    <x v="2"/>
    <s v="Q2-2023"/>
    <n v="-1"/>
    <n v="15"/>
    <n v="0"/>
    <d v="2023-04-22T00:00:00"/>
    <d v="2023-05-08T00:00:00"/>
    <x v="0"/>
    <x v="8"/>
    <s v="Nairobi"/>
    <s v="Small Business"/>
    <x v="0"/>
    <x v="12"/>
    <x v="2"/>
    <s v="LAP-1698"/>
    <n v="756.51"/>
    <n v="832.16100000000006"/>
    <n v="850.8"/>
    <s v="Medium"/>
    <n v="7.3999999999999996E-2"/>
    <n v="7.3999999999999996E-2"/>
    <s v=""/>
    <n v="9"/>
    <n v="10.799999999999999"/>
    <n v="6808.59"/>
    <n v="1711094.3776"/>
    <n v="1234195.1501000002"/>
    <n v="0.72128993365701777"/>
    <s v="A"/>
    <n v="8987.3387999999995"/>
    <n v="8508.6806400000005"/>
    <n v="7090.5672000000004"/>
    <n v="281.97720000000027"/>
    <n v="-478.65815999999904"/>
    <n v="3.9767932810791252E-2"/>
  </r>
  <r>
    <s v="ORD-2023-157993"/>
    <s v="157993"/>
    <x v="0"/>
    <d v="2023-01-12T00:00:00"/>
    <n v="3"/>
    <d v="2023-04-18T00:00:00"/>
    <s v="Apr-2023"/>
    <x v="2"/>
    <s v="Q2-2023"/>
    <n v="30"/>
    <n v="30"/>
    <n v="0"/>
    <d v="2023-05-18T00:00:00"/>
    <d v="2023-05-18T00:00:00"/>
    <x v="1"/>
    <x v="4"/>
    <s v="Shenzhen"/>
    <s v="Non-Profit"/>
    <x v="1"/>
    <x v="8"/>
    <x v="2"/>
    <s v="LAP-1482"/>
    <n v="329.03"/>
    <n v="361.93299999999999"/>
    <n v="391.15"/>
    <s v="Low"/>
    <n v="0.19700000000000001"/>
    <n v="0.1"/>
    <s v=""/>
    <n v="46"/>
    <n v="55.199999999999996"/>
    <n v="15135.38"/>
    <n v="1711094.3776"/>
    <n v="1248643.4488000001"/>
    <n v="0.7297338271611653"/>
    <s v="A"/>
    <n v="19978.701599999997"/>
    <n v="19432.331999999999"/>
    <n v="14448.298699999998"/>
    <n v="-687.08130000000165"/>
    <n v="-546.36959999999817"/>
    <n v="-4.7554477815440081E-2"/>
  </r>
  <r>
    <s v="ORD-2023-676553"/>
    <s v="676553"/>
    <x v="0"/>
    <d v="2023-01-29T00:00:00"/>
    <n v="3"/>
    <d v="2023-05-20T00:00:00"/>
    <s v="May-2023"/>
    <x v="5"/>
    <s v="Q2-2023"/>
    <n v="30"/>
    <n v="30"/>
    <n v="0"/>
    <d v="2023-06-19T00:00:00"/>
    <d v="2023-06-19T00:00:00"/>
    <x v="1"/>
    <x v="1"/>
    <s v="Delhi"/>
    <s v="Non-Profit"/>
    <x v="3"/>
    <x v="8"/>
    <x v="2"/>
    <s v="LAP-2806"/>
    <n v="1161.2"/>
    <n v="1277.3200000000002"/>
    <n v="878.73"/>
    <s v="Medium"/>
    <n v="0.19"/>
    <n v="0.1"/>
    <s v=""/>
    <n v="31"/>
    <n v="37.199999999999996"/>
    <n v="35997.200000000004"/>
    <n v="1711094.3776"/>
    <n v="1270708.3591000002"/>
    <n v="0.7426290307155996"/>
    <s v="A"/>
    <n v="47516.304000000004"/>
    <n v="29419.880399999998"/>
    <n v="22064.910300000003"/>
    <n v="-13932.289700000001"/>
    <n v="-18096.423600000006"/>
    <n v="-0.63142290227212028"/>
  </r>
  <r>
    <s v="ORD-2023-472050"/>
    <s v="472050"/>
    <x v="0"/>
    <d v="2023-01-29T00:00:00"/>
    <n v="3"/>
    <d v="2023-05-10T00:00:00"/>
    <s v="May-2023"/>
    <x v="5"/>
    <s v="Q2-2023"/>
    <n v="17"/>
    <n v="17"/>
    <n v="0"/>
    <d v="2023-05-27T00:00:00"/>
    <d v="2023-05-27T00:00:00"/>
    <x v="1"/>
    <x v="1"/>
    <s v="Mumbai"/>
    <s v="Consumer"/>
    <x v="1"/>
    <x v="6"/>
    <x v="2"/>
    <s v="LAP-6499"/>
    <n v="1286.1600000000001"/>
    <n v="1414.7760000000003"/>
    <n v="3101.11"/>
    <s v="High"/>
    <n v="0.1"/>
    <n v="0.1"/>
    <s v=""/>
    <n v="23"/>
    <n v="27.599999999999998"/>
    <n v="29581.68"/>
    <n v="1711094.3776"/>
    <n v="1334901.3361000002"/>
    <n v="0.78014477376306246"/>
    <s v="A"/>
    <n v="39047.817600000002"/>
    <n v="77031.572400000005"/>
    <n v="64192.976999999999"/>
    <n v="34611.296999999999"/>
    <n v="37983.754800000002"/>
    <n v="0.53917575749758417"/>
  </r>
  <r>
    <s v="ORD-2023-867166"/>
    <s v="867166"/>
    <x v="0"/>
    <d v="2023-01-10T00:00:00"/>
    <n v="3"/>
    <d v="2023-04-13T00:00:00"/>
    <s v="Apr-2023"/>
    <x v="2"/>
    <s v="Q2-2023"/>
    <n v="7"/>
    <n v="7"/>
    <n v="1"/>
    <d v="2023-04-20T00:00:00"/>
    <d v="2023-04-20T00:00:00"/>
    <x v="2"/>
    <x v="5"/>
    <s v="Lyon"/>
    <s v="Small Business"/>
    <x v="4"/>
    <x v="3"/>
    <x v="2"/>
    <s v="LAP-3565"/>
    <n v="227.02"/>
    <n v="249.72200000000004"/>
    <n v="434.72"/>
    <s v="Low"/>
    <n v="9.8000000000000004E-2"/>
    <n v="9.8000000000000004E-2"/>
    <s v=""/>
    <n v="10"/>
    <n v="12"/>
    <n v="2270.2000000000003"/>
    <n v="1711094.3776"/>
    <n v="1338822.5105000001"/>
    <n v="0.78243639160210876"/>
    <s v="A"/>
    <n v="2996.6640000000007"/>
    <n v="4705.4092800000008"/>
    <n v="3921.1744000000008"/>
    <n v="1650.9744000000005"/>
    <n v="1708.7452800000001"/>
    <n v="0.42104079838938052"/>
  </r>
  <r>
    <s v="ORD-2023-501220"/>
    <s v="501220"/>
    <x v="0"/>
    <d v="2023-01-19T00:00:00"/>
    <n v="3"/>
    <d v="2023-04-19T00:00:00"/>
    <s v="Apr-2023"/>
    <x v="2"/>
    <s v="Q2-2023"/>
    <n v="18"/>
    <n v="18"/>
    <n v="0"/>
    <d v="2023-05-07T00:00:00"/>
    <d v="2023-05-07T00:00:00"/>
    <x v="2"/>
    <x v="2"/>
    <s v="Birmingham"/>
    <s v="Enterprise"/>
    <x v="1"/>
    <x v="14"/>
    <x v="2"/>
    <s v="LAP-9766"/>
    <n v="1089.1500000000001"/>
    <n v="1198.0650000000003"/>
    <n v="1088.2"/>
    <s v="Medium"/>
    <n v="5.0999999999999997E-2"/>
    <n v="5.0999999999999997E-2"/>
    <s v=""/>
    <n v="15"/>
    <n v="18"/>
    <n v="16337.250000000002"/>
    <n v="1711094.3776"/>
    <n v="1354313.0375000001"/>
    <n v="0.79148938552388592"/>
    <s v="A"/>
    <n v="21565.170000000006"/>
    <n v="18588.632400000002"/>
    <n v="15490.527"/>
    <n v="-846.72300000000178"/>
    <n v="-2976.5376000000033"/>
    <n v="-5.4660696824582002E-2"/>
  </r>
  <r>
    <s v="ORD-2025-956101"/>
    <s v="956101"/>
    <x v="2"/>
    <d v="2023-01-02T00:00:00"/>
    <n v="30"/>
    <d v="2025-07-09T00:00:00"/>
    <s v="Jul-2025"/>
    <x v="7"/>
    <s v="Q3-2025"/>
    <n v="9"/>
    <n v="9"/>
    <n v="0"/>
    <d v="2025-07-18T00:00:00"/>
    <d v="2025-07-18T00:00:00"/>
    <x v="3"/>
    <x v="10"/>
    <s v="Vancouver"/>
    <s v="Education"/>
    <x v="2"/>
    <x v="13"/>
    <x v="2"/>
    <s v="LAP-2218"/>
    <n v="57.96"/>
    <n v="63.756000000000007"/>
    <n v="88.51"/>
    <s v="Low"/>
    <n v="4.2999999999999997E-2"/>
    <n v="4.2999999999999997E-2"/>
    <s v=""/>
    <n v="7"/>
    <n v="8.4"/>
    <n v="405.72"/>
    <n v="1711094.3776"/>
    <n v="1354905.9659900002"/>
    <n v="0.79183590556261796"/>
    <s v="A"/>
    <n v="535.55040000000008"/>
    <n v="711.51418799999999"/>
    <n v="592.92849000000001"/>
    <n v="187.20848999999998"/>
    <n v="175.96378799999991"/>
    <n v="0.3157353595877978"/>
  </r>
  <r>
    <s v="ORD-2025-635337"/>
    <s v="635337"/>
    <x v="2"/>
    <d v="2023-01-29T00:00:00"/>
    <n v="30"/>
    <d v="2025-08-05T00:00:00"/>
    <s v="Aug-2025"/>
    <x v="8"/>
    <s v="Q3-2025"/>
    <n v="23"/>
    <n v="23"/>
    <n v="0"/>
    <d v="2025-08-28T00:00:00"/>
    <d v="2025-08-28T00:00:00"/>
    <x v="1"/>
    <x v="1"/>
    <s v="Mumbai"/>
    <s v="Non-Profit"/>
    <x v="2"/>
    <x v="14"/>
    <x v="2"/>
    <s v="LAP-3905"/>
    <n v="638.54"/>
    <n v="702.39400000000001"/>
    <n v="987.24"/>
    <s v="Medium"/>
    <n v="0"/>
    <n v="0"/>
    <s v=""/>
    <n v="11"/>
    <n v="13.2"/>
    <n v="7023.94"/>
    <n v="1711094.3776"/>
    <n v="1365765.6059900001"/>
    <n v="0.79818251048527089"/>
    <s v="A"/>
    <n v="9271.6008000000002"/>
    <n v="13031.567999999999"/>
    <n v="10859.64"/>
    <n v="3835.7"/>
    <n v="3759.9671999999991"/>
    <n v="0.35320692030306716"/>
  </r>
  <r>
    <s v="ORD-2025-244832"/>
    <s v="244832"/>
    <x v="2"/>
    <d v="2023-01-20T00:00:00"/>
    <n v="31"/>
    <d v="2025-09-11T00:00:00"/>
    <s v="Sept-2025"/>
    <x v="11"/>
    <s v="Q3-2025"/>
    <n v="17"/>
    <n v="17"/>
    <n v="0"/>
    <d v="2025-09-28T00:00:00"/>
    <d v="2025-09-28T00:00:00"/>
    <x v="0"/>
    <x v="8"/>
    <s v="Nairobi"/>
    <s v="Non-Profit"/>
    <x v="2"/>
    <x v="10"/>
    <x v="2"/>
    <s v="LAP-3278"/>
    <n v="891.46"/>
    <n v="980.60600000000011"/>
    <n v="728.61"/>
    <s v="Low"/>
    <n v="0.185"/>
    <n v="0.1"/>
    <s v=""/>
    <n v="6"/>
    <n v="7.1999999999999993"/>
    <n v="5348.76"/>
    <n v="1711094.3776"/>
    <n v="1369328.5088900002"/>
    <n v="0.80026474682865567"/>
    <s v="B"/>
    <n v="7060.3631999999998"/>
    <n v="4721.3927999999996"/>
    <n v="3562.9028999999996"/>
    <n v="-1785.8571000000006"/>
    <n v="-2338.9704000000002"/>
    <n v="-0.50123653383874167"/>
  </r>
  <r>
    <s v="ORD-2025-803803"/>
    <s v="803803"/>
    <x v="2"/>
    <d v="2023-01-15T00:00:00"/>
    <n v="31"/>
    <d v="2025-08-28T00:00:00"/>
    <s v="Aug-2025"/>
    <x v="8"/>
    <s v="Q3-2025"/>
    <n v="8"/>
    <n v="8"/>
    <n v="0"/>
    <d v="2025-09-05T00:00:00"/>
    <d v="2025-09-05T00:00:00"/>
    <x v="0"/>
    <x v="0"/>
    <s v="Port Harcourt"/>
    <s v="Small Business"/>
    <x v="3"/>
    <x v="12"/>
    <x v="2"/>
    <s v="LAP-7553"/>
    <n v="1271.0999999999999"/>
    <n v="1398.21"/>
    <n v="1932.42"/>
    <s v="High"/>
    <n v="0.25"/>
    <n v="0.1"/>
    <s v=""/>
    <n v="21"/>
    <n v="25.2"/>
    <n v="26693.1"/>
    <n v="1711094.3776"/>
    <n v="1399764.1238900002"/>
    <n v="0.81805196850294426"/>
    <s v="B"/>
    <n v="35234.892"/>
    <n v="43827.285600000003"/>
    <n v="30435.614999999998"/>
    <n v="3742.5149999999994"/>
    <n v="8592.3936000000031"/>
    <n v="0.12296498690760807"/>
  </r>
  <r>
    <s v="ORD-2025-417336"/>
    <s v="417336"/>
    <x v="2"/>
    <d v="2023-01-10T00:00:00"/>
    <n v="31"/>
    <d v="2025-08-30T00:00:00"/>
    <s v="Aug-2025"/>
    <x v="8"/>
    <s v="Q3-2025"/>
    <n v="4"/>
    <n v="4"/>
    <n v="1"/>
    <d v="2025-09-03T00:00:00"/>
    <d v="2025-09-03T00:00:00"/>
    <x v="2"/>
    <x v="5"/>
    <s v="Marseille"/>
    <s v="Small Business"/>
    <x v="3"/>
    <x v="10"/>
    <x v="2"/>
    <s v="LAP-3220"/>
    <n v="1286.56"/>
    <n v="1415.2160000000001"/>
    <n v="2777.35"/>
    <s v="High"/>
    <n v="0.13200000000000001"/>
    <n v="0.1"/>
    <s v=""/>
    <n v="15"/>
    <n v="18"/>
    <n v="19298.399999999998"/>
    <n v="1711094.3776"/>
    <n v="1435925.2208900002"/>
    <n v="0.83918528380885971"/>
    <s v="B"/>
    <n v="25473.888000000003"/>
    <n v="44993.07"/>
    <n v="36161.097000000002"/>
    <n v="16862.697000000004"/>
    <n v="19519.181999999997"/>
    <n v="0.46632150014696744"/>
  </r>
  <r>
    <s v="ORD-2023-286720"/>
    <s v="286720"/>
    <x v="0"/>
    <d v="2023-01-20T00:00:00"/>
    <n v="5"/>
    <d v="2023-07-08T00:00:00"/>
    <s v="Jul-2023"/>
    <x v="7"/>
    <s v="Q3-2023"/>
    <n v="1"/>
    <n v="1"/>
    <n v="1"/>
    <d v="2023-07-09T00:00:00"/>
    <d v="2023-07-09T00:00:00"/>
    <x v="0"/>
    <x v="8"/>
    <s v="Nairobi"/>
    <s v="Consumer"/>
    <x v="4"/>
    <x v="0"/>
    <x v="2"/>
    <s v="LAP-1989"/>
    <n v="1258.72"/>
    <n v="1384.5920000000001"/>
    <n v="2797.41"/>
    <s v="High"/>
    <n v="0"/>
    <n v="0"/>
    <s v=""/>
    <n v="7"/>
    <n v="8.4"/>
    <n v="8811.0400000000009"/>
    <n v="1711094.3776"/>
    <n v="1455507.0908900003"/>
    <n v="0.85062934572405691"/>
    <s v="B"/>
    <n v="11630.572800000002"/>
    <n v="23498.243999999999"/>
    <n v="19581.87"/>
    <n v="10770.829999999998"/>
    <n v="11867.671199999997"/>
    <n v="0.55004093071805704"/>
  </r>
  <r>
    <s v="ORD-2023-159821"/>
    <s v="159821"/>
    <x v="0"/>
    <d v="2023-01-15T00:00:00"/>
    <n v="5"/>
    <d v="2023-07-01T00:00:00"/>
    <s v="Jul-2023"/>
    <x v="7"/>
    <s v="Q3-2023"/>
    <n v="7"/>
    <n v="7"/>
    <n v="1"/>
    <d v="2023-07-08T00:00:00"/>
    <d v="2023-07-08T00:00:00"/>
    <x v="0"/>
    <x v="0"/>
    <s v="Port Harcourt"/>
    <s v="Corporate"/>
    <x v="1"/>
    <x v="3"/>
    <x v="2"/>
    <s v="LAP-3904"/>
    <n v="834.26"/>
    <n v="917.68600000000004"/>
    <n v="1780.56"/>
    <s v="High"/>
    <n v="1.4E-2"/>
    <n v="1.4E-2"/>
    <s v=""/>
    <n v="47"/>
    <n v="56.4"/>
    <n v="39210.22"/>
    <n v="1711094.3776"/>
    <n v="1538021.8024100002"/>
    <n v="0.89885270067174594"/>
    <s v="B"/>
    <n v="51757.490400000002"/>
    <n v="99017.653823999994"/>
    <n v="82514.711519999997"/>
    <n v="43304.491519999996"/>
    <n v="47260.163423999991"/>
    <n v="0.5248093427497933"/>
  </r>
  <r>
    <s v="ORD-2023-497686"/>
    <s v="497686"/>
    <x v="0"/>
    <d v="2023-01-07T00:00:00"/>
    <n v="5"/>
    <d v="2023-07-03T00:00:00"/>
    <s v="Jul-2023"/>
    <x v="7"/>
    <s v="Q3-2023"/>
    <n v="20"/>
    <n v="20"/>
    <n v="0"/>
    <d v="2023-07-23T00:00:00"/>
    <d v="2023-07-23T00:00:00"/>
    <x v="0"/>
    <x v="6"/>
    <s v="Johannesburg"/>
    <s v="Small Business"/>
    <x v="2"/>
    <x v="5"/>
    <x v="2"/>
    <s v="LAP-6342"/>
    <n v="1001.96"/>
    <n v="1102.1560000000002"/>
    <n v="1254.95"/>
    <s v="Medium"/>
    <n v="4.4999999999999998E-2"/>
    <n v="4.4999999999999998E-2"/>
    <s v=""/>
    <n v="18"/>
    <n v="21.599999999999998"/>
    <n v="18035.28"/>
    <n v="1711094.3776"/>
    <n v="1559594.3929100002"/>
    <n v="0.91146018204881518"/>
    <s v="B"/>
    <n v="23806.569600000003"/>
    <n v="25887.108599999996"/>
    <n v="21572.590500000002"/>
    <n v="3537.3105000000032"/>
    <n v="2080.5389999999934"/>
    <n v="0.16397244920585699"/>
  </r>
  <r>
    <s v="ORD-2023-453699"/>
    <s v="453699"/>
    <x v="0"/>
    <d v="2023-01-22T00:00:00"/>
    <n v="5"/>
    <d v="2023-07-01T00:00:00"/>
    <s v="Jul-2023"/>
    <x v="7"/>
    <s v="Q3-2023"/>
    <n v="7"/>
    <n v="7"/>
    <n v="1"/>
    <d v="2023-07-08T00:00:00"/>
    <d v="2023-07-08T00:00:00"/>
    <x v="2"/>
    <x v="7"/>
    <s v="Frankfurt"/>
    <s v="Small Business"/>
    <x v="2"/>
    <x v="14"/>
    <x v="2"/>
    <s v="LAP-4666"/>
    <n v="460.21"/>
    <n v="506.23099999999999"/>
    <n v="1139.1500000000001"/>
    <s v="Medium"/>
    <n v="0.115"/>
    <n v="0.1"/>
    <s v=""/>
    <n v="14"/>
    <n v="16.8"/>
    <n v="6442.94"/>
    <n v="1711094.3776"/>
    <n v="1573708.4614100002"/>
    <n v="0.91970874430509275"/>
    <s v="B"/>
    <n v="8504.6808000000001"/>
    <n v="17223.948"/>
    <n v="14114.068500000001"/>
    <n v="7671.1285000000016"/>
    <n v="8719.2672000000002"/>
    <n v="0.54350937151821255"/>
  </r>
  <r>
    <s v="ORD-2023-569862"/>
    <s v="569862"/>
    <x v="0"/>
    <d v="2023-01-19T00:00:00"/>
    <n v="5"/>
    <d v="2023-07-16T00:00:00"/>
    <s v="Jul-2023"/>
    <x v="7"/>
    <s v="Q3-2023"/>
    <n v="28"/>
    <n v="28"/>
    <n v="0"/>
    <d v="2023-08-13T00:00:00"/>
    <d v="2023-08-13T00:00:00"/>
    <x v="2"/>
    <x v="2"/>
    <s v="Manchester"/>
    <s v="Non-Profit"/>
    <x v="4"/>
    <x v="10"/>
    <x v="2"/>
    <s v="LAP-1178"/>
    <n v="1039.03"/>
    <n v="1142.933"/>
    <n v="2545.81"/>
    <s v="High"/>
    <n v="0.216"/>
    <n v="0.1"/>
    <s v=""/>
    <n v="21"/>
    <n v="25.2"/>
    <n v="21819.63"/>
    <n v="1711094.3776"/>
    <n v="1615622.6772500002"/>
    <n v="0.94420430480058648"/>
    <s v="B"/>
    <n v="28801.911599999999"/>
    <n v="57738.970799999996"/>
    <n v="41914.215840000004"/>
    <n v="20094.585840000003"/>
    <n v="28937.059199999996"/>
    <n v="0.47942172929364774"/>
  </r>
  <r>
    <s v="ORD-2023-552115"/>
    <s v="552115"/>
    <x v="0"/>
    <d v="2023-01-29T00:00:00"/>
    <n v="7"/>
    <d v="2023-09-17T00:00:00"/>
    <s v="Sept-2023"/>
    <x v="11"/>
    <s v="Q3-2023"/>
    <n v="15"/>
    <n v="15"/>
    <n v="0"/>
    <d v="2023-10-02T00:00:00"/>
    <d v="2023-10-02T00:00:00"/>
    <x v="3"/>
    <x v="9"/>
    <s v="Rio de Janeiro"/>
    <s v="Small Business"/>
    <x v="1"/>
    <x v="1"/>
    <x v="2"/>
    <s v="LAP-4932"/>
    <n v="689.33"/>
    <n v="758.26300000000015"/>
    <n v="668.27"/>
    <s v="Low"/>
    <n v="0.186"/>
    <n v="0.1"/>
    <s v=""/>
    <n v="13"/>
    <n v="15.6"/>
    <n v="8961.2900000000009"/>
    <n v="1711094.3776"/>
    <n v="1622694.3103900002"/>
    <n v="0.94833711783099262"/>
    <s v="B"/>
    <n v="11828.902800000002"/>
    <n v="9382.5108"/>
    <n v="7071.6331400000008"/>
    <n v="-1889.6568600000001"/>
    <n v="-2446.3920000000016"/>
    <n v="-0.26721647214861033"/>
  </r>
  <r>
    <s v="ORD-2023-132101"/>
    <s v="132101"/>
    <x v="0"/>
    <d v="2023-01-13T00:00:00"/>
    <n v="8"/>
    <d v="2023-09-25T00:00:00"/>
    <s v="Sept-2023"/>
    <x v="11"/>
    <s v="Q3-2023"/>
    <n v="14"/>
    <n v="14"/>
    <n v="0"/>
    <d v="2023-10-09T00:00:00"/>
    <d v="2023-10-09T00:00:00"/>
    <x v="3"/>
    <x v="11"/>
    <s v="New York"/>
    <s v="Small Business"/>
    <x v="3"/>
    <x v="10"/>
    <x v="2"/>
    <s v="LAP-6750"/>
    <n v="1279.56"/>
    <n v="1407.5160000000001"/>
    <n v="3083.8"/>
    <s v="High"/>
    <n v="0.106"/>
    <n v="0.1"/>
    <s v=""/>
    <n v="5"/>
    <n v="6"/>
    <n v="6397.7999999999993"/>
    <n v="1711094.3776"/>
    <n v="1636478.8963900001"/>
    <n v="0.95639312349640448"/>
    <s v="C"/>
    <n v="8445.0960000000014"/>
    <n v="16652.520000000004"/>
    <n v="13784.586000000001"/>
    <n v="7386.7860000000019"/>
    <n v="8207.4240000000027"/>
    <n v="0.53587289455047848"/>
  </r>
  <r>
    <s v="ORD-2023-619385"/>
    <s v="619385"/>
    <x v="0"/>
    <d v="2023-01-12T00:00:00"/>
    <n v="8"/>
    <d v="2023-09-30T00:00:00"/>
    <s v="Sept-2023"/>
    <x v="11"/>
    <s v="Q3-2023"/>
    <n v="3"/>
    <n v="3"/>
    <n v="1"/>
    <d v="2023-10-03T00:00:00"/>
    <d v="2023-10-03T00:00:00"/>
    <x v="1"/>
    <x v="4"/>
    <s v="Beijing"/>
    <s v="Non-Profit"/>
    <x v="1"/>
    <x v="10"/>
    <x v="2"/>
    <s v="LAP-5763"/>
    <n v="1019.36"/>
    <n v="1121.296"/>
    <n v="972.91"/>
    <s v="Medium"/>
    <n v="0.14699999999999999"/>
    <n v="0.1"/>
    <s v=""/>
    <n v="17"/>
    <n v="20.399999999999999"/>
    <n v="17329.12"/>
    <n v="1711094.3776"/>
    <n v="1650587.0643000002"/>
    <n v="0.96463823732220544"/>
    <s v="C"/>
    <n v="22874.438399999999"/>
    <n v="17862.6276"/>
    <n v="14108.16791"/>
    <n v="-3220.9520899999989"/>
    <n v="-5011.8107999999993"/>
    <n v="-0.22830406545678819"/>
  </r>
  <r>
    <s v="ORD-2023-573146"/>
    <s v="573146"/>
    <x v="0"/>
    <d v="2023-03-03T00:00:00"/>
    <n v="8"/>
    <d v="2023-12-01T00:00:00"/>
    <s v="Dec-2023"/>
    <x v="3"/>
    <s v="Q4-2023"/>
    <n v="17"/>
    <n v="17"/>
    <n v="0"/>
    <d v="2023-12-18T00:00:00"/>
    <d v="2023-12-18T00:00:00"/>
    <x v="1"/>
    <x v="3"/>
    <s v="Nagoya"/>
    <s v="Small Business"/>
    <x v="0"/>
    <x v="14"/>
    <x v="2"/>
    <s v="LAP-3604"/>
    <n v="1495.79"/>
    <n v="1645.3690000000001"/>
    <n v="2783.12"/>
    <s v="High"/>
    <n v="0.02"/>
    <n v="0.02"/>
    <s v=""/>
    <n v="5"/>
    <n v="6"/>
    <n v="7478.95"/>
    <n v="1711094.3776"/>
    <n v="1664224.3523000001"/>
    <n v="0.97260815889901975"/>
    <s v="C"/>
    <n v="9872.2139999999999"/>
    <n v="16364.7456"/>
    <n v="13637.287999999999"/>
    <n v="6158.3379999999988"/>
    <n v="6492.5316000000003"/>
    <n v="0.45158084217331185"/>
  </r>
  <r>
    <s v="ORD-2023-835226"/>
    <s v="835226"/>
    <x v="0"/>
    <d v="2023-01-07T00:00:00"/>
    <n v="9"/>
    <d v="2023-10-26T00:00:00"/>
    <s v="Oct-2023"/>
    <x v="9"/>
    <s v="Q4-2023"/>
    <n v="10"/>
    <n v="10"/>
    <n v="0"/>
    <d v="2023-11-05T00:00:00"/>
    <d v="2023-11-05T00:00:00"/>
    <x v="0"/>
    <x v="6"/>
    <s v="Cape Town"/>
    <s v="Non-Profit"/>
    <x v="4"/>
    <x v="13"/>
    <x v="2"/>
    <s v="LAP-7320"/>
    <n v="20.38"/>
    <n v="22.417999999999999"/>
    <n v="42.56"/>
    <s v="Low"/>
    <n v="7.1999999999999995E-2"/>
    <n v="7.1999999999999995E-2"/>
    <s v=""/>
    <n v="11"/>
    <n v="13.2"/>
    <n v="224.17999999999998"/>
    <n v="1711094.3776"/>
    <n v="1664658.8047800001"/>
    <n v="0.97286206218202242"/>
    <s v="C"/>
    <n v="295.91759999999999"/>
    <n v="521.34297600000002"/>
    <n v="434.45248000000004"/>
    <n v="210.27248000000006"/>
    <n v="225.42537600000003"/>
    <n v="0.48399419885921713"/>
  </r>
  <r>
    <s v="ORD-2023-163610"/>
    <s v="163610"/>
    <x v="0"/>
    <d v="2023-01-02T00:00:00"/>
    <n v="9"/>
    <d v="2023-10-22T00:00:00"/>
    <s v="Oct-2023"/>
    <x v="9"/>
    <s v="Q4-2023"/>
    <n v="25"/>
    <n v="25"/>
    <n v="0"/>
    <d v="2023-11-16T00:00:00"/>
    <d v="2023-11-16T00:00:00"/>
    <x v="3"/>
    <x v="10"/>
    <s v="Toronto"/>
    <s v="Small Business"/>
    <x v="3"/>
    <x v="13"/>
    <x v="2"/>
    <s v="LAP-9024"/>
    <n v="1373.31"/>
    <n v="1510.6410000000001"/>
    <n v="3154.14"/>
    <s v="High"/>
    <n v="0.2"/>
    <n v="0.1"/>
    <s v=""/>
    <n v="11"/>
    <n v="13.2"/>
    <n v="15106.41"/>
    <n v="1711094.3776"/>
    <n v="1692415.2367800002"/>
    <n v="0.98908351224542068"/>
    <s v="C"/>
    <n v="19940.461200000002"/>
    <n v="37471.183199999992"/>
    <n v="27756.432000000001"/>
    <n v="12650.022000000001"/>
    <n v="17530.721999999991"/>
    <n v="0.45575101295440279"/>
  </r>
  <r>
    <s v="ORD-2023-211715"/>
    <s v="211715"/>
    <x v="0"/>
    <d v="2023-01-29T00:00:00"/>
    <n v="9"/>
    <d v="2023-10-30T00:00:00"/>
    <s v="Oct-2023"/>
    <x v="9"/>
    <s v="Q4-2023"/>
    <n v="15"/>
    <n v="15"/>
    <n v="0"/>
    <d v="2023-11-14T00:00:00"/>
    <d v="2023-11-14T00:00:00"/>
    <x v="1"/>
    <x v="1"/>
    <s v="Bengaluru"/>
    <s v="Corporate"/>
    <x v="4"/>
    <x v="5"/>
    <x v="2"/>
    <s v="LAP-2378"/>
    <n v="953.46"/>
    <n v="1048.806"/>
    <n v="2066.75"/>
    <s v="High"/>
    <n v="0.13800000000000001"/>
    <n v="0.1"/>
    <s v=""/>
    <n v="5"/>
    <n v="6"/>
    <n v="4767.3"/>
    <n v="1711094.3776"/>
    <n v="1701322.92928"/>
    <n v="0.9942893574732532"/>
    <s v="C"/>
    <n v="6292.8360000000002"/>
    <n v="11160.45"/>
    <n v="8907.6924999999992"/>
    <n v="4140.392499999999"/>
    <n v="4867.6140000000005"/>
    <n v="0.46481089238318446"/>
  </r>
  <r>
    <s v="ORD-2023-580751"/>
    <s v="580751"/>
    <x v="0"/>
    <d v="2023-03-03T00:00:00"/>
    <n v="9"/>
    <d v="2023-12-24T00:00:00"/>
    <s v="Dec-2023"/>
    <x v="3"/>
    <s v="Q4-2023"/>
    <n v="20"/>
    <n v="20"/>
    <n v="0"/>
    <d v="2024-01-13T00:00:00"/>
    <d v="2024-01-13T00:00:00"/>
    <x v="1"/>
    <x v="3"/>
    <s v="Nagoya"/>
    <s v="Education"/>
    <x v="0"/>
    <x v="1"/>
    <x v="2"/>
    <s v="LAP-1946"/>
    <n v="625.37"/>
    <n v="687.90700000000004"/>
    <n v="1319.04"/>
    <s v="Medium"/>
    <n v="7.3999999999999996E-2"/>
    <n v="7.3999999999999996E-2"/>
    <s v=""/>
    <n v="8"/>
    <n v="9.6"/>
    <n v="5002.96"/>
    <n v="1711094.3776"/>
    <n v="1711094.3776"/>
    <n v="1"/>
    <s v="C"/>
    <n v="6603.9072000000006"/>
    <n v="11725.737983999999"/>
    <n v="9771.4483199999995"/>
    <n v="4768.4883199999995"/>
    <n v="5121.8307839999989"/>
    <n v="0.48800220436513547"/>
  </r>
  <r>
    <s v="ORD-2023-856322"/>
    <s v="856322"/>
    <x v="0"/>
    <d v="2023-01-29T00:00:00"/>
    <n v="0"/>
    <d v="2023-01-29T00:00:00"/>
    <s v="Jan-2023"/>
    <x v="1"/>
    <s v="Q1-2023"/>
    <n v="8"/>
    <n v="8"/>
    <n v="0"/>
    <d v="2023-02-06T00:00:00"/>
    <d v="2023-02-06T00:00:00"/>
    <x v="3"/>
    <x v="9"/>
    <s v="Brasília"/>
    <s v="Corporate"/>
    <x v="3"/>
    <x v="0"/>
    <x v="3"/>
    <s v="MON-7207"/>
    <n v="41.84"/>
    <n v="46.024000000000008"/>
    <n v="86.2"/>
    <s v="Low"/>
    <n v="0.22600000000000001"/>
    <n v="0.1"/>
    <s v=""/>
    <n v="27"/>
    <n v="32.4"/>
    <n v="1129.68"/>
    <n v="1549460.0077899997"/>
    <n v="1801.4076000000002"/>
    <n v="1.1626034818216148E-3"/>
    <s v="A"/>
    <n v="1491.1776000000002"/>
    <n v="2513.5920000000001"/>
    <n v="1801.4076000000002"/>
    <n v="671.72760000000017"/>
    <n v="1022.4143999999999"/>
    <n v="0.37289039970742882"/>
  </r>
  <r>
    <s v="ORD-2023-848013"/>
    <s v="848013"/>
    <x v="0"/>
    <d v="2023-01-29T00:00:00"/>
    <n v="0"/>
    <d v="2023-02-20T00:00:00"/>
    <s v="Feb-2023"/>
    <x v="0"/>
    <s v="Q1-2023"/>
    <n v="12"/>
    <n v="12"/>
    <n v="0"/>
    <d v="2023-03-04T00:00:00"/>
    <d v="2023-03-04T00:00:00"/>
    <x v="1"/>
    <x v="1"/>
    <s v="Delhi"/>
    <s v="Consumer"/>
    <x v="2"/>
    <x v="6"/>
    <x v="3"/>
    <s v="MON-9906"/>
    <n v="299.75"/>
    <n v="329.72500000000002"/>
    <n v="523.01"/>
    <s v="Low"/>
    <n v="0.157"/>
    <n v="0.1"/>
    <s v=""/>
    <n v="50"/>
    <n v="60"/>
    <n v="14987.5"/>
    <n v="1549460.0077899997"/>
    <n v="23846.279099999996"/>
    <n v="1.5390057813761859E-2"/>
    <s v="A"/>
    <n v="19783.5"/>
    <n v="28242.54"/>
    <n v="22044.871499999997"/>
    <n v="7057.3714999999975"/>
    <n v="8459.0400000000009"/>
    <n v="0.32013665854210122"/>
  </r>
  <r>
    <s v="ORD-2023-240507"/>
    <s v="240507"/>
    <x v="0"/>
    <d v="2023-03-03T00:00:00"/>
    <n v="0"/>
    <d v="2023-03-25T00:00:00"/>
    <s v="Mar-2023"/>
    <x v="4"/>
    <s v="Q1-2023"/>
    <n v="1"/>
    <n v="1"/>
    <n v="1"/>
    <d v="2023-03-26T00:00:00"/>
    <d v="2023-03-26T00:00:00"/>
    <x v="1"/>
    <x v="3"/>
    <s v="Osaka"/>
    <s v="Small Business"/>
    <x v="2"/>
    <x v="13"/>
    <x v="3"/>
    <s v="MON-9227"/>
    <n v="135.12"/>
    <n v="148.63200000000001"/>
    <n v="301.7"/>
    <s v="Low"/>
    <n v="0.14000000000000001"/>
    <n v="0.1"/>
    <s v=""/>
    <n v="47"/>
    <n v="56.4"/>
    <n v="6350.64"/>
    <n v="1549460.0077899997"/>
    <n v="36040.993099999992"/>
    <n v="2.3260357104282665E-2"/>
    <s v="A"/>
    <n v="8382.8448000000008"/>
    <n v="15314.291999999998"/>
    <n v="12194.714"/>
    <n v="5844.0739999999996"/>
    <n v="6931.4471999999969"/>
    <n v="0.47923009920527859"/>
  </r>
  <r>
    <s v="ORD-2023-884625"/>
    <s v="884625"/>
    <x v="0"/>
    <d v="2023-01-22T00:00:00"/>
    <n v="0"/>
    <d v="2023-02-19T00:00:00"/>
    <s v="Feb-2023"/>
    <x v="0"/>
    <s v="Q1-2023"/>
    <n v="21"/>
    <n v="21"/>
    <n v="0"/>
    <d v="2023-03-12T00:00:00"/>
    <d v="2023-03-12T00:00:00"/>
    <x v="2"/>
    <x v="7"/>
    <s v="Berlin"/>
    <s v="Small Business"/>
    <x v="0"/>
    <x v="4"/>
    <x v="3"/>
    <s v="MON-6699"/>
    <n v="1234.81"/>
    <n v="1358.2909999999999"/>
    <n v="2055.2399999999998"/>
    <s v="High"/>
    <n v="5.2999999999999999E-2"/>
    <n v="5.2999999999999999E-2"/>
    <s v=""/>
    <n v="44"/>
    <n v="52.8"/>
    <n v="54331.64"/>
    <n v="1549460.0077899997"/>
    <n v="121678.73341999999"/>
    <n v="7.8529767020931895E-2"/>
    <s v="A"/>
    <n v="71717.76479999999"/>
    <n v="102765.28838399997"/>
    <n v="85637.740319999997"/>
    <n v="31306.100319999998"/>
    <n v="31047.52358399998"/>
    <n v="0.36556429680441616"/>
  </r>
  <r>
    <s v="ORD-2023-613317"/>
    <s v="613317"/>
    <x v="0"/>
    <d v="2023-01-22T00:00:00"/>
    <n v="0"/>
    <d v="2023-01-22T00:00:00"/>
    <s v="Jan-2023"/>
    <x v="1"/>
    <s v="Q1-2023"/>
    <n v="-1"/>
    <n v="15"/>
    <n v="0"/>
    <d v="2023-01-21T00:00:00"/>
    <d v="2023-02-06T00:00:00"/>
    <x v="2"/>
    <x v="7"/>
    <s v="Munich"/>
    <s v="Corporate"/>
    <x v="0"/>
    <x v="5"/>
    <x v="3"/>
    <s v="MON-2537"/>
    <n v="150.86000000000001"/>
    <n v="165.94600000000003"/>
    <n v="346.96"/>
    <s v="Low"/>
    <n v="0.19600000000000001"/>
    <n v="0.1"/>
    <s v=""/>
    <n v="8"/>
    <n v="9.6"/>
    <n v="1206.8800000000001"/>
    <n v="1549460.0077899997"/>
    <n v="123910.38013999999"/>
    <n v="7.9970040863935429E-2"/>
    <s v="A"/>
    <n v="1593.0816000000002"/>
    <n v="2997.7343999999998"/>
    <n v="2231.6467200000002"/>
    <n v="1024.7667200000001"/>
    <n v="1404.6527999999996"/>
    <n v="0.45919755614365343"/>
  </r>
  <r>
    <s v="ORD-2023-869884"/>
    <s v="869884"/>
    <x v="0"/>
    <d v="2023-01-29T00:00:00"/>
    <n v="1"/>
    <d v="2023-03-02T00:00:00"/>
    <s v="Mar-2023"/>
    <x v="4"/>
    <s v="Q1-2023"/>
    <n v="3"/>
    <n v="3"/>
    <n v="1"/>
    <d v="2023-03-05T00:00:00"/>
    <d v="2023-03-05T00:00:00"/>
    <x v="3"/>
    <x v="9"/>
    <s v="Brasília"/>
    <s v="Enterprise"/>
    <x v="0"/>
    <x v="2"/>
    <x v="3"/>
    <s v="MON-2828"/>
    <n v="1473.58"/>
    <n v="1620.9380000000001"/>
    <n v="3436.52"/>
    <s v="High"/>
    <n v="0.108"/>
    <n v="0.1"/>
    <s v=""/>
    <n v="8"/>
    <n v="9.6"/>
    <n v="11788.64"/>
    <n v="1549460.0077899997"/>
    <n v="148433.38686"/>
    <n v="9.5796849298299125E-2"/>
    <s v="A"/>
    <n v="15561.004800000001"/>
    <n v="29691.532799999997"/>
    <n v="24523.006720000001"/>
    <n v="12734.366720000002"/>
    <n v="14130.527999999997"/>
    <n v="0.51928243813652564"/>
  </r>
  <r>
    <s v="ORD-2023-854471"/>
    <s v="854471"/>
    <x v="0"/>
    <d v="2023-01-12T00:00:00"/>
    <n v="1"/>
    <d v="2023-03-06T00:00:00"/>
    <s v="Mar-2023"/>
    <x v="4"/>
    <s v="Q1-2023"/>
    <n v="29"/>
    <n v="29"/>
    <n v="0"/>
    <d v="2023-04-04T00:00:00"/>
    <d v="2023-04-04T00:00:00"/>
    <x v="1"/>
    <x v="4"/>
    <s v="Beijing"/>
    <s v="Small Business"/>
    <x v="0"/>
    <x v="9"/>
    <x v="3"/>
    <s v="MON-2073"/>
    <n v="1126.29"/>
    <n v="1238.9190000000001"/>
    <n v="2050.87"/>
    <s v="High"/>
    <n v="6.4000000000000001E-2"/>
    <n v="6.4000000000000001E-2"/>
    <s v=""/>
    <n v="7"/>
    <n v="8.4"/>
    <n v="7884.03"/>
    <n v="1549460.0077899997"/>
    <n v="161870.68710000001"/>
    <n v="0.10446909651503478"/>
    <s v="A"/>
    <n v="10406.919600000001"/>
    <n v="16124.760287999999"/>
    <n v="13437.300239999999"/>
    <n v="5553.2702399999989"/>
    <n v="5717.8406879999984"/>
    <n v="0.41327276616690373"/>
  </r>
  <r>
    <s v="ORD-2023-431328"/>
    <s v="431328"/>
    <x v="0"/>
    <d v="2023-01-29T00:00:00"/>
    <n v="10"/>
    <d v="2023-12-20T00:00:00"/>
    <s v="Dec-2023"/>
    <x v="3"/>
    <s v="Q4-2023"/>
    <n v="25"/>
    <n v="25"/>
    <n v="0"/>
    <d v="2024-01-14T00:00:00"/>
    <d v="2024-01-14T00:00:00"/>
    <x v="1"/>
    <x v="1"/>
    <s v="Mumbai"/>
    <s v="Non-Profit"/>
    <x v="3"/>
    <x v="4"/>
    <x v="3"/>
    <s v="MON-1572"/>
    <n v="1085.6099999999999"/>
    <n v="1194.171"/>
    <n v="1246.4100000000001"/>
    <s v="Medium"/>
    <n v="0.113"/>
    <n v="0.1"/>
    <s v=""/>
    <n v="7"/>
    <n v="8.4"/>
    <n v="7599.2699999999995"/>
    <n v="1549460.0077899997"/>
    <n v="169609.64679"/>
    <n v="0.1094637137694924"/>
    <s v="A"/>
    <n v="10031.036400000001"/>
    <n v="9422.8596000000016"/>
    <n v="7738.9596900000006"/>
    <n v="139.68969000000106"/>
    <n v="-608.17679999999928"/>
    <n v="1.8050189637310417E-2"/>
  </r>
  <r>
    <s v="ORD-2023-576840"/>
    <s v="576840"/>
    <x v="0"/>
    <d v="2023-01-10T00:00:00"/>
    <n v="10"/>
    <d v="2023-11-19T00:00:00"/>
    <s v="Nov-2023"/>
    <x v="10"/>
    <s v="Q4-2023"/>
    <n v="24"/>
    <n v="24"/>
    <n v="0"/>
    <d v="2023-12-13T00:00:00"/>
    <d v="2023-12-13T00:00:00"/>
    <x v="2"/>
    <x v="5"/>
    <s v="Lyon"/>
    <s v="Non-Profit"/>
    <x v="0"/>
    <x v="8"/>
    <x v="3"/>
    <s v="MON-3745"/>
    <n v="1297.42"/>
    <n v="1427.1620000000003"/>
    <n v="2742.97"/>
    <s v="High"/>
    <n v="6.9000000000000006E-2"/>
    <n v="6.9000000000000006E-2"/>
    <s v=""/>
    <n v="9"/>
    <n v="10.799999999999999"/>
    <n v="11676.78"/>
    <n v="1549460.0077899997"/>
    <n v="192592.99242"/>
    <n v="0.1242968462894993"/>
    <s v="A"/>
    <n v="15413.349600000001"/>
    <n v="27580.014755999997"/>
    <n v="22983.34563"/>
    <n v="11306.565629999999"/>
    <n v="12166.665155999995"/>
    <n v="0.49194602961727291"/>
  </r>
  <r>
    <s v="ORD-2023-212701"/>
    <s v="212701"/>
    <x v="0"/>
    <d v="2023-01-22T00:00:00"/>
    <n v="10"/>
    <d v="2023-12-02T00:00:00"/>
    <s v="Dec-2023"/>
    <x v="3"/>
    <s v="Q4-2023"/>
    <n v="14"/>
    <n v="14"/>
    <n v="0"/>
    <d v="2023-12-16T00:00:00"/>
    <d v="2023-12-16T00:00:00"/>
    <x v="2"/>
    <x v="7"/>
    <s v="Frankfurt"/>
    <s v="Education"/>
    <x v="0"/>
    <x v="14"/>
    <x v="3"/>
    <s v="MON-4278"/>
    <n v="879.08"/>
    <n v="966.98800000000017"/>
    <n v="1093.3900000000001"/>
    <s v="Medium"/>
    <n v="0.113"/>
    <n v="0.1"/>
    <s v=""/>
    <n v="17"/>
    <n v="20.399999999999999"/>
    <n v="14944.36"/>
    <n v="1549460.0077899997"/>
    <n v="209080.22023000001"/>
    <n v="0.13493747446132015"/>
    <s v="A"/>
    <n v="19726.555200000003"/>
    <n v="20074.6404"/>
    <n v="16487.22781"/>
    <n v="1542.8678099999997"/>
    <n v="348.08519999999771"/>
    <n v="9.3579577341935186E-2"/>
  </r>
  <r>
    <s v="ORD-2023-126505"/>
    <s v="126505"/>
    <x v="0"/>
    <d v="2023-01-02T00:00:00"/>
    <n v="11"/>
    <d v="2023-12-19T00:00:00"/>
    <s v="Dec-2023"/>
    <x v="3"/>
    <s v="Q4-2023"/>
    <n v="13"/>
    <n v="13"/>
    <n v="0"/>
    <d v="2024-01-01T00:00:00"/>
    <d v="2024-01-01T00:00:00"/>
    <x v="3"/>
    <x v="10"/>
    <s v="Toronto"/>
    <s v="Enterprise"/>
    <x v="1"/>
    <x v="11"/>
    <x v="3"/>
    <s v="MON-6065"/>
    <n v="856.1"/>
    <n v="941.71000000000015"/>
    <n v="901.48"/>
    <s v="Medium"/>
    <n v="5.6000000000000001E-2"/>
    <n v="5.6000000000000001E-2"/>
    <s v=""/>
    <n v="17"/>
    <n v="20.399999999999999"/>
    <n v="14553.7"/>
    <n v="1549460.0077899997"/>
    <n v="223547.17126999999"/>
    <n v="0.1442742440244367"/>
    <s v="A"/>
    <n v="19210.884000000002"/>
    <n v="17360.341247999997"/>
    <n v="14466.95104"/>
    <n v="-86.748960000000807"/>
    <n v="-1850.5427520000048"/>
    <n v="-5.9963540182134192E-3"/>
  </r>
  <r>
    <s v="ORD-2024-604471"/>
    <s v="604471"/>
    <x v="1"/>
    <d v="2023-01-29T00:00:00"/>
    <n v="11"/>
    <d v="2024-01-21T00:00:00"/>
    <s v="Jan-2024"/>
    <x v="1"/>
    <s v="Q1-2024"/>
    <n v="4"/>
    <n v="4"/>
    <n v="1"/>
    <d v="2024-01-25T00:00:00"/>
    <d v="2024-01-25T00:00:00"/>
    <x v="1"/>
    <x v="1"/>
    <s v="Delhi"/>
    <s v="Consumer"/>
    <x v="0"/>
    <x v="9"/>
    <x v="3"/>
    <s v="MON-8973"/>
    <n v="523.70000000000005"/>
    <n v="576.07000000000005"/>
    <n v="1109.92"/>
    <s v="Medium"/>
    <n v="0.03"/>
    <n v="0.03"/>
    <s v=""/>
    <n v="11"/>
    <n v="13.2"/>
    <n v="5760.7000000000007"/>
    <n v="1549460.0077899997"/>
    <n v="235390.01767"/>
    <n v="0.15191745284587088"/>
    <s v="A"/>
    <n v="7604.1239999999998"/>
    <n v="14211.415679999998"/>
    <n v="11842.8464"/>
    <n v="6082.1463999999996"/>
    <n v="6607.2916799999985"/>
    <n v="0.51357133197302973"/>
  </r>
  <r>
    <s v="ORD-2024-749242"/>
    <s v="749242"/>
    <x v="1"/>
    <d v="2023-01-22T00:00:00"/>
    <n v="11"/>
    <d v="2024-01-16T00:00:00"/>
    <s v="Jan-2024"/>
    <x v="1"/>
    <s v="Q1-2024"/>
    <n v="26"/>
    <n v="26"/>
    <n v="0"/>
    <d v="2024-02-11T00:00:00"/>
    <d v="2024-02-11T00:00:00"/>
    <x v="2"/>
    <x v="7"/>
    <s v="Frankfurt"/>
    <s v="Non-Profit"/>
    <x v="2"/>
    <x v="12"/>
    <x v="3"/>
    <s v="MON-4195"/>
    <n v="504.93"/>
    <n v="555.423"/>
    <n v="819.06"/>
    <s v="Medium"/>
    <n v="0.22600000000000001"/>
    <n v="0.1"/>
    <s v=""/>
    <n v="15"/>
    <n v="18"/>
    <n v="7573.95"/>
    <n v="1549460.0077899997"/>
    <n v="244899.30426999999"/>
    <n v="0.15805461453587352"/>
    <s v="A"/>
    <n v="9997.6139999999996"/>
    <n v="13268.771999999999"/>
    <n v="9509.2865999999995"/>
    <n v="1935.3365999999996"/>
    <n v="3271.1579999999994"/>
    <n v="0.20352069312959814"/>
  </r>
  <r>
    <s v="ORD-2024-647571"/>
    <s v="647571"/>
    <x v="1"/>
    <d v="2023-01-20T00:00:00"/>
    <n v="12"/>
    <d v="2024-02-06T00:00:00"/>
    <s v="Feb-2024"/>
    <x v="0"/>
    <s v="Q1-2024"/>
    <n v="22"/>
    <n v="22"/>
    <n v="0"/>
    <d v="2024-02-28T00:00:00"/>
    <d v="2024-02-28T00:00:00"/>
    <x v="0"/>
    <x v="8"/>
    <s v="Kisumu"/>
    <s v="Non-Profit"/>
    <x v="4"/>
    <x v="11"/>
    <x v="3"/>
    <s v="MON-2462"/>
    <n v="834.93"/>
    <n v="918.423"/>
    <n v="1588.53"/>
    <s v="Medium"/>
    <n v="0.126"/>
    <n v="0.1"/>
    <s v=""/>
    <n v="6"/>
    <n v="7.1999999999999993"/>
    <n v="5009.58"/>
    <n v="1549460.0077899997"/>
    <n v="253229.55559"/>
    <n v="0.16343084320787485"/>
    <s v="A"/>
    <n v="6612.6455999999989"/>
    <n v="10293.6744"/>
    <n v="8330.2513199999994"/>
    <n v="3320.6713199999995"/>
    <n v="3681.028800000001"/>
    <n v="0.39862798761274343"/>
  </r>
  <r>
    <s v="ORD-2024-419248"/>
    <s v="419248"/>
    <x v="1"/>
    <d v="2023-01-07T00:00:00"/>
    <n v="13"/>
    <d v="2024-03-04T00:00:00"/>
    <s v="Mar-2024"/>
    <x v="4"/>
    <s v="Q1-2024"/>
    <n v="12"/>
    <n v="12"/>
    <n v="0"/>
    <d v="2024-03-16T00:00:00"/>
    <d v="2024-03-16T00:00:00"/>
    <x v="0"/>
    <x v="6"/>
    <s v="Johannesburg"/>
    <s v="Enterprise"/>
    <x v="2"/>
    <x v="6"/>
    <x v="3"/>
    <s v="MON-8422"/>
    <n v="441.08"/>
    <n v="485.18800000000005"/>
    <n v="1054.29"/>
    <s v="Medium"/>
    <n v="0.23699999999999999"/>
    <n v="0.1"/>
    <s v=""/>
    <n v="6"/>
    <n v="7.1999999999999993"/>
    <n v="2646.48"/>
    <n v="1549460.0077899997"/>
    <n v="258056.09521"/>
    <n v="0.16654582494069423"/>
    <s v="A"/>
    <n v="3493.3535999999999"/>
    <n v="6831.7991999999995"/>
    <n v="4826.5396199999996"/>
    <n v="2180.0596199999995"/>
    <n v="3338.4455999999996"/>
    <n v="0.45168169985932899"/>
  </r>
  <r>
    <s v="ORD-2024-687073"/>
    <s v="687073"/>
    <x v="1"/>
    <d v="2023-01-13T00:00:00"/>
    <n v="13"/>
    <d v="2024-03-11T00:00:00"/>
    <s v="Mar-2024"/>
    <x v="4"/>
    <s v="Q1-2024"/>
    <n v="18"/>
    <n v="18"/>
    <n v="0"/>
    <d v="2024-03-29T00:00:00"/>
    <d v="2024-03-29T00:00:00"/>
    <x v="3"/>
    <x v="11"/>
    <s v="New York"/>
    <s v="Corporate"/>
    <x v="1"/>
    <x v="6"/>
    <x v="3"/>
    <s v="MON-7099"/>
    <n v="710.98"/>
    <n v="782.07800000000009"/>
    <n v="1481.45"/>
    <s v="Medium"/>
    <n v="0.21099999999999999"/>
    <n v="0.1"/>
    <s v=""/>
    <n v="9"/>
    <n v="10.799999999999999"/>
    <n v="6398.82"/>
    <n v="1549460.0077899997"/>
    <n v="268575.87166"/>
    <n v="0.17333514276568565"/>
    <s v="A"/>
    <n v="8446.4423999999999"/>
    <n v="14399.693999999998"/>
    <n v="10519.776450000001"/>
    <n v="4120.9564500000015"/>
    <n v="5953.2515999999978"/>
    <n v="0.39173422264120461"/>
  </r>
  <r>
    <s v="ORD-2024-343877"/>
    <s v="343877"/>
    <x v="1"/>
    <d v="2023-01-12T00:00:00"/>
    <n v="13"/>
    <d v="2024-03-09T00:00:00"/>
    <s v="Mar-2024"/>
    <x v="4"/>
    <s v="Q1-2024"/>
    <n v="17"/>
    <n v="17"/>
    <n v="0"/>
    <d v="2024-03-26T00:00:00"/>
    <d v="2024-03-26T00:00:00"/>
    <x v="1"/>
    <x v="4"/>
    <s v="Shenzhen"/>
    <s v="Enterprise"/>
    <x v="4"/>
    <x v="11"/>
    <x v="3"/>
    <s v="MON-5749"/>
    <n v="1029.67"/>
    <n v="1132.6370000000002"/>
    <n v="1118.43"/>
    <s v="Medium"/>
    <n v="0.27200000000000002"/>
    <n v="0.1"/>
    <s v=""/>
    <n v="9"/>
    <n v="10.799999999999999"/>
    <n v="9267.0300000000007"/>
    <n v="1549460.0077899997"/>
    <n v="275903.82501999999"/>
    <n v="0.17806450223489317"/>
    <s v="A"/>
    <n v="12232.479600000001"/>
    <n v="10871.1396"/>
    <n v="7327.9533600000004"/>
    <n v="-1939.0766400000002"/>
    <n v="-1361.3400000000001"/>
    <n v="-0.26461367106736061"/>
  </r>
  <r>
    <s v="ORD-2024-811752"/>
    <s v="811752"/>
    <x v="1"/>
    <d v="2023-01-10T00:00:00"/>
    <n v="13"/>
    <d v="2024-02-25T00:00:00"/>
    <s v="Feb-2024"/>
    <x v="0"/>
    <s v="Q1-2024"/>
    <n v="13"/>
    <n v="13"/>
    <n v="0"/>
    <d v="2024-03-09T00:00:00"/>
    <d v="2024-03-09T00:00:00"/>
    <x v="2"/>
    <x v="5"/>
    <s v="Marseille"/>
    <s v="Small Business"/>
    <x v="2"/>
    <x v="12"/>
    <x v="3"/>
    <s v="MON-3350"/>
    <n v="322.44"/>
    <n v="354.68400000000003"/>
    <n v="395.61"/>
    <s v="Low"/>
    <n v="0"/>
    <n v="0"/>
    <s v=""/>
    <n v="34"/>
    <n v="40.799999999999997"/>
    <n v="10962.96"/>
    <n v="1549460.0077899997"/>
    <n v="289354.56501999998"/>
    <n v="0.18674542328634053"/>
    <s v="A"/>
    <n v="14471.1072"/>
    <n v="16140.887999999999"/>
    <n v="13450.74"/>
    <n v="2487.7800000000007"/>
    <n v="1669.7807999999986"/>
    <n v="0.18495487980586947"/>
  </r>
  <r>
    <s v="ORD-2024-220234"/>
    <s v="220234"/>
    <x v="1"/>
    <d v="2023-01-02T00:00:00"/>
    <n v="14"/>
    <d v="2024-03-15T00:00:00"/>
    <s v="Mar-2024"/>
    <x v="4"/>
    <s v="Q1-2024"/>
    <n v="25"/>
    <n v="25"/>
    <n v="0"/>
    <d v="2024-04-09T00:00:00"/>
    <d v="2024-04-09T00:00:00"/>
    <x v="3"/>
    <x v="10"/>
    <s v="Vancouver"/>
    <s v="Consumer"/>
    <x v="4"/>
    <x v="5"/>
    <x v="3"/>
    <s v="MON-4361"/>
    <n v="648.64"/>
    <n v="713.50400000000002"/>
    <n v="815.19"/>
    <s v="Low"/>
    <n v="0.22500000000000001"/>
    <n v="0.1"/>
    <s v=""/>
    <n v="28"/>
    <n v="33.6"/>
    <n v="18161.919999999998"/>
    <n v="1549460.0077899997"/>
    <n v="307044.18802"/>
    <n v="0.19816206063810463"/>
    <s v="A"/>
    <n v="23973.734400000001"/>
    <n v="24651.345600000001"/>
    <n v="17689.623"/>
    <n v="-472.29699999999866"/>
    <n v="677.61119999999937"/>
    <n v="-2.6699099240272032E-2"/>
  </r>
  <r>
    <s v="ORD-2024-207096"/>
    <s v="207096"/>
    <x v="1"/>
    <d v="2023-01-13T00:00:00"/>
    <n v="14"/>
    <d v="2024-03-26T00:00:00"/>
    <s v="Mar-2024"/>
    <x v="4"/>
    <s v="Q1-2024"/>
    <n v="10"/>
    <n v="10"/>
    <n v="0"/>
    <d v="2024-04-05T00:00:00"/>
    <d v="2024-04-05T00:00:00"/>
    <x v="3"/>
    <x v="11"/>
    <s v="Austin"/>
    <s v="Consumer"/>
    <x v="0"/>
    <x v="10"/>
    <x v="3"/>
    <s v="MON-5444"/>
    <n v="5.66"/>
    <n v="6.2260000000000009"/>
    <n v="4.22"/>
    <s v="Low"/>
    <n v="0.11899999999999999"/>
    <n v="0.1"/>
    <s v=""/>
    <n v="18"/>
    <n v="21.599999999999998"/>
    <n v="101.88"/>
    <n v="1549460.0077899997"/>
    <n v="307111.10878000001"/>
    <n v="0.19820525036850334"/>
    <s v="A"/>
    <n v="134.48160000000001"/>
    <n v="82.036799999999985"/>
    <n v="66.920760000000001"/>
    <n v="-34.959239999999994"/>
    <n v="-52.444800000000029"/>
    <n v="-0.52239753403876454"/>
  </r>
  <r>
    <s v="ORD-2024-347736"/>
    <s v="347736"/>
    <x v="1"/>
    <d v="2023-03-03T00:00:00"/>
    <n v="14"/>
    <d v="2024-05-22T00:00:00"/>
    <s v="May-2024"/>
    <x v="5"/>
    <s v="Q2-2024"/>
    <n v="15"/>
    <n v="15"/>
    <n v="0"/>
    <d v="2024-06-06T00:00:00"/>
    <d v="2024-06-06T00:00:00"/>
    <x v="1"/>
    <x v="3"/>
    <s v="Nagoya"/>
    <s v="Corporate"/>
    <x v="2"/>
    <x v="9"/>
    <x v="3"/>
    <s v="MON-6870"/>
    <n v="673.88"/>
    <n v="741.26800000000003"/>
    <n v="1228.01"/>
    <s v="Medium"/>
    <n v="0.105"/>
    <n v="0.1"/>
    <s v=""/>
    <n v="13"/>
    <n v="15.6"/>
    <n v="8760.44"/>
    <n v="1549460.0077899997"/>
    <n v="321399.00513000001"/>
    <n v="0.2074264605179533"/>
    <s v="A"/>
    <n v="11563.7808"/>
    <n v="17241.260399999999"/>
    <n v="14287.896349999999"/>
    <n v="5527.4563499999986"/>
    <n v="5677.4795999999988"/>
    <n v="0.38686285332689996"/>
  </r>
  <r>
    <s v="ORD-2024-745822"/>
    <s v="745822"/>
    <x v="1"/>
    <d v="2023-01-22T00:00:00"/>
    <n v="14"/>
    <d v="2024-03-31T00:00:00"/>
    <s v="Mar-2024"/>
    <x v="4"/>
    <s v="Q1-2024"/>
    <n v="17"/>
    <n v="17"/>
    <n v="0"/>
    <d v="2024-04-17T00:00:00"/>
    <d v="2024-04-17T00:00:00"/>
    <x v="2"/>
    <x v="7"/>
    <s v="Frankfurt"/>
    <s v="Education"/>
    <x v="0"/>
    <x v="8"/>
    <x v="3"/>
    <s v="MON-8651"/>
    <n v="1025.51"/>
    <n v="1128.0610000000001"/>
    <n v="1436.54"/>
    <s v="Medium"/>
    <n v="0.13900000000000001"/>
    <n v="0.1"/>
    <s v=""/>
    <n v="28"/>
    <n v="33.6"/>
    <n v="28714.28"/>
    <n v="1549460.0077899997"/>
    <n v="356031.11145000003"/>
    <n v="0.22977754163388087"/>
    <s v="A"/>
    <n v="37902.849600000009"/>
    <n v="43440.969599999997"/>
    <n v="34632.106319999999"/>
    <n v="5917.8263200000001"/>
    <n v="5538.1199999999881"/>
    <n v="0.17087688127656453"/>
  </r>
  <r>
    <s v="ORD-2024-833375"/>
    <s v="833375"/>
    <x v="1"/>
    <d v="2023-01-20T00:00:00"/>
    <n v="15"/>
    <d v="2024-04-24T00:00:00"/>
    <s v="Apr-2024"/>
    <x v="2"/>
    <s v="Q2-2024"/>
    <n v="16"/>
    <n v="16"/>
    <n v="0"/>
    <d v="2024-05-10T00:00:00"/>
    <d v="2024-05-10T00:00:00"/>
    <x v="0"/>
    <x v="8"/>
    <s v="Kisumu"/>
    <s v="Non-Profit"/>
    <x v="4"/>
    <x v="14"/>
    <x v="3"/>
    <s v="MON-6190"/>
    <n v="513.30999999999995"/>
    <n v="564.64099999999996"/>
    <n v="1186.26"/>
    <s v="Medium"/>
    <n v="9.4E-2"/>
    <n v="9.4E-2"/>
    <s v=""/>
    <n v="15"/>
    <n v="18"/>
    <n v="7699.65"/>
    <n v="1549460.0077899997"/>
    <n v="372152.38485000003"/>
    <n v="0.2401819879048071"/>
    <s v="A"/>
    <n v="10163.537999999999"/>
    <n v="19345.52808"/>
    <n v="16121.273400000002"/>
    <n v="8421.6234000000022"/>
    <n v="9181.9900800000014"/>
    <n v="0.52239194702820446"/>
  </r>
  <r>
    <s v="ORD-2024-589570"/>
    <s v="589570"/>
    <x v="1"/>
    <d v="2023-01-15T00:00:00"/>
    <n v="15"/>
    <d v="2024-05-04T00:00:00"/>
    <s v="May-2024"/>
    <x v="5"/>
    <s v="Q2-2024"/>
    <n v="25"/>
    <n v="25"/>
    <n v="0"/>
    <d v="2024-05-29T00:00:00"/>
    <d v="2024-05-29T00:00:00"/>
    <x v="0"/>
    <x v="0"/>
    <s v="Abuja"/>
    <s v="Non-Profit"/>
    <x v="3"/>
    <x v="7"/>
    <x v="3"/>
    <s v="MON-6892"/>
    <n v="1295.3399999999999"/>
    <n v="1424.874"/>
    <n v="2530.81"/>
    <s v="High"/>
    <n v="3.1E-2"/>
    <n v="3.1E-2"/>
    <s v=""/>
    <n v="6"/>
    <n v="7.1999999999999993"/>
    <n v="7772.0399999999991"/>
    <n v="1549460.0077899997"/>
    <n v="386866.51419000002"/>
    <n v="0.2496782829146969"/>
    <s v="A"/>
    <n v="10259.092799999999"/>
    <n v="17656.955207999999"/>
    <n v="14714.12934"/>
    <n v="6942.0893400000004"/>
    <n v="7397.8624080000009"/>
    <n v="0.4717974933880798"/>
  </r>
  <r>
    <s v="ORD-2024-503082"/>
    <s v="503082"/>
    <x v="1"/>
    <d v="2023-01-29T00:00:00"/>
    <n v="15"/>
    <d v="2024-05-19T00:00:00"/>
    <s v="May-2024"/>
    <x v="5"/>
    <s v="Q2-2024"/>
    <n v="20"/>
    <n v="20"/>
    <n v="0"/>
    <d v="2024-06-08T00:00:00"/>
    <d v="2024-06-08T00:00:00"/>
    <x v="3"/>
    <x v="9"/>
    <s v="Brasília"/>
    <s v="Small Business"/>
    <x v="1"/>
    <x v="12"/>
    <x v="3"/>
    <s v="MON-4271"/>
    <n v="1075.9000000000001"/>
    <n v="1183.4900000000002"/>
    <n v="1242.1500000000001"/>
    <s v="Medium"/>
    <n v="1.2E-2"/>
    <n v="1.2E-2"/>
    <s v=""/>
    <n v="7"/>
    <n v="8.4"/>
    <n v="7531.3000000000011"/>
    <n v="1549460.0077899997"/>
    <n v="395457.22359000001"/>
    <n v="0.25522260761930993"/>
    <s v="A"/>
    <n v="9941.3160000000025"/>
    <n v="10308.851280000001"/>
    <n v="8590.7094000000016"/>
    <n v="1059.4094000000005"/>
    <n v="367.53527999999824"/>
    <n v="0.12332036280961853"/>
  </r>
  <r>
    <s v="ORD-2024-626925"/>
    <s v="626925"/>
    <x v="1"/>
    <d v="2023-01-12T00:00:00"/>
    <n v="16"/>
    <d v="2024-06-07T00:00:00"/>
    <s v="Jun-2024"/>
    <x v="6"/>
    <s v="Q2-2024"/>
    <n v="2"/>
    <n v="2"/>
    <n v="1"/>
    <d v="2024-06-09T00:00:00"/>
    <d v="2024-06-09T00:00:00"/>
    <x v="1"/>
    <x v="4"/>
    <s v="Shanghai"/>
    <s v="Corporate"/>
    <x v="1"/>
    <x v="7"/>
    <x v="3"/>
    <s v="MON-8688"/>
    <n v="1370.28"/>
    <n v="1507.308"/>
    <n v="2209.66"/>
    <s v="High"/>
    <n v="0.13300000000000001"/>
    <n v="0.1"/>
    <s v=""/>
    <n v="16"/>
    <n v="19.2"/>
    <n v="21924.48"/>
    <n v="1549460.0077899997"/>
    <n v="426109.62711"/>
    <n v="0.27500524374150298"/>
    <s v="A"/>
    <n v="28940.313599999998"/>
    <n v="38182.924799999993"/>
    <n v="30652.403519999996"/>
    <n v="8727.9235199999966"/>
    <n v="9242.6111999999957"/>
    <n v="0.28473863442079589"/>
  </r>
  <r>
    <s v="ORD-2024-947056"/>
    <s v="947056"/>
    <x v="1"/>
    <d v="2023-03-03T00:00:00"/>
    <n v="16"/>
    <d v="2024-07-31T00:00:00"/>
    <s v="Jul-2024"/>
    <x v="7"/>
    <s v="Q3-2024"/>
    <n v="15"/>
    <n v="15"/>
    <n v="0"/>
    <d v="2024-08-15T00:00:00"/>
    <d v="2024-08-15T00:00:00"/>
    <x v="1"/>
    <x v="3"/>
    <s v="Tokyo"/>
    <s v="Corporate"/>
    <x v="3"/>
    <x v="5"/>
    <x v="3"/>
    <s v="MON-1564"/>
    <n v="1252.52"/>
    <n v="1377.7720000000002"/>
    <n v="1417.24"/>
    <s v="Medium"/>
    <n v="0.192"/>
    <n v="0.1"/>
    <s v=""/>
    <n v="5"/>
    <n v="6"/>
    <n v="6262.6"/>
    <n v="1549460.0077899997"/>
    <n v="431835.27671000001"/>
    <n v="0.2787004985859094"/>
    <s v="A"/>
    <n v="8266.6320000000014"/>
    <n v="7653.0960000000005"/>
    <n v="5725.6496000000006"/>
    <n v="-536.95039999999972"/>
    <n v="-613.53600000000097"/>
    <n v="-9.3779821943696953E-2"/>
  </r>
  <r>
    <s v="ORD-2024-329104"/>
    <s v="329104"/>
    <x v="1"/>
    <d v="2023-01-10T00:00:00"/>
    <n v="16"/>
    <d v="2024-05-23T00:00:00"/>
    <s v="May-2024"/>
    <x v="5"/>
    <s v="Q2-2024"/>
    <n v="22"/>
    <n v="22"/>
    <n v="0"/>
    <d v="2024-06-14T00:00:00"/>
    <d v="2024-06-14T00:00:00"/>
    <x v="2"/>
    <x v="5"/>
    <s v="Marseille"/>
    <s v="Small Business"/>
    <x v="4"/>
    <x v="14"/>
    <x v="3"/>
    <s v="MON-2100"/>
    <n v="1481.74"/>
    <n v="1629.9140000000002"/>
    <n v="1848.97"/>
    <s v="High"/>
    <n v="0.254"/>
    <n v="0.1"/>
    <s v=""/>
    <n v="9"/>
    <n v="10.799999999999999"/>
    <n v="13335.66"/>
    <n v="1549460.0077899997"/>
    <n v="444249.26128999999"/>
    <n v="0.28671231206775982"/>
    <s v="A"/>
    <n v="17603.071200000002"/>
    <n v="17971.988399999998"/>
    <n v="12413.98458"/>
    <n v="-921.67541999999958"/>
    <n v="368.91719999999623"/>
    <n v="-7.4244930309072407E-2"/>
  </r>
  <r>
    <s v="ORD-2024-427031"/>
    <s v="427031"/>
    <x v="1"/>
    <d v="2023-01-07T00:00:00"/>
    <n v="17"/>
    <d v="2024-06-08T00:00:00"/>
    <s v="Jun-2024"/>
    <x v="6"/>
    <s v="Q2-2024"/>
    <n v="16"/>
    <n v="16"/>
    <n v="0"/>
    <d v="2024-06-24T00:00:00"/>
    <d v="2024-06-24T00:00:00"/>
    <x v="0"/>
    <x v="6"/>
    <s v="Durban"/>
    <s v="Education"/>
    <x v="2"/>
    <x v="8"/>
    <x v="3"/>
    <s v="MON-1389"/>
    <n v="597.85"/>
    <n v="657.6350000000001"/>
    <n v="741.92"/>
    <s v="Low"/>
    <n v="3.1E-2"/>
    <n v="3.1E-2"/>
    <s v=""/>
    <n v="7"/>
    <n v="8.4"/>
    <n v="4184.95"/>
    <n v="1549460.0077899997"/>
    <n v="449281.70464999997"/>
    <n v="0.28996018121875378"/>
    <s v="A"/>
    <n v="5524.1340000000009"/>
    <n v="6038.9320319999997"/>
    <n v="5032.4433599999993"/>
    <n v="847.49335999999948"/>
    <n v="514.79803199999878"/>
    <n v="0.16840594108544515"/>
  </r>
  <r>
    <s v="ORD-2024-202877"/>
    <s v="202877"/>
    <x v="1"/>
    <d v="2023-01-29T00:00:00"/>
    <n v="17"/>
    <d v="2024-07-13T00:00:00"/>
    <s v="Jul-2024"/>
    <x v="7"/>
    <s v="Q3-2024"/>
    <n v="21"/>
    <n v="21"/>
    <n v="0"/>
    <d v="2024-08-03T00:00:00"/>
    <d v="2024-08-03T00:00:00"/>
    <x v="3"/>
    <x v="9"/>
    <s v="Rio de Janeiro"/>
    <s v="Corporate"/>
    <x v="3"/>
    <x v="6"/>
    <x v="3"/>
    <s v="MON-6287"/>
    <n v="702.98"/>
    <n v="773.27800000000013"/>
    <n v="1104.8"/>
    <s v="Medium"/>
    <n v="0.17499999999999999"/>
    <n v="0.1"/>
    <s v=""/>
    <n v="12"/>
    <n v="14.399999999999999"/>
    <n v="8435.76"/>
    <n v="1549460.0077899997"/>
    <n v="460219.22464999999"/>
    <n v="0.29701910493734673"/>
    <s v="A"/>
    <n v="11135.2032"/>
    <n v="14318.207999999997"/>
    <n v="10937.519999999999"/>
    <n v="2501.7599999999984"/>
    <n v="3183.004799999997"/>
    <n v="0.22873192460448061"/>
  </r>
  <r>
    <s v="ORD-2024-886939"/>
    <s v="886939"/>
    <x v="1"/>
    <d v="2023-01-02T00:00:00"/>
    <n v="17"/>
    <d v="2024-06-03T00:00:00"/>
    <s v="Jun-2024"/>
    <x v="6"/>
    <s v="Q2-2024"/>
    <n v="21"/>
    <n v="21"/>
    <n v="0"/>
    <d v="2024-06-24T00:00:00"/>
    <d v="2024-06-24T00:00:00"/>
    <x v="3"/>
    <x v="10"/>
    <s v="Toronto"/>
    <s v="Small Business"/>
    <x v="0"/>
    <x v="2"/>
    <x v="3"/>
    <s v="MON-5386"/>
    <n v="1205.5"/>
    <n v="1326.0500000000002"/>
    <n v="2210.17"/>
    <s v="High"/>
    <n v="0.104"/>
    <n v="0.1"/>
    <s v=""/>
    <n v="23"/>
    <n v="27.599999999999998"/>
    <n v="27726.5"/>
    <n v="1549460.0077899997"/>
    <n v="505766.40801000001"/>
    <n v="0.32641462539673832"/>
    <s v="A"/>
    <n v="36598.980000000003"/>
    <n v="54900.622799999997"/>
    <n v="45547.183360000003"/>
    <n v="17820.683360000003"/>
    <n v="18301.642799999994"/>
    <n v="0.39125763758314652"/>
  </r>
  <r>
    <s v="ORD-2024-585443"/>
    <s v="585443"/>
    <x v="1"/>
    <d v="2023-01-29T00:00:00"/>
    <n v="18"/>
    <d v="2024-08-17T00:00:00"/>
    <s v="Aug-2024"/>
    <x v="8"/>
    <s v="Q3-2024"/>
    <n v="-2"/>
    <n v="15"/>
    <n v="0"/>
    <d v="2024-08-15T00:00:00"/>
    <d v="2024-09-01T00:00:00"/>
    <x v="3"/>
    <x v="9"/>
    <s v="Rio de Janeiro"/>
    <s v="Consumer"/>
    <x v="0"/>
    <x v="6"/>
    <x v="3"/>
    <s v="MON-2849"/>
    <n v="165.3"/>
    <n v="181.83000000000004"/>
    <n v="275.07"/>
    <s v="Low"/>
    <n v="0.13300000000000001"/>
    <n v="0.1"/>
    <s v=""/>
    <n v="25"/>
    <n v="30"/>
    <n v="4132.5"/>
    <n v="1549460.0077899997"/>
    <n v="511728.55025999999"/>
    <n v="0.33026250931760426"/>
    <s v="A"/>
    <n v="5454.9000000000015"/>
    <n v="7426.89"/>
    <n v="5962.1422499999999"/>
    <n v="1829.6422499999999"/>
    <n v="1971.9899999999989"/>
    <n v="0.30687665159280625"/>
  </r>
  <r>
    <s v="ORD-2024-433936"/>
    <s v="433936"/>
    <x v="1"/>
    <d v="2023-01-13T00:00:00"/>
    <n v="18"/>
    <d v="2024-08-04T00:00:00"/>
    <s v="Aug-2024"/>
    <x v="8"/>
    <s v="Q3-2024"/>
    <n v="13"/>
    <n v="13"/>
    <n v="0"/>
    <d v="2024-08-17T00:00:00"/>
    <d v="2024-08-17T00:00:00"/>
    <x v="3"/>
    <x v="11"/>
    <s v="Austin"/>
    <s v="Consumer"/>
    <x v="1"/>
    <x v="0"/>
    <x v="3"/>
    <s v="MON-8867"/>
    <n v="352.79"/>
    <n v="388.06900000000007"/>
    <n v="754.22"/>
    <s v="Low"/>
    <n v="0.113"/>
    <n v="0.1"/>
    <s v=""/>
    <n v="7"/>
    <n v="8.4"/>
    <n v="2469.5300000000002"/>
    <n v="1549460.0077899997"/>
    <n v="516411.50224"/>
    <n v="0.33328482157894451"/>
    <s v="A"/>
    <n v="3259.7796000000008"/>
    <n v="5701.9032000000007"/>
    <n v="4682.9519799999998"/>
    <n v="2213.4219799999996"/>
    <n v="2442.1235999999999"/>
    <n v="0.47265528014233443"/>
  </r>
  <r>
    <s v="ORD-2024-569164"/>
    <s v="569164"/>
    <x v="1"/>
    <d v="2023-03-03T00:00:00"/>
    <n v="18"/>
    <d v="2024-09-05T00:00:00"/>
    <s v="Sept-2024"/>
    <x v="11"/>
    <s v="Q3-2024"/>
    <n v="20"/>
    <n v="20"/>
    <n v="0"/>
    <d v="2024-09-25T00:00:00"/>
    <d v="2024-09-25T00:00:00"/>
    <x v="1"/>
    <x v="3"/>
    <s v="Osaka"/>
    <s v="Enterprise"/>
    <x v="2"/>
    <x v="0"/>
    <x v="3"/>
    <s v="MON-5249"/>
    <n v="195.54"/>
    <n v="215.09400000000002"/>
    <n v="405.97"/>
    <s v="Low"/>
    <n v="0.187"/>
    <n v="0.1"/>
    <s v=""/>
    <n v="16"/>
    <n v="19.2"/>
    <n v="3128.64"/>
    <n v="1549460.0077899997"/>
    <n v="521692.36"/>
    <n v="0.33669301393850859"/>
    <s v="A"/>
    <n v="4129.8047999999999"/>
    <n v="7015.1616000000004"/>
    <n v="5280.8577599999999"/>
    <n v="2152.21776"/>
    <n v="2885.3568000000005"/>
    <n v="0.40755079152141377"/>
  </r>
  <r>
    <s v="ORD-2024-398783"/>
    <s v="398783"/>
    <x v="1"/>
    <d v="2023-01-10T00:00:00"/>
    <n v="18"/>
    <d v="2024-07-18T00:00:00"/>
    <s v="Jul-2024"/>
    <x v="7"/>
    <s v="Q3-2024"/>
    <n v="20"/>
    <n v="20"/>
    <n v="0"/>
    <d v="2024-08-07T00:00:00"/>
    <d v="2024-08-07T00:00:00"/>
    <x v="2"/>
    <x v="5"/>
    <s v="Marseille"/>
    <s v="Corporate"/>
    <x v="1"/>
    <x v="5"/>
    <x v="3"/>
    <s v="MON-7622"/>
    <n v="941.35"/>
    <n v="1035.4850000000001"/>
    <n v="899.83"/>
    <s v="Medium"/>
    <n v="5.8000000000000003E-2"/>
    <n v="5.8000000000000003E-2"/>
    <s v=""/>
    <n v="18"/>
    <n v="21.599999999999998"/>
    <n v="16944.3"/>
    <n v="1549460.0077899997"/>
    <n v="536949.87748000002"/>
    <n v="0.34654000411785624"/>
    <s v="A"/>
    <n v="22366.475999999999"/>
    <n v="18309.020975999996"/>
    <n v="15257.51748"/>
    <n v="-1686.7825199999988"/>
    <n v="-4057.4550240000026"/>
    <n v="-0.11055419220139073"/>
  </r>
  <r>
    <s v="ORD-2024-972999"/>
    <s v="972999"/>
    <x v="1"/>
    <d v="2023-01-07T00:00:00"/>
    <n v="19"/>
    <d v="2024-09-06T00:00:00"/>
    <s v="Sept-2024"/>
    <x v="11"/>
    <s v="Q3-2024"/>
    <n v="28"/>
    <n v="28"/>
    <n v="0"/>
    <d v="2024-10-04T00:00:00"/>
    <d v="2024-10-04T00:00:00"/>
    <x v="0"/>
    <x v="6"/>
    <s v="Cape Town"/>
    <s v="Corporate"/>
    <x v="3"/>
    <x v="0"/>
    <x v="3"/>
    <s v="MON-3504"/>
    <n v="1174.17"/>
    <n v="1291.5870000000002"/>
    <n v="1641.61"/>
    <s v="High"/>
    <n v="0.122"/>
    <n v="0.1"/>
    <s v=""/>
    <n v="9"/>
    <n v="10.799999999999999"/>
    <n v="10567.53"/>
    <n v="1549460.0077899997"/>
    <n v="549921.87970000005"/>
    <n v="0.354911954445572"/>
    <s v="A"/>
    <n v="13949.1396"/>
    <n v="15956.449199999995"/>
    <n v="12972.00222"/>
    <n v="2404.4722199999997"/>
    <n v="2007.309599999995"/>
    <n v="0.18535860380079394"/>
  </r>
  <r>
    <s v="ORD-2024-444710"/>
    <s v="444710"/>
    <x v="1"/>
    <d v="2023-01-29T00:00:00"/>
    <n v="19"/>
    <d v="2024-09-22T00:00:00"/>
    <s v="Sept-2024"/>
    <x v="11"/>
    <s v="Q3-2024"/>
    <n v="9"/>
    <n v="9"/>
    <n v="0"/>
    <d v="2024-10-01T00:00:00"/>
    <d v="2024-10-01T00:00:00"/>
    <x v="3"/>
    <x v="9"/>
    <s v="São Paulo"/>
    <s v="Non-Profit"/>
    <x v="4"/>
    <x v="11"/>
    <x v="3"/>
    <s v="MON-6341"/>
    <n v="1378.8"/>
    <n v="1516.68"/>
    <n v="1952.04"/>
    <s v="High"/>
    <n v="0.159"/>
    <n v="0.1"/>
    <s v=""/>
    <n v="19"/>
    <n v="22.8"/>
    <n v="26197.200000000001"/>
    <n v="1549460.0077899997"/>
    <n v="581113.5268600001"/>
    <n v="0.37504261093440183"/>
    <s v="A"/>
    <n v="34580.304000000004"/>
    <n v="40055.860800000002"/>
    <n v="31191.64716"/>
    <n v="4994.4471599999997"/>
    <n v="5475.5567999999985"/>
    <n v="0.16012130216723058"/>
  </r>
  <r>
    <s v="ORD-2024-350100"/>
    <s v="350100"/>
    <x v="1"/>
    <d v="2023-03-03T00:00:00"/>
    <n v="19"/>
    <d v="2024-10-27T00:00:00"/>
    <s v="Oct-2024"/>
    <x v="9"/>
    <s v="Q4-2024"/>
    <n v="24"/>
    <n v="24"/>
    <n v="0"/>
    <d v="2024-11-20T00:00:00"/>
    <d v="2024-11-20T00:00:00"/>
    <x v="1"/>
    <x v="3"/>
    <s v="Nagoya"/>
    <s v="Non-Profit"/>
    <x v="4"/>
    <x v="8"/>
    <x v="3"/>
    <s v="MON-8939"/>
    <n v="317.25"/>
    <n v="348.97500000000002"/>
    <n v="758.92"/>
    <s v="Low"/>
    <n v="5.2999999999999999E-2"/>
    <n v="5.2999999999999999E-2"/>
    <s v=""/>
    <n v="9"/>
    <n v="10.799999999999999"/>
    <n v="2855.25"/>
    <n v="1549460.0077899997"/>
    <n v="587581.80202000006"/>
    <n v="0.37921714601596596"/>
    <s v="A"/>
    <n v="3768.93"/>
    <n v="7761.9301919999989"/>
    <n v="6468.2751599999992"/>
    <n v="3613.0251599999992"/>
    <n v="3993.0001919999991"/>
    <n v="0.5585762928489888"/>
  </r>
  <r>
    <s v="ORD-2024-635626"/>
    <s v="635626"/>
    <x v="1"/>
    <d v="2023-01-22T00:00:00"/>
    <n v="19"/>
    <d v="2024-08-27T00:00:00"/>
    <s v="Aug-2024"/>
    <x v="8"/>
    <s v="Q3-2024"/>
    <n v="23"/>
    <n v="23"/>
    <n v="0"/>
    <d v="2024-09-19T00:00:00"/>
    <d v="2024-09-19T00:00:00"/>
    <x v="2"/>
    <x v="7"/>
    <s v="Berlin"/>
    <s v="Small Business"/>
    <x v="0"/>
    <x v="0"/>
    <x v="3"/>
    <s v="MON-9967"/>
    <n v="1024.01"/>
    <n v="1126.4110000000001"/>
    <n v="1580.97"/>
    <s v="Medium"/>
    <n v="3.6999999999999998E-2"/>
    <n v="3.6999999999999998E-2"/>
    <s v=""/>
    <n v="27"/>
    <n v="32.4"/>
    <n v="27648.27"/>
    <n v="1549460.0077899997"/>
    <n v="628688.60299000004"/>
    <n v="0.40574690526327351"/>
    <s v="A"/>
    <n v="36495.716399999998"/>
    <n v="49328.161163999997"/>
    <n v="41106.800970000004"/>
    <n v="13458.530970000003"/>
    <n v="12832.444764"/>
    <n v="0.3274039976942531"/>
  </r>
  <r>
    <s v="ORD-2023-545150"/>
    <s v="545150"/>
    <x v="0"/>
    <d v="2023-01-15T00:00:00"/>
    <n v="2"/>
    <d v="2023-04-06T00:00:00"/>
    <s v="Apr-2023"/>
    <x v="2"/>
    <s v="Q2-2023"/>
    <n v="2"/>
    <n v="2"/>
    <n v="1"/>
    <d v="2023-04-08T00:00:00"/>
    <d v="2023-04-08T00:00:00"/>
    <x v="0"/>
    <x v="0"/>
    <s v="Abuja"/>
    <s v="Small Business"/>
    <x v="3"/>
    <x v="11"/>
    <x v="3"/>
    <s v="MON-4373"/>
    <n v="720.35"/>
    <n v="792.3850000000001"/>
    <n v="1571.66"/>
    <s v="Medium"/>
    <n v="0.107"/>
    <n v="0.1"/>
    <s v=""/>
    <n v="23"/>
    <n v="27.599999999999998"/>
    <n v="16568.05"/>
    <n v="1549460.0077899997"/>
    <n v="660968.92773"/>
    <n v="0.42658017916367025"/>
    <s v="A"/>
    <n v="21869.826000000001"/>
    <n v="39040.034399999997"/>
    <n v="32280.32474"/>
    <n v="15712.274740000001"/>
    <n v="17170.208399999996"/>
    <n v="0.4867446305622265"/>
  </r>
  <r>
    <s v="ORD-2023-390998"/>
    <s v="390998"/>
    <x v="0"/>
    <d v="2023-01-22T00:00:00"/>
    <n v="2"/>
    <d v="2023-04-19T00:00:00"/>
    <s v="Apr-2023"/>
    <x v="2"/>
    <s v="Q2-2023"/>
    <n v="9"/>
    <n v="9"/>
    <n v="0"/>
    <d v="2023-04-28T00:00:00"/>
    <d v="2023-04-28T00:00:00"/>
    <x v="2"/>
    <x v="7"/>
    <s v="Berlin"/>
    <s v="Education"/>
    <x v="4"/>
    <x v="12"/>
    <x v="3"/>
    <s v="MON-1663"/>
    <n v="1178.42"/>
    <n v="1296.2620000000002"/>
    <n v="2446.56"/>
    <s v="High"/>
    <n v="2.9000000000000001E-2"/>
    <n v="2.9000000000000001E-2"/>
    <s v=""/>
    <n v="11"/>
    <n v="13.2"/>
    <n v="12962.62"/>
    <n v="1549460.0077899997"/>
    <n v="687100.63509"/>
    <n v="0.44344522068047054"/>
    <s v="A"/>
    <n v="17110.6584"/>
    <n v="31358.048831999997"/>
    <n v="26131.70736"/>
    <n v="13169.08736"/>
    <n v="14247.390431999997"/>
    <n v="0.5039505141618883"/>
  </r>
  <r>
    <s v="ORD-2024-260775"/>
    <s v="260775"/>
    <x v="1"/>
    <d v="2023-01-29T00:00:00"/>
    <n v="20"/>
    <d v="2024-10-17T00:00:00"/>
    <s v="Oct-2024"/>
    <x v="9"/>
    <s v="Q4-2024"/>
    <n v="20"/>
    <n v="20"/>
    <n v="0"/>
    <d v="2024-11-06T00:00:00"/>
    <d v="2024-11-06T00:00:00"/>
    <x v="1"/>
    <x v="1"/>
    <s v="Bengaluru"/>
    <s v="Enterprise"/>
    <x v="2"/>
    <x v="7"/>
    <x v="3"/>
    <s v="MON-4330"/>
    <n v="72.94"/>
    <n v="80.234000000000009"/>
    <n v="106.3"/>
    <s v="Low"/>
    <n v="0.29499999999999998"/>
    <n v="0.1"/>
    <s v=""/>
    <n v="8"/>
    <n v="9.6"/>
    <n v="583.52"/>
    <n v="1549460.0077899997"/>
    <n v="687700.16709"/>
    <n v="0.44383215031852885"/>
    <s v="A"/>
    <n v="770.24640000000011"/>
    <n v="918.4319999999999"/>
    <n v="599.53200000000004"/>
    <n v="16.012000000000057"/>
    <n v="148.18559999999979"/>
    <n v="2.6707498515508857E-2"/>
  </r>
  <r>
    <s v="ORD-2024-500511"/>
    <s v="500511"/>
    <x v="1"/>
    <d v="2023-01-19T00:00:00"/>
    <n v="20"/>
    <d v="2024-10-08T00:00:00"/>
    <s v="Oct-2024"/>
    <x v="9"/>
    <s v="Q4-2024"/>
    <n v="0"/>
    <n v="0"/>
    <n v="1"/>
    <d v="2024-10-08T00:00:00"/>
    <d v="2024-10-08T00:00:00"/>
    <x v="2"/>
    <x v="2"/>
    <s v="London"/>
    <s v="Corporate"/>
    <x v="4"/>
    <x v="12"/>
    <x v="3"/>
    <s v="MON-9733"/>
    <n v="1108.1099999999999"/>
    <n v="1218.921"/>
    <n v="2503.79"/>
    <s v="High"/>
    <n v="0.184"/>
    <n v="0.1"/>
    <s v=""/>
    <n v="19"/>
    <n v="22.8"/>
    <n v="21054.089999999997"/>
    <n v="1549460.0077899997"/>
    <n v="726518.92724999995"/>
    <n v="0.46888523975926066"/>
    <s v="A"/>
    <n v="27791.398800000003"/>
    <n v="51377.770800000006"/>
    <n v="38818.760160000005"/>
    <n v="17764.670160000009"/>
    <n v="23586.372000000003"/>
    <n v="0.45763105485025896"/>
  </r>
  <r>
    <s v="ORD-2024-640340"/>
    <s v="640340"/>
    <x v="1"/>
    <d v="2023-01-15T00:00:00"/>
    <n v="21"/>
    <d v="2024-10-22T00:00:00"/>
    <s v="Oct-2024"/>
    <x v="9"/>
    <s v="Q4-2024"/>
    <n v="7"/>
    <n v="7"/>
    <n v="1"/>
    <d v="2024-10-29T00:00:00"/>
    <d v="2024-10-29T00:00:00"/>
    <x v="0"/>
    <x v="0"/>
    <s v="Port Harcourt"/>
    <s v="Enterprise"/>
    <x v="2"/>
    <x v="6"/>
    <x v="3"/>
    <s v="MON-8758"/>
    <n v="1023.06"/>
    <n v="1125.366"/>
    <n v="1355.61"/>
    <s v="Medium"/>
    <n v="0.153"/>
    <n v="0.1"/>
    <s v=""/>
    <n v="23"/>
    <n v="27.599999999999998"/>
    <n v="23530.379999999997"/>
    <n v="1549460.0077899997"/>
    <n v="752927.56565999996"/>
    <n v="0.48592900873505163"/>
    <s v="A"/>
    <n v="31060.101599999998"/>
    <n v="33673.352399999996"/>
    <n v="26408.63841"/>
    <n v="2878.2584100000022"/>
    <n v="2613.250799999998"/>
    <n v="0.10898927711888809"/>
  </r>
  <r>
    <s v="ORD-2024-741404"/>
    <s v="741404"/>
    <x v="1"/>
    <d v="2023-01-13T00:00:00"/>
    <n v="21"/>
    <d v="2024-10-19T00:00:00"/>
    <s v="Oct-2024"/>
    <x v="9"/>
    <s v="Q4-2024"/>
    <n v="18"/>
    <n v="18"/>
    <n v="0"/>
    <d v="2024-11-06T00:00:00"/>
    <d v="2024-11-06T00:00:00"/>
    <x v="3"/>
    <x v="11"/>
    <s v="Chicago"/>
    <s v="Education"/>
    <x v="3"/>
    <x v="9"/>
    <x v="3"/>
    <s v="MON-8129"/>
    <n v="942.02"/>
    <n v="1036.222"/>
    <n v="1028.46"/>
    <s v="Medium"/>
    <n v="0"/>
    <n v="0"/>
    <s v=""/>
    <n v="9"/>
    <n v="10.799999999999999"/>
    <n v="8478.18"/>
    <n v="1549460.0077899997"/>
    <n v="762183.70565999998"/>
    <n v="0.49190279312023372"/>
    <s v="A"/>
    <n v="11191.1976"/>
    <n v="11107.367999999999"/>
    <n v="9256.14"/>
    <n v="777.95999999999913"/>
    <n v="-83.829600000000937"/>
    <n v="8.4047994088248354E-2"/>
  </r>
  <r>
    <s v="ORD-2024-247979"/>
    <s v="247979"/>
    <x v="1"/>
    <d v="2023-01-29T00:00:00"/>
    <n v="21"/>
    <d v="2024-11-02T00:00:00"/>
    <s v="Nov-2024"/>
    <x v="10"/>
    <s v="Q4-2024"/>
    <n v="16"/>
    <n v="16"/>
    <n v="0"/>
    <d v="2024-11-18T00:00:00"/>
    <d v="2024-11-18T00:00:00"/>
    <x v="1"/>
    <x v="1"/>
    <s v="Mumbai"/>
    <s v="Small Business"/>
    <x v="2"/>
    <x v="7"/>
    <x v="3"/>
    <s v="MON-5188"/>
    <n v="1233.58"/>
    <n v="1356.9380000000001"/>
    <n v="1912.51"/>
    <s v="High"/>
    <n v="0.255"/>
    <n v="0.1"/>
    <s v=""/>
    <n v="51"/>
    <n v="61.199999999999996"/>
    <n v="62912.579999999994"/>
    <n v="1549460.0077899997"/>
    <n v="834849.52310999995"/>
    <n v="0.53880030392055667"/>
    <s v="A"/>
    <n v="83044.605599999995"/>
    <n v="105341.0508"/>
    <n v="72665.817450000002"/>
    <n v="9753.2374500000078"/>
    <n v="22296.445200000002"/>
    <n v="0.134220432553601"/>
  </r>
  <r>
    <s v="ORD-2024-766980"/>
    <s v="766980"/>
    <x v="1"/>
    <d v="2023-01-10T00:00:00"/>
    <n v="21"/>
    <d v="2024-11-04T00:00:00"/>
    <s v="Nov-2024"/>
    <x v="10"/>
    <s v="Q4-2024"/>
    <n v="3"/>
    <n v="3"/>
    <n v="1"/>
    <d v="2024-11-07T00:00:00"/>
    <d v="2024-11-07T00:00:00"/>
    <x v="2"/>
    <x v="5"/>
    <s v="Lyon"/>
    <s v="Corporate"/>
    <x v="4"/>
    <x v="7"/>
    <x v="3"/>
    <s v="MON-1118"/>
    <n v="740.68"/>
    <n v="814.74800000000005"/>
    <n v="1837.19"/>
    <s v="High"/>
    <n v="0.19700000000000001"/>
    <n v="0.1"/>
    <s v=""/>
    <n v="17"/>
    <n v="20.399999999999999"/>
    <n v="12591.56"/>
    <n v="1549460.0077899997"/>
    <n v="859929.00379999995"/>
    <n v="0.55498625293757642"/>
    <s v="A"/>
    <n v="16620.859199999999"/>
    <n v="33730.808400000002"/>
    <n v="25079.480689999997"/>
    <n v="12487.920689999997"/>
    <n v="17109.949200000003"/>
    <n v="0.4979337827748298"/>
  </r>
  <r>
    <s v="ORD-2024-837651"/>
    <s v="837651"/>
    <x v="1"/>
    <d v="2023-01-15T00:00:00"/>
    <n v="22"/>
    <d v="2024-12-10T00:00:00"/>
    <s v="Dec-2024"/>
    <x v="3"/>
    <s v="Q4-2024"/>
    <n v="9"/>
    <n v="9"/>
    <n v="0"/>
    <d v="2024-12-19T00:00:00"/>
    <d v="2024-12-19T00:00:00"/>
    <x v="0"/>
    <x v="0"/>
    <s v="Lagos"/>
    <s v="Corporate"/>
    <x v="1"/>
    <x v="7"/>
    <x v="3"/>
    <s v="MON-4789"/>
    <n v="488.68"/>
    <n v="537.548"/>
    <n v="984.36"/>
    <s v="Medium"/>
    <n v="5.8999999999999997E-2"/>
    <n v="5.8999999999999997E-2"/>
    <s v=""/>
    <n v="14"/>
    <n v="16.8"/>
    <n v="6841.52"/>
    <n v="1549460.0077899997"/>
    <n v="872896.96243999992"/>
    <n v="0.56335559359483944"/>
    <s v="A"/>
    <n v="9030.8064000000013"/>
    <n v="15561.550368"/>
    <n v="12967.958640000001"/>
    <n v="6126.4386400000003"/>
    <n v="6530.7439679999989"/>
    <n v="0.47242891576649876"/>
  </r>
  <r>
    <s v="ORD-2024-336584"/>
    <s v="336584"/>
    <x v="1"/>
    <d v="2023-01-29T00:00:00"/>
    <n v="22"/>
    <d v="2024-12-27T00:00:00"/>
    <s v="Dec-2024"/>
    <x v="3"/>
    <s v="Q4-2024"/>
    <n v="18"/>
    <n v="18"/>
    <n v="0"/>
    <d v="2025-01-14T00:00:00"/>
    <d v="2025-01-14T00:00:00"/>
    <x v="1"/>
    <x v="1"/>
    <s v="Bengaluru"/>
    <s v="Small Business"/>
    <x v="3"/>
    <x v="12"/>
    <x v="3"/>
    <s v="MON-8629"/>
    <n v="586.07000000000005"/>
    <n v="644.67700000000013"/>
    <n v="845.97"/>
    <s v="Medium"/>
    <n v="0.14699999999999999"/>
    <n v="0.1"/>
    <s v=""/>
    <n v="4"/>
    <n v="4.8"/>
    <n v="2344.2800000000002"/>
    <n v="1549460.0077899997"/>
    <n v="875783.41207999992"/>
    <n v="0.56521846816113241"/>
    <s v="A"/>
    <n v="3094.4496000000004"/>
    <n v="3654.5904"/>
    <n v="2886.4496399999998"/>
    <n v="542.16963999999962"/>
    <n v="560.14079999999967"/>
    <n v="0.18783270370862928"/>
  </r>
  <r>
    <s v="ORD-2024-192263"/>
    <s v="192263"/>
    <x v="1"/>
    <d v="2023-01-10T00:00:00"/>
    <n v="22"/>
    <d v="2024-11-21T00:00:00"/>
    <s v="Nov-2024"/>
    <x v="10"/>
    <s v="Q4-2024"/>
    <n v="30"/>
    <n v="30"/>
    <n v="0"/>
    <d v="2024-12-21T00:00:00"/>
    <d v="2024-12-21T00:00:00"/>
    <x v="2"/>
    <x v="5"/>
    <s v="Marseille"/>
    <s v="Small Business"/>
    <x v="0"/>
    <x v="13"/>
    <x v="3"/>
    <s v="MON-7943"/>
    <n v="1122.68"/>
    <n v="1234.9480000000001"/>
    <n v="1997.19"/>
    <s v="High"/>
    <n v="0.186"/>
    <n v="0.1"/>
    <s v=""/>
    <n v="3"/>
    <n v="3.5999999999999996"/>
    <n v="3368.04"/>
    <n v="1549460.0077899997"/>
    <n v="880660.55005999992"/>
    <n v="0.56836610537376131"/>
    <s v="A"/>
    <n v="4445.8127999999997"/>
    <n v="6470.8955999999989"/>
    <n v="4877.1379800000004"/>
    <n v="1509.0979800000005"/>
    <n v="2025.0827999999992"/>
    <n v="0.30942285951073306"/>
  </r>
  <r>
    <s v="ORD-2024-930679"/>
    <s v="930679"/>
    <x v="1"/>
    <d v="2023-01-19T00:00:00"/>
    <n v="22"/>
    <d v="2024-12-17T00:00:00"/>
    <s v="Dec-2024"/>
    <x v="3"/>
    <s v="Q4-2024"/>
    <n v="30"/>
    <n v="30"/>
    <n v="0"/>
    <d v="2025-01-16T00:00:00"/>
    <d v="2025-01-16T00:00:00"/>
    <x v="2"/>
    <x v="2"/>
    <s v="Manchester"/>
    <s v="Corporate"/>
    <x v="1"/>
    <x v="0"/>
    <x v="3"/>
    <s v="MON-4215"/>
    <n v="722.87"/>
    <n v="795.15700000000004"/>
    <n v="-33.659999999999997"/>
    <s v="Low"/>
    <n v="0.10199999999999999"/>
    <n v="0.1"/>
    <s v=""/>
    <n v="28"/>
    <n v="33.6"/>
    <n v="20240.36"/>
    <n v="1549460.0077899997"/>
    <n v="879814.2030199999"/>
    <n v="0.56781988473189571"/>
    <s v="A"/>
    <n v="26717.275200000004"/>
    <n v="-1017.8783999999999"/>
    <n v="-846.34703999999988"/>
    <n v="-21086.707040000001"/>
    <n v="-27735.153600000005"/>
    <n v="24.914965189693348"/>
  </r>
  <r>
    <s v="ORD-2024-165942"/>
    <s v="165942"/>
    <x v="1"/>
    <d v="2023-01-19T00:00:00"/>
    <n v="23"/>
    <d v="2024-12-29T00:00:00"/>
    <s v="Dec-2024"/>
    <x v="3"/>
    <s v="Q4-2024"/>
    <n v="14"/>
    <n v="14"/>
    <n v="0"/>
    <d v="2025-01-12T00:00:00"/>
    <d v="2025-01-12T00:00:00"/>
    <x v="2"/>
    <x v="2"/>
    <s v="Manchester"/>
    <s v="Corporate"/>
    <x v="0"/>
    <x v="1"/>
    <x v="3"/>
    <s v="MON-6310"/>
    <n v="1399.72"/>
    <n v="1539.6920000000002"/>
    <n v="3149.21"/>
    <s v="High"/>
    <n v="0.185"/>
    <n v="0.1"/>
    <s v=""/>
    <n v="12"/>
    <n v="14.399999999999999"/>
    <n v="16796.64"/>
    <n v="1549460.0077899997"/>
    <n v="910613.47681999987"/>
    <n v="0.58769730889589789"/>
    <s v="A"/>
    <n v="22171.5648"/>
    <n v="40813.761599999998"/>
    <n v="30799.273800000003"/>
    <n v="14002.633800000003"/>
    <n v="18642.196799999998"/>
    <n v="0.45464168703873797"/>
  </r>
  <r>
    <s v="ORD-2025-650719"/>
    <s v="650719"/>
    <x v="2"/>
    <d v="2023-01-29T00:00:00"/>
    <n v="24"/>
    <d v="2025-02-12T00:00:00"/>
    <s v="Feb-2025"/>
    <x v="0"/>
    <s v="Q1-2025"/>
    <n v="16"/>
    <n v="16"/>
    <n v="0"/>
    <d v="2025-02-28T00:00:00"/>
    <d v="2025-02-28T00:00:00"/>
    <x v="3"/>
    <x v="9"/>
    <s v="São Paulo"/>
    <s v="Non-Profit"/>
    <x v="0"/>
    <x v="1"/>
    <x v="3"/>
    <s v="MON-5179"/>
    <n v="414.95"/>
    <n v="456.44500000000005"/>
    <n v="1027.73"/>
    <s v="Medium"/>
    <n v="6.3E-2"/>
    <n v="6.3E-2"/>
    <s v=""/>
    <n v="8"/>
    <n v="9.6"/>
    <n v="3319.6"/>
    <n v="1549460.0077899997"/>
    <n v="918317.34089999984"/>
    <n v="0.59266927593039276"/>
    <s v="A"/>
    <n v="4381.8720000000003"/>
    <n v="9244.6368960000018"/>
    <n v="7703.8640800000003"/>
    <n v="4384.2640800000008"/>
    <n v="4862.7648960000015"/>
    <n v="0.56909935513815568"/>
  </r>
  <r>
    <s v="ORD-2025-484073"/>
    <s v="484073"/>
    <x v="2"/>
    <d v="2023-01-29T00:00:00"/>
    <n v="24"/>
    <d v="2025-02-19T00:00:00"/>
    <s v="Feb-2025"/>
    <x v="0"/>
    <s v="Q1-2025"/>
    <n v="18"/>
    <n v="18"/>
    <n v="0"/>
    <d v="2025-03-09T00:00:00"/>
    <d v="2025-03-09T00:00:00"/>
    <x v="1"/>
    <x v="1"/>
    <s v="Delhi"/>
    <s v="Small Business"/>
    <x v="0"/>
    <x v="7"/>
    <x v="3"/>
    <s v="MON-1436"/>
    <n v="325.87"/>
    <n v="358.45700000000005"/>
    <n v="538.79"/>
    <s v="Low"/>
    <n v="0.17399999999999999"/>
    <n v="0.1"/>
    <s v=""/>
    <n v="16"/>
    <n v="19.2"/>
    <n v="5213.92"/>
    <n v="1549460.0077899997"/>
    <n v="925437.98953999986"/>
    <n v="0.59726484380836353"/>
    <s v="A"/>
    <n v="6882.3744000000006"/>
    <n v="9310.2911999999978"/>
    <n v="7120.6486400000003"/>
    <n v="1906.7286400000003"/>
    <n v="2427.9167999999972"/>
    <n v="0.26777457172778013"/>
  </r>
  <r>
    <s v="ORD-2025-542939"/>
    <s v="542939"/>
    <x v="2"/>
    <d v="2023-01-10T00:00:00"/>
    <n v="24"/>
    <d v="2025-01-13T00:00:00"/>
    <s v="Jan-2025"/>
    <x v="1"/>
    <s v="Q1-2025"/>
    <n v="26"/>
    <n v="26"/>
    <n v="0"/>
    <d v="2025-02-08T00:00:00"/>
    <d v="2025-02-08T00:00:00"/>
    <x v="2"/>
    <x v="5"/>
    <s v="Paris"/>
    <s v="Non-Profit"/>
    <x v="0"/>
    <x v="12"/>
    <x v="3"/>
    <s v="MON-1593"/>
    <n v="594.74"/>
    <n v="654.21400000000006"/>
    <n v="1020.69"/>
    <s v="Medium"/>
    <n v="0.21099999999999999"/>
    <n v="0.1"/>
    <s v=""/>
    <n v="6"/>
    <n v="7.1999999999999993"/>
    <n v="3568.44"/>
    <n v="1549460.0077899997"/>
    <n v="930269.93599999987"/>
    <n v="0.60038331504073295"/>
    <s v="A"/>
    <n v="4710.3407999999999"/>
    <n v="6614.0712000000003"/>
    <n v="4831.9464600000001"/>
    <n v="1263.5064600000001"/>
    <n v="1903.7304000000004"/>
    <n v="0.26149016146176424"/>
  </r>
  <r>
    <s v="ORD-2025-964661"/>
    <s v="964661"/>
    <x v="2"/>
    <d v="2023-01-19T00:00:00"/>
    <n v="24"/>
    <d v="2025-02-04T00:00:00"/>
    <s v="Feb-2025"/>
    <x v="0"/>
    <s v="Q1-2025"/>
    <n v="21"/>
    <n v="21"/>
    <n v="0"/>
    <d v="2025-02-25T00:00:00"/>
    <d v="2025-02-25T00:00:00"/>
    <x v="2"/>
    <x v="2"/>
    <s v="Birmingham"/>
    <s v="Corporate"/>
    <x v="3"/>
    <x v="0"/>
    <x v="3"/>
    <s v="MON-4959"/>
    <n v="1016.32"/>
    <n v="1117.9520000000002"/>
    <n v="2253.42"/>
    <s v="High"/>
    <n v="5.5E-2"/>
    <n v="5.5E-2"/>
    <s v=""/>
    <n v="12"/>
    <n v="14.399999999999999"/>
    <n v="12195.84"/>
    <n v="1549460.0077899997"/>
    <n v="955823.71879999992"/>
    <n v="0.61687537206158338"/>
    <s v="A"/>
    <n v="16098.508800000001"/>
    <n v="30664.539359999999"/>
    <n v="25553.782800000001"/>
    <n v="13357.942800000001"/>
    <n v="14566.030559999997"/>
    <n v="0.52273837124419797"/>
  </r>
  <r>
    <s v="ORD-2025-473192"/>
    <s v="473192"/>
    <x v="2"/>
    <d v="2023-01-07T00:00:00"/>
    <n v="26"/>
    <d v="2025-03-30T00:00:00"/>
    <s v="Mar-2025"/>
    <x v="4"/>
    <s v="Q1-2025"/>
    <n v="30"/>
    <n v="30"/>
    <n v="0"/>
    <d v="2025-04-29T00:00:00"/>
    <d v="2025-04-29T00:00:00"/>
    <x v="0"/>
    <x v="6"/>
    <s v="Durban"/>
    <s v="Consumer"/>
    <x v="3"/>
    <x v="10"/>
    <x v="3"/>
    <s v="MON-7106"/>
    <n v="194.6"/>
    <n v="214.06"/>
    <n v="314.87"/>
    <s v="Low"/>
    <n v="0.29299999999999998"/>
    <n v="0.1"/>
    <s v=""/>
    <n v="25"/>
    <n v="30"/>
    <n v="4865"/>
    <n v="1549460.0077899997"/>
    <n v="961389.04604999989"/>
    <n v="0.62046715708476563"/>
    <s v="A"/>
    <n v="6421.8"/>
    <n v="8501.49"/>
    <n v="5565.3272500000003"/>
    <n v="700.32725000000028"/>
    <n v="2079.6899999999996"/>
    <n v="0.1258375686712763"/>
  </r>
  <r>
    <s v="ORD-2025-765220"/>
    <s v="765220"/>
    <x v="2"/>
    <d v="2023-01-29T00:00:00"/>
    <n v="26"/>
    <d v="2025-04-06T00:00:00"/>
    <s v="Apr-2025"/>
    <x v="2"/>
    <s v="Q2-2025"/>
    <n v="24"/>
    <n v="24"/>
    <n v="0"/>
    <d v="2025-04-30T00:00:00"/>
    <d v="2025-04-30T00:00:00"/>
    <x v="3"/>
    <x v="9"/>
    <s v="Brasília"/>
    <s v="Education"/>
    <x v="4"/>
    <x v="11"/>
    <x v="3"/>
    <s v="MON-4925"/>
    <n v="855.78"/>
    <n v="941.35800000000006"/>
    <n v="977.38"/>
    <s v="Medium"/>
    <n v="0.14699999999999999"/>
    <n v="0.1"/>
    <s v=""/>
    <n v="38"/>
    <n v="45.6"/>
    <n v="32519.64"/>
    <n v="1549460.0077899997"/>
    <n v="993069.84136999992"/>
    <n v="0.64091350301220029"/>
    <s v="A"/>
    <n v="42925.924800000001"/>
    <n v="40111.675199999998"/>
    <n v="31680.795320000001"/>
    <n v="-838.84467999999833"/>
    <n v="-2814.2496000000028"/>
    <n v="-2.6478018355506307E-2"/>
  </r>
  <r>
    <s v="ORD-2025-861401"/>
    <s v="861401"/>
    <x v="2"/>
    <d v="2023-01-13T00:00:00"/>
    <n v="26"/>
    <d v="2025-04-01T00:00:00"/>
    <s v="Apr-2025"/>
    <x v="2"/>
    <s v="Q2-2025"/>
    <n v="26"/>
    <n v="26"/>
    <n v="0"/>
    <d v="2025-04-27T00:00:00"/>
    <d v="2025-04-27T00:00:00"/>
    <x v="3"/>
    <x v="11"/>
    <s v="San Francisco"/>
    <s v="Corporate"/>
    <x v="0"/>
    <x v="13"/>
    <x v="3"/>
    <s v="MON-9319"/>
    <n v="156.55000000000001"/>
    <n v="172.20500000000001"/>
    <n v="227.45"/>
    <s v="Low"/>
    <n v="1.4E-2"/>
    <n v="1.4E-2"/>
    <s v=""/>
    <n v="13"/>
    <n v="15.6"/>
    <n v="2035.15"/>
    <n v="1549460.0077899997"/>
    <n v="995985.2954699999"/>
    <n v="0.64279509665472245"/>
    <s v="A"/>
    <n v="2686.3980000000001"/>
    <n v="3498.5449199999998"/>
    <n v="2915.4540999999999"/>
    <n v="880.30409999999983"/>
    <n v="812.14691999999968"/>
    <n v="0.3019440779396938"/>
  </r>
  <r>
    <s v="ORD-2025-138578"/>
    <s v="138578"/>
    <x v="2"/>
    <d v="2023-01-10T00:00:00"/>
    <n v="26"/>
    <d v="2025-04-09T00:00:00"/>
    <s v="Apr-2025"/>
    <x v="2"/>
    <s v="Q2-2025"/>
    <n v="3"/>
    <n v="3"/>
    <n v="1"/>
    <d v="2025-04-12T00:00:00"/>
    <d v="2025-04-12T00:00:00"/>
    <x v="2"/>
    <x v="5"/>
    <s v="Lyon"/>
    <s v="Small Business"/>
    <x v="2"/>
    <x v="8"/>
    <x v="3"/>
    <s v="MON-5276"/>
    <n v="86.68"/>
    <n v="95.348000000000013"/>
    <n v="213.32"/>
    <s v="Low"/>
    <n v="3.7999999999999999E-2"/>
    <n v="3.7999999999999999E-2"/>
    <s v=""/>
    <n v="8"/>
    <n v="9.6"/>
    <n v="693.44"/>
    <n v="1549460.0077899997"/>
    <n v="997627.00618999987"/>
    <n v="0.64385463398498344"/>
    <s v="A"/>
    <n v="915.34080000000006"/>
    <n v="1970.0528639999998"/>
    <n v="1641.7107199999998"/>
    <n v="948.27071999999976"/>
    <n v="1054.7120639999998"/>
    <n v="0.57761133459614611"/>
  </r>
  <r>
    <s v="ORD-2025-845715"/>
    <s v="845715"/>
    <x v="2"/>
    <d v="2023-01-19T00:00:00"/>
    <n v="26"/>
    <d v="2025-04-14T00:00:00"/>
    <s v="Apr-2025"/>
    <x v="2"/>
    <s v="Q2-2025"/>
    <n v="20"/>
    <n v="20"/>
    <n v="0"/>
    <d v="2025-05-04T00:00:00"/>
    <d v="2025-05-04T00:00:00"/>
    <x v="2"/>
    <x v="2"/>
    <s v="Birmingham"/>
    <s v="Enterprise"/>
    <x v="3"/>
    <x v="11"/>
    <x v="3"/>
    <s v="MON-6962"/>
    <n v="1413.87"/>
    <n v="1555.2570000000001"/>
    <n v="3275"/>
    <s v="High"/>
    <n v="0.255"/>
    <n v="0.1"/>
    <s v=""/>
    <n v="38"/>
    <n v="45.6"/>
    <n v="53727.06"/>
    <n v="1549460.0077899997"/>
    <n v="1090342.2561899999"/>
    <n v="0.70369177049310161"/>
    <s v="A"/>
    <n v="70919.719200000007"/>
    <n v="134406"/>
    <n v="92715.25"/>
    <n v="38988.19"/>
    <n v="63486.280799999993"/>
    <n v="0.42051539525590453"/>
  </r>
  <r>
    <s v="ORD-2025-779530"/>
    <s v="779530"/>
    <x v="2"/>
    <d v="2023-01-29T00:00:00"/>
    <n v="27"/>
    <d v="2025-05-19T00:00:00"/>
    <s v="May-2025"/>
    <x v="5"/>
    <s v="Q2-2025"/>
    <n v="-2"/>
    <n v="15"/>
    <n v="0"/>
    <d v="2025-05-17T00:00:00"/>
    <d v="2025-06-03T00:00:00"/>
    <x v="3"/>
    <x v="9"/>
    <s v="São Paulo"/>
    <s v="Small Business"/>
    <x v="2"/>
    <x v="4"/>
    <x v="3"/>
    <s v="MON-2993"/>
    <n v="383.77"/>
    <n v="422.14699999999999"/>
    <n v="952.56"/>
    <s v="Medium"/>
    <n v="0.34599999999999997"/>
    <n v="0.1"/>
    <s v="&gt;0.3"/>
    <n v="10"/>
    <n v="12"/>
    <n v="3837.7"/>
    <n v="1549460.0077899997"/>
    <n v="1096571.99859"/>
    <n v="0.70771235983950598"/>
    <s v="A"/>
    <n v="5065.7640000000001"/>
    <n v="10287.647999999999"/>
    <n v="6229.7423999999992"/>
    <n v="2392.0423999999994"/>
    <n v="5221.8839999999991"/>
    <n v="0.38397131797937578"/>
  </r>
  <r>
    <s v="ORD-2025-488349"/>
    <s v="488349"/>
    <x v="2"/>
    <d v="2023-01-13T00:00:00"/>
    <n v="27"/>
    <d v="2025-04-23T00:00:00"/>
    <s v="Apr-2025"/>
    <x v="2"/>
    <s v="Q2-2025"/>
    <n v="-1"/>
    <n v="15"/>
    <n v="0"/>
    <d v="2025-04-22T00:00:00"/>
    <d v="2025-05-08T00:00:00"/>
    <x v="3"/>
    <x v="11"/>
    <s v="San Francisco"/>
    <s v="Non-Profit"/>
    <x v="2"/>
    <x v="0"/>
    <x v="3"/>
    <s v="MON-3371"/>
    <n v="23.24"/>
    <n v="25.564"/>
    <n v="44.57"/>
    <s v="Low"/>
    <n v="0.215"/>
    <n v="0.1"/>
    <s v=""/>
    <n v="15"/>
    <n v="18"/>
    <n v="348.59999999999997"/>
    <n v="1549460.0077899997"/>
    <n v="1097096.8103400001"/>
    <n v="0.70805106606448853"/>
    <s v="A"/>
    <n v="460.15199999999999"/>
    <n v="722.03399999999999"/>
    <n v="524.81174999999996"/>
    <n v="176.21174999999999"/>
    <n v="261.88200000000001"/>
    <n v="0.33576182316802167"/>
  </r>
  <r>
    <s v="ORD-2025-778145"/>
    <s v="778145"/>
    <x v="2"/>
    <d v="2023-01-10T00:00:00"/>
    <n v="27"/>
    <d v="2025-04-22T00:00:00"/>
    <s v="Apr-2025"/>
    <x v="2"/>
    <s v="Q2-2025"/>
    <n v="20"/>
    <n v="20"/>
    <n v="0"/>
    <d v="2025-05-12T00:00:00"/>
    <d v="2025-05-12T00:00:00"/>
    <x v="2"/>
    <x v="5"/>
    <s v="Lyon"/>
    <s v="Enterprise"/>
    <x v="3"/>
    <x v="11"/>
    <x v="3"/>
    <s v="MON-9216"/>
    <n v="59.51"/>
    <n v="65.460999999999999"/>
    <n v="67.040000000000006"/>
    <s v="Low"/>
    <n v="0.114"/>
    <n v="0.1"/>
    <s v=""/>
    <n v="9"/>
    <n v="10.799999999999999"/>
    <n v="535.59"/>
    <n v="1549460.0077899997"/>
    <n v="1097631.3873000001"/>
    <n v="0.70839607462057419"/>
    <s v="A"/>
    <n v="706.97879999999986"/>
    <n v="651.62880000000007"/>
    <n v="534.57695999999999"/>
    <n v="-1.0130400000000463"/>
    <n v="-55.349999999999795"/>
    <n v="-1.8950311663264469E-3"/>
  </r>
  <r>
    <s v="ORD-2025-946490"/>
    <s v="946490"/>
    <x v="2"/>
    <d v="2023-01-22T00:00:00"/>
    <n v="27"/>
    <d v="2025-04-22T00:00:00"/>
    <s v="Apr-2025"/>
    <x v="2"/>
    <s v="Q2-2025"/>
    <n v="10"/>
    <n v="10"/>
    <n v="0"/>
    <d v="2025-05-02T00:00:00"/>
    <d v="2025-05-02T00:00:00"/>
    <x v="2"/>
    <x v="7"/>
    <s v="Berlin"/>
    <s v="Corporate"/>
    <x v="3"/>
    <x v="9"/>
    <x v="3"/>
    <s v="MON-2842"/>
    <n v="20.149999999999999"/>
    <n v="22.164999999999999"/>
    <n v="39.74"/>
    <s v="Low"/>
    <n v="0.151"/>
    <n v="0.1"/>
    <s v=""/>
    <n v="18"/>
    <n v="21.599999999999998"/>
    <n v="362.7"/>
    <n v="1549460.0077899997"/>
    <n v="1098238.69398"/>
    <n v="0.70878802192927959"/>
    <s v="A"/>
    <n v="478.76399999999995"/>
    <n v="772.54560000000004"/>
    <n v="607.30668000000003"/>
    <n v="244.60668000000004"/>
    <n v="293.78160000000008"/>
    <n v="0.4027729120318585"/>
  </r>
  <r>
    <s v="ORD-2025-485946"/>
    <s v="485946"/>
    <x v="2"/>
    <d v="2023-01-07T00:00:00"/>
    <n v="29"/>
    <d v="2025-06-15T00:00:00"/>
    <s v="Jun-2025"/>
    <x v="6"/>
    <s v="Q2-2025"/>
    <n v="15"/>
    <n v="15"/>
    <n v="0"/>
    <d v="2025-06-30T00:00:00"/>
    <d v="2025-06-30T00:00:00"/>
    <x v="0"/>
    <x v="6"/>
    <s v="Johannesburg"/>
    <s v="Small Business"/>
    <x v="0"/>
    <x v="9"/>
    <x v="3"/>
    <s v="MON-5891"/>
    <n v="1487.59"/>
    <n v="1636.3489999999999"/>
    <n v="1480.83"/>
    <s v="Medium"/>
    <n v="8.9999999999999993E-3"/>
    <n v="8.9999999999999993E-3"/>
    <s v=""/>
    <n v="11"/>
    <n v="13.2"/>
    <n v="16363.49"/>
    <n v="1549460.0077899997"/>
    <n v="1114381.22181"/>
    <n v="0.71920618551455606"/>
    <s v="A"/>
    <n v="21599.806799999998"/>
    <n v="19371.033395999999"/>
    <n v="16142.527829999999"/>
    <n v="-220.9621700000007"/>
    <n v="-2228.7734039999996"/>
    <n v="-1.3688201273492908E-2"/>
  </r>
  <r>
    <s v="ORD-2025-184754"/>
    <s v="184754"/>
    <x v="2"/>
    <d v="2023-01-22T00:00:00"/>
    <n v="29"/>
    <d v="2025-06-27T00:00:00"/>
    <s v="Jun-2025"/>
    <x v="6"/>
    <s v="Q2-2025"/>
    <n v="8"/>
    <n v="8"/>
    <n v="0"/>
    <d v="2025-07-05T00:00:00"/>
    <d v="2025-07-05T00:00:00"/>
    <x v="2"/>
    <x v="7"/>
    <s v="Munich"/>
    <s v="Small Business"/>
    <x v="0"/>
    <x v="2"/>
    <x v="3"/>
    <s v="MON-7626"/>
    <n v="314.93"/>
    <n v="346.42300000000006"/>
    <n v="687.95"/>
    <s v="Low"/>
    <n v="0.20499999999999999"/>
    <n v="0.1"/>
    <s v=""/>
    <n v="8"/>
    <n v="9.6"/>
    <n v="2519.44"/>
    <n v="1549460.0077899997"/>
    <n v="1118756.58381"/>
    <n v="0.72202998346868363"/>
    <s v="A"/>
    <n v="3325.6608000000006"/>
    <n v="5943.8880000000008"/>
    <n v="4375.3620000000001"/>
    <n v="1855.922"/>
    <n v="2618.2272000000003"/>
    <n v="0.424175645352316"/>
  </r>
  <r>
    <s v="ORD-2023-356427"/>
    <s v="356427"/>
    <x v="0"/>
    <d v="2023-01-02T00:00:00"/>
    <n v="3"/>
    <d v="2023-04-13T00:00:00"/>
    <s v="Apr-2023"/>
    <x v="2"/>
    <s v="Q2-2023"/>
    <n v="19"/>
    <n v="19"/>
    <n v="0"/>
    <d v="2023-05-02T00:00:00"/>
    <d v="2023-05-02T00:00:00"/>
    <x v="3"/>
    <x v="10"/>
    <s v="Montreal"/>
    <s v="Consumer"/>
    <x v="2"/>
    <x v="12"/>
    <x v="3"/>
    <s v="MON-6053"/>
    <n v="671.05"/>
    <n v="738.15499999999997"/>
    <n v="1645.48"/>
    <s v="High"/>
    <n v="0.13700000000000001"/>
    <n v="0.1"/>
    <s v=""/>
    <n v="6"/>
    <n v="7.1999999999999993"/>
    <n v="4026.2999999999997"/>
    <n v="1549460.0077899997"/>
    <n v="1127276.87925"/>
    <n v="0.72752886398006422"/>
    <s v="A"/>
    <n v="5314.7159999999994"/>
    <n v="10662.710399999998"/>
    <n v="8520.2954399999999"/>
    <n v="4493.9954400000006"/>
    <n v="5347.9943999999987"/>
    <n v="0.52744596377517172"/>
  </r>
  <r>
    <s v="ORD-2023-987700"/>
    <s v="987700"/>
    <x v="0"/>
    <d v="2023-01-02T00:00:00"/>
    <n v="3"/>
    <d v="2023-04-05T00:00:00"/>
    <s v="Apr-2023"/>
    <x v="2"/>
    <s v="Q2-2023"/>
    <n v="11"/>
    <n v="11"/>
    <n v="0"/>
    <d v="2023-04-16T00:00:00"/>
    <d v="2023-04-16T00:00:00"/>
    <x v="3"/>
    <x v="10"/>
    <s v="Vancouver"/>
    <s v="Non-Profit"/>
    <x v="4"/>
    <x v="7"/>
    <x v="3"/>
    <s v="MON-5259"/>
    <n v="213.1"/>
    <n v="234.41000000000003"/>
    <n v="501.31"/>
    <s v="Low"/>
    <n v="5.6000000000000001E-2"/>
    <n v="5.6000000000000001E-2"/>
    <s v=""/>
    <n v="15"/>
    <n v="18"/>
    <n v="3196.5"/>
    <n v="1549460.0077899997"/>
    <n v="1134375.42885"/>
    <n v="0.73211016944410445"/>
    <s v="A"/>
    <n v="4219.38"/>
    <n v="8518.2595199999996"/>
    <n v="7098.5495999999994"/>
    <n v="3902.0495999999994"/>
    <n v="4298.8795199999995"/>
    <n v="0.54969674368409005"/>
  </r>
  <r>
    <s v="ORD-2023-880296"/>
    <s v="880296"/>
    <x v="0"/>
    <d v="2023-01-12T00:00:00"/>
    <n v="3"/>
    <d v="2023-05-02T00:00:00"/>
    <s v="May-2023"/>
    <x v="5"/>
    <s v="Q2-2023"/>
    <n v="17"/>
    <n v="17"/>
    <n v="0"/>
    <d v="2023-05-19T00:00:00"/>
    <d v="2023-05-19T00:00:00"/>
    <x v="1"/>
    <x v="4"/>
    <s v="Shanghai"/>
    <s v="Non-Profit"/>
    <x v="0"/>
    <x v="10"/>
    <x v="3"/>
    <s v="MON-5086"/>
    <n v="714.28"/>
    <n v="785.70800000000008"/>
    <n v="757.59"/>
    <s v="Low"/>
    <n v="0.13600000000000001"/>
    <n v="0.1"/>
    <s v=""/>
    <n v="12"/>
    <n v="14.399999999999999"/>
    <n v="8571.36"/>
    <n v="1549460.0077899997"/>
    <n v="1142230.12197"/>
    <n v="0.73717947944920947"/>
    <s v="A"/>
    <n v="11314.1952"/>
    <n v="9818.3664000000008"/>
    <n v="7854.6931199999999"/>
    <n v="-716.66688000000067"/>
    <n v="-1495.8287999999993"/>
    <n v="-9.1240595787910383E-2"/>
  </r>
  <r>
    <s v="ORD-2023-573656"/>
    <s v="573656"/>
    <x v="0"/>
    <d v="2023-01-29T00:00:00"/>
    <n v="3"/>
    <d v="2023-05-02T00:00:00"/>
    <s v="May-2023"/>
    <x v="5"/>
    <s v="Q2-2023"/>
    <n v="14"/>
    <n v="14"/>
    <n v="0"/>
    <d v="2023-05-16T00:00:00"/>
    <d v="2023-05-16T00:00:00"/>
    <x v="1"/>
    <x v="1"/>
    <s v="Bengaluru"/>
    <s v="Non-Profit"/>
    <x v="1"/>
    <x v="4"/>
    <x v="3"/>
    <s v="MON-4830"/>
    <n v="475.37"/>
    <n v="522.90700000000004"/>
    <n v="963.73"/>
    <s v="Medium"/>
    <n v="4.1000000000000002E-2"/>
    <n v="4.1000000000000002E-2"/>
    <s v=""/>
    <n v="22"/>
    <n v="26.4"/>
    <n v="10458.14"/>
    <n v="1549460.0077899997"/>
    <n v="1162562.89751"/>
    <n v="0.75030197079314598"/>
    <s v="A"/>
    <n v="13804.7448"/>
    <n v="24399.330647999996"/>
    <n v="20332.775539999999"/>
    <n v="9874.6355399999993"/>
    <n v="10594.585847999995"/>
    <n v="0.48565113604750881"/>
  </r>
  <r>
    <s v="ORD-2023-906481"/>
    <s v="906481"/>
    <x v="0"/>
    <d v="2023-01-29T00:00:00"/>
    <n v="3"/>
    <d v="2023-05-02T00:00:00"/>
    <s v="May-2023"/>
    <x v="5"/>
    <s v="Q2-2023"/>
    <n v="16"/>
    <n v="16"/>
    <n v="0"/>
    <d v="2023-05-18T00:00:00"/>
    <d v="2023-05-18T00:00:00"/>
    <x v="1"/>
    <x v="1"/>
    <s v="Delhi"/>
    <s v="Small Business"/>
    <x v="3"/>
    <x v="11"/>
    <x v="3"/>
    <s v="MON-2266"/>
    <n v="1463.92"/>
    <n v="1610.3120000000001"/>
    <n v="2252.2399999999998"/>
    <s v="High"/>
    <n v="0.11799999999999999"/>
    <n v="0.1"/>
    <s v=""/>
    <n v="44"/>
    <n v="52.8"/>
    <n v="64412.480000000003"/>
    <n v="1549460.0077899997"/>
    <n v="1249967.8274300001"/>
    <n v="0.80671190036897666"/>
    <s v="B"/>
    <n v="85024.473599999998"/>
    <n v="107026.44479999998"/>
    <n v="87404.929919999995"/>
    <n v="22992.449919999992"/>
    <n v="22001.971199999985"/>
    <n v="0.26305667130040061"/>
  </r>
  <r>
    <s v="ORD-2023-913592"/>
    <s v="913592"/>
    <x v="0"/>
    <d v="2023-01-29T00:00:00"/>
    <n v="3"/>
    <d v="2023-05-10T00:00:00"/>
    <s v="May-2023"/>
    <x v="5"/>
    <s v="Q2-2023"/>
    <n v="4"/>
    <n v="4"/>
    <n v="1"/>
    <d v="2023-05-14T00:00:00"/>
    <d v="2023-05-14T00:00:00"/>
    <x v="1"/>
    <x v="1"/>
    <s v="Delhi"/>
    <s v="Non-Profit"/>
    <x v="2"/>
    <x v="9"/>
    <x v="3"/>
    <s v="MON-2465"/>
    <n v="622.6"/>
    <n v="684.86000000000013"/>
    <n v="833.69"/>
    <s v="Medium"/>
    <n v="0.20899999999999999"/>
    <n v="0.1"/>
    <s v=""/>
    <n v="14"/>
    <n v="16.8"/>
    <n v="8716.4"/>
    <n v="1549460.0077899997"/>
    <n v="1259200.1104900001"/>
    <n v="0.81267028781594797"/>
    <s v="B"/>
    <n v="11505.648000000003"/>
    <n v="12605.392800000001"/>
    <n v="9232.2830599999998"/>
    <n v="515.88306000000011"/>
    <n v="1099.7447999999986"/>
    <n v="5.5878167582959715E-2"/>
  </r>
  <r>
    <s v="ORD-2023-258768"/>
    <s v="258768"/>
    <x v="0"/>
    <d v="2023-03-03T00:00:00"/>
    <n v="3"/>
    <d v="2023-06-29T00:00:00"/>
    <s v="Jun-2023"/>
    <x v="6"/>
    <s v="Q2-2023"/>
    <n v="3"/>
    <n v="3"/>
    <n v="1"/>
    <d v="2023-07-02T00:00:00"/>
    <d v="2023-07-02T00:00:00"/>
    <x v="1"/>
    <x v="3"/>
    <s v="Nagoya"/>
    <s v="Education"/>
    <x v="3"/>
    <x v="5"/>
    <x v="3"/>
    <s v="MON-2990"/>
    <n v="55.65"/>
    <n v="61.215000000000003"/>
    <n v="83.57"/>
    <s v="Low"/>
    <n v="6.6000000000000003E-2"/>
    <n v="6.6000000000000003E-2"/>
    <s v=""/>
    <n v="8"/>
    <n v="9.6"/>
    <n v="445.2"/>
    <n v="1549460.0077899997"/>
    <n v="1259824.54553"/>
    <n v="0.81307328953064895"/>
    <s v="B"/>
    <n v="587.66399999999999"/>
    <n v="749.32204799999988"/>
    <n v="624.43503999999996"/>
    <n v="179.23503999999997"/>
    <n v="161.65804799999989"/>
    <n v="0.2870355257449998"/>
  </r>
  <r>
    <s v="ORD-2023-867285"/>
    <s v="867285"/>
    <x v="0"/>
    <d v="2023-01-10T00:00:00"/>
    <n v="3"/>
    <d v="2023-04-12T00:00:00"/>
    <s v="Apr-2023"/>
    <x v="2"/>
    <s v="Q2-2023"/>
    <n v="5"/>
    <n v="5"/>
    <n v="1"/>
    <d v="2023-04-17T00:00:00"/>
    <d v="2023-04-17T00:00:00"/>
    <x v="2"/>
    <x v="5"/>
    <s v="Lyon"/>
    <s v="Enterprise"/>
    <x v="0"/>
    <x v="12"/>
    <x v="3"/>
    <s v="MON-3043"/>
    <n v="1087.81"/>
    <n v="1196.5910000000001"/>
    <n v="2323.87"/>
    <s v="High"/>
    <n v="9.4E-2"/>
    <n v="9.4E-2"/>
    <s v=""/>
    <n v="13"/>
    <n v="15.6"/>
    <n v="14141.529999999999"/>
    <n v="1549460.0077899997"/>
    <n v="1287195.0863900001"/>
    <n v="0.83073785700731373"/>
    <s v="B"/>
    <n v="18666.819600000003"/>
    <n v="32844.649031999994"/>
    <n v="27370.540859999997"/>
    <n v="13229.010859999999"/>
    <n v="14177.829431999991"/>
    <n v="0.48333026839572651"/>
  </r>
  <r>
    <s v="ORD-2025-419532"/>
    <s v="419532"/>
    <x v="2"/>
    <d v="2023-01-29T00:00:00"/>
    <n v="30"/>
    <d v="2025-08-06T00:00:00"/>
    <s v="Aug-2025"/>
    <x v="8"/>
    <s v="Q3-2025"/>
    <n v="17"/>
    <n v="17"/>
    <n v="0"/>
    <d v="2025-08-23T00:00:00"/>
    <d v="2025-08-23T00:00:00"/>
    <x v="3"/>
    <x v="9"/>
    <s v="Brasília"/>
    <s v="Consumer"/>
    <x v="2"/>
    <x v="3"/>
    <x v="3"/>
    <s v="MON-4317"/>
    <n v="86.64"/>
    <n v="95.304000000000002"/>
    <n v="213.06"/>
    <s v="Low"/>
    <n v="0.21199999999999999"/>
    <n v="0.1"/>
    <s v=""/>
    <n v="11"/>
    <n v="13.2"/>
    <n v="953.04"/>
    <n v="1549460.0077899997"/>
    <n v="1289041.89047"/>
    <n v="0.83192975874773623"/>
    <s v="B"/>
    <n v="1258.0128"/>
    <n v="2531.1527999999998"/>
    <n v="1846.8040799999999"/>
    <n v="893.76407999999992"/>
    <n v="1273.1399999999999"/>
    <n v="0.48395175735154322"/>
  </r>
  <r>
    <s v="ORD-2025-586799"/>
    <s v="586799"/>
    <x v="2"/>
    <d v="2023-01-02T00:00:00"/>
    <n v="30"/>
    <d v="2025-07-14T00:00:00"/>
    <s v="Jul-2025"/>
    <x v="7"/>
    <s v="Q3-2025"/>
    <n v="21"/>
    <n v="21"/>
    <n v="0"/>
    <d v="2025-08-04T00:00:00"/>
    <d v="2025-08-04T00:00:00"/>
    <x v="3"/>
    <x v="10"/>
    <s v="Montreal"/>
    <s v="Consumer"/>
    <x v="4"/>
    <x v="8"/>
    <x v="3"/>
    <s v="MON-7868"/>
    <n v="90.3"/>
    <n v="99.33"/>
    <n v="131.76"/>
    <s v="Low"/>
    <n v="0.10199999999999999"/>
    <n v="0.1"/>
    <s v=""/>
    <n v="15"/>
    <n v="18"/>
    <n v="1354.5"/>
    <n v="1549460.0077899997"/>
    <n v="1290816.6976699999"/>
    <n v="0.83307519470031133"/>
    <s v="B"/>
    <n v="1787.94"/>
    <n v="2134.5119999999997"/>
    <n v="1774.8072"/>
    <n v="420.30719999999997"/>
    <n v="346.57199999999966"/>
    <n v="0.23681851189244668"/>
  </r>
  <r>
    <s v="ORD-2025-262491"/>
    <s v="262491"/>
    <x v="2"/>
    <d v="2023-01-29T00:00:00"/>
    <n v="30"/>
    <d v="2025-08-01T00:00:00"/>
    <s v="Aug-2025"/>
    <x v="8"/>
    <s v="Q3-2025"/>
    <n v="15"/>
    <n v="15"/>
    <n v="0"/>
    <d v="2025-08-16T00:00:00"/>
    <d v="2025-08-16T00:00:00"/>
    <x v="1"/>
    <x v="1"/>
    <s v="Delhi"/>
    <s v="Enterprise"/>
    <x v="0"/>
    <x v="7"/>
    <x v="3"/>
    <s v="MON-1822"/>
    <n v="24.44"/>
    <n v="26.884000000000004"/>
    <n v="28.69"/>
    <s v="Low"/>
    <n v="0.14599999999999999"/>
    <n v="0.1"/>
    <s v=""/>
    <n v="6"/>
    <n v="7.1999999999999993"/>
    <n v="146.64000000000001"/>
    <n v="1549460.0077899997"/>
    <n v="1290963.70523"/>
    <n v="0.83317007134072862"/>
    <s v="B"/>
    <n v="193.56480000000002"/>
    <n v="185.91119999999998"/>
    <n v="147.00756000000001"/>
    <n v="0.36755999999999744"/>
    <n v="-7.6536000000000399"/>
    <n v="2.5002795774584476E-3"/>
  </r>
  <r>
    <s v="ORD-2025-248586"/>
    <s v="248586"/>
    <x v="2"/>
    <d v="2023-03-03T00:00:00"/>
    <n v="30"/>
    <d v="2025-09-12T00:00:00"/>
    <s v="Sept-2025"/>
    <x v="11"/>
    <s v="Q3-2025"/>
    <n v="18"/>
    <n v="18"/>
    <n v="0"/>
    <d v="2025-09-30T00:00:00"/>
    <d v="2025-09-30T00:00:00"/>
    <x v="1"/>
    <x v="3"/>
    <s v="Nagoya"/>
    <s v="Non-Profit"/>
    <x v="3"/>
    <x v="5"/>
    <x v="3"/>
    <s v="MON-2998"/>
    <n v="1212.99"/>
    <n v="1334.2890000000002"/>
    <n v="1653.64"/>
    <s v="High"/>
    <n v="0.107"/>
    <n v="0.1"/>
    <s v=""/>
    <n v="8"/>
    <n v="9.6"/>
    <n v="9703.92"/>
    <n v="1549460.0077899997"/>
    <n v="1302777.3093900001"/>
    <n v="0.84079440762601931"/>
    <s v="B"/>
    <n v="12809.174400000002"/>
    <n v="14287.4496"/>
    <n v="11813.604160000001"/>
    <n v="2109.6841600000007"/>
    <n v="1478.2751999999982"/>
    <n v="0.17858090819931455"/>
  </r>
  <r>
    <s v="ORD-2025-677880"/>
    <s v="677880"/>
    <x v="2"/>
    <d v="2023-01-22T00:00:00"/>
    <n v="30"/>
    <d v="2025-08-21T00:00:00"/>
    <s v="Aug-2025"/>
    <x v="8"/>
    <s v="Q3-2025"/>
    <n v="24"/>
    <n v="24"/>
    <n v="0"/>
    <d v="2025-09-14T00:00:00"/>
    <d v="2025-09-14T00:00:00"/>
    <x v="2"/>
    <x v="7"/>
    <s v="Berlin"/>
    <s v="Non-Profit"/>
    <x v="4"/>
    <x v="3"/>
    <x v="3"/>
    <s v="MON-9662"/>
    <n v="1397.67"/>
    <n v="1537.4370000000001"/>
    <n v="3131.37"/>
    <s v="High"/>
    <n v="0.10299999999999999"/>
    <n v="0.1"/>
    <s v=""/>
    <n v="20"/>
    <n v="24"/>
    <n v="27953.4"/>
    <n v="1549460.0077899997"/>
    <n v="1358954.0871900001"/>
    <n v="0.87705012091811341"/>
    <s v="B"/>
    <n v="36898.488000000005"/>
    <n v="67637.592000000004"/>
    <n v="56176.777799999996"/>
    <n v="28223.377799999995"/>
    <n v="30739.103999999999"/>
    <n v="0.50240293062874808"/>
  </r>
  <r>
    <s v="ORD-2025-823055"/>
    <s v="823055"/>
    <x v="2"/>
    <d v="2023-01-29T00:00:00"/>
    <n v="31"/>
    <d v="2025-09-08T00:00:00"/>
    <s v="Sept-2025"/>
    <x v="11"/>
    <s v="Q3-2025"/>
    <n v="27"/>
    <n v="27"/>
    <n v="0"/>
    <d v="2025-10-05T00:00:00"/>
    <d v="2025-10-05T00:00:00"/>
    <x v="3"/>
    <x v="9"/>
    <s v="Rio de Janeiro"/>
    <s v="Education"/>
    <x v="4"/>
    <x v="9"/>
    <x v="3"/>
    <s v="MON-9274"/>
    <n v="660.78"/>
    <n v="726.85800000000006"/>
    <n v="1630.39"/>
    <s v="Medium"/>
    <n v="0.218"/>
    <n v="0.1"/>
    <s v=""/>
    <n v="13"/>
    <n v="15.6"/>
    <n v="8590.14"/>
    <n v="1549460.0077899997"/>
    <n v="1375528.6319300001"/>
    <n v="0.88774710222558217"/>
    <s v="B"/>
    <n v="11338.9848"/>
    <n v="22890.675600000002"/>
    <n v="16574.544740000001"/>
    <n v="7984.4047400000018"/>
    <n v="11551.690800000002"/>
    <n v="0.48172694123724097"/>
  </r>
  <r>
    <s v="ORD-2023-172095"/>
    <s v="172095"/>
    <x v="0"/>
    <d v="2023-01-13T00:00:00"/>
    <n v="4"/>
    <d v="2023-05-24T00:00:00"/>
    <s v="May-2023"/>
    <x v="5"/>
    <s v="Q2-2023"/>
    <n v="28"/>
    <n v="28"/>
    <n v="0"/>
    <d v="2023-06-21T00:00:00"/>
    <d v="2023-06-21T00:00:00"/>
    <x v="3"/>
    <x v="11"/>
    <s v="Austin"/>
    <s v="Small Business"/>
    <x v="3"/>
    <x v="2"/>
    <x v="3"/>
    <s v="MON-6882"/>
    <n v="813.97"/>
    <n v="895.36700000000008"/>
    <n v="1568.83"/>
    <s v="Medium"/>
    <n v="1.7000000000000001E-2"/>
    <n v="1.7000000000000001E-2"/>
    <s v=""/>
    <n v="15"/>
    <n v="18"/>
    <n v="12209.550000000001"/>
    <n v="1549460.0077899997"/>
    <n v="1398661.0302800001"/>
    <n v="0.90267643130390651"/>
    <s v="B"/>
    <n v="16116.606000000002"/>
    <n v="27758.878019999996"/>
    <n v="23132.398349999996"/>
    <n v="10922.848349999995"/>
    <n v="11642.272019999995"/>
    <n v="0.4721883215364911"/>
  </r>
  <r>
    <s v="ORD-2023-427304"/>
    <s v="427304"/>
    <x v="0"/>
    <d v="2023-01-12T00:00:00"/>
    <n v="4"/>
    <d v="2023-06-09T00:00:00"/>
    <s v="Jun-2023"/>
    <x v="6"/>
    <s v="Q2-2023"/>
    <n v="10"/>
    <n v="10"/>
    <n v="0"/>
    <d v="2023-06-19T00:00:00"/>
    <d v="2023-06-19T00:00:00"/>
    <x v="1"/>
    <x v="4"/>
    <s v="Beijing"/>
    <s v="Enterprise"/>
    <x v="1"/>
    <x v="5"/>
    <x v="3"/>
    <s v="MON-9194"/>
    <n v="339.61"/>
    <n v="373.57100000000003"/>
    <n v="621.02"/>
    <s v="Low"/>
    <n v="7.0999999999999994E-2"/>
    <n v="7.0999999999999994E-2"/>
    <s v=""/>
    <n v="10"/>
    <n v="12"/>
    <n v="3396.1000000000004"/>
    <n v="1549460.0077899997"/>
    <n v="1404430.30608"/>
    <n v="0.90639984189275324"/>
    <s v="B"/>
    <n v="4482.8520000000008"/>
    <n v="6923.1309600000004"/>
    <n v="5769.2758000000003"/>
    <n v="2373.1758"/>
    <n v="2440.2789599999996"/>
    <n v="0.41134726129750981"/>
  </r>
  <r>
    <s v="ORD-2023-825836"/>
    <s v="825836"/>
    <x v="0"/>
    <d v="2023-01-29T00:00:00"/>
    <n v="5"/>
    <d v="2023-07-19T00:00:00"/>
    <s v="Jul-2023"/>
    <x v="7"/>
    <s v="Q3-2023"/>
    <n v="12"/>
    <n v="12"/>
    <n v="0"/>
    <d v="2023-07-31T00:00:00"/>
    <d v="2023-07-31T00:00:00"/>
    <x v="3"/>
    <x v="9"/>
    <s v="Rio de Janeiro"/>
    <s v="Corporate"/>
    <x v="1"/>
    <x v="9"/>
    <x v="3"/>
    <s v="MON-7869"/>
    <n v="1334.64"/>
    <n v="1468.1040000000003"/>
    <n v="2273.42"/>
    <s v="High"/>
    <n v="0.11799999999999999"/>
    <n v="0.1"/>
    <s v=""/>
    <n v="14"/>
    <n v="16.8"/>
    <n v="18684.960000000003"/>
    <n v="1549460.0077899997"/>
    <n v="1432502.49624"/>
    <n v="0.92451724409666014"/>
    <s v="B"/>
    <n v="24664.147200000007"/>
    <n v="34374.110400000005"/>
    <n v="28072.190160000002"/>
    <n v="9387.2301599999992"/>
    <n v="9709.9631999999983"/>
    <n v="0.33439607335575267"/>
  </r>
  <r>
    <s v="ORD-2023-602648"/>
    <s v="602648"/>
    <x v="0"/>
    <d v="2023-01-13T00:00:00"/>
    <n v="5"/>
    <d v="2023-06-20T00:00:00"/>
    <s v="Jun-2023"/>
    <x v="6"/>
    <s v="Q2-2023"/>
    <n v="18"/>
    <n v="18"/>
    <n v="0"/>
    <d v="2023-07-08T00:00:00"/>
    <d v="2023-07-08T00:00:00"/>
    <x v="3"/>
    <x v="11"/>
    <s v="Austin"/>
    <s v="Non-Profit"/>
    <x v="0"/>
    <x v="5"/>
    <x v="3"/>
    <s v="MON-4326"/>
    <n v="337"/>
    <n v="370.70000000000005"/>
    <n v="511.03"/>
    <s v="Low"/>
    <n v="0.108"/>
    <n v="0.1"/>
    <s v=""/>
    <n v="7"/>
    <n v="8.4"/>
    <n v="2359"/>
    <n v="1549460.0077899997"/>
    <n v="1435693.3675599999"/>
    <n v="0.92657658819328581"/>
    <s v="B"/>
    <n v="3113.8800000000006"/>
    <n v="3863.3868000000002"/>
    <n v="3190.8713200000002"/>
    <n v="831.8713200000002"/>
    <n v="749.50679999999966"/>
    <n v="0.26070349963219458"/>
  </r>
  <r>
    <s v="ORD-2023-715175"/>
    <s v="715175"/>
    <x v="0"/>
    <d v="2023-01-13T00:00:00"/>
    <n v="5"/>
    <d v="2023-06-15T00:00:00"/>
    <s v="Jun-2023"/>
    <x v="6"/>
    <s v="Q2-2023"/>
    <n v="8"/>
    <n v="8"/>
    <n v="0"/>
    <d v="2023-06-23T00:00:00"/>
    <d v="2023-06-23T00:00:00"/>
    <x v="3"/>
    <x v="11"/>
    <s v="San Francisco"/>
    <s v="Consumer"/>
    <x v="2"/>
    <x v="7"/>
    <x v="3"/>
    <s v="MON-5424"/>
    <n v="1097.0899999999999"/>
    <n v="1206.799"/>
    <n v="2182.31"/>
    <s v="High"/>
    <n v="0.112"/>
    <n v="0.1"/>
    <s v=""/>
    <n v="9"/>
    <n v="10.799999999999999"/>
    <n v="9873.81"/>
    <n v="1549460.0077899997"/>
    <n v="1453134.3890799999"/>
    <n v="0.93783278159764227"/>
    <s v="B"/>
    <n v="13033.429199999999"/>
    <n v="21212.053199999998"/>
    <n v="17441.021520000002"/>
    <n v="7567.2115200000026"/>
    <n v="8178.6239999999998"/>
    <n v="0.43387432962699546"/>
  </r>
  <r>
    <s v="ORD-2023-825084"/>
    <s v="825084"/>
    <x v="0"/>
    <d v="2023-01-07T00:00:00"/>
    <n v="6"/>
    <d v="2023-07-14T00:00:00"/>
    <s v="Jul-2023"/>
    <x v="7"/>
    <s v="Q3-2023"/>
    <n v="7"/>
    <n v="7"/>
    <n v="1"/>
    <d v="2023-07-21T00:00:00"/>
    <d v="2023-07-21T00:00:00"/>
    <x v="0"/>
    <x v="6"/>
    <s v="Durban"/>
    <s v="Enterprise"/>
    <x v="3"/>
    <x v="3"/>
    <x v="3"/>
    <s v="MON-1018"/>
    <n v="620.74"/>
    <n v="682.81400000000008"/>
    <n v="1330.07"/>
    <s v="Medium"/>
    <n v="0.29899999999999999"/>
    <n v="0.1"/>
    <s v=""/>
    <n v="28"/>
    <n v="33.6"/>
    <n v="17380.72"/>
    <n v="1549460.0077899997"/>
    <n v="1479241.0030399999"/>
    <n v="0.9546816281820959"/>
    <s v="C"/>
    <n v="22942.550400000004"/>
    <n v="40221.316800000001"/>
    <n v="26106.613960000002"/>
    <n v="8725.8939600000012"/>
    <n v="17278.766399999997"/>
    <n v="0.33424073965967516"/>
  </r>
  <r>
    <s v="ORD-2023-369160"/>
    <s v="369160"/>
    <x v="0"/>
    <d v="2023-01-02T00:00:00"/>
    <n v="6"/>
    <d v="2023-07-24T00:00:00"/>
    <s v="Jul-2023"/>
    <x v="7"/>
    <s v="Q3-2023"/>
    <n v="20"/>
    <n v="20"/>
    <n v="0"/>
    <d v="2023-08-13T00:00:00"/>
    <d v="2023-08-13T00:00:00"/>
    <x v="3"/>
    <x v="10"/>
    <s v="Montreal"/>
    <s v="Education"/>
    <x v="0"/>
    <x v="9"/>
    <x v="3"/>
    <s v="MON-3307"/>
    <n v="1082.3800000000001"/>
    <n v="1190.6180000000002"/>
    <n v="1766.55"/>
    <s v="High"/>
    <n v="0.16400000000000001"/>
    <n v="0.1"/>
    <s v=""/>
    <n v="20"/>
    <n v="24"/>
    <n v="21647.600000000002"/>
    <n v="1549460.0077899997"/>
    <n v="1508777.7190399999"/>
    <n v="0.97374421505203923"/>
    <s v="C"/>
    <n v="28574.832000000002"/>
    <n v="38157.479999999996"/>
    <n v="29536.716"/>
    <n v="7889.1159999999982"/>
    <n v="9582.6479999999938"/>
    <n v="0.26709523157550752"/>
  </r>
  <r>
    <s v="ORD-2023-548934"/>
    <s v="548934"/>
    <x v="0"/>
    <d v="2023-01-12T00:00:00"/>
    <n v="6"/>
    <d v="2023-08-03T00:00:00"/>
    <s v="Aug-2023"/>
    <x v="8"/>
    <s v="Q3-2023"/>
    <n v="27"/>
    <n v="27"/>
    <n v="0"/>
    <d v="2023-08-30T00:00:00"/>
    <d v="2023-08-30T00:00:00"/>
    <x v="1"/>
    <x v="4"/>
    <s v="Shanghai"/>
    <s v="Consumer"/>
    <x v="2"/>
    <x v="14"/>
    <x v="3"/>
    <s v="MON-3773"/>
    <n v="226.04"/>
    <n v="248.64400000000001"/>
    <n v="545.72"/>
    <s v="Low"/>
    <n v="0.151"/>
    <n v="0.1"/>
    <s v=""/>
    <n v="11"/>
    <n v="13.2"/>
    <n v="2486.44"/>
    <n v="1549460.0077899997"/>
    <n v="1513874.1981199998"/>
    <n v="0.9770334119686277"/>
    <s v="C"/>
    <n v="3282.1007999999997"/>
    <n v="6483.1535999999996"/>
    <n v="5096.4790800000001"/>
    <n v="2610.03908"/>
    <n v="3201.0527999999999"/>
    <n v="0.51212592831834014"/>
  </r>
  <r>
    <s v="ORD-2023-197661"/>
    <s v="197661"/>
    <x v="0"/>
    <d v="2023-01-19T00:00:00"/>
    <n v="6"/>
    <d v="2023-08-08T00:00:00"/>
    <s v="Aug-2023"/>
    <x v="8"/>
    <s v="Q3-2023"/>
    <n v="14"/>
    <n v="14"/>
    <n v="0"/>
    <d v="2023-08-22T00:00:00"/>
    <d v="2023-08-22T00:00:00"/>
    <x v="2"/>
    <x v="2"/>
    <s v="Birmingham"/>
    <s v="Non-Profit"/>
    <x v="0"/>
    <x v="14"/>
    <x v="3"/>
    <s v="MON-7511"/>
    <n v="446.69"/>
    <n v="491.35900000000004"/>
    <n v="967.25"/>
    <s v="Medium"/>
    <n v="9.4E-2"/>
    <n v="9.4E-2"/>
    <s v=""/>
    <n v="10"/>
    <n v="12"/>
    <n v="4466.8999999999996"/>
    <n v="1549460.0077899997"/>
    <n v="1522637.4831199998"/>
    <n v="0.98268911457207786"/>
    <s v="C"/>
    <n v="5896.3080000000009"/>
    <n v="10515.942000000001"/>
    <n v="8763.2849999999999"/>
    <n v="4296.3850000000002"/>
    <n v="4619.634"/>
    <n v="0.49027105702941309"/>
  </r>
  <r>
    <s v="ORD-2023-334213"/>
    <s v="334213"/>
    <x v="0"/>
    <d v="2023-01-15T00:00:00"/>
    <n v="7"/>
    <d v="2023-08-19T00:00:00"/>
    <s v="Aug-2023"/>
    <x v="8"/>
    <s v="Q3-2023"/>
    <n v="4"/>
    <n v="4"/>
    <n v="1"/>
    <d v="2023-08-23T00:00:00"/>
    <d v="2023-08-23T00:00:00"/>
    <x v="0"/>
    <x v="0"/>
    <s v="Abuja"/>
    <s v="Small Business"/>
    <x v="4"/>
    <x v="10"/>
    <x v="3"/>
    <s v="MON-5517"/>
    <n v="790.63"/>
    <n v="869.6930000000001"/>
    <n v="1382.31"/>
    <s v="Medium"/>
    <n v="0.10100000000000001"/>
    <n v="0.1"/>
    <s v=""/>
    <n v="7"/>
    <n v="8.4"/>
    <n v="5534.41"/>
    <n v="1549460.0077899997"/>
    <n v="1531336.3599499997"/>
    <n v="0.98830324903586908"/>
    <s v="C"/>
    <n v="7305.4212000000007"/>
    <n v="10450.2636"/>
    <n v="8698.8768300000011"/>
    <n v="3164.4668300000012"/>
    <n v="3144.8423999999995"/>
    <n v="0.36377878338116448"/>
  </r>
  <r>
    <s v="ORD-2023-749324"/>
    <s v="749324"/>
    <x v="0"/>
    <d v="2023-01-07T00:00:00"/>
    <n v="7"/>
    <d v="2023-08-19T00:00:00"/>
    <s v="Aug-2023"/>
    <x v="8"/>
    <s v="Q3-2023"/>
    <n v="19"/>
    <n v="19"/>
    <n v="0"/>
    <d v="2023-09-07T00:00:00"/>
    <d v="2023-09-07T00:00:00"/>
    <x v="0"/>
    <x v="6"/>
    <s v="Johannesburg"/>
    <s v="Enterprise"/>
    <x v="1"/>
    <x v="0"/>
    <x v="3"/>
    <s v="MON-2296"/>
    <n v="494.61"/>
    <n v="544.07100000000003"/>
    <n v="605.23"/>
    <s v="Low"/>
    <n v="0.20399999999999999"/>
    <n v="0.1"/>
    <s v=""/>
    <n v="18"/>
    <n v="21.599999999999998"/>
    <n v="8902.98"/>
    <n v="1549460.0077899997"/>
    <n v="1540008.0953899997"/>
    <n v="0.9938998668229706"/>
    <s v="C"/>
    <n v="11751.9336"/>
    <n v="11765.671199999999"/>
    <n v="8671.7354400000004"/>
    <n v="-231.24455999999918"/>
    <n v="13.737599999998565"/>
    <n v="-2.6666468505639647E-2"/>
  </r>
  <r>
    <s v="ORD-2023-304451"/>
    <s v="304451"/>
    <x v="0"/>
    <d v="2023-01-29T00:00:00"/>
    <n v="8"/>
    <d v="2023-10-07T00:00:00"/>
    <s v="Oct-2023"/>
    <x v="9"/>
    <s v="Q4-2023"/>
    <n v="16"/>
    <n v="16"/>
    <n v="0"/>
    <d v="2023-10-23T00:00:00"/>
    <d v="2023-10-23T00:00:00"/>
    <x v="1"/>
    <x v="1"/>
    <s v="Hyderabad"/>
    <s v="Consumer"/>
    <x v="1"/>
    <x v="2"/>
    <x v="3"/>
    <s v="MON-7602"/>
    <n v="906.81"/>
    <n v="997.49099999999999"/>
    <n v="1395.56"/>
    <s v="Medium"/>
    <n v="0.185"/>
    <n v="0.1"/>
    <s v=""/>
    <n v="6"/>
    <n v="7.1999999999999993"/>
    <n v="5440.86"/>
    <n v="1549460.0077899997"/>
    <n v="1546832.3837899996"/>
    <n v="0.99830416791218257"/>
    <s v="C"/>
    <n v="7181.935199999999"/>
    <n v="9043.228799999999"/>
    <n v="6824.2884000000004"/>
    <n v="1383.4284000000007"/>
    <n v="1861.2936"/>
    <n v="0.20272126834498974"/>
  </r>
  <r>
    <s v="ORD-2023-659070"/>
    <s v="659070"/>
    <x v="0"/>
    <d v="2023-01-19T00:00:00"/>
    <n v="9"/>
    <d v="2023-10-21T00:00:00"/>
    <s v="Oct-2023"/>
    <x v="9"/>
    <s v="Q4-2023"/>
    <n v="0"/>
    <n v="0"/>
    <n v="1"/>
    <d v="2023-10-21T00:00:00"/>
    <d v="2023-10-21T00:00:00"/>
    <x v="2"/>
    <x v="2"/>
    <s v="Manchester"/>
    <s v="Enterprise"/>
    <x v="2"/>
    <x v="10"/>
    <x v="3"/>
    <s v="MON-8697"/>
    <n v="384.19"/>
    <n v="422.60900000000004"/>
    <n v="278.35000000000002"/>
    <s v="Low"/>
    <n v="5.6000000000000001E-2"/>
    <n v="5.6000000000000001E-2"/>
    <s v=""/>
    <n v="10"/>
    <n v="12"/>
    <n v="3841.9"/>
    <n v="1549460.0077899997"/>
    <n v="1549460.0077899997"/>
    <n v="1"/>
    <s v="C"/>
    <n v="5071.3080000000009"/>
    <n v="3153.1487999999999"/>
    <n v="2627.6239999999998"/>
    <n v="-1214.2760000000003"/>
    <n v="-1918.159200000001"/>
    <n v="-0.46211938998882657"/>
  </r>
  <r>
    <s v="ORD-2023-586275"/>
    <s v="586275"/>
    <x v="0"/>
    <d v="2023-01-20T00:00:00"/>
    <n v="0"/>
    <d v="2023-01-20T00:00:00"/>
    <s v="Jan-2023"/>
    <x v="1"/>
    <s v="Q1-2023"/>
    <n v="14"/>
    <n v="14"/>
    <n v="0"/>
    <d v="2023-02-03T00:00:00"/>
    <d v="2023-02-03T00:00:00"/>
    <x v="0"/>
    <x v="8"/>
    <s v="Kisumu"/>
    <s v="Corporate"/>
    <x v="1"/>
    <x v="6"/>
    <x v="4"/>
    <s v="NET-6036"/>
    <n v="884.36"/>
    <n v="972.79600000000005"/>
    <n v="1545.34"/>
    <s v="Medium"/>
    <n v="0.24299999999999999"/>
    <n v="0.1"/>
    <s v=""/>
    <n v="41"/>
    <n v="49.199999999999996"/>
    <n v="36258.76"/>
    <n v="1773719.1704599999"/>
    <n v="47962.717579999997"/>
    <n v="2.7040761795206425E-2"/>
    <s v="A"/>
    <n v="47861.563199999997"/>
    <n v="68427.655199999994"/>
    <n v="47962.717579999997"/>
    <n v="11703.957579999995"/>
    <n v="20566.091999999997"/>
    <n v="0.24402198562827965"/>
  </r>
  <r>
    <s v="ORD-2023-521818"/>
    <s v="521818"/>
    <x v="0"/>
    <d v="2023-01-13T00:00:00"/>
    <n v="0"/>
    <d v="2023-01-22T00:00:00"/>
    <s v="Jan-2023"/>
    <x v="1"/>
    <s v="Q1-2023"/>
    <n v="8"/>
    <n v="8"/>
    <n v="0"/>
    <d v="2023-01-30T00:00:00"/>
    <d v="2023-01-30T00:00:00"/>
    <x v="3"/>
    <x v="11"/>
    <s v="San Francisco"/>
    <s v="Small Business"/>
    <x v="4"/>
    <x v="3"/>
    <x v="4"/>
    <s v="NET-4155"/>
    <n v="413.52"/>
    <n v="454.87200000000001"/>
    <n v="1004.34"/>
    <s v="Medium"/>
    <n v="0.111"/>
    <n v="0.1"/>
    <s v=""/>
    <n v="18"/>
    <n v="21.599999999999998"/>
    <n v="7443.36"/>
    <n v="1773719.1704599999"/>
    <n v="64034.166259999998"/>
    <n v="3.6101637354121426E-2"/>
    <s v="A"/>
    <n v="9825.2351999999992"/>
    <n v="19524.369599999998"/>
    <n v="16071.44868"/>
    <n v="8628.0886800000007"/>
    <n v="9699.134399999999"/>
    <n v="0.53685817948304593"/>
  </r>
  <r>
    <s v="ORD-2023-139236"/>
    <s v="139236"/>
    <x v="0"/>
    <d v="2023-03-03T00:00:00"/>
    <n v="0"/>
    <d v="2023-03-03T00:00:00"/>
    <s v="Mar-2023"/>
    <x v="4"/>
    <s v="Q1-2023"/>
    <n v="17"/>
    <n v="17"/>
    <n v="0"/>
    <d v="2023-03-20T00:00:00"/>
    <d v="2023-03-20T00:00:00"/>
    <x v="1"/>
    <x v="3"/>
    <s v="Nagoya"/>
    <s v="Small Business"/>
    <x v="4"/>
    <x v="0"/>
    <x v="4"/>
    <s v="NET-7349"/>
    <n v="1171.17"/>
    <n v="1288.2870000000003"/>
    <n v="2030.64"/>
    <s v="High"/>
    <n v="0.157"/>
    <n v="0.1"/>
    <s v=""/>
    <n v="11"/>
    <n v="13.2"/>
    <n v="12882.87"/>
    <n v="1773719.1704599999"/>
    <n v="82864.290979999991"/>
    <n v="4.6717818897176265E-2"/>
    <s v="A"/>
    <n v="17005.388400000003"/>
    <n v="24124.003199999999"/>
    <n v="18830.12472"/>
    <n v="5947.254719999999"/>
    <n v="7118.6147999999957"/>
    <n v="0.31583724528830415"/>
  </r>
  <r>
    <s v="ORD-2023-811823"/>
    <s v="811823"/>
    <x v="0"/>
    <d v="2023-01-22T00:00:00"/>
    <n v="0"/>
    <d v="2023-01-26T00:00:00"/>
    <s v="Jan-2023"/>
    <x v="1"/>
    <s v="Q1-2023"/>
    <n v="20"/>
    <n v="20"/>
    <n v="0"/>
    <d v="2023-02-15T00:00:00"/>
    <d v="2023-02-15T00:00:00"/>
    <x v="2"/>
    <x v="7"/>
    <s v="Berlin"/>
    <s v="Small Business"/>
    <x v="4"/>
    <x v="7"/>
    <x v="4"/>
    <s v="NET-8787"/>
    <n v="492.62"/>
    <n v="541.88200000000006"/>
    <n v="366.7"/>
    <s v="Low"/>
    <n v="8.8999999999999996E-2"/>
    <n v="8.8999999999999996E-2"/>
    <s v=""/>
    <n v="10"/>
    <n v="12"/>
    <n v="4926.2"/>
    <n v="1773719.1704599999"/>
    <n v="86204.927979999993"/>
    <n v="4.8601226967425422E-2"/>
    <s v="A"/>
    <n v="6502.5840000000007"/>
    <n v="4008.7644"/>
    <n v="3340.6370000000002"/>
    <n v="-1585.5629999999996"/>
    <n v="-2493.8196000000007"/>
    <n v="-0.47462894052840809"/>
  </r>
  <r>
    <s v="ORD-2023-575584"/>
    <s v="575584"/>
    <x v="0"/>
    <d v="2023-01-22T00:00:00"/>
    <n v="0"/>
    <d v="2023-01-30T00:00:00"/>
    <s v="Jan-2023"/>
    <x v="1"/>
    <s v="Q1-2023"/>
    <n v="22"/>
    <n v="22"/>
    <n v="0"/>
    <d v="2023-02-21T00:00:00"/>
    <d v="2023-02-21T00:00:00"/>
    <x v="2"/>
    <x v="7"/>
    <s v="Munich"/>
    <s v="Small Business"/>
    <x v="3"/>
    <x v="2"/>
    <x v="4"/>
    <s v="NET-3460"/>
    <n v="1142.8800000000001"/>
    <n v="1257.1680000000001"/>
    <n v="1465.29"/>
    <s v="Medium"/>
    <n v="0.186"/>
    <n v="0.1"/>
    <s v=""/>
    <n v="7"/>
    <n v="8.4"/>
    <n v="8000.1600000000008"/>
    <n v="1773719.1704599999"/>
    <n v="94554.150399999999"/>
    <n v="5.3308410922501409E-2"/>
    <s v="A"/>
    <n v="10560.211200000002"/>
    <n v="11077.5924"/>
    <n v="8349.2224200000001"/>
    <n v="349.06241999999929"/>
    <n v="517.38119999999799"/>
    <n v="4.1807775915017401E-2"/>
  </r>
  <r>
    <s v="ORD-2023-373538"/>
    <s v="373538"/>
    <x v="0"/>
    <d v="2023-01-20T00:00:00"/>
    <n v="1"/>
    <d v="2023-02-28T00:00:00"/>
    <s v="Feb-2023"/>
    <x v="0"/>
    <s v="Q1-2023"/>
    <n v="25"/>
    <n v="25"/>
    <n v="0"/>
    <d v="2023-03-25T00:00:00"/>
    <d v="2023-03-25T00:00:00"/>
    <x v="0"/>
    <x v="8"/>
    <s v="Nairobi"/>
    <s v="Corporate"/>
    <x v="1"/>
    <x v="13"/>
    <x v="4"/>
    <s v="NET-9666"/>
    <n v="1460.76"/>
    <n v="1606.836"/>
    <n v="-30.66"/>
    <s v="Low"/>
    <n v="0.13100000000000001"/>
    <n v="0.1"/>
    <s v=""/>
    <n v="12"/>
    <n v="14.399999999999999"/>
    <n v="17529.12"/>
    <n v="1773719.1704599999"/>
    <n v="94234.427920000002"/>
    <n v="5.3128155510413215E-2"/>
    <s v="A"/>
    <n v="23138.438399999999"/>
    <n v="-397.35359999999997"/>
    <n v="-319.72248000000002"/>
    <n v="-17848.842479999999"/>
    <n v="-23535.791999999998"/>
    <n v="55.826047890032626"/>
  </r>
  <r>
    <s v="ORD-2023-156396"/>
    <s v="156396"/>
    <x v="0"/>
    <d v="2023-01-20T00:00:00"/>
    <n v="1"/>
    <d v="2023-02-21T00:00:00"/>
    <s v="Feb-2023"/>
    <x v="0"/>
    <s v="Q1-2023"/>
    <n v="19"/>
    <n v="19"/>
    <n v="0"/>
    <d v="2023-03-12T00:00:00"/>
    <d v="2023-03-12T00:00:00"/>
    <x v="0"/>
    <x v="8"/>
    <s v="Nakuru"/>
    <s v="Corporate"/>
    <x v="4"/>
    <x v="5"/>
    <x v="4"/>
    <s v="NET-2499"/>
    <n v="352.65"/>
    <n v="387.91500000000002"/>
    <n v="485.86"/>
    <s v="Low"/>
    <n v="4.1000000000000002E-2"/>
    <n v="4.1000000000000002E-2"/>
    <s v=""/>
    <n v="6"/>
    <n v="7.1999999999999993"/>
    <n v="2115.8999999999996"/>
    <n v="1773719.1704599999"/>
    <n v="97030.066359999997"/>
    <n v="5.4704300419122165E-2"/>
    <s v="A"/>
    <n v="2792.9879999999998"/>
    <n v="3354.7661279999993"/>
    <n v="2795.6384399999997"/>
    <n v="679.73844000000008"/>
    <n v="561.77812799999947"/>
    <n v="0.24314247159943908"/>
  </r>
  <r>
    <s v="ORD-2023-159379"/>
    <s v="159379"/>
    <x v="0"/>
    <d v="2023-01-07T00:00:00"/>
    <n v="1"/>
    <d v="2023-02-08T00:00:00"/>
    <s v="Feb-2023"/>
    <x v="0"/>
    <s v="Q1-2023"/>
    <n v="3"/>
    <n v="3"/>
    <n v="1"/>
    <d v="2023-02-11T00:00:00"/>
    <d v="2023-02-11T00:00:00"/>
    <x v="0"/>
    <x v="6"/>
    <s v="Cape Town"/>
    <s v="Corporate"/>
    <x v="0"/>
    <x v="6"/>
    <x v="4"/>
    <s v="NET-5018"/>
    <n v="1410.05"/>
    <n v="1551.0550000000001"/>
    <n v="2763.95"/>
    <s v="High"/>
    <n v="0.161"/>
    <n v="0.1"/>
    <s v=""/>
    <n v="26"/>
    <n v="31.2"/>
    <n v="36661.299999999996"/>
    <n v="1773719.1704599999"/>
    <n v="157322.87166"/>
    <n v="8.8696606700822633E-2"/>
    <s v="A"/>
    <n v="48392.915999999997"/>
    <n v="77611.716"/>
    <n v="60292.805299999993"/>
    <n v="23631.505299999997"/>
    <n v="29218.800000000003"/>
    <n v="0.39194569206750779"/>
  </r>
  <r>
    <s v="ORD-2023-619493"/>
    <s v="619493"/>
    <x v="0"/>
    <d v="2023-01-13T00:00:00"/>
    <n v="1"/>
    <d v="2023-02-27T00:00:00"/>
    <s v="Feb-2023"/>
    <x v="0"/>
    <s v="Q1-2023"/>
    <n v="-1"/>
    <n v="15"/>
    <n v="0"/>
    <d v="2023-02-26T00:00:00"/>
    <d v="2023-03-14T00:00:00"/>
    <x v="3"/>
    <x v="11"/>
    <s v="San Francisco"/>
    <s v="Non-Profit"/>
    <x v="4"/>
    <x v="4"/>
    <x v="4"/>
    <s v="NET-1282"/>
    <n v="1015.91"/>
    <n v="1117.501"/>
    <n v="2331.48"/>
    <s v="High"/>
    <n v="0.14599999999999999"/>
    <n v="0.1"/>
    <s v=""/>
    <n v="26"/>
    <n v="31.2"/>
    <n v="26413.66"/>
    <n v="1773719.1704599999"/>
    <n v="209091.05358000001"/>
    <n v="0.1178828402276184"/>
    <s v="A"/>
    <n v="34866.031199999998"/>
    <n v="65467.958399999996"/>
    <n v="51768.181920000003"/>
    <n v="25354.521920000003"/>
    <n v="30601.927199999998"/>
    <n v="0.48977037592669626"/>
  </r>
  <r>
    <s v="ORD-2023-888245"/>
    <s v="888245"/>
    <x v="0"/>
    <d v="2023-01-10T00:00:00"/>
    <n v="1"/>
    <d v="2023-02-28T00:00:00"/>
    <s v="Feb-2023"/>
    <x v="0"/>
    <s v="Q1-2023"/>
    <n v="-1"/>
    <n v="15"/>
    <n v="0"/>
    <d v="2023-02-27T00:00:00"/>
    <d v="2023-03-15T00:00:00"/>
    <x v="2"/>
    <x v="5"/>
    <s v="Marseille"/>
    <s v="Corporate"/>
    <x v="1"/>
    <x v="11"/>
    <x v="4"/>
    <s v="NET-5195"/>
    <n v="1299.81"/>
    <n v="1429.7910000000002"/>
    <n v="3149.13"/>
    <s v="High"/>
    <n v="0.10299999999999999"/>
    <n v="0.1"/>
    <s v=""/>
    <n v="14"/>
    <n v="16.8"/>
    <n v="18197.34"/>
    <n v="1773719.1704599999"/>
    <n v="248637.82812000002"/>
    <n v="0.14017880184241216"/>
    <s v="A"/>
    <n v="24020.488800000003"/>
    <n v="47614.845600000008"/>
    <n v="39546.774539999999"/>
    <n v="21349.434539999998"/>
    <n v="23594.356800000005"/>
    <n v="0.53985273864511729"/>
  </r>
  <r>
    <s v="ORD-2023-728177"/>
    <s v="728177"/>
    <x v="0"/>
    <d v="2023-01-29T00:00:00"/>
    <n v="10"/>
    <d v="2023-12-18T00:00:00"/>
    <s v="Dec-2023"/>
    <x v="3"/>
    <s v="Q4-2023"/>
    <n v="27"/>
    <n v="27"/>
    <n v="0"/>
    <d v="2024-01-14T00:00:00"/>
    <d v="2024-01-14T00:00:00"/>
    <x v="1"/>
    <x v="1"/>
    <s v="Mumbai"/>
    <s v="Consumer"/>
    <x v="2"/>
    <x v="0"/>
    <x v="4"/>
    <s v="NET-6014"/>
    <n v="1408.3"/>
    <n v="1549.13"/>
    <n v="2193.13"/>
    <s v="High"/>
    <n v="7.0999999999999994E-2"/>
    <n v="7.0999999999999994E-2"/>
    <s v=""/>
    <n v="7"/>
    <n v="8.4"/>
    <n v="9858.1"/>
    <n v="1773719.1704599999"/>
    <n v="262899.75251000002"/>
    <n v="0.14821949093656075"/>
    <s v="A"/>
    <n v="13012.692000000001"/>
    <n v="17114.309268000001"/>
    <n v="14261.92439"/>
    <n v="4403.8243899999998"/>
    <n v="4101.617268"/>
    <n v="0.30878191957656281"/>
  </r>
  <r>
    <s v="ORD-2024-532184"/>
    <s v="532184"/>
    <x v="1"/>
    <d v="2023-03-03T00:00:00"/>
    <n v="10"/>
    <d v="2024-01-25T00:00:00"/>
    <s v="Jan-2024"/>
    <x v="1"/>
    <s v="Q1-2024"/>
    <n v="14"/>
    <n v="14"/>
    <n v="0"/>
    <d v="2024-02-08T00:00:00"/>
    <d v="2024-02-08T00:00:00"/>
    <x v="1"/>
    <x v="3"/>
    <s v="Osaka"/>
    <s v="Consumer"/>
    <x v="3"/>
    <x v="13"/>
    <x v="4"/>
    <s v="NET-9569"/>
    <n v="937.16"/>
    <n v="1030.876"/>
    <n v="1069.77"/>
    <s v="Medium"/>
    <n v="3.7999999999999999E-2"/>
    <n v="3.7999999999999999E-2"/>
    <s v=""/>
    <n v="9"/>
    <n v="10.799999999999999"/>
    <n v="8434.44"/>
    <n v="1773719.1704599999"/>
    <n v="272161.82117000001"/>
    <n v="0.15344132583255388"/>
    <s v="A"/>
    <n v="11133.460799999999"/>
    <n v="11114.482391999998"/>
    <n v="9262.0686600000008"/>
    <n v="827.62866000000031"/>
    <n v="-18.978408000000854"/>
    <n v="8.9356783066645962E-2"/>
  </r>
  <r>
    <s v="ORD-2024-719055"/>
    <s v="719055"/>
    <x v="1"/>
    <d v="2023-01-13T00:00:00"/>
    <n v="11"/>
    <d v="2024-01-02T00:00:00"/>
    <s v="Jan-2024"/>
    <x v="1"/>
    <s v="Q1-2024"/>
    <n v="-1"/>
    <n v="15"/>
    <n v="0"/>
    <d v="2024-01-01T00:00:00"/>
    <d v="2024-01-17T00:00:00"/>
    <x v="3"/>
    <x v="11"/>
    <s v="Chicago"/>
    <s v="Education"/>
    <x v="3"/>
    <x v="1"/>
    <x v="4"/>
    <s v="NET-4554"/>
    <n v="404.77"/>
    <n v="445.24700000000001"/>
    <n v="433.88"/>
    <s v="Low"/>
    <n v="0.215"/>
    <n v="0.1"/>
    <s v=""/>
    <n v="22"/>
    <n v="26.4"/>
    <n v="8904.9399999999987"/>
    <n v="1773719.1704599999"/>
    <n v="279654.92877"/>
    <n v="0.1576658432898787"/>
    <s v="A"/>
    <n v="11754.5208"/>
    <n v="10308.988799999999"/>
    <n v="7493.1076000000012"/>
    <n v="-1411.8323999999975"/>
    <n v="-1445.5320000000011"/>
    <n v="-0.18841747314558746"/>
  </r>
  <r>
    <s v="ORD-2024-197852"/>
    <s v="197852"/>
    <x v="1"/>
    <d v="2023-03-03T00:00:00"/>
    <n v="11"/>
    <d v="2024-02-29T00:00:00"/>
    <s v="Feb-2024"/>
    <x v="0"/>
    <s v="Q1-2024"/>
    <n v="30"/>
    <n v="30"/>
    <n v="0"/>
    <d v="2024-03-30T00:00:00"/>
    <d v="2024-03-30T00:00:00"/>
    <x v="1"/>
    <x v="3"/>
    <s v="Nagoya"/>
    <s v="Small Business"/>
    <x v="0"/>
    <x v="13"/>
    <x v="4"/>
    <s v="NET-7588"/>
    <n v="231.11"/>
    <n v="254.22100000000003"/>
    <n v="318.17"/>
    <s v="Low"/>
    <n v="0.20100000000000001"/>
    <n v="0.1"/>
    <s v=""/>
    <n v="60"/>
    <n v="72"/>
    <n v="13866.6"/>
    <n v="1773719.1704599999"/>
    <n v="294907.99857"/>
    <n v="0.16626532738749053"/>
    <s v="A"/>
    <n v="18303.912000000004"/>
    <n v="20617.416000000001"/>
    <n v="15253.069799999999"/>
    <n v="1386.4697999999989"/>
    <n v="2313.5039999999972"/>
    <n v="9.0897754889969692E-2"/>
  </r>
  <r>
    <s v="ORD-2024-296582"/>
    <s v="296582"/>
    <x v="1"/>
    <d v="2023-01-07T00:00:00"/>
    <n v="12"/>
    <d v="2024-01-11T00:00:00"/>
    <s v="Jan-2024"/>
    <x v="1"/>
    <s v="Q1-2024"/>
    <n v="22"/>
    <n v="22"/>
    <n v="0"/>
    <d v="2024-02-02T00:00:00"/>
    <d v="2024-02-02T00:00:00"/>
    <x v="0"/>
    <x v="6"/>
    <s v="Durban"/>
    <s v="Consumer"/>
    <x v="4"/>
    <x v="11"/>
    <x v="4"/>
    <s v="NET-1412"/>
    <n v="1206.2"/>
    <n v="1326.8200000000002"/>
    <n v="1759.79"/>
    <s v="High"/>
    <n v="0"/>
    <n v="0"/>
    <s v=""/>
    <n v="6"/>
    <n v="7.1999999999999993"/>
    <n v="7237.2000000000007"/>
    <n v="1773719.1704599999"/>
    <n v="305466.73856999999"/>
    <n v="0.17221820886717915"/>
    <s v="A"/>
    <n v="9553.1039999999994"/>
    <n v="12670.487999999999"/>
    <n v="10558.74"/>
    <n v="3321.5399999999991"/>
    <n v="3117.384"/>
    <n v="0.31457730751964713"/>
  </r>
  <r>
    <s v="ORD-2024-764468"/>
    <s v="764468"/>
    <x v="1"/>
    <d v="2023-01-10T00:00:00"/>
    <n v="12"/>
    <d v="2024-02-01T00:00:00"/>
    <s v="Feb-2024"/>
    <x v="0"/>
    <s v="Q1-2024"/>
    <n v="20"/>
    <n v="20"/>
    <n v="0"/>
    <d v="2024-02-21T00:00:00"/>
    <d v="2024-02-21T00:00:00"/>
    <x v="2"/>
    <x v="5"/>
    <s v="Paris"/>
    <s v="Small Business"/>
    <x v="3"/>
    <x v="3"/>
    <x v="4"/>
    <s v="NET-8761"/>
    <n v="656.2"/>
    <n v="721.82000000000016"/>
    <n v="1467.17"/>
    <s v="Medium"/>
    <n v="1.7999999999999999E-2"/>
    <n v="1.7999999999999999E-2"/>
    <s v=""/>
    <n v="5"/>
    <n v="6"/>
    <n v="3281"/>
    <n v="1773719.1704599999"/>
    <n v="312670.54326999997"/>
    <n v="0.17627962107942452"/>
    <s v="A"/>
    <n v="4330.920000000001"/>
    <n v="8644.5656400000007"/>
    <n v="7203.8047000000006"/>
    <n v="3922.8047000000006"/>
    <n v="4313.6456399999997"/>
    <n v="0.54454623124360946"/>
  </r>
  <r>
    <s v="ORD-2024-437164"/>
    <s v="437164"/>
    <x v="1"/>
    <d v="2023-01-13T00:00:00"/>
    <n v="13"/>
    <d v="2024-02-20T00:00:00"/>
    <s v="Feb-2024"/>
    <x v="0"/>
    <s v="Q1-2024"/>
    <n v="0"/>
    <n v="0"/>
    <n v="1"/>
    <d v="2024-02-20T00:00:00"/>
    <d v="2024-02-20T00:00:00"/>
    <x v="3"/>
    <x v="11"/>
    <s v="New York"/>
    <s v="Enterprise"/>
    <x v="4"/>
    <x v="9"/>
    <x v="4"/>
    <s v="NET-9177"/>
    <n v="1407.05"/>
    <n v="1547.7550000000001"/>
    <n v="2858.93"/>
    <s v="High"/>
    <n v="0"/>
    <n v="0"/>
    <s v=""/>
    <n v="12"/>
    <n v="14.399999999999999"/>
    <n v="16884.599999999999"/>
    <n v="1773719.1704599999"/>
    <n v="346977.70326999994"/>
    <n v="0.19562155557016053"/>
    <s v="A"/>
    <n v="22287.671999999999"/>
    <n v="41168.591999999997"/>
    <n v="34307.159999999996"/>
    <n v="17422.559999999998"/>
    <n v="18880.919999999998"/>
    <n v="0.50784034586366222"/>
  </r>
  <r>
    <s v="ORD-2024-510591"/>
    <s v="510591"/>
    <x v="1"/>
    <d v="2023-01-29T00:00:00"/>
    <n v="14"/>
    <d v="2024-04-03T00:00:00"/>
    <s v="Apr-2024"/>
    <x v="2"/>
    <s v="Q2-2024"/>
    <n v="18"/>
    <n v="18"/>
    <n v="0"/>
    <d v="2024-04-21T00:00:00"/>
    <d v="2024-04-21T00:00:00"/>
    <x v="3"/>
    <x v="9"/>
    <s v="Brasília"/>
    <s v="Small Business"/>
    <x v="2"/>
    <x v="1"/>
    <x v="4"/>
    <s v="NET-3850"/>
    <n v="1176.69"/>
    <n v="1294.3590000000002"/>
    <n v="2201.54"/>
    <s v="High"/>
    <n v="0.17"/>
    <n v="0.1"/>
    <s v=""/>
    <n v="27"/>
    <n v="32.4"/>
    <n v="31770.63"/>
    <n v="1773719.1704599999"/>
    <n v="396314.21466999996"/>
    <n v="0.22343684460895746"/>
    <s v="A"/>
    <n v="41937.231600000006"/>
    <n v="64196.906399999993"/>
    <n v="49336.511399999996"/>
    <n v="17565.881399999995"/>
    <n v="22259.674799999986"/>
    <n v="0.35604222717701106"/>
  </r>
  <r>
    <s v="ORD-2024-948800"/>
    <s v="948800"/>
    <x v="1"/>
    <d v="2023-01-13T00:00:00"/>
    <n v="14"/>
    <d v="2024-03-27T00:00:00"/>
    <s v="Mar-2024"/>
    <x v="4"/>
    <s v="Q1-2024"/>
    <n v="15"/>
    <n v="15"/>
    <n v="0"/>
    <d v="2024-04-11T00:00:00"/>
    <d v="2024-04-11T00:00:00"/>
    <x v="3"/>
    <x v="11"/>
    <s v="San Francisco"/>
    <s v="Small Business"/>
    <x v="0"/>
    <x v="7"/>
    <x v="4"/>
    <s v="NET-5523"/>
    <n v="1338.35"/>
    <n v="1472.1849999999999"/>
    <n v="2247.14"/>
    <s v="High"/>
    <n v="0.115"/>
    <n v="0.1"/>
    <s v=""/>
    <n v="40"/>
    <n v="48"/>
    <n v="53534"/>
    <n v="1773719.1704599999"/>
    <n v="475862.97066999995"/>
    <n v="0.26828540763112385"/>
    <s v="A"/>
    <n v="70664.88"/>
    <n v="97076.448000000004"/>
    <n v="79548.755999999994"/>
    <n v="26014.755999999994"/>
    <n v="26411.567999999999"/>
    <n v="0.32702907384246205"/>
  </r>
  <r>
    <s v="ORD-2024-403664"/>
    <s v="403664"/>
    <x v="1"/>
    <d v="2023-01-29T00:00:00"/>
    <n v="15"/>
    <d v="2024-05-23T00:00:00"/>
    <s v="May-2024"/>
    <x v="5"/>
    <s v="Q2-2024"/>
    <n v="14"/>
    <n v="14"/>
    <n v="0"/>
    <d v="2024-06-06T00:00:00"/>
    <d v="2024-06-06T00:00:00"/>
    <x v="3"/>
    <x v="9"/>
    <s v="Rio de Janeiro"/>
    <s v="Non-Profit"/>
    <x v="4"/>
    <x v="13"/>
    <x v="4"/>
    <s v="NET-1166"/>
    <n v="51.13"/>
    <n v="56.243000000000009"/>
    <n v="57.53"/>
    <s v="Low"/>
    <n v="4.4999999999999998E-2"/>
    <n v="4.4999999999999998E-2"/>
    <s v=""/>
    <n v="16"/>
    <n v="19.2"/>
    <n v="818.08"/>
    <n v="1773719.1704599999"/>
    <n v="476742.02906999993"/>
    <n v="0.26878100942347072"/>
    <s v="A"/>
    <n v="1079.8656000000001"/>
    <n v="1054.8700799999999"/>
    <n v="879.05840000000001"/>
    <n v="60.978399999999965"/>
    <n v="-24.99552000000017"/>
    <n v="6.9367859973808302E-2"/>
  </r>
  <r>
    <s v="ORD-2024-402240"/>
    <s v="402240"/>
    <x v="1"/>
    <d v="2023-01-22T00:00:00"/>
    <n v="15"/>
    <d v="2024-05-01T00:00:00"/>
    <s v="May-2024"/>
    <x v="5"/>
    <s v="Q2-2024"/>
    <n v="25"/>
    <n v="25"/>
    <n v="0"/>
    <d v="2024-05-26T00:00:00"/>
    <d v="2024-05-26T00:00:00"/>
    <x v="2"/>
    <x v="7"/>
    <s v="Berlin"/>
    <s v="Non-Profit"/>
    <x v="1"/>
    <x v="1"/>
    <x v="4"/>
    <s v="NET-4228"/>
    <n v="930.71"/>
    <n v="1023.7810000000002"/>
    <n v="1625.42"/>
    <s v="Medium"/>
    <n v="0.13800000000000001"/>
    <n v="0.1"/>
    <s v=""/>
    <n v="7"/>
    <n v="8.4"/>
    <n v="6514.97"/>
    <n v="1773719.1704599999"/>
    <n v="486549.81334999995"/>
    <n v="0.27431051175018711"/>
    <s v="A"/>
    <n v="8599.760400000001"/>
    <n v="12288.175200000001"/>
    <n v="9807.7842799999999"/>
    <n v="3292.8142799999996"/>
    <n v="3688.4148000000005"/>
    <n v="0.33573477821231196"/>
  </r>
  <r>
    <s v="ORD-2024-548345"/>
    <s v="548345"/>
    <x v="1"/>
    <d v="2023-01-19T00:00:00"/>
    <n v="15"/>
    <d v="2024-05-14T00:00:00"/>
    <s v="May-2024"/>
    <x v="5"/>
    <s v="Q2-2024"/>
    <n v="14"/>
    <n v="14"/>
    <n v="0"/>
    <d v="2024-05-28T00:00:00"/>
    <d v="2024-05-28T00:00:00"/>
    <x v="2"/>
    <x v="2"/>
    <s v="Birmingham"/>
    <s v="Consumer"/>
    <x v="1"/>
    <x v="1"/>
    <x v="4"/>
    <s v="NET-2365"/>
    <n v="1421.14"/>
    <n v="1563.2540000000001"/>
    <n v="3524"/>
    <s v="High"/>
    <n v="0"/>
    <n v="0"/>
    <s v=""/>
    <n v="31"/>
    <n v="37.199999999999996"/>
    <n v="44055.340000000004"/>
    <n v="1773719.1704599999"/>
    <n v="595793.81334999995"/>
    <n v="0.33590087048305711"/>
    <s v="A"/>
    <n v="58153.048799999997"/>
    <n v="131092.79999999999"/>
    <n v="109244"/>
    <n v="65188.659999999996"/>
    <n v="72939.751199999999"/>
    <n v="0.59672531214528945"/>
  </r>
  <r>
    <s v="ORD-2024-465898"/>
    <s v="465898"/>
    <x v="1"/>
    <d v="2023-01-29T00:00:00"/>
    <n v="16"/>
    <d v="2024-06-06T00:00:00"/>
    <s v="Jun-2024"/>
    <x v="6"/>
    <s v="Q2-2024"/>
    <n v="18"/>
    <n v="18"/>
    <n v="0"/>
    <d v="2024-06-24T00:00:00"/>
    <d v="2024-06-24T00:00:00"/>
    <x v="1"/>
    <x v="1"/>
    <s v="Bengaluru"/>
    <s v="Small Business"/>
    <x v="0"/>
    <x v="8"/>
    <x v="4"/>
    <s v="NET-6578"/>
    <n v="1253.25"/>
    <n v="1378.575"/>
    <n v="3087.13"/>
    <s v="High"/>
    <n v="7.1999999999999995E-2"/>
    <n v="7.1999999999999995E-2"/>
    <s v=""/>
    <n v="11"/>
    <n v="13.2"/>
    <n v="13785.75"/>
    <n v="1773719.1704599999"/>
    <n v="627307.23638999998"/>
    <n v="0.35366773209499269"/>
    <s v="A"/>
    <n v="18197.189999999999"/>
    <n v="37816.107648000005"/>
    <n v="31513.423040000001"/>
    <n v="17727.673040000001"/>
    <n v="19618.917648000006"/>
    <n v="0.562543555408064"/>
  </r>
  <r>
    <s v="ORD-2024-892908"/>
    <s v="892908"/>
    <x v="1"/>
    <d v="2023-03-03T00:00:00"/>
    <n v="16"/>
    <d v="2024-07-13T00:00:00"/>
    <s v="Jul-2024"/>
    <x v="7"/>
    <s v="Q3-2024"/>
    <n v="-1"/>
    <n v="15"/>
    <n v="0"/>
    <d v="2024-07-12T00:00:00"/>
    <d v="2024-07-28T00:00:00"/>
    <x v="1"/>
    <x v="3"/>
    <s v="Nagoya"/>
    <s v="Small Business"/>
    <x v="3"/>
    <x v="5"/>
    <x v="4"/>
    <s v="NET-9575"/>
    <n v="105.13"/>
    <n v="115.643"/>
    <n v="244.13"/>
    <s v="Low"/>
    <n v="7.0999999999999994E-2"/>
    <n v="7.0999999999999994E-2"/>
    <s v=""/>
    <n v="14"/>
    <n v="16.8"/>
    <n v="1471.82"/>
    <n v="1773719.1704599999"/>
    <n v="630482.39116999996"/>
    <n v="0.35545784342314424"/>
    <s v="A"/>
    <n v="1942.8024"/>
    <n v="3810.1857360000004"/>
    <n v="3175.1547799999998"/>
    <n v="1703.3347799999999"/>
    <n v="1867.3833360000003"/>
    <n v="0.53645724319618837"/>
  </r>
  <r>
    <s v="ORD-2024-341535"/>
    <s v="341535"/>
    <x v="1"/>
    <d v="2023-01-20T00:00:00"/>
    <n v="17"/>
    <d v="2024-06-25T00:00:00"/>
    <s v="Jun-2024"/>
    <x v="6"/>
    <s v="Q2-2024"/>
    <n v="5"/>
    <n v="5"/>
    <n v="1"/>
    <d v="2024-06-30T00:00:00"/>
    <d v="2024-06-30T00:00:00"/>
    <x v="0"/>
    <x v="8"/>
    <s v="Kisumu"/>
    <s v="Education"/>
    <x v="0"/>
    <x v="6"/>
    <x v="4"/>
    <s v="NET-5987"/>
    <n v="1323.55"/>
    <n v="1455.905"/>
    <n v="3230.35"/>
    <s v="High"/>
    <n v="2.1999999999999999E-2"/>
    <n v="2.1999999999999999E-2"/>
    <s v=""/>
    <n v="26"/>
    <n v="31.2"/>
    <n v="34412.299999999996"/>
    <n v="1773719.1704599999"/>
    <n v="712623.73096999992"/>
    <n v="0.40176807176594176"/>
    <s v="A"/>
    <n v="45424.235999999997"/>
    <n v="98569.607759999999"/>
    <n v="82141.339799999987"/>
    <n v="47729.039799999991"/>
    <n v="53145.371760000002"/>
    <n v="0.58105991351263542"/>
  </r>
  <r>
    <s v="ORD-2024-919471"/>
    <s v="919471"/>
    <x v="1"/>
    <d v="2023-01-07T00:00:00"/>
    <n v="17"/>
    <d v="2024-06-29T00:00:00"/>
    <s v="Jun-2024"/>
    <x v="6"/>
    <s v="Q2-2024"/>
    <n v="27"/>
    <n v="27"/>
    <n v="0"/>
    <d v="2024-07-26T00:00:00"/>
    <d v="2024-07-26T00:00:00"/>
    <x v="0"/>
    <x v="6"/>
    <s v="Durban"/>
    <s v="Enterprise"/>
    <x v="2"/>
    <x v="1"/>
    <x v="4"/>
    <s v="NET-4241"/>
    <n v="5.36"/>
    <n v="5.8960000000000008"/>
    <n v="4.37"/>
    <s v="Low"/>
    <n v="0.11799999999999999"/>
    <n v="0.1"/>
    <s v=""/>
    <n v="9"/>
    <n v="10.799999999999999"/>
    <n v="48.24"/>
    <n v="1773719.1704599999"/>
    <n v="712658.42002999992"/>
    <n v="0.40178762901072873"/>
    <s v="A"/>
    <n v="63.6768"/>
    <n v="42.476399999999998"/>
    <n v="34.689059999999998"/>
    <n v="-13.550940000000004"/>
    <n v="-21.200400000000002"/>
    <n v="-0.39064016148030545"/>
  </r>
  <r>
    <s v="ORD-2024-817997"/>
    <s v="817997"/>
    <x v="1"/>
    <d v="2023-01-29T00:00:00"/>
    <n v="17"/>
    <d v="2024-07-28T00:00:00"/>
    <s v="Jul-2024"/>
    <x v="7"/>
    <s v="Q3-2024"/>
    <n v="26"/>
    <n v="26"/>
    <n v="0"/>
    <d v="2024-08-23T00:00:00"/>
    <d v="2024-08-23T00:00:00"/>
    <x v="1"/>
    <x v="1"/>
    <s v="Hyderabad"/>
    <s v="Corporate"/>
    <x v="1"/>
    <x v="10"/>
    <x v="4"/>
    <s v="NET-4675"/>
    <n v="1339.24"/>
    <n v="1473.1640000000002"/>
    <n v="1558.89"/>
    <s v="Medium"/>
    <n v="0.192"/>
    <n v="0.1"/>
    <s v=""/>
    <n v="24"/>
    <n v="28.799999999999997"/>
    <n v="32141.760000000002"/>
    <n v="1773719.1704599999"/>
    <n v="742888.41490999993"/>
    <n v="0.41883091037311038"/>
    <s v="A"/>
    <n v="42427.123200000002"/>
    <n v="40406.428800000002"/>
    <n v="30229.994880000002"/>
    <n v="-1911.76512"/>
    <n v="-2020.6944000000003"/>
    <n v="-6.3240669659021781E-2"/>
  </r>
  <r>
    <s v="ORD-2024-136321"/>
    <s v="136321"/>
    <x v="1"/>
    <d v="2023-03-03T00:00:00"/>
    <n v="17"/>
    <d v="2024-08-07T00:00:00"/>
    <s v="Aug-2024"/>
    <x v="8"/>
    <s v="Q3-2024"/>
    <n v="10"/>
    <n v="10"/>
    <n v="0"/>
    <d v="2024-08-17T00:00:00"/>
    <d v="2024-08-17T00:00:00"/>
    <x v="1"/>
    <x v="3"/>
    <s v="Osaka"/>
    <s v="Consumer"/>
    <x v="4"/>
    <x v="11"/>
    <x v="4"/>
    <s v="NET-7924"/>
    <n v="436.58"/>
    <n v="480.238"/>
    <n v="527.48"/>
    <s v="Low"/>
    <n v="0.111"/>
    <n v="0.1"/>
    <s v=""/>
    <n v="19"/>
    <n v="22.8"/>
    <n v="8295.02"/>
    <n v="1773719.1704599999"/>
    <n v="751798.07958999998"/>
    <n v="0.42385406444867318"/>
    <s v="A"/>
    <n v="10949.4264"/>
    <n v="10823.889600000002"/>
    <n v="8909.6646800000017"/>
    <n v="614.64468000000124"/>
    <n v="-125.53679999999804"/>
    <n v="6.8986286473802644E-2"/>
  </r>
  <r>
    <s v="ORD-2024-915495"/>
    <s v="915495"/>
    <x v="1"/>
    <d v="2023-03-03T00:00:00"/>
    <n v="17"/>
    <d v="2024-08-08T00:00:00"/>
    <s v="Aug-2024"/>
    <x v="8"/>
    <s v="Q3-2024"/>
    <n v="12"/>
    <n v="12"/>
    <n v="0"/>
    <d v="2024-08-20T00:00:00"/>
    <d v="2024-08-20T00:00:00"/>
    <x v="1"/>
    <x v="3"/>
    <s v="Osaka"/>
    <s v="Small Business"/>
    <x v="1"/>
    <x v="8"/>
    <x v="4"/>
    <s v="NET-8957"/>
    <n v="1233.3599999999999"/>
    <n v="1356.6959999999999"/>
    <n v="2120.4"/>
    <s v="High"/>
    <n v="0.17899999999999999"/>
    <n v="0.1"/>
    <s v=""/>
    <n v="20"/>
    <n v="24"/>
    <n v="24667.199999999997"/>
    <n v="1773719.1704599999"/>
    <n v="786615.04758999997"/>
    <n v="0.44348342211692826"/>
    <s v="A"/>
    <n v="32560.703999999998"/>
    <n v="45800.640000000007"/>
    <n v="34816.968000000001"/>
    <n v="10149.768000000004"/>
    <n v="13239.936000000009"/>
    <n v="0.29151785991244278"/>
  </r>
  <r>
    <s v="ORD-2024-581530"/>
    <s v="581530"/>
    <x v="1"/>
    <d v="2023-01-12T00:00:00"/>
    <n v="19"/>
    <d v="2024-09-07T00:00:00"/>
    <s v="Sept-2024"/>
    <x v="11"/>
    <s v="Q3-2024"/>
    <n v="11"/>
    <n v="11"/>
    <n v="0"/>
    <d v="2024-09-18T00:00:00"/>
    <d v="2024-09-18T00:00:00"/>
    <x v="1"/>
    <x v="4"/>
    <s v="Beijing"/>
    <s v="Consumer"/>
    <x v="2"/>
    <x v="7"/>
    <x v="4"/>
    <s v="NET-7998"/>
    <n v="181.74"/>
    <n v="199.91400000000002"/>
    <n v="190.84"/>
    <s v="Low"/>
    <n v="0.214"/>
    <n v="0.1"/>
    <s v=""/>
    <n v="13"/>
    <n v="15.6"/>
    <n v="2362.62"/>
    <n v="1773719.1704599999"/>
    <n v="788565.05070999998"/>
    <n v="0.44458280873487538"/>
    <s v="A"/>
    <n v="3118.6584000000003"/>
    <n v="2679.3935999999999"/>
    <n v="1950.0031200000001"/>
    <n v="-412.61687999999981"/>
    <n v="-439.26480000000038"/>
    <n v="-0.21159806144310159"/>
  </r>
  <r>
    <s v="ORD-2024-862371"/>
    <s v="862371"/>
    <x v="1"/>
    <d v="2023-01-29T00:00:00"/>
    <n v="19"/>
    <d v="2024-09-07T00:00:00"/>
    <s v="Sept-2024"/>
    <x v="11"/>
    <s v="Q3-2024"/>
    <n v="0"/>
    <n v="0"/>
    <n v="1"/>
    <d v="2024-09-07T00:00:00"/>
    <d v="2024-09-07T00:00:00"/>
    <x v="1"/>
    <x v="1"/>
    <s v="Mumbai"/>
    <s v="Education"/>
    <x v="2"/>
    <x v="1"/>
    <x v="4"/>
    <s v="NET-9835"/>
    <n v="1066.6500000000001"/>
    <n v="1173.3150000000003"/>
    <n v="2569.77"/>
    <s v="High"/>
    <n v="0.13400000000000001"/>
    <n v="0.1"/>
    <s v=""/>
    <n v="9"/>
    <n v="10.799999999999999"/>
    <n v="9599.85"/>
    <n v="1773719.1704599999"/>
    <n v="808593.83808999998"/>
    <n v="0.4558747808314535"/>
    <s v="A"/>
    <n v="12671.802000000001"/>
    <n v="24978.164399999998"/>
    <n v="20028.787380000002"/>
    <n v="10428.937380000001"/>
    <n v="12306.362399999996"/>
    <n v="0.52069739331368348"/>
  </r>
  <r>
    <s v="ORD-2024-792558"/>
    <s v="792558"/>
    <x v="1"/>
    <d v="2023-03-03T00:00:00"/>
    <n v="19"/>
    <d v="2024-10-16T00:00:00"/>
    <s v="Oct-2024"/>
    <x v="9"/>
    <s v="Q4-2024"/>
    <n v="23"/>
    <n v="23"/>
    <n v="0"/>
    <d v="2024-11-08T00:00:00"/>
    <d v="2024-11-08T00:00:00"/>
    <x v="1"/>
    <x v="3"/>
    <s v="Osaka"/>
    <s v="Small Business"/>
    <x v="1"/>
    <x v="10"/>
    <x v="4"/>
    <s v="NET-6387"/>
    <n v="82.14"/>
    <n v="90.354000000000013"/>
    <n v="166.04"/>
    <s v="Low"/>
    <n v="0"/>
    <n v="0"/>
    <s v=""/>
    <n v="10"/>
    <n v="12"/>
    <n v="821.4"/>
    <n v="1773719.1704599999"/>
    <n v="810254.23809"/>
    <n v="0.45681089294415589"/>
    <s v="A"/>
    <n v="1084.248"/>
    <n v="1992.48"/>
    <n v="1660.3999999999999"/>
    <n v="838.99999999999989"/>
    <n v="908.23199999999997"/>
    <n v="0.50529992772825827"/>
  </r>
  <r>
    <s v="ORD-2024-728474"/>
    <s v="728474"/>
    <x v="1"/>
    <d v="2023-01-19T00:00:00"/>
    <n v="19"/>
    <d v="2024-09-09T00:00:00"/>
    <s v="Sept-2024"/>
    <x v="11"/>
    <s v="Q3-2024"/>
    <n v="4"/>
    <n v="4"/>
    <n v="1"/>
    <d v="2024-09-13T00:00:00"/>
    <d v="2024-09-13T00:00:00"/>
    <x v="2"/>
    <x v="2"/>
    <s v="London"/>
    <s v="Consumer"/>
    <x v="3"/>
    <x v="5"/>
    <x v="4"/>
    <s v="NET-1145"/>
    <n v="1133.08"/>
    <n v="1246.3879999999999"/>
    <n v="976.17"/>
    <s v="Medium"/>
    <n v="4.2000000000000003E-2"/>
    <n v="4.2000000000000003E-2"/>
    <s v=""/>
    <n v="27"/>
    <n v="32.4"/>
    <n v="30593.159999999996"/>
    <n v="1773719.1704599999"/>
    <n v="835503.85131000006"/>
    <n v="0.47104629933797176"/>
    <s v="A"/>
    <n v="40382.971199999993"/>
    <n v="30299.535863999994"/>
    <n v="25249.613219999999"/>
    <n v="-5343.5467799999969"/>
    <n v="-10083.435335999999"/>
    <n v="-0.21162885678452373"/>
  </r>
  <r>
    <s v="ORD-2023-308124"/>
    <s v="308124"/>
    <x v="0"/>
    <d v="2023-01-29T00:00:00"/>
    <n v="2"/>
    <d v="2023-04-19T00:00:00"/>
    <s v="Apr-2023"/>
    <x v="2"/>
    <s v="Q2-2023"/>
    <n v="11"/>
    <n v="11"/>
    <n v="0"/>
    <d v="2023-04-30T00:00:00"/>
    <d v="2023-04-30T00:00:00"/>
    <x v="1"/>
    <x v="1"/>
    <s v="Delhi"/>
    <s v="Small Business"/>
    <x v="1"/>
    <x v="3"/>
    <x v="4"/>
    <s v="NET-2062"/>
    <n v="826.55"/>
    <n v="909.20500000000004"/>
    <n v="1397.05"/>
    <s v="Medium"/>
    <n v="0.16900000000000001"/>
    <n v="0.1"/>
    <s v=""/>
    <n v="28"/>
    <n v="33.6"/>
    <n v="23143.399999999998"/>
    <n v="1773719.1704599999"/>
    <n v="868010.41071000008"/>
    <n v="0.48937307842531153"/>
    <s v="A"/>
    <n v="30549.288000000004"/>
    <n v="42246.792000000001"/>
    <n v="32506.559399999998"/>
    <n v="9363.1594000000005"/>
    <n v="11697.503999999997"/>
    <n v="0.28803907804527601"/>
  </r>
  <r>
    <s v="ORD-2024-966651"/>
    <s v="966651"/>
    <x v="1"/>
    <d v="2023-01-15T00:00:00"/>
    <n v="20"/>
    <d v="2024-10-14T00:00:00"/>
    <s v="Oct-2024"/>
    <x v="9"/>
    <s v="Q4-2024"/>
    <n v="25"/>
    <n v="25"/>
    <n v="0"/>
    <d v="2024-11-08T00:00:00"/>
    <d v="2024-11-08T00:00:00"/>
    <x v="0"/>
    <x v="0"/>
    <s v="Lagos"/>
    <s v="Enterprise"/>
    <x v="4"/>
    <x v="7"/>
    <x v="4"/>
    <s v="NET-5268"/>
    <n v="859.35"/>
    <n v="945.28500000000008"/>
    <n v="1825.61"/>
    <s v="High"/>
    <n v="0.187"/>
    <n v="0.1"/>
    <s v=""/>
    <n v="24"/>
    <n v="28.799999999999997"/>
    <n v="20624.400000000001"/>
    <n v="1773719.1704599999"/>
    <n v="903631.7130300001"/>
    <n v="0.50945590941301633"/>
    <s v="A"/>
    <n v="27224.207999999999"/>
    <n v="47319.811199999996"/>
    <n v="35621.302319999995"/>
    <n v="14996.902319999994"/>
    <n v="20095.603199999998"/>
    <n v="0.42100937762681989"/>
  </r>
  <r>
    <s v="ORD-2024-320972"/>
    <s v="320972"/>
    <x v="1"/>
    <d v="2023-01-20T00:00:00"/>
    <n v="21"/>
    <d v="2024-11-08T00:00:00"/>
    <s v="Nov-2024"/>
    <x v="10"/>
    <s v="Q4-2024"/>
    <n v="0"/>
    <n v="0"/>
    <n v="1"/>
    <d v="2024-11-08T00:00:00"/>
    <d v="2024-11-08T00:00:00"/>
    <x v="0"/>
    <x v="8"/>
    <s v="Nakuru"/>
    <s v="Enterprise"/>
    <x v="3"/>
    <x v="6"/>
    <x v="4"/>
    <s v="NET-2628"/>
    <n v="803.28"/>
    <n v="883.60800000000006"/>
    <n v="1009"/>
    <s v="Medium"/>
    <n v="0.11"/>
    <n v="0.1"/>
    <s v=""/>
    <n v="4"/>
    <n v="4.8"/>
    <n v="3213.12"/>
    <n v="1773719.1704599999"/>
    <n v="907223.75303000014"/>
    <n v="0.51148105525336285"/>
    <s v="A"/>
    <n v="4241.3184000000001"/>
    <n v="4358.88"/>
    <n v="3592.04"/>
    <n v="378.92000000000007"/>
    <n v="117.5616"/>
    <n v="0.10548880302001093"/>
  </r>
  <r>
    <s v="ORD-2024-588972"/>
    <s v="588972"/>
    <x v="1"/>
    <d v="2023-01-29T00:00:00"/>
    <n v="21"/>
    <d v="2024-11-02T00:00:00"/>
    <s v="Nov-2024"/>
    <x v="10"/>
    <s v="Q4-2024"/>
    <n v="27"/>
    <n v="27"/>
    <n v="0"/>
    <d v="2024-11-29T00:00:00"/>
    <d v="2024-11-29T00:00:00"/>
    <x v="3"/>
    <x v="9"/>
    <s v="Brasília"/>
    <s v="Small Business"/>
    <x v="0"/>
    <x v="13"/>
    <x v="4"/>
    <s v="NET-8561"/>
    <n v="1363.51"/>
    <n v="1499.8610000000001"/>
    <n v="1433.9"/>
    <s v="Medium"/>
    <n v="5.7000000000000002E-2"/>
    <n v="5.7000000000000002E-2"/>
    <s v=""/>
    <n v="8"/>
    <n v="9.6"/>
    <n v="10908.08"/>
    <n v="1773719.1704599999"/>
    <n v="918041.09463000018"/>
    <n v="0.51757973298101834"/>
    <s v="A"/>
    <n v="14398.6656"/>
    <n v="12980.80992"/>
    <n v="10817.3416"/>
    <n v="-90.738400000000183"/>
    <n v="-1417.8556800000006"/>
    <n v="-8.3882346842037592E-3"/>
  </r>
  <r>
    <s v="ORD-2024-732543"/>
    <s v="732543"/>
    <x v="1"/>
    <d v="2023-01-12T00:00:00"/>
    <n v="21"/>
    <d v="2024-10-24T00:00:00"/>
    <s v="Oct-2024"/>
    <x v="9"/>
    <s v="Q4-2024"/>
    <n v="4"/>
    <n v="4"/>
    <n v="1"/>
    <d v="2024-10-28T00:00:00"/>
    <d v="2024-10-28T00:00:00"/>
    <x v="1"/>
    <x v="4"/>
    <s v="Shanghai"/>
    <s v="Small Business"/>
    <x v="2"/>
    <x v="13"/>
    <x v="4"/>
    <s v="NET-3728"/>
    <n v="1331.77"/>
    <n v="1464.9470000000001"/>
    <n v="2606.11"/>
    <s v="High"/>
    <n v="0.02"/>
    <n v="0.02"/>
    <s v=""/>
    <n v="6"/>
    <n v="7.1999999999999993"/>
    <n v="7990.62"/>
    <n v="1773719.1704599999"/>
    <n v="933365.0214300002"/>
    <n v="0.52621916534168112"/>
    <s v="A"/>
    <n v="10547.618399999999"/>
    <n v="18388.712159999999"/>
    <n v="15323.926799999999"/>
    <n v="7333.3067999999994"/>
    <n v="7841.0937599999997"/>
    <n v="0.47855271665745619"/>
  </r>
  <r>
    <s v="ORD-2024-496601"/>
    <s v="496601"/>
    <x v="1"/>
    <d v="2023-01-19T00:00:00"/>
    <n v="21"/>
    <d v="2024-11-11T00:00:00"/>
    <s v="Nov-2024"/>
    <x v="10"/>
    <s v="Q4-2024"/>
    <n v="13"/>
    <n v="13"/>
    <n v="0"/>
    <d v="2024-11-24T00:00:00"/>
    <d v="2024-11-24T00:00:00"/>
    <x v="2"/>
    <x v="2"/>
    <s v="London"/>
    <s v="Corporate"/>
    <x v="1"/>
    <x v="12"/>
    <x v="4"/>
    <s v="NET-2932"/>
    <n v="164.53"/>
    <n v="180.983"/>
    <n v="327.72"/>
    <s v="Low"/>
    <n v="6.7000000000000004E-2"/>
    <n v="6.7000000000000004E-2"/>
    <s v=""/>
    <n v="14"/>
    <n v="16.8"/>
    <n v="2303.42"/>
    <n v="1773719.1704599999"/>
    <n v="937645.70007000025"/>
    <n v="0.5286325567687411"/>
    <s v="A"/>
    <n v="3040.5144"/>
    <n v="5136.8143680000012"/>
    <n v="4280.6786400000001"/>
    <n v="1977.25864"/>
    <n v="2096.2999680000012"/>
    <n v="0.46190307805960412"/>
  </r>
  <r>
    <s v="ORD-2024-972318"/>
    <s v="972318"/>
    <x v="1"/>
    <d v="2023-01-29T00:00:00"/>
    <n v="22"/>
    <d v="2024-12-24T00:00:00"/>
    <s v="Dec-2024"/>
    <x v="3"/>
    <s v="Q4-2024"/>
    <n v="20"/>
    <n v="20"/>
    <n v="0"/>
    <d v="2025-01-13T00:00:00"/>
    <d v="2025-01-13T00:00:00"/>
    <x v="1"/>
    <x v="1"/>
    <s v="Bengaluru"/>
    <s v="Corporate"/>
    <x v="3"/>
    <x v="0"/>
    <x v="4"/>
    <s v="NET-9832"/>
    <n v="126.15"/>
    <n v="138.76500000000001"/>
    <n v="284.23"/>
    <s v="Low"/>
    <n v="0.113"/>
    <n v="0.1"/>
    <s v=""/>
    <n v="22"/>
    <n v="26.4"/>
    <n v="2775.3"/>
    <n v="1773719.1704599999"/>
    <n v="943192.16429000022"/>
    <n v="0.53175958178621419"/>
    <s v="A"/>
    <n v="3663.3960000000002"/>
    <n v="6753.3048000000008"/>
    <n v="5546.4642200000008"/>
    <n v="2771.1642200000006"/>
    <n v="3089.9088000000006"/>
    <n v="0.49962716968541088"/>
  </r>
  <r>
    <s v="ORD-2024-140633"/>
    <s v="140633"/>
    <x v="1"/>
    <d v="2023-01-19T00:00:00"/>
    <n v="22"/>
    <d v="2024-12-07T00:00:00"/>
    <s v="Dec-2024"/>
    <x v="3"/>
    <s v="Q4-2024"/>
    <n v="19"/>
    <n v="19"/>
    <n v="0"/>
    <d v="2024-12-26T00:00:00"/>
    <d v="2024-12-26T00:00:00"/>
    <x v="2"/>
    <x v="2"/>
    <s v="London"/>
    <s v="Enterprise"/>
    <x v="4"/>
    <x v="0"/>
    <x v="4"/>
    <s v="NET-4491"/>
    <n v="1035.24"/>
    <n v="1138.7640000000001"/>
    <n v="2383.41"/>
    <s v="High"/>
    <n v="0.17"/>
    <n v="0.1"/>
    <s v=""/>
    <n v="15"/>
    <n v="18"/>
    <n v="15528.6"/>
    <n v="1773719.1704599999"/>
    <n v="972865.61879000021"/>
    <n v="0.54848909285774661"/>
    <s v="A"/>
    <n v="20497.752"/>
    <n v="38611.241999999998"/>
    <n v="29673.454499999993"/>
    <n v="14144.854499999992"/>
    <n v="18113.489999999998"/>
    <n v="0.47668378145860962"/>
  </r>
  <r>
    <s v="ORD-2024-800947"/>
    <s v="800947"/>
    <x v="1"/>
    <d v="2023-01-12T00:00:00"/>
    <n v="23"/>
    <d v="2024-12-15T00:00:00"/>
    <s v="Dec-2024"/>
    <x v="3"/>
    <s v="Q4-2024"/>
    <n v="5"/>
    <n v="5"/>
    <n v="1"/>
    <d v="2024-12-20T00:00:00"/>
    <d v="2024-12-20T00:00:00"/>
    <x v="1"/>
    <x v="4"/>
    <s v="Shenzhen"/>
    <s v="Small Business"/>
    <x v="0"/>
    <x v="10"/>
    <x v="4"/>
    <s v="NET-1846"/>
    <n v="717.55"/>
    <n v="789.30500000000006"/>
    <n v="546.42999999999995"/>
    <s v="Low"/>
    <n v="4.7E-2"/>
    <n v="4.7E-2"/>
    <s v=""/>
    <n v="18"/>
    <n v="21.599999999999998"/>
    <n v="12915.9"/>
    <n v="1773719.1704599999"/>
    <n v="982239.07901000022"/>
    <n v="0.55377372887911247"/>
    <s v="A"/>
    <n v="17048.988000000001"/>
    <n v="11248.152263999997"/>
    <n v="9373.460219999999"/>
    <n v="-3542.4397800000006"/>
    <n v="-5800.8357360000045"/>
    <n v="-0.37792231437026369"/>
  </r>
  <r>
    <s v="ORD-2025-636162"/>
    <s v="636162"/>
    <x v="2"/>
    <d v="2023-01-07T00:00:00"/>
    <n v="24"/>
    <d v="2025-01-07T00:00:00"/>
    <s v="Jan-2025"/>
    <x v="1"/>
    <s v="Q1-2025"/>
    <n v="13"/>
    <n v="13"/>
    <n v="0"/>
    <d v="2025-01-20T00:00:00"/>
    <d v="2025-01-20T00:00:00"/>
    <x v="0"/>
    <x v="6"/>
    <s v="Cape Town"/>
    <s v="Corporate"/>
    <x v="0"/>
    <x v="11"/>
    <x v="4"/>
    <s v="NET-7901"/>
    <n v="432.13"/>
    <n v="475.34300000000002"/>
    <n v="1034.6600000000001"/>
    <s v="Medium"/>
    <n v="9.1999999999999998E-2"/>
    <n v="9.1999999999999998E-2"/>
    <s v=""/>
    <n v="7"/>
    <n v="8.4"/>
    <n v="3024.91"/>
    <n v="1773719.1704599999"/>
    <n v="988815.37797000026"/>
    <n v="0.55748136144548677"/>
    <s v="A"/>
    <n v="3992.8812000000003"/>
    <n v="7891.5587520000008"/>
    <n v="6576.298960000001"/>
    <n v="3551.3889600000011"/>
    <n v="3898.6775520000006"/>
    <n v="0.54002851476204794"/>
  </r>
  <r>
    <s v="ORD-2025-915869"/>
    <s v="915869"/>
    <x v="2"/>
    <d v="2023-01-29T00:00:00"/>
    <n v="24"/>
    <d v="2025-02-06T00:00:00"/>
    <s v="Feb-2025"/>
    <x v="0"/>
    <s v="Q1-2025"/>
    <n v="9"/>
    <n v="9"/>
    <n v="0"/>
    <d v="2025-02-15T00:00:00"/>
    <d v="2025-02-15T00:00:00"/>
    <x v="3"/>
    <x v="9"/>
    <s v="São Paulo"/>
    <s v="Non-Profit"/>
    <x v="2"/>
    <x v="5"/>
    <x v="4"/>
    <s v="NET-5482"/>
    <n v="837.39"/>
    <n v="921.12900000000002"/>
    <n v="1905.42"/>
    <s v="High"/>
    <n v="3.2000000000000001E-2"/>
    <n v="3.2000000000000001E-2"/>
    <s v=""/>
    <n v="18"/>
    <n v="21.599999999999998"/>
    <n v="15073.02"/>
    <n v="1773719.1704599999"/>
    <n v="1022015.4160500002"/>
    <n v="0.57619911487169007"/>
    <s v="A"/>
    <n v="19896.386399999999"/>
    <n v="39840.045696000001"/>
    <n v="33200.038079999998"/>
    <n v="18127.018079999998"/>
    <n v="19943.659296000002"/>
    <n v="0.54599389423350919"/>
  </r>
  <r>
    <s v="ORD-2025-685236"/>
    <s v="685236"/>
    <x v="2"/>
    <d v="2023-03-03T00:00:00"/>
    <n v="24"/>
    <d v="2025-03-14T00:00:00"/>
    <s v="Mar-2025"/>
    <x v="4"/>
    <s v="Q1-2025"/>
    <n v="15"/>
    <n v="15"/>
    <n v="0"/>
    <d v="2025-03-29T00:00:00"/>
    <d v="2025-03-29T00:00:00"/>
    <x v="1"/>
    <x v="3"/>
    <s v="Tokyo"/>
    <s v="Non-Profit"/>
    <x v="0"/>
    <x v="8"/>
    <x v="4"/>
    <s v="NET-8430"/>
    <n v="1106.96"/>
    <n v="1217.6560000000002"/>
    <n v="2726.62"/>
    <s v="High"/>
    <n v="0.317"/>
    <n v="0.1"/>
    <s v="&gt;0.3"/>
    <n v="7"/>
    <n v="8.4"/>
    <n v="7748.72"/>
    <n v="1773719.1704599999"/>
    <n v="1035051.3862700003"/>
    <n v="0.58354862681084285"/>
    <s v="A"/>
    <n v="10228.310400000002"/>
    <n v="20613.247200000002"/>
    <n v="13035.970220000001"/>
    <n v="5287.2502200000008"/>
    <n v="10384.936799999999"/>
    <n v="0.40558931408789306"/>
  </r>
  <r>
    <s v="ORD-2025-659650"/>
    <s v="659650"/>
    <x v="2"/>
    <d v="2023-01-19T00:00:00"/>
    <n v="24"/>
    <d v="2025-02-04T00:00:00"/>
    <s v="Feb-2025"/>
    <x v="0"/>
    <s v="Q1-2025"/>
    <n v="4"/>
    <n v="4"/>
    <n v="1"/>
    <d v="2025-02-08T00:00:00"/>
    <d v="2025-02-08T00:00:00"/>
    <x v="2"/>
    <x v="2"/>
    <s v="Manchester"/>
    <s v="Enterprise"/>
    <x v="3"/>
    <x v="4"/>
    <x v="4"/>
    <s v="NET-2502"/>
    <n v="586.21"/>
    <n v="644.83100000000013"/>
    <n v="727.22"/>
    <s v="Low"/>
    <n v="6.8000000000000005E-2"/>
    <n v="6.8000000000000005E-2"/>
    <s v=""/>
    <n v="15"/>
    <n v="18"/>
    <n v="8793.1500000000015"/>
    <n v="1773719.1704599999"/>
    <n v="1045217.9218700002"/>
    <n v="0.58928038850644615"/>
    <s v="A"/>
    <n v="11606.958000000002"/>
    <n v="12199.842720000001"/>
    <n v="10166.535600000001"/>
    <n v="1373.3855999999996"/>
    <n v="592.8847199999982"/>
    <n v="0.13508884973559721"/>
  </r>
  <r>
    <s v="ORD-2025-680118"/>
    <s v="680118"/>
    <x v="2"/>
    <d v="2023-01-29T00:00:00"/>
    <n v="25"/>
    <d v="2025-03-10T00:00:00"/>
    <s v="Mar-2025"/>
    <x v="4"/>
    <s v="Q1-2025"/>
    <n v="17"/>
    <n v="17"/>
    <n v="0"/>
    <d v="2025-03-27T00:00:00"/>
    <d v="2025-03-27T00:00:00"/>
    <x v="3"/>
    <x v="9"/>
    <s v="Rio de Janeiro"/>
    <s v="Enterprise"/>
    <x v="0"/>
    <x v="5"/>
    <x v="4"/>
    <s v="NET-6269"/>
    <n v="996.73"/>
    <n v="1096.403"/>
    <n v="1217.43"/>
    <s v="Medium"/>
    <n v="7.0000000000000007E-2"/>
    <n v="7.0000000000000007E-2"/>
    <s v=""/>
    <n v="9"/>
    <n v="10.799999999999999"/>
    <n v="8970.57"/>
    <n v="1773719.1704599999"/>
    <n v="1055407.8109700002"/>
    <n v="0.59502531660425628"/>
    <s v="A"/>
    <n v="11841.152399999999"/>
    <n v="12227.866919999999"/>
    <n v="10189.8891"/>
    <n v="1219.3191000000006"/>
    <n v="386.71451999999954"/>
    <n v="0.11965970267527255"/>
  </r>
  <r>
    <s v="ORD-2025-626047"/>
    <s v="626047"/>
    <x v="2"/>
    <d v="2023-03-03T00:00:00"/>
    <n v="25"/>
    <d v="2025-04-28T00:00:00"/>
    <s v="Apr-2025"/>
    <x v="2"/>
    <s v="Q2-2025"/>
    <n v="17"/>
    <n v="17"/>
    <n v="0"/>
    <d v="2025-05-15T00:00:00"/>
    <d v="2025-05-15T00:00:00"/>
    <x v="1"/>
    <x v="3"/>
    <s v="Nagoya"/>
    <s v="Education"/>
    <x v="0"/>
    <x v="14"/>
    <x v="4"/>
    <s v="NET-1966"/>
    <n v="691.19"/>
    <n v="760.30900000000008"/>
    <n v="1284.3"/>
    <s v="Medium"/>
    <n v="7.3999999999999996E-2"/>
    <n v="7.3999999999999996E-2"/>
    <s v=""/>
    <n v="7"/>
    <n v="8.4"/>
    <n v="4838.33"/>
    <n v="1773719.1704599999"/>
    <n v="1063732.6435700003"/>
    <n v="0.59971874989327068"/>
    <s v="A"/>
    <n v="6386.5956000000006"/>
    <n v="9989.7991200000015"/>
    <n v="8324.8326000000015"/>
    <n v="3486.5026000000016"/>
    <n v="3603.2035200000009"/>
    <n v="0.41880753253825198"/>
  </r>
  <r>
    <s v="ORD-2025-608069"/>
    <s v="608069"/>
    <x v="2"/>
    <d v="2023-01-20T00:00:00"/>
    <n v="26"/>
    <d v="2025-04-12T00:00:00"/>
    <s v="Apr-2025"/>
    <x v="2"/>
    <s v="Q2-2025"/>
    <n v="18"/>
    <n v="18"/>
    <n v="0"/>
    <d v="2025-04-30T00:00:00"/>
    <d v="2025-04-30T00:00:00"/>
    <x v="0"/>
    <x v="8"/>
    <s v="Kisumu"/>
    <s v="Corporate"/>
    <x v="3"/>
    <x v="5"/>
    <x v="4"/>
    <s v="NET-3432"/>
    <n v="1119.04"/>
    <n v="1230.944"/>
    <n v="1299.02"/>
    <s v="Medium"/>
    <n v="2.5000000000000001E-2"/>
    <n v="2.5000000000000001E-2"/>
    <s v=""/>
    <n v="14"/>
    <n v="16.8"/>
    <n v="15666.56"/>
    <n v="1773719.1704599999"/>
    <n v="1081464.2665700002"/>
    <n v="0.60971561032941368"/>
    <s v="A"/>
    <n v="20679.859199999999"/>
    <n v="21277.9476"/>
    <n v="17731.623"/>
    <n v="2065.0630000000001"/>
    <n v="598.08840000000055"/>
    <n v="0.11646215352085933"/>
  </r>
  <r>
    <s v="ORD-2025-907040"/>
    <s v="907040"/>
    <x v="2"/>
    <d v="2023-01-29T00:00:00"/>
    <n v="26"/>
    <d v="2025-04-17T00:00:00"/>
    <s v="Apr-2025"/>
    <x v="2"/>
    <s v="Q2-2025"/>
    <n v="16"/>
    <n v="16"/>
    <n v="0"/>
    <d v="2025-05-03T00:00:00"/>
    <d v="2025-05-03T00:00:00"/>
    <x v="3"/>
    <x v="9"/>
    <s v="Rio de Janeiro"/>
    <s v="Consumer"/>
    <x v="3"/>
    <x v="10"/>
    <x v="4"/>
    <s v="NET-8610"/>
    <n v="168.68"/>
    <n v="185.54800000000003"/>
    <n v="413.34"/>
    <s v="Low"/>
    <n v="0.186"/>
    <n v="0.1"/>
    <s v=""/>
    <n v="7"/>
    <n v="8.4"/>
    <n v="1180.76"/>
    <n v="1773719.1704599999"/>
    <n v="1083819.4778900002"/>
    <n v="0.6110434481062299"/>
    <s v="A"/>
    <n v="1558.6032000000002"/>
    <n v="3124.8504000000003"/>
    <n v="2355.2113199999999"/>
    <n v="1174.4513199999999"/>
    <n v="1566.2472"/>
    <n v="0.49866069767361682"/>
  </r>
  <r>
    <s v="ORD-2025-331237"/>
    <s v="331237"/>
    <x v="2"/>
    <d v="2023-01-12T00:00:00"/>
    <n v="26"/>
    <d v="2025-03-24T00:00:00"/>
    <s v="Mar-2025"/>
    <x v="4"/>
    <s v="Q1-2025"/>
    <n v="1"/>
    <n v="1"/>
    <n v="1"/>
    <d v="2025-03-25T00:00:00"/>
    <d v="2025-03-25T00:00:00"/>
    <x v="1"/>
    <x v="4"/>
    <s v="Beijing"/>
    <s v="Non-Profit"/>
    <x v="4"/>
    <x v="2"/>
    <x v="4"/>
    <s v="NET-8329"/>
    <n v="1133.03"/>
    <n v="1246.3330000000001"/>
    <n v="1921.51"/>
    <s v="High"/>
    <n v="0.10100000000000001"/>
    <n v="0.1"/>
    <s v=""/>
    <n v="5"/>
    <n v="6"/>
    <n v="5665.15"/>
    <n v="1773719.1704599999"/>
    <n v="1092456.6653400003"/>
    <n v="0.61591298303252839"/>
    <s v="A"/>
    <n v="7477.9980000000005"/>
    <n v="10376.154"/>
    <n v="8637.1874499999994"/>
    <n v="2972.0374499999998"/>
    <n v="2898.1559999999999"/>
    <n v="0.3440978289755654"/>
  </r>
  <r>
    <s v="ORD-2025-548982"/>
    <s v="548982"/>
    <x v="2"/>
    <d v="2023-01-10T00:00:00"/>
    <n v="26"/>
    <d v="2025-04-07T00:00:00"/>
    <s v="Apr-2025"/>
    <x v="2"/>
    <s v="Q2-2025"/>
    <n v="4"/>
    <n v="4"/>
    <n v="1"/>
    <d v="2025-04-11T00:00:00"/>
    <d v="2025-04-11T00:00:00"/>
    <x v="2"/>
    <x v="5"/>
    <s v="Lyon"/>
    <s v="Education"/>
    <x v="1"/>
    <x v="12"/>
    <x v="4"/>
    <s v="NET-9716"/>
    <n v="754.77"/>
    <n v="830.24700000000007"/>
    <n v="1666.18"/>
    <s v="High"/>
    <n v="0.13900000000000001"/>
    <n v="0.1"/>
    <s v=""/>
    <n v="14"/>
    <n v="16.8"/>
    <n v="10566.779999999999"/>
    <n v="1773719.1704599999"/>
    <n v="1112540.7990600003"/>
    <n v="0.6272361586820262"/>
    <s v="A"/>
    <n v="13948.149600000002"/>
    <n v="25192.641600000003"/>
    <n v="20084.133720000002"/>
    <n v="9517.3537200000028"/>
    <n v="11244.492"/>
    <n v="0.47387424584424653"/>
  </r>
  <r>
    <s v="ORD-2025-330203"/>
    <s v="330203"/>
    <x v="2"/>
    <d v="2023-01-19T00:00:00"/>
    <n v="26"/>
    <d v="2025-03-25T00:00:00"/>
    <s v="Mar-2025"/>
    <x v="4"/>
    <s v="Q1-2025"/>
    <n v="23"/>
    <n v="23"/>
    <n v="0"/>
    <d v="2025-04-17T00:00:00"/>
    <d v="2025-04-17T00:00:00"/>
    <x v="2"/>
    <x v="2"/>
    <s v="London"/>
    <s v="Consumer"/>
    <x v="1"/>
    <x v="8"/>
    <x v="4"/>
    <s v="NET-7166"/>
    <n v="1421.19"/>
    <n v="1563.3090000000002"/>
    <n v="1808.26"/>
    <s v="High"/>
    <n v="0.104"/>
    <n v="0.1"/>
    <s v=""/>
    <n v="13"/>
    <n v="15.6"/>
    <n v="18475.47"/>
    <n v="1773719.1704599999"/>
    <n v="1133603.4115400002"/>
    <n v="0.6391109880410264"/>
    <s v="A"/>
    <n v="24387.620400000003"/>
    <n v="25387.970400000002"/>
    <n v="21062.61248"/>
    <n v="2587.1424799999986"/>
    <n v="1000.3499999999985"/>
    <n v="0.12283103449093123"/>
  </r>
  <r>
    <s v="ORD-2025-306251"/>
    <s v="306251"/>
    <x v="2"/>
    <d v="2023-01-07T00:00:00"/>
    <n v="27"/>
    <d v="2025-04-10T00:00:00"/>
    <s v="Apr-2025"/>
    <x v="2"/>
    <s v="Q2-2025"/>
    <n v="9"/>
    <n v="9"/>
    <n v="0"/>
    <d v="2025-04-19T00:00:00"/>
    <d v="2025-04-19T00:00:00"/>
    <x v="0"/>
    <x v="6"/>
    <s v="Durban"/>
    <s v="Enterprise"/>
    <x v="2"/>
    <x v="2"/>
    <x v="4"/>
    <s v="NET-5270"/>
    <n v="113.74"/>
    <n v="125.114"/>
    <n v="165.7"/>
    <s v="Low"/>
    <n v="0.124"/>
    <n v="0.1"/>
    <s v=""/>
    <n v="13"/>
    <n v="15.6"/>
    <n v="1478.62"/>
    <n v="1773719.1704599999"/>
    <n v="1135490.4031400003"/>
    <n v="0.64017484957639592"/>
    <s v="A"/>
    <n v="1951.7783999999999"/>
    <n v="2326.4279999999999"/>
    <n v="1886.9915999999998"/>
    <n v="408.37159999999994"/>
    <n v="374.64959999999996"/>
    <n v="0.21641410592394794"/>
  </r>
  <r>
    <s v="ORD-2025-364852"/>
    <s v="364852"/>
    <x v="2"/>
    <d v="2023-01-13T00:00:00"/>
    <n v="28"/>
    <d v="2025-05-18T00:00:00"/>
    <s v="May-2025"/>
    <x v="5"/>
    <s v="Q2-2025"/>
    <n v="22"/>
    <n v="22"/>
    <n v="0"/>
    <d v="2025-06-09T00:00:00"/>
    <d v="2025-06-09T00:00:00"/>
    <x v="3"/>
    <x v="11"/>
    <s v="New York"/>
    <s v="Consumer"/>
    <x v="1"/>
    <x v="8"/>
    <x v="4"/>
    <s v="NET-3749"/>
    <n v="382.96"/>
    <n v="421.25600000000003"/>
    <n v="552.84"/>
    <s v="Low"/>
    <n v="0.17599999999999999"/>
    <n v="0.1"/>
    <s v=""/>
    <n v="8"/>
    <n v="9.6"/>
    <n v="3063.68"/>
    <n v="1773719.1704599999"/>
    <n v="1139134.7244200003"/>
    <n v="0.64222947092835159"/>
    <s v="A"/>
    <n v="4044.0576000000001"/>
    <n v="4776.5376000000006"/>
    <n v="3644.3212800000006"/>
    <n v="580.64128000000073"/>
    <n v="732.48000000000047"/>
    <n v="0.15932768693763483"/>
  </r>
  <r>
    <s v="ORD-2025-188059"/>
    <s v="188059"/>
    <x v="2"/>
    <d v="2023-01-12T00:00:00"/>
    <n v="29"/>
    <d v="2025-06-27T00:00:00"/>
    <s v="Jun-2025"/>
    <x v="6"/>
    <s v="Q2-2025"/>
    <n v="14"/>
    <n v="14"/>
    <n v="0"/>
    <d v="2025-07-11T00:00:00"/>
    <d v="2025-07-11T00:00:00"/>
    <x v="1"/>
    <x v="4"/>
    <s v="Shanghai"/>
    <s v="Small Business"/>
    <x v="3"/>
    <x v="4"/>
    <x v="4"/>
    <s v="NET-3535"/>
    <n v="1227.7"/>
    <n v="1350.4700000000003"/>
    <n v="2197.23"/>
    <s v="High"/>
    <n v="9.9000000000000005E-2"/>
    <n v="9.9000000000000005E-2"/>
    <s v=""/>
    <n v="22"/>
    <n v="26.4"/>
    <n v="27009.4"/>
    <n v="1773719.1704599999"/>
    <n v="1182688.2174800003"/>
    <n v="0.66678436878667757"/>
    <s v="A"/>
    <n v="35652.408000000003"/>
    <n v="52264.191672000001"/>
    <n v="43553.493060000001"/>
    <n v="16544.093059999999"/>
    <n v="16611.783671999998"/>
    <n v="0.37985685871873898"/>
  </r>
  <r>
    <s v="ORD-2025-184082"/>
    <s v="184082"/>
    <x v="2"/>
    <d v="2023-01-19T00:00:00"/>
    <n v="29"/>
    <d v="2025-06-19T00:00:00"/>
    <s v="Jun-2025"/>
    <x v="6"/>
    <s v="Q2-2025"/>
    <n v="23"/>
    <n v="23"/>
    <n v="0"/>
    <d v="2025-07-12T00:00:00"/>
    <d v="2025-07-12T00:00:00"/>
    <x v="2"/>
    <x v="2"/>
    <s v="London"/>
    <s v="Non-Profit"/>
    <x v="0"/>
    <x v="0"/>
    <x v="4"/>
    <s v="NET-6370"/>
    <n v="801.24"/>
    <n v="881.36400000000003"/>
    <n v="1959.09"/>
    <s v="High"/>
    <n v="0.123"/>
    <n v="0.1"/>
    <s v=""/>
    <n v="23"/>
    <n v="27.599999999999998"/>
    <n v="18428.52"/>
    <n v="1773719.1704599999"/>
    <n v="1222205.0218700003"/>
    <n v="0.68906343361730205"/>
    <s v="A"/>
    <n v="24325.646399999998"/>
    <n v="48663.79559999999"/>
    <n v="39516.804389999998"/>
    <n v="21088.284389999997"/>
    <n v="24338.149199999993"/>
    <n v="0.53365358650651762"/>
  </r>
  <r>
    <s v="ORD-2023-177794"/>
    <s v="177794"/>
    <x v="0"/>
    <d v="2023-01-13T00:00:00"/>
    <n v="3"/>
    <d v="2023-05-04T00:00:00"/>
    <s v="May-2023"/>
    <x v="5"/>
    <s v="Q2-2023"/>
    <n v="22"/>
    <n v="22"/>
    <n v="0"/>
    <d v="2023-05-26T00:00:00"/>
    <d v="2023-05-26T00:00:00"/>
    <x v="3"/>
    <x v="11"/>
    <s v="San Francisco"/>
    <s v="Enterprise"/>
    <x v="4"/>
    <x v="10"/>
    <x v="4"/>
    <s v="NET-5941"/>
    <n v="249.71"/>
    <n v="274.68100000000004"/>
    <n v="361.33"/>
    <s v="Low"/>
    <n v="9.4E-2"/>
    <n v="9.4E-2"/>
    <s v=""/>
    <n v="12"/>
    <n v="14.399999999999999"/>
    <n v="2996.52"/>
    <n v="1773719.1704599999"/>
    <n v="1226133.4016300002"/>
    <n v="0.69127820347795654"/>
    <s v="A"/>
    <n v="3955.4064000000003"/>
    <n v="4714.0557119999994"/>
    <n v="3928.3797600000003"/>
    <n v="931.85976000000028"/>
    <n v="758.6493119999991"/>
    <n v="0.23721223937881206"/>
  </r>
  <r>
    <s v="ORD-2023-766015"/>
    <s v="766015"/>
    <x v="0"/>
    <d v="2023-01-13T00:00:00"/>
    <n v="3"/>
    <d v="2023-04-13T00:00:00"/>
    <s v="Apr-2023"/>
    <x v="2"/>
    <s v="Q2-2023"/>
    <n v="-2"/>
    <n v="15"/>
    <n v="0"/>
    <d v="2023-04-11T00:00:00"/>
    <d v="2023-04-28T00:00:00"/>
    <x v="3"/>
    <x v="11"/>
    <s v="San Francisco"/>
    <s v="Education"/>
    <x v="3"/>
    <x v="2"/>
    <x v="4"/>
    <s v="NET-1816"/>
    <n v="32.1"/>
    <n v="35.31"/>
    <n v="70.599999999999994"/>
    <s v="Low"/>
    <n v="0.28199999999999997"/>
    <n v="0.1"/>
    <s v=""/>
    <n v="22"/>
    <n v="26.4"/>
    <n v="706.2"/>
    <n v="1773719.1704599999"/>
    <n v="1227248.5992300003"/>
    <n v="0.69190693750675492"/>
    <s v="A"/>
    <n v="932.18399999999997"/>
    <n v="1677.4559999999997"/>
    <n v="1115.1975999999997"/>
    <n v="408.99759999999969"/>
    <n v="745.27199999999971"/>
    <n v="0.36674899587301818"/>
  </r>
  <r>
    <s v="ORD-2023-867836"/>
    <s v="867836"/>
    <x v="0"/>
    <d v="2023-01-12T00:00:00"/>
    <n v="3"/>
    <d v="2023-05-11T00:00:00"/>
    <s v="May-2023"/>
    <x v="5"/>
    <s v="Q2-2023"/>
    <n v="17"/>
    <n v="17"/>
    <n v="0"/>
    <d v="2023-05-28T00:00:00"/>
    <d v="2023-05-28T00:00:00"/>
    <x v="1"/>
    <x v="4"/>
    <s v="Shenzhen"/>
    <s v="Enterprise"/>
    <x v="3"/>
    <x v="12"/>
    <x v="4"/>
    <s v="NET-3255"/>
    <n v="1331.19"/>
    <n v="1464.3090000000002"/>
    <n v="2903.09"/>
    <s v="High"/>
    <n v="0.14299999999999999"/>
    <n v="0.1"/>
    <s v=""/>
    <n v="8"/>
    <n v="9.6"/>
    <n v="10649.52"/>
    <n v="1773719.1704599999"/>
    <n v="1247152.1842700003"/>
    <n v="0.70312832213825671"/>
    <s v="A"/>
    <n v="14057.366400000001"/>
    <n v="25082.6976"/>
    <n v="19903.585040000002"/>
    <n v="9254.0650400000013"/>
    <n v="11025.331199999999"/>
    <n v="0.46494463290920784"/>
  </r>
  <r>
    <s v="ORD-2023-256951"/>
    <s v="256951"/>
    <x v="0"/>
    <d v="2023-01-19T00:00:00"/>
    <n v="3"/>
    <d v="2023-04-19T00:00:00"/>
    <s v="Apr-2023"/>
    <x v="2"/>
    <s v="Q2-2023"/>
    <n v="18"/>
    <n v="18"/>
    <n v="0"/>
    <d v="2023-05-07T00:00:00"/>
    <d v="2023-05-07T00:00:00"/>
    <x v="2"/>
    <x v="2"/>
    <s v="London"/>
    <s v="Non-Profit"/>
    <x v="0"/>
    <x v="8"/>
    <x v="4"/>
    <s v="NET-2439"/>
    <n v="516.96"/>
    <n v="568.65600000000006"/>
    <n v="745.38"/>
    <s v="Low"/>
    <n v="0.19700000000000001"/>
    <n v="0.1"/>
    <s v=""/>
    <n v="4"/>
    <n v="4.8"/>
    <n v="2067.84"/>
    <n v="1773719.1704599999"/>
    <n v="1249546.3448300003"/>
    <n v="0.70447811899441803"/>
    <s v="A"/>
    <n v="2729.5488"/>
    <n v="3220.0416"/>
    <n v="2394.1605599999998"/>
    <n v="326.32055999999966"/>
    <n v="490.49279999999999"/>
    <n v="0.13629852794835101"/>
  </r>
  <r>
    <s v="ORD-2025-678688"/>
    <s v="678688"/>
    <x v="2"/>
    <d v="2023-01-07T00:00:00"/>
    <n v="30"/>
    <d v="2025-07-16T00:00:00"/>
    <s v="Jul-2025"/>
    <x v="7"/>
    <s v="Q3-2025"/>
    <n v="1"/>
    <n v="1"/>
    <n v="1"/>
    <d v="2025-07-17T00:00:00"/>
    <d v="2025-07-17T00:00:00"/>
    <x v="0"/>
    <x v="6"/>
    <s v="Durban"/>
    <s v="Small Business"/>
    <x v="2"/>
    <x v="1"/>
    <x v="4"/>
    <s v="NET-1612"/>
    <n v="1198.9000000000001"/>
    <n v="1318.7900000000002"/>
    <n v="2941.2"/>
    <s v="High"/>
    <n v="5.0999999999999997E-2"/>
    <n v="5.0999999999999997E-2"/>
    <s v=""/>
    <n v="24"/>
    <n v="28.799999999999997"/>
    <n v="28773.600000000002"/>
    <n v="1773719.1704599999"/>
    <n v="1316535.1160300004"/>
    <n v="0.74224552452041637"/>
    <s v="A"/>
    <n v="37981.152000000002"/>
    <n v="80386.525439999983"/>
    <n v="66988.771199999988"/>
    <n v="38215.171199999982"/>
    <n v="42405.373439999981"/>
    <n v="0.57047129713583977"/>
  </r>
  <r>
    <s v="ORD-2025-474710"/>
    <s v="474710"/>
    <x v="2"/>
    <d v="2023-01-07T00:00:00"/>
    <n v="30"/>
    <d v="2025-07-24T00:00:00"/>
    <s v="Jul-2025"/>
    <x v="7"/>
    <s v="Q3-2025"/>
    <n v="13"/>
    <n v="13"/>
    <n v="0"/>
    <d v="2025-08-06T00:00:00"/>
    <d v="2025-08-06T00:00:00"/>
    <x v="0"/>
    <x v="6"/>
    <s v="Johannesburg"/>
    <s v="Education"/>
    <x v="3"/>
    <x v="0"/>
    <x v="4"/>
    <s v="NET-7966"/>
    <n v="1463.9"/>
    <n v="1610.2900000000002"/>
    <n v="2633.02"/>
    <s v="High"/>
    <n v="8.4000000000000005E-2"/>
    <n v="8.4000000000000005E-2"/>
    <s v=""/>
    <n v="4"/>
    <n v="4.8"/>
    <n v="5855.6"/>
    <n v="1773719.1704599999"/>
    <n v="1326182.5013100004"/>
    <n v="0.74768459595893388"/>
    <s v="A"/>
    <n v="7729.3920000000007"/>
    <n v="11576.862336"/>
    <n v="9647.3852800000004"/>
    <n v="3791.7852800000001"/>
    <n v="3847.4703359999994"/>
    <n v="0.39303761277791527"/>
  </r>
  <r>
    <s v="ORD-2025-541501"/>
    <s v="541501"/>
    <x v="2"/>
    <d v="2023-01-12T00:00:00"/>
    <n v="30"/>
    <d v="2025-07-22T00:00:00"/>
    <s v="Jul-2025"/>
    <x v="7"/>
    <s v="Q3-2025"/>
    <n v="27"/>
    <n v="27"/>
    <n v="0"/>
    <d v="2025-08-18T00:00:00"/>
    <d v="2025-08-18T00:00:00"/>
    <x v="1"/>
    <x v="4"/>
    <s v="Shenzhen"/>
    <s v="Non-Profit"/>
    <x v="3"/>
    <x v="6"/>
    <x v="4"/>
    <s v="NET-1804"/>
    <n v="547.32000000000005"/>
    <n v="602.05200000000013"/>
    <n v="419.17"/>
    <s v="Low"/>
    <n v="9.1999999999999998E-2"/>
    <n v="9.1999999999999998E-2"/>
    <s v=""/>
    <n v="14"/>
    <n v="16.8"/>
    <n v="7662.4800000000005"/>
    <n v="1773719.1704599999"/>
    <n v="1331510.9903500003"/>
    <n v="0.75068872938024545"/>
    <s v="A"/>
    <n v="10114.473600000003"/>
    <n v="6394.1868480000003"/>
    <n v="5328.4890400000004"/>
    <n v="-2333.9909600000001"/>
    <n v="-3720.2867520000027"/>
    <n v="-0.43802116181137907"/>
  </r>
  <r>
    <s v="ORD-2025-822030"/>
    <s v="822030"/>
    <x v="2"/>
    <d v="2023-01-02T00:00:00"/>
    <n v="31"/>
    <d v="2025-08-07T00:00:00"/>
    <s v="Aug-2025"/>
    <x v="8"/>
    <s v="Q3-2025"/>
    <n v="30"/>
    <n v="30"/>
    <n v="0"/>
    <d v="2025-09-06T00:00:00"/>
    <d v="2025-09-06T00:00:00"/>
    <x v="3"/>
    <x v="10"/>
    <s v="Montreal"/>
    <s v="Education"/>
    <x v="0"/>
    <x v="6"/>
    <x v="4"/>
    <s v="NET-1336"/>
    <n v="833.73"/>
    <n v="917.10300000000007"/>
    <n v="1116.5999999999999"/>
    <s v="Medium"/>
    <n v="0.17599999999999999"/>
    <n v="0.1"/>
    <s v=""/>
    <n v="14"/>
    <n v="16.8"/>
    <n v="11672.220000000001"/>
    <n v="1773719.1704599999"/>
    <n v="1344392.0879500003"/>
    <n v="0.75795092613299264"/>
    <s v="A"/>
    <n v="15407.330400000003"/>
    <n v="16882.992000000002"/>
    <n v="12881.097599999999"/>
    <n v="1208.877599999998"/>
    <n v="1475.6615999999995"/>
    <n v="9.3848958958279924E-2"/>
  </r>
  <r>
    <s v="ORD-2025-281413"/>
    <s v="281413"/>
    <x v="2"/>
    <d v="2023-01-02T00:00:00"/>
    <n v="31"/>
    <d v="2025-08-03T00:00:00"/>
    <s v="Aug-2025"/>
    <x v="8"/>
    <s v="Q3-2025"/>
    <n v="13"/>
    <n v="13"/>
    <n v="0"/>
    <d v="2025-08-16T00:00:00"/>
    <d v="2025-08-16T00:00:00"/>
    <x v="3"/>
    <x v="10"/>
    <s v="Montreal"/>
    <s v="Enterprise"/>
    <x v="2"/>
    <x v="7"/>
    <x v="4"/>
    <s v="NET-3785"/>
    <n v="698.66"/>
    <n v="768.52600000000007"/>
    <n v="868.62"/>
    <s v="Medium"/>
    <n v="7.1999999999999995E-2"/>
    <n v="7.1999999999999995E-2"/>
    <s v=""/>
    <n v="15"/>
    <n v="18"/>
    <n v="10479.9"/>
    <n v="1773719.1704599999"/>
    <n v="1356483.2783500003"/>
    <n v="0.7647677833905393"/>
    <s v="A"/>
    <n v="13833.468000000001"/>
    <n v="14509.42848"/>
    <n v="12091.190399999999"/>
    <n v="1611.2903999999999"/>
    <n v="675.96047999999973"/>
    <n v="0.13326151906432637"/>
  </r>
  <r>
    <s v="ORD-2025-960931"/>
    <s v="960931"/>
    <x v="2"/>
    <d v="2023-01-13T00:00:00"/>
    <n v="31"/>
    <d v="2025-08-20T00:00:00"/>
    <s v="Aug-2025"/>
    <x v="8"/>
    <s v="Q3-2025"/>
    <n v="6"/>
    <n v="6"/>
    <n v="1"/>
    <d v="2025-08-26T00:00:00"/>
    <d v="2025-08-26T00:00:00"/>
    <x v="3"/>
    <x v="11"/>
    <s v="New York"/>
    <s v="Corporate"/>
    <x v="1"/>
    <x v="6"/>
    <x v="4"/>
    <s v="NET-5196"/>
    <n v="1304.95"/>
    <n v="1435.4450000000002"/>
    <n v="1712.03"/>
    <s v="High"/>
    <n v="0.21199999999999999"/>
    <n v="0.1"/>
    <s v=""/>
    <n v="8"/>
    <n v="9.6"/>
    <n v="10439.6"/>
    <n v="1773719.1704599999"/>
    <n v="1367275.9154700004"/>
    <n v="0.77085253305088219"/>
    <s v="A"/>
    <n v="13780.272000000001"/>
    <n v="14791.939199999999"/>
    <n v="10792.637119999999"/>
    <n v="353.03711999999905"/>
    <n v="1011.667199999998"/>
    <n v="3.2710922833287949E-2"/>
  </r>
  <r>
    <s v="ORD-2025-189846"/>
    <s v="189846"/>
    <x v="2"/>
    <d v="2023-01-10T00:00:00"/>
    <n v="31"/>
    <d v="2025-08-11T00:00:00"/>
    <s v="Aug-2025"/>
    <x v="8"/>
    <s v="Q3-2025"/>
    <n v="17"/>
    <n v="17"/>
    <n v="0"/>
    <d v="2025-08-28T00:00:00"/>
    <d v="2025-08-28T00:00:00"/>
    <x v="2"/>
    <x v="5"/>
    <s v="Paris"/>
    <s v="Education"/>
    <x v="4"/>
    <x v="5"/>
    <x v="4"/>
    <s v="NET-6218"/>
    <n v="416.16"/>
    <n v="457.77600000000007"/>
    <n v="571.9"/>
    <s v="Low"/>
    <n v="7.0999999999999994E-2"/>
    <n v="7.0999999999999994E-2"/>
    <s v=""/>
    <n v="2"/>
    <n v="2.4"/>
    <n v="832.32"/>
    <n v="1773719.1704599999"/>
    <n v="1368338.5056700003"/>
    <n v="0.77145160770582"/>
    <s v="A"/>
    <n v="1098.6624000000002"/>
    <n v="1275.10824"/>
    <n v="1062.5902000000001"/>
    <n v="230.27020000000005"/>
    <n v="176.44583999999986"/>
    <n v="0.21670649701079497"/>
  </r>
  <r>
    <s v="ORD-2025-737787"/>
    <s v="737787"/>
    <x v="2"/>
    <d v="2023-01-19T00:00:00"/>
    <n v="31"/>
    <d v="2025-09-14T00:00:00"/>
    <s v="Sept-2025"/>
    <x v="11"/>
    <s v="Q3-2025"/>
    <n v="12"/>
    <n v="12"/>
    <n v="0"/>
    <d v="2025-09-26T00:00:00"/>
    <d v="2025-09-26T00:00:00"/>
    <x v="2"/>
    <x v="2"/>
    <s v="London"/>
    <s v="Small Business"/>
    <x v="0"/>
    <x v="14"/>
    <x v="4"/>
    <s v="NET-9003"/>
    <n v="425.15"/>
    <n v="467.66500000000002"/>
    <n v="885.92"/>
    <s v="Medium"/>
    <n v="0.23899999999999999"/>
    <n v="0.1"/>
    <s v=""/>
    <n v="13"/>
    <n v="15.6"/>
    <n v="5526.95"/>
    <n v="1773719.1704599999"/>
    <n v="1377102.9122300004"/>
    <n v="0.77639286712611877"/>
    <s v="A"/>
    <n v="7295.5740000000005"/>
    <n v="12438.316799999999"/>
    <n v="8764.4065599999994"/>
    <n v="3237.4565599999996"/>
    <n v="5142.7427999999982"/>
    <n v="0.3693868532725848"/>
  </r>
  <r>
    <s v="ORD-2023-434071"/>
    <s v="434071"/>
    <x v="0"/>
    <d v="2023-01-29T00:00:00"/>
    <n v="4"/>
    <d v="2023-06-20T00:00:00"/>
    <s v="Jun-2023"/>
    <x v="6"/>
    <s v="Q2-2023"/>
    <n v="14"/>
    <n v="14"/>
    <n v="0"/>
    <d v="2023-07-04T00:00:00"/>
    <d v="2023-07-04T00:00:00"/>
    <x v="3"/>
    <x v="9"/>
    <s v="Brasília"/>
    <s v="Non-Profit"/>
    <x v="0"/>
    <x v="9"/>
    <x v="4"/>
    <s v="NET-1228"/>
    <n v="1292.8599999999999"/>
    <n v="1422.146"/>
    <n v="2981.01"/>
    <s v="High"/>
    <n v="0.14199999999999999"/>
    <n v="0.1"/>
    <s v=""/>
    <n v="12"/>
    <n v="14.399999999999999"/>
    <n v="15514.32"/>
    <n v="1773719.1704599999"/>
    <n v="1407795.3911900003"/>
    <n v="0.79369689105006391"/>
    <s v="A"/>
    <n v="20478.902399999999"/>
    <n v="38633.889600000002"/>
    <n v="30692.47896"/>
    <n v="15178.158960000001"/>
    <n v="18154.987200000003"/>
    <n v="0.49452372288927687"/>
  </r>
  <r>
    <s v="ORD-2023-290237"/>
    <s v="290237"/>
    <x v="0"/>
    <d v="2023-03-03T00:00:00"/>
    <n v="4"/>
    <d v="2023-07-30T00:00:00"/>
    <s v="Jul-2023"/>
    <x v="7"/>
    <s v="Q3-2023"/>
    <n v="8"/>
    <n v="8"/>
    <n v="0"/>
    <d v="2023-08-07T00:00:00"/>
    <d v="2023-08-07T00:00:00"/>
    <x v="1"/>
    <x v="3"/>
    <s v="Nagoya"/>
    <s v="Education"/>
    <x v="3"/>
    <x v="3"/>
    <x v="4"/>
    <s v="NET-1645"/>
    <n v="1352.44"/>
    <n v="1487.6840000000002"/>
    <n v="2698.01"/>
    <s v="High"/>
    <n v="0.13100000000000001"/>
    <n v="0.1"/>
    <s v=""/>
    <n v="13"/>
    <n v="15.6"/>
    <n v="17581.72"/>
    <n v="1773719.1704599999"/>
    <n v="1438274.8101600003"/>
    <n v="0.81088079449859884"/>
    <s v="B"/>
    <n v="23207.870400000003"/>
    <n v="37880.060400000009"/>
    <n v="30479.418970000002"/>
    <n v="12897.698970000001"/>
    <n v="14672.190000000006"/>
    <n v="0.42316091992090887"/>
  </r>
  <r>
    <s v="ORD-2023-309373"/>
    <s v="309373"/>
    <x v="0"/>
    <d v="2023-01-29T00:00:00"/>
    <n v="5"/>
    <d v="2023-07-05T00:00:00"/>
    <s v="Jul-2023"/>
    <x v="7"/>
    <s v="Q3-2023"/>
    <n v="9"/>
    <n v="9"/>
    <n v="0"/>
    <d v="2023-07-14T00:00:00"/>
    <d v="2023-07-14T00:00:00"/>
    <x v="3"/>
    <x v="9"/>
    <s v="Brasília"/>
    <s v="Enterprise"/>
    <x v="0"/>
    <x v="1"/>
    <x v="4"/>
    <s v="NET-2394"/>
    <n v="578.85"/>
    <n v="636.73500000000013"/>
    <n v="998.76"/>
    <s v="Medium"/>
    <n v="8.2000000000000003E-2"/>
    <n v="8.2000000000000003E-2"/>
    <s v=""/>
    <n v="28"/>
    <n v="33.6"/>
    <n v="16207.800000000001"/>
    <n v="1773719.1704599999"/>
    <n v="1463946.9372000003"/>
    <n v="0.82535440873672083"/>
    <s v="B"/>
    <n v="21394.296000000006"/>
    <n v="30806.552448000006"/>
    <n v="25672.127039999999"/>
    <n v="9464.3270399999983"/>
    <n v="9412.2564480000001"/>
    <n v="0.36866158480960831"/>
  </r>
  <r>
    <s v="ORD-2023-594700"/>
    <s v="594700"/>
    <x v="0"/>
    <d v="2023-01-29T00:00:00"/>
    <n v="5"/>
    <d v="2023-07-18T00:00:00"/>
    <s v="Jul-2023"/>
    <x v="7"/>
    <s v="Q3-2023"/>
    <n v="4"/>
    <n v="4"/>
    <n v="1"/>
    <d v="2023-07-22T00:00:00"/>
    <d v="2023-07-22T00:00:00"/>
    <x v="3"/>
    <x v="9"/>
    <s v="São Paulo"/>
    <s v="Consumer"/>
    <x v="0"/>
    <x v="5"/>
    <x v="4"/>
    <s v="NET-1699"/>
    <n v="1269.55"/>
    <n v="1396.5050000000001"/>
    <n v="2071.1"/>
    <s v="High"/>
    <n v="0.129"/>
    <n v="0.1"/>
    <s v=""/>
    <n v="22"/>
    <n v="26.4"/>
    <n v="27930.1"/>
    <n v="1773719.1704599999"/>
    <n v="1503633.3554000002"/>
    <n v="0.84772909964661702"/>
    <s v="B"/>
    <n v="36867.732000000004"/>
    <n v="49209.335999999996"/>
    <n v="39686.4182"/>
    <n v="11756.318200000002"/>
    <n v="12341.603999999992"/>
    <n v="0.29623026549672354"/>
  </r>
  <r>
    <s v="ORD-2023-594955"/>
    <s v="594955"/>
    <x v="0"/>
    <d v="2023-01-13T00:00:00"/>
    <n v="5"/>
    <d v="2023-06-20T00:00:00"/>
    <s v="Jun-2023"/>
    <x v="6"/>
    <s v="Q2-2023"/>
    <n v="18"/>
    <n v="18"/>
    <n v="0"/>
    <d v="2023-07-08T00:00:00"/>
    <d v="2023-07-08T00:00:00"/>
    <x v="3"/>
    <x v="11"/>
    <s v="New York"/>
    <s v="Consumer"/>
    <x v="3"/>
    <x v="7"/>
    <x v="4"/>
    <s v="NET-3828"/>
    <n v="1145.53"/>
    <n v="1260.0830000000001"/>
    <n v="1278.3"/>
    <s v="Medium"/>
    <n v="0.09"/>
    <n v="0.09"/>
    <s v=""/>
    <n v="41"/>
    <n v="49.199999999999996"/>
    <n v="46966.729999999996"/>
    <n v="1773719.1704599999"/>
    <n v="1551326.7284000001"/>
    <n v="0.87461800844024029"/>
    <s v="B"/>
    <n v="61996.083599999998"/>
    <n v="57232.047599999998"/>
    <n v="47693.373"/>
    <n v="726.64300000000367"/>
    <n v="-4764.0360000000001"/>
    <n v="1.5235722581416158E-2"/>
  </r>
  <r>
    <s v="ORD-2023-215819"/>
    <s v="215819"/>
    <x v="0"/>
    <d v="2023-01-10T00:00:00"/>
    <n v="5"/>
    <d v="2023-07-01T00:00:00"/>
    <s v="Jul-2023"/>
    <x v="7"/>
    <s v="Q3-2023"/>
    <n v="10"/>
    <n v="10"/>
    <n v="0"/>
    <d v="2023-07-11T00:00:00"/>
    <d v="2023-07-11T00:00:00"/>
    <x v="2"/>
    <x v="5"/>
    <s v="Paris"/>
    <s v="Corporate"/>
    <x v="0"/>
    <x v="5"/>
    <x v="4"/>
    <s v="NET-6533"/>
    <n v="479.5"/>
    <n v="527.45000000000005"/>
    <n v="656.66"/>
    <s v="Low"/>
    <n v="0.14899999999999999"/>
    <n v="0.1"/>
    <s v=""/>
    <n v="14"/>
    <n v="16.8"/>
    <n v="6713"/>
    <n v="1773719.1704599999"/>
    <n v="1559150.17564"/>
    <n v="0.87902876712757572"/>
    <s v="B"/>
    <n v="8861.1600000000017"/>
    <n v="9928.6992000000009"/>
    <n v="7823.4472399999995"/>
    <n v="1110.4472399999995"/>
    <n v="1067.5391999999993"/>
    <n v="0.14193835606412289"/>
  </r>
  <r>
    <s v="ORD-2023-630430"/>
    <s v="630430"/>
    <x v="0"/>
    <d v="2023-01-29T00:00:00"/>
    <n v="6"/>
    <d v="2023-08-04T00:00:00"/>
    <s v="Aug-2023"/>
    <x v="8"/>
    <s v="Q3-2023"/>
    <n v="20"/>
    <n v="20"/>
    <n v="0"/>
    <d v="2023-08-24T00:00:00"/>
    <d v="2023-08-24T00:00:00"/>
    <x v="3"/>
    <x v="9"/>
    <s v="Brasília"/>
    <s v="Non-Profit"/>
    <x v="0"/>
    <x v="4"/>
    <x v="4"/>
    <s v="NET-9125"/>
    <n v="582.88"/>
    <n v="641.16800000000001"/>
    <n v="1044.1400000000001"/>
    <s v="Medium"/>
    <n v="0.216"/>
    <n v="0.1"/>
    <s v=""/>
    <n v="10"/>
    <n v="12"/>
    <n v="5828.8"/>
    <n v="1773719.1704599999"/>
    <n v="1567336.23324"/>
    <n v="0.88364396086079611"/>
    <s v="B"/>
    <n v="7694.0159999999996"/>
    <n v="11276.712000000001"/>
    <n v="8186.057600000001"/>
    <n v="2357.2576000000008"/>
    <n v="3582.6960000000017"/>
    <n v="0.28796005539956138"/>
  </r>
  <r>
    <s v="ORD-2023-867175"/>
    <s v="867175"/>
    <x v="0"/>
    <d v="2023-01-29T00:00:00"/>
    <n v="6"/>
    <d v="2023-08-10T00:00:00"/>
    <s v="Aug-2023"/>
    <x v="8"/>
    <s v="Q3-2023"/>
    <n v="5"/>
    <n v="5"/>
    <n v="1"/>
    <d v="2023-08-15T00:00:00"/>
    <d v="2023-08-15T00:00:00"/>
    <x v="3"/>
    <x v="9"/>
    <s v="São Paulo"/>
    <s v="Education"/>
    <x v="0"/>
    <x v="2"/>
    <x v="4"/>
    <s v="NET-2894"/>
    <n v="1307.52"/>
    <n v="1438.2720000000002"/>
    <n v="1921.65"/>
    <s v="High"/>
    <n v="0.123"/>
    <n v="0.1"/>
    <s v=""/>
    <n v="13"/>
    <n v="15.6"/>
    <n v="16997.759999999998"/>
    <n v="1773719.1704599999"/>
    <n v="1589244.9648899999"/>
    <n v="0.89599582129895006"/>
    <s v="B"/>
    <n v="22437.043200000004"/>
    <n v="26979.966"/>
    <n v="21908.731650000002"/>
    <n v="4910.9716500000031"/>
    <n v="4542.9227999999966"/>
    <n v="0.22415590863289445"/>
  </r>
  <r>
    <s v="ORD-2023-885216"/>
    <s v="885216"/>
    <x v="0"/>
    <d v="2023-01-12T00:00:00"/>
    <n v="6"/>
    <d v="2023-08-03T00:00:00"/>
    <s v="Aug-2023"/>
    <x v="8"/>
    <s v="Q3-2023"/>
    <n v="-1"/>
    <n v="15"/>
    <n v="0"/>
    <d v="2023-08-02T00:00:00"/>
    <d v="2023-08-18T00:00:00"/>
    <x v="1"/>
    <x v="4"/>
    <s v="Shanghai"/>
    <s v="Non-Profit"/>
    <x v="0"/>
    <x v="10"/>
    <x v="4"/>
    <s v="NET-4735"/>
    <n v="1021.97"/>
    <n v="1124.1670000000001"/>
    <n v="2296.25"/>
    <s v="High"/>
    <n v="0.161"/>
    <n v="0.1"/>
    <s v=""/>
    <n v="26"/>
    <n v="31.2"/>
    <n v="26571.22"/>
    <n v="1773719.1704599999"/>
    <n v="1639335.3623899999"/>
    <n v="0.92423614160118217"/>
    <s v="B"/>
    <n v="35074.010400000006"/>
    <n v="64478.700000000004"/>
    <n v="50090.397499999999"/>
    <n v="23519.177499999998"/>
    <n v="29404.689599999998"/>
    <n v="0.46953465482081669"/>
  </r>
  <r>
    <s v="ORD-2023-451931"/>
    <s v="451931"/>
    <x v="0"/>
    <d v="2023-01-10T00:00:00"/>
    <n v="6"/>
    <d v="2023-07-30T00:00:00"/>
    <s v="Jul-2023"/>
    <x v="7"/>
    <s v="Q3-2023"/>
    <n v="20"/>
    <n v="20"/>
    <n v="0"/>
    <d v="2023-08-19T00:00:00"/>
    <d v="2023-08-19T00:00:00"/>
    <x v="2"/>
    <x v="5"/>
    <s v="Paris"/>
    <s v="Enterprise"/>
    <x v="3"/>
    <x v="2"/>
    <x v="4"/>
    <s v="NET-5423"/>
    <n v="1418.51"/>
    <n v="1560.3610000000001"/>
    <n v="2789.61"/>
    <s v="High"/>
    <n v="0.17100000000000001"/>
    <n v="0.1"/>
    <s v=""/>
    <n v="8"/>
    <n v="9.6"/>
    <n v="11348.08"/>
    <n v="1773719.1704599999"/>
    <n v="1657836.0559099999"/>
    <n v="0.93466659408098596"/>
    <s v="B"/>
    <n v="14979.4656"/>
    <n v="24102.2304"/>
    <n v="18500.693520000001"/>
    <n v="7152.6135200000008"/>
    <n v="9122.7648000000008"/>
    <n v="0.38661326464695689"/>
  </r>
  <r>
    <s v="ORD-2023-713614"/>
    <s v="713614"/>
    <x v="0"/>
    <d v="2023-01-02T00:00:00"/>
    <n v="7"/>
    <d v="2023-08-02T00:00:00"/>
    <s v="Aug-2023"/>
    <x v="8"/>
    <s v="Q3-2023"/>
    <n v="17"/>
    <n v="17"/>
    <n v="0"/>
    <d v="2023-08-19T00:00:00"/>
    <d v="2023-08-19T00:00:00"/>
    <x v="3"/>
    <x v="10"/>
    <s v="Vancouver"/>
    <s v="Corporate"/>
    <x v="4"/>
    <x v="5"/>
    <x v="4"/>
    <s v="NET-3689"/>
    <n v="175.38"/>
    <n v="192.91800000000001"/>
    <n v="347.9"/>
    <s v="Low"/>
    <n v="7.1999999999999995E-2"/>
    <n v="7.1999999999999995E-2"/>
    <s v=""/>
    <n v="43"/>
    <n v="51.6"/>
    <n v="7541.34"/>
    <n v="1773719.1704599999"/>
    <n v="1671718.6575099998"/>
    <n v="0.9424934258766865"/>
    <s v="B"/>
    <n v="9954.5688000000009"/>
    <n v="16659.121920000001"/>
    <n v="13882.6016"/>
    <n v="6341.2615999999998"/>
    <n v="6704.5531200000005"/>
    <n v="0.45677761148169804"/>
  </r>
  <r>
    <s v="ORD-2023-235230"/>
    <s v="235230"/>
    <x v="0"/>
    <d v="2023-01-22T00:00:00"/>
    <n v="7"/>
    <d v="2023-08-30T00:00:00"/>
    <s v="Aug-2023"/>
    <x v="8"/>
    <s v="Q3-2023"/>
    <n v="2"/>
    <n v="2"/>
    <n v="1"/>
    <d v="2023-09-01T00:00:00"/>
    <d v="2023-09-01T00:00:00"/>
    <x v="2"/>
    <x v="7"/>
    <s v="Munich"/>
    <s v="Corporate"/>
    <x v="0"/>
    <x v="14"/>
    <x v="4"/>
    <s v="NET-9989"/>
    <n v="44.42"/>
    <n v="48.862000000000009"/>
    <n v="41.9"/>
    <s v="Low"/>
    <n v="0.14399999999999999"/>
    <n v="0.1"/>
    <s v=""/>
    <n v="6"/>
    <n v="7.1999999999999993"/>
    <n v="266.52"/>
    <n v="1773719.1704599999"/>
    <n v="1671933.8559099999"/>
    <n v="0.9426147519600846"/>
    <s v="B"/>
    <n v="351.80640000000005"/>
    <n v="271.51199999999994"/>
    <n v="215.19839999999996"/>
    <n v="-51.321600000000018"/>
    <n v="-80.29440000000011"/>
    <n v="-0.23848504449847224"/>
  </r>
  <r>
    <s v="ORD-2023-502205"/>
    <s v="502205"/>
    <x v="0"/>
    <d v="2023-01-15T00:00:00"/>
    <n v="8"/>
    <d v="2023-10-09T00:00:00"/>
    <s v="Oct-2023"/>
    <x v="9"/>
    <s v="Q4-2023"/>
    <n v="2"/>
    <n v="2"/>
    <n v="1"/>
    <d v="2023-10-11T00:00:00"/>
    <d v="2023-10-11T00:00:00"/>
    <x v="0"/>
    <x v="0"/>
    <s v="Port Harcourt"/>
    <s v="Education"/>
    <x v="3"/>
    <x v="11"/>
    <x v="4"/>
    <s v="NET-8856"/>
    <n v="391.16"/>
    <n v="430.27600000000007"/>
    <n v="902.47"/>
    <s v="Medium"/>
    <n v="4.0000000000000001E-3"/>
    <n v="4.0000000000000001E-3"/>
    <s v=""/>
    <n v="12"/>
    <n v="14.399999999999999"/>
    <n v="4693.92"/>
    <n v="1773719.1704599999"/>
    <n v="1682720.17735"/>
    <n v="0.94869594092147069"/>
    <s v="B"/>
    <n v="6195.9744000000001"/>
    <n v="12943.585728"/>
    <n v="10786.32144"/>
    <n v="6092.4014399999996"/>
    <n v="6747.611328"/>
    <n v="0.56482661618139207"/>
  </r>
  <r>
    <s v="ORD-2023-975863"/>
    <s v="975863"/>
    <x v="0"/>
    <d v="2023-03-03T00:00:00"/>
    <n v="8"/>
    <d v="2023-11-20T00:00:00"/>
    <s v="Nov-2023"/>
    <x v="10"/>
    <s v="Q4-2023"/>
    <n v="15"/>
    <n v="15"/>
    <n v="0"/>
    <d v="2023-12-05T00:00:00"/>
    <d v="2023-12-05T00:00:00"/>
    <x v="1"/>
    <x v="3"/>
    <s v="Tokyo"/>
    <s v="Enterprise"/>
    <x v="1"/>
    <x v="4"/>
    <x v="4"/>
    <s v="NET-3033"/>
    <n v="354.24"/>
    <n v="389.66400000000004"/>
    <n v="249.87"/>
    <s v="Low"/>
    <n v="0"/>
    <n v="0"/>
    <s v=""/>
    <n v="6"/>
    <n v="7.1999999999999993"/>
    <n v="2125.44"/>
    <n v="1773719.1704599999"/>
    <n v="1684219.39735"/>
    <n v="0.94954118182824343"/>
    <s v="B"/>
    <n v="2805.5808000000002"/>
    <n v="1799.0639999999999"/>
    <n v="1499.22"/>
    <n v="-626.22"/>
    <n v="-1006.5168000000003"/>
    <n v="-0.41769720254532355"/>
  </r>
  <r>
    <s v="ORD-2023-619570"/>
    <s v="619570"/>
    <x v="0"/>
    <d v="2023-01-29T00:00:00"/>
    <n v="9"/>
    <d v="2023-11-14T00:00:00"/>
    <s v="Nov-2023"/>
    <x v="10"/>
    <s v="Q4-2023"/>
    <n v="16"/>
    <n v="16"/>
    <n v="0"/>
    <d v="2023-11-30T00:00:00"/>
    <d v="2023-11-30T00:00:00"/>
    <x v="3"/>
    <x v="9"/>
    <s v="São Paulo"/>
    <s v="Enterprise"/>
    <x v="0"/>
    <x v="11"/>
    <x v="4"/>
    <s v="NET-4104"/>
    <n v="1017.92"/>
    <n v="1119.712"/>
    <n v="1175.25"/>
    <s v="Medium"/>
    <n v="7.4999999999999997E-2"/>
    <n v="7.4999999999999997E-2"/>
    <s v=""/>
    <n v="15"/>
    <n v="18"/>
    <n v="15268.8"/>
    <n v="1773719.1704599999"/>
    <n v="1700525.9911"/>
    <n v="0.95873462914593299"/>
    <s v="C"/>
    <n v="20154.815999999999"/>
    <n v="19567.912500000002"/>
    <n v="16306.59375"/>
    <n v="1037.7937500000007"/>
    <n v="-586.90349999999671"/>
    <n v="6.3642583234159542E-2"/>
  </r>
  <r>
    <s v="ORD-2023-561823"/>
    <s v="561823"/>
    <x v="0"/>
    <d v="2023-01-29T00:00:00"/>
    <n v="9"/>
    <d v="2023-11-19T00:00:00"/>
    <s v="Nov-2023"/>
    <x v="10"/>
    <s v="Q4-2023"/>
    <n v="23"/>
    <n v="23"/>
    <n v="0"/>
    <d v="2023-12-12T00:00:00"/>
    <d v="2023-12-12T00:00:00"/>
    <x v="1"/>
    <x v="1"/>
    <s v="Delhi"/>
    <s v="Small Business"/>
    <x v="0"/>
    <x v="9"/>
    <x v="4"/>
    <s v="NET-2460"/>
    <n v="1349.04"/>
    <n v="1483.9440000000002"/>
    <n v="2636.6"/>
    <s v="High"/>
    <n v="0.114"/>
    <n v="0.1"/>
    <s v=""/>
    <n v="14"/>
    <n v="16.8"/>
    <n v="18886.559999999998"/>
    <n v="1773719.1704599999"/>
    <n v="1733230.3774999999"/>
    <n v="0.97717294054531778"/>
    <s v="C"/>
    <n v="24930.259200000004"/>
    <n v="39865.392"/>
    <n v="32704.386400000003"/>
    <n v="13817.826400000005"/>
    <n v="14935.132799999996"/>
    <n v="0.42250682312143928"/>
  </r>
  <r>
    <s v="ORD-2024-105586"/>
    <s v="105586"/>
    <x v="1"/>
    <d v="2023-03-03T00:00:00"/>
    <n v="9"/>
    <d v="2024-01-02T00:00:00"/>
    <s v="Jan-2024"/>
    <x v="1"/>
    <s v="Q1-2024"/>
    <n v="13"/>
    <n v="13"/>
    <n v="0"/>
    <d v="2024-01-15T00:00:00"/>
    <d v="2024-01-15T00:00:00"/>
    <x v="1"/>
    <x v="3"/>
    <s v="Nagoya"/>
    <s v="Small Business"/>
    <x v="3"/>
    <x v="2"/>
    <x v="4"/>
    <s v="NET-1893"/>
    <n v="1219.06"/>
    <n v="1340.9660000000001"/>
    <n v="2738.69"/>
    <s v="High"/>
    <n v="7.5999999999999998E-2"/>
    <n v="7.5999999999999998E-2"/>
    <s v=""/>
    <n v="16"/>
    <n v="19.2"/>
    <n v="19504.96"/>
    <n v="1773719.1704599999"/>
    <n v="1773719.1704599999"/>
    <n v="1"/>
    <s v="C"/>
    <n v="25746.547200000001"/>
    <n v="48586.551551999997"/>
    <n v="40488.792960000006"/>
    <n v="20983.832960000007"/>
    <n v="22840.004351999996"/>
    <n v="0.51826274447673737"/>
  </r>
  <r>
    <s v="ORD-2023-855675"/>
    <s v="855675"/>
    <x v="0"/>
    <d v="2023-01-13T00:00:00"/>
    <n v="0"/>
    <d v="2023-02-05T00:00:00"/>
    <s v="Feb-2023"/>
    <x v="0"/>
    <s v="Q1-2023"/>
    <n v="23"/>
    <n v="23"/>
    <n v="0"/>
    <d v="2023-02-28T00:00:00"/>
    <d v="2023-02-28T00:00:00"/>
    <x v="3"/>
    <x v="11"/>
    <s v="Austin"/>
    <s v="Non-Profit"/>
    <x v="2"/>
    <x v="4"/>
    <x v="5"/>
    <s v="PHN-2036"/>
    <n v="1214.49"/>
    <n v="1335.9390000000001"/>
    <n v="1533.95"/>
    <s v="Medium"/>
    <n v="0"/>
    <n v="0"/>
    <s v=""/>
    <n v="11"/>
    <n v="13.2"/>
    <n v="13359.39"/>
    <n v="1398841.4532999999"/>
    <n v="16873.45"/>
    <n v="1.206244636244796E-2"/>
    <s v="A"/>
    <n v="17634.394800000002"/>
    <n v="20248.14"/>
    <n v="16873.45"/>
    <n v="3514.0600000000013"/>
    <n v="2613.7451999999976"/>
    <n v="0.20825972163369086"/>
  </r>
  <r>
    <s v="ORD-2023-382017"/>
    <s v="382017"/>
    <x v="0"/>
    <d v="2023-01-13T00:00:00"/>
    <n v="0"/>
    <d v="2023-01-13T00:00:00"/>
    <s v="Jan-2023"/>
    <x v="1"/>
    <s v="Q1-2023"/>
    <n v="6"/>
    <n v="6"/>
    <n v="1"/>
    <d v="2023-01-19T00:00:00"/>
    <d v="2023-01-19T00:00:00"/>
    <x v="3"/>
    <x v="11"/>
    <s v="Chicago"/>
    <s v="Corporate"/>
    <x v="0"/>
    <x v="8"/>
    <x v="5"/>
    <s v="PHN-3159"/>
    <n v="833.57"/>
    <n v="916.92700000000013"/>
    <n v="881.57"/>
    <s v="Medium"/>
    <n v="5.7000000000000002E-2"/>
    <n v="5.7000000000000002E-2"/>
    <s v=""/>
    <n v="18"/>
    <n v="21.599999999999998"/>
    <n v="15004.26"/>
    <n v="1398841.4532999999"/>
    <n v="31837.21918"/>
    <n v="2.2759705258157008E-2"/>
    <s v="A"/>
    <n v="19805.623200000002"/>
    <n v="17956.523015999999"/>
    <n v="14963.769179999999"/>
    <n v="-40.490820000000895"/>
    <n v="-1849.1001840000026"/>
    <n v="-2.7059238560107821E-3"/>
  </r>
  <r>
    <s v="ORD-2023-562894"/>
    <s v="562894"/>
    <x v="0"/>
    <d v="2023-01-02T00:00:00"/>
    <n v="1"/>
    <d v="2023-02-23T00:00:00"/>
    <s v="Feb-2023"/>
    <x v="0"/>
    <s v="Q1-2023"/>
    <n v="30"/>
    <n v="30"/>
    <n v="0"/>
    <d v="2023-03-25T00:00:00"/>
    <d v="2023-03-25T00:00:00"/>
    <x v="3"/>
    <x v="10"/>
    <s v="Montreal"/>
    <s v="Enterprise"/>
    <x v="4"/>
    <x v="0"/>
    <x v="5"/>
    <s v="PHN-4854"/>
    <n v="1242.6600000000001"/>
    <n v="1366.9260000000002"/>
    <n v="1794.07"/>
    <s v="High"/>
    <n v="8.8999999999999996E-2"/>
    <n v="8.8999999999999996E-2"/>
    <s v=""/>
    <n v="16"/>
    <n v="19.2"/>
    <n v="19882.560000000001"/>
    <n v="1398841.4532999999"/>
    <n v="57987.583500000001"/>
    <n v="4.1454007073640678E-2"/>
    <s v="A"/>
    <n v="26244.979200000002"/>
    <n v="31380.437184000002"/>
    <n v="26150.364320000001"/>
    <n v="6267.8043199999993"/>
    <n v="5135.4579840000006"/>
    <n v="0.23968325042440553"/>
  </r>
  <r>
    <s v="ORD-2023-933238"/>
    <s v="933238"/>
    <x v="0"/>
    <d v="2023-01-22T00:00:00"/>
    <n v="1"/>
    <d v="2023-03-17T00:00:00"/>
    <s v="Mar-2023"/>
    <x v="4"/>
    <s v="Q1-2023"/>
    <n v="20"/>
    <n v="20"/>
    <n v="0"/>
    <d v="2023-04-06T00:00:00"/>
    <d v="2023-04-06T00:00:00"/>
    <x v="2"/>
    <x v="7"/>
    <s v="Munich"/>
    <s v="Consumer"/>
    <x v="1"/>
    <x v="7"/>
    <x v="5"/>
    <s v="PHN-8483"/>
    <n v="692.18"/>
    <n v="761.39800000000002"/>
    <n v="1159.3499999999999"/>
    <s v="Medium"/>
    <n v="0.112"/>
    <n v="0.1"/>
    <s v=""/>
    <n v="2"/>
    <n v="2.4"/>
    <n v="1384.36"/>
    <n v="1398841.4532999999"/>
    <n v="60046.589099999997"/>
    <n v="4.2925943435794235E-2"/>
    <s v="A"/>
    <n v="1827.3552"/>
    <n v="2504.1959999999999"/>
    <n v="2059.0056"/>
    <n v="674.64560000000006"/>
    <n v="676.84079999999994"/>
    <n v="0.32765602968734037"/>
  </r>
  <r>
    <s v="ORD-2023-581799"/>
    <s v="581799"/>
    <x v="0"/>
    <d v="2023-01-29T00:00:00"/>
    <n v="10"/>
    <d v="2023-12-05T00:00:00"/>
    <s v="Dec-2023"/>
    <x v="3"/>
    <s v="Q4-2023"/>
    <n v="7"/>
    <n v="7"/>
    <n v="1"/>
    <d v="2023-12-12T00:00:00"/>
    <d v="2023-12-12T00:00:00"/>
    <x v="3"/>
    <x v="9"/>
    <s v="Brasília"/>
    <s v="Corporate"/>
    <x v="0"/>
    <x v="5"/>
    <x v="5"/>
    <s v="PHN-6506"/>
    <n v="307.43"/>
    <n v="338.17300000000006"/>
    <n v="495.19"/>
    <s v="Low"/>
    <n v="0"/>
    <n v="0"/>
    <s v=""/>
    <n v="42"/>
    <n v="50.4"/>
    <n v="12912.06"/>
    <n v="1398841.4532999999"/>
    <n v="80844.569099999993"/>
    <n v="5.7793947204867267E-2"/>
    <s v="A"/>
    <n v="17043.919200000004"/>
    <n v="24957.576000000001"/>
    <n v="20797.98"/>
    <n v="7885.92"/>
    <n v="7913.656799999997"/>
    <n v="0.37916759223732305"/>
  </r>
  <r>
    <s v="ORD-2023-239789"/>
    <s v="239789"/>
    <x v="0"/>
    <d v="2023-01-29T00:00:00"/>
    <n v="10"/>
    <d v="2023-12-03T00:00:00"/>
    <s v="Dec-2023"/>
    <x v="3"/>
    <s v="Q4-2023"/>
    <n v="23"/>
    <n v="23"/>
    <n v="0"/>
    <d v="2023-12-26T00:00:00"/>
    <d v="2023-12-26T00:00:00"/>
    <x v="3"/>
    <x v="9"/>
    <s v="Rio de Janeiro"/>
    <s v="Education"/>
    <x v="1"/>
    <x v="7"/>
    <x v="5"/>
    <s v="PHN-4644"/>
    <n v="1303.1099999999999"/>
    <n v="1433.421"/>
    <n v="1145.67"/>
    <s v="Medium"/>
    <n v="0.184"/>
    <n v="0.1"/>
    <s v=""/>
    <n v="13"/>
    <n v="15.6"/>
    <n v="16940.43"/>
    <n v="1398841.4532999999"/>
    <n v="92997.836459999991"/>
    <n v="6.6482042150387569E-2"/>
    <s v="A"/>
    <n v="22361.367600000001"/>
    <n v="16085.206800000002"/>
    <n v="12153.267360000002"/>
    <n v="-4787.1626399999986"/>
    <n v="-6276.1607999999997"/>
    <n v="-0.39389922875851208"/>
  </r>
  <r>
    <s v="ORD-2023-195665"/>
    <s v="195665"/>
    <x v="0"/>
    <d v="2023-01-29T00:00:00"/>
    <n v="10"/>
    <d v="2023-12-19T00:00:00"/>
    <s v="Dec-2023"/>
    <x v="3"/>
    <s v="Q4-2023"/>
    <n v="1"/>
    <n v="1"/>
    <n v="1"/>
    <d v="2023-12-20T00:00:00"/>
    <d v="2023-12-20T00:00:00"/>
    <x v="3"/>
    <x v="9"/>
    <s v="Rio de Janeiro"/>
    <s v="Consumer"/>
    <x v="2"/>
    <x v="10"/>
    <x v="5"/>
    <s v="PHN-7274"/>
    <n v="1080.43"/>
    <n v="1188.4730000000002"/>
    <n v="2529.15"/>
    <s v="High"/>
    <n v="0.14699999999999999"/>
    <n v="0.1"/>
    <s v=""/>
    <n v="10"/>
    <n v="12"/>
    <n v="10804.300000000001"/>
    <n v="1398841.4532999999"/>
    <n v="114571.48595999999"/>
    <n v="8.1904554436612501E-2"/>
    <s v="A"/>
    <n v="14261.676000000003"/>
    <n v="27314.820000000003"/>
    <n v="21573.6495"/>
    <n v="10769.349499999998"/>
    <n v="13053.144"/>
    <n v="0.49918997247081437"/>
  </r>
  <r>
    <s v="ORD-2023-967239"/>
    <s v="967239"/>
    <x v="0"/>
    <d v="2023-01-29T00:00:00"/>
    <n v="10"/>
    <d v="2023-12-24T00:00:00"/>
    <s v="Dec-2023"/>
    <x v="3"/>
    <s v="Q4-2023"/>
    <n v="8"/>
    <n v="8"/>
    <n v="0"/>
    <d v="2024-01-01T00:00:00"/>
    <d v="2024-01-01T00:00:00"/>
    <x v="3"/>
    <x v="9"/>
    <s v="São Paulo"/>
    <s v="Education"/>
    <x v="0"/>
    <x v="9"/>
    <x v="5"/>
    <s v="PHN-3014"/>
    <n v="526.49"/>
    <n v="579.13900000000001"/>
    <n v="496.2"/>
    <s v="Low"/>
    <n v="0"/>
    <n v="0"/>
    <s v=""/>
    <n v="14"/>
    <n v="16.8"/>
    <n v="7370.8600000000006"/>
    <n v="1398841.4532999999"/>
    <n v="121518.28595999999"/>
    <n v="8.6870664057979413E-2"/>
    <s v="A"/>
    <n v="9729.5352000000003"/>
    <n v="8336.16"/>
    <n v="6946.8"/>
    <n v="-424.0600000000004"/>
    <n v="-1393.3752000000004"/>
    <n v="-6.1043933897621985E-2"/>
  </r>
  <r>
    <s v="ORD-2023-178249"/>
    <s v="178249"/>
    <x v="0"/>
    <d v="2023-01-20T00:00:00"/>
    <n v="11"/>
    <d v="2023-12-29T00:00:00"/>
    <s v="Dec-2023"/>
    <x v="3"/>
    <s v="Q4-2023"/>
    <n v="22"/>
    <n v="22"/>
    <n v="0"/>
    <d v="2024-01-20T00:00:00"/>
    <d v="2024-01-20T00:00:00"/>
    <x v="0"/>
    <x v="8"/>
    <s v="Kisumu"/>
    <s v="Corporate"/>
    <x v="0"/>
    <x v="4"/>
    <x v="5"/>
    <s v="PHN-7924"/>
    <n v="1395.49"/>
    <n v="1535.0390000000002"/>
    <n v="1679.42"/>
    <s v="High"/>
    <n v="0.20300000000000001"/>
    <n v="0.1"/>
    <s v=""/>
    <n v="12"/>
    <n v="14.399999999999999"/>
    <n v="16745.88"/>
    <n v="1398841.4532999999"/>
    <n v="137580.25883999999"/>
    <n v="9.835300384860278E-2"/>
    <s v="A"/>
    <n v="22104.561600000001"/>
    <n v="21765.283199999998"/>
    <n v="16061.972879999999"/>
    <n v="-683.90712000000167"/>
    <n v="-339.27840000000288"/>
    <n v="-4.2579272490964493E-2"/>
  </r>
  <r>
    <s v="ORD-2024-968374"/>
    <s v="968374"/>
    <x v="1"/>
    <d v="2023-01-20T00:00:00"/>
    <n v="12"/>
    <d v="2024-02-11T00:00:00"/>
    <s v="Feb-2024"/>
    <x v="0"/>
    <s v="Q1-2024"/>
    <n v="21"/>
    <n v="21"/>
    <n v="0"/>
    <d v="2024-03-03T00:00:00"/>
    <d v="2024-03-03T00:00:00"/>
    <x v="0"/>
    <x v="8"/>
    <s v="Kisumu"/>
    <s v="Enterprise"/>
    <x v="4"/>
    <x v="1"/>
    <x v="5"/>
    <s v="PHN-5082"/>
    <n v="516.86"/>
    <n v="568.54600000000005"/>
    <n v="852.54"/>
    <s v="Medium"/>
    <n v="5.0999999999999997E-2"/>
    <n v="5.0999999999999997E-2"/>
    <s v=""/>
    <n v="14"/>
    <n v="16.8"/>
    <n v="7236.04"/>
    <n v="1398841.4532999999"/>
    <n v="148907.10527999999"/>
    <n v="0.10645030923891623"/>
    <s v="A"/>
    <n v="9551.5728000000017"/>
    <n v="13592.215727999999"/>
    <n v="11326.846439999999"/>
    <n v="4090.8064399999994"/>
    <n v="4040.6429279999975"/>
    <n v="0.36116022775355994"/>
  </r>
  <r>
    <s v="ORD-2024-647473"/>
    <s v="647473"/>
    <x v="1"/>
    <d v="2023-01-29T00:00:00"/>
    <n v="12"/>
    <d v="2024-02-17T00:00:00"/>
    <s v="Feb-2024"/>
    <x v="0"/>
    <s v="Q1-2024"/>
    <n v="16"/>
    <n v="16"/>
    <n v="0"/>
    <d v="2024-03-04T00:00:00"/>
    <d v="2024-03-04T00:00:00"/>
    <x v="1"/>
    <x v="1"/>
    <s v="Delhi"/>
    <s v="Small Business"/>
    <x v="3"/>
    <x v="5"/>
    <x v="5"/>
    <s v="PHN-1717"/>
    <n v="1231.8"/>
    <n v="1354.98"/>
    <n v="2015.99"/>
    <s v="High"/>
    <n v="0.26100000000000001"/>
    <n v="0.1"/>
    <s v=""/>
    <n v="6"/>
    <n v="7.1999999999999993"/>
    <n v="7390.7999999999993"/>
    <n v="1398841.4532999999"/>
    <n v="157846.00493999998"/>
    <n v="0.11284052568475596"/>
    <s v="A"/>
    <n v="9755.8559999999998"/>
    <n v="13063.615199999998"/>
    <n v="8938.8996600000009"/>
    <n v="1548.0996600000017"/>
    <n v="3307.7591999999986"/>
    <n v="0.17318682599464391"/>
  </r>
  <r>
    <s v="ORD-2024-853298"/>
    <s v="853298"/>
    <x v="1"/>
    <d v="2023-01-15T00:00:00"/>
    <n v="13"/>
    <d v="2024-03-06T00:00:00"/>
    <s v="Mar-2024"/>
    <x v="4"/>
    <s v="Q1-2024"/>
    <n v="20"/>
    <n v="20"/>
    <n v="0"/>
    <d v="2024-03-26T00:00:00"/>
    <d v="2024-03-26T00:00:00"/>
    <x v="0"/>
    <x v="0"/>
    <s v="Port Harcourt"/>
    <s v="Consumer"/>
    <x v="3"/>
    <x v="13"/>
    <x v="5"/>
    <s v="PHN-4741"/>
    <n v="65.64"/>
    <n v="72.204000000000008"/>
    <n v="151.88"/>
    <s v="Low"/>
    <n v="0.16700000000000001"/>
    <n v="0.1"/>
    <s v=""/>
    <n v="23"/>
    <n v="27.599999999999998"/>
    <n v="1509.72"/>
    <n v="1398841.4532999999"/>
    <n v="160755.87385999999"/>
    <n v="0.11492072491901181"/>
    <s v="A"/>
    <n v="1992.8304000000001"/>
    <n v="3772.6992"/>
    <n v="2909.8689199999999"/>
    <n v="1400.1489199999999"/>
    <n v="1779.8688"/>
    <n v="0.48117250587356353"/>
  </r>
  <r>
    <s v="ORD-2024-516704"/>
    <s v="516704"/>
    <x v="1"/>
    <d v="2023-01-29T00:00:00"/>
    <n v="13"/>
    <d v="2024-03-01T00:00:00"/>
    <s v="Mar-2024"/>
    <x v="4"/>
    <s v="Q1-2024"/>
    <n v="-1"/>
    <n v="15"/>
    <n v="0"/>
    <d v="2024-02-29T00:00:00"/>
    <d v="2024-03-16T00:00:00"/>
    <x v="3"/>
    <x v="9"/>
    <s v="São Paulo"/>
    <s v="Non-Profit"/>
    <x v="0"/>
    <x v="13"/>
    <x v="5"/>
    <s v="PHN-7852"/>
    <n v="5.34"/>
    <n v="5.8740000000000006"/>
    <n v="12.69"/>
    <s v="Low"/>
    <n v="0.13200000000000001"/>
    <n v="0.1"/>
    <s v=""/>
    <n v="10"/>
    <n v="12"/>
    <n v="53.4"/>
    <n v="1398841.4532999999"/>
    <n v="160866.02306000001"/>
    <n v="0.11499946808160551"/>
    <s v="A"/>
    <n v="70.488"/>
    <n v="137.05199999999999"/>
    <n v="110.14919999999999"/>
    <n v="56.749199999999995"/>
    <n v="66.563999999999993"/>
    <n v="0.51520301554618642"/>
  </r>
  <r>
    <s v="ORD-2024-251426"/>
    <s v="251426"/>
    <x v="1"/>
    <d v="2023-01-13T00:00:00"/>
    <n v="13"/>
    <d v="2024-03-09T00:00:00"/>
    <s v="Mar-2024"/>
    <x v="4"/>
    <s v="Q1-2024"/>
    <n v="17"/>
    <n v="17"/>
    <n v="0"/>
    <d v="2024-03-26T00:00:00"/>
    <d v="2024-03-26T00:00:00"/>
    <x v="3"/>
    <x v="11"/>
    <s v="San Francisco"/>
    <s v="Education"/>
    <x v="0"/>
    <x v="13"/>
    <x v="5"/>
    <s v="PHN-3398"/>
    <n v="1137.4100000000001"/>
    <n v="1251.1510000000003"/>
    <n v="1680.93"/>
    <s v="High"/>
    <n v="0.254"/>
    <n v="0.1"/>
    <s v=""/>
    <n v="9"/>
    <n v="10.799999999999999"/>
    <n v="10236.69"/>
    <n v="1398841.4532999999"/>
    <n v="172151.78708000001"/>
    <n v="0.12306740458246899"/>
    <s v="A"/>
    <n v="13512.430800000002"/>
    <n v="16338.639599999999"/>
    <n v="11285.764020000001"/>
    <n v="1049.07402"/>
    <n v="2826.2087999999967"/>
    <n v="9.2955516183121464E-2"/>
  </r>
  <r>
    <s v="ORD-2024-868223"/>
    <s v="868223"/>
    <x v="1"/>
    <d v="2023-01-12T00:00:00"/>
    <n v="13"/>
    <d v="2024-03-03T00:00:00"/>
    <s v="Mar-2024"/>
    <x v="4"/>
    <s v="Q1-2024"/>
    <n v="16"/>
    <n v="16"/>
    <n v="0"/>
    <d v="2024-03-19T00:00:00"/>
    <d v="2024-03-19T00:00:00"/>
    <x v="1"/>
    <x v="4"/>
    <s v="Beijing"/>
    <s v="Consumer"/>
    <x v="2"/>
    <x v="2"/>
    <x v="5"/>
    <s v="PHN-4915"/>
    <n v="988.83"/>
    <n v="1087.7130000000002"/>
    <n v="1206.04"/>
    <s v="Medium"/>
    <n v="6.3E-2"/>
    <n v="6.3E-2"/>
    <s v=""/>
    <n v="34"/>
    <n v="40.799999999999997"/>
    <n v="33620.22"/>
    <n v="1398841.4532999999"/>
    <n v="210573.80940000003"/>
    <n v="0.15053443612443454"/>
    <s v="A"/>
    <n v="44378.690400000007"/>
    <n v="46106.426783999996"/>
    <n v="38422.022320000004"/>
    <n v="4801.8023200000025"/>
    <n v="1727.7363839999889"/>
    <n v="0.12497526236406606"/>
  </r>
  <r>
    <s v="ORD-2024-446030"/>
    <s v="446030"/>
    <x v="1"/>
    <d v="2023-01-29T00:00:00"/>
    <n v="13"/>
    <d v="2024-03-23T00:00:00"/>
    <s v="Mar-2024"/>
    <x v="4"/>
    <s v="Q1-2024"/>
    <n v="3"/>
    <n v="3"/>
    <n v="1"/>
    <d v="2024-03-26T00:00:00"/>
    <d v="2024-03-26T00:00:00"/>
    <x v="1"/>
    <x v="1"/>
    <s v="Bengaluru"/>
    <s v="Education"/>
    <x v="0"/>
    <x v="2"/>
    <x v="5"/>
    <s v="PHN-4346"/>
    <n v="382.21"/>
    <n v="420.43099999999998"/>
    <n v="571.89"/>
    <s v="Low"/>
    <n v="0.14799999999999999"/>
    <n v="0.1"/>
    <s v=""/>
    <n v="26"/>
    <n v="31.2"/>
    <n v="9937.4599999999991"/>
    <n v="1398841.4532999999"/>
    <n v="223242.31668000002"/>
    <n v="0.15959086439235137"/>
    <s v="A"/>
    <n v="13117.447199999999"/>
    <n v="16058.671200000001"/>
    <n v="12668.50728"/>
    <n v="2731.0472800000007"/>
    <n v="2941.224000000002"/>
    <n v="0.2155776698578809"/>
  </r>
  <r>
    <s v="ORD-2024-219735"/>
    <s v="219735"/>
    <x v="1"/>
    <d v="2023-01-29T00:00:00"/>
    <n v="14"/>
    <d v="2024-04-03T00:00:00"/>
    <s v="Apr-2024"/>
    <x v="2"/>
    <s v="Q2-2024"/>
    <n v="4"/>
    <n v="4"/>
    <n v="1"/>
    <d v="2024-04-07T00:00:00"/>
    <d v="2024-04-07T00:00:00"/>
    <x v="3"/>
    <x v="9"/>
    <s v="Brasília"/>
    <s v="Non-Profit"/>
    <x v="0"/>
    <x v="14"/>
    <x v="5"/>
    <s v="PHN-5445"/>
    <n v="1023.27"/>
    <n v="1125.597"/>
    <n v="1343.64"/>
    <s v="Medium"/>
    <n v="0.13300000000000001"/>
    <n v="0.1"/>
    <s v=""/>
    <n v="7"/>
    <n v="8.4"/>
    <n v="7162.8899999999994"/>
    <n v="1398841.4532999999"/>
    <n v="231396.86784000002"/>
    <n v="0.16542036790096035"/>
    <s v="A"/>
    <n v="9455.0148000000008"/>
    <n v="10157.9184"/>
    <n v="8154.5511600000009"/>
    <n v="991.66116000000147"/>
    <n v="702.90359999999964"/>
    <n v="0.12160830688810116"/>
  </r>
  <r>
    <s v="ORD-2024-572312"/>
    <s v="572312"/>
    <x v="1"/>
    <d v="2023-03-03T00:00:00"/>
    <n v="15"/>
    <d v="2024-06-16T00:00:00"/>
    <s v="Jun-2024"/>
    <x v="6"/>
    <s v="Q2-2024"/>
    <n v="5"/>
    <n v="5"/>
    <n v="1"/>
    <d v="2024-06-21T00:00:00"/>
    <d v="2024-06-21T00:00:00"/>
    <x v="1"/>
    <x v="3"/>
    <s v="Tokyo"/>
    <s v="Small Business"/>
    <x v="2"/>
    <x v="5"/>
    <x v="5"/>
    <s v="PHN-9677"/>
    <n v="1367.13"/>
    <n v="1503.8430000000003"/>
    <n v="3062.01"/>
    <s v="High"/>
    <n v="0.10299999999999999"/>
    <n v="0.1"/>
    <s v=""/>
    <n v="25"/>
    <n v="30"/>
    <n v="34178.25"/>
    <n v="1398841.4532999999"/>
    <n v="300062.44209000003"/>
    <n v="0.21450782816174357"/>
    <s v="A"/>
    <n v="45115.290000000008"/>
    <n v="82674.27"/>
    <n v="68665.574250000005"/>
    <n v="34487.324250000005"/>
    <n v="37558.979999999996"/>
    <n v="0.50225057645971705"/>
  </r>
  <r>
    <s v="ORD-2024-567435"/>
    <s v="567435"/>
    <x v="1"/>
    <d v="2023-01-19T00:00:00"/>
    <n v="15"/>
    <d v="2024-04-26T00:00:00"/>
    <s v="Apr-2024"/>
    <x v="2"/>
    <s v="Q2-2024"/>
    <n v="-2"/>
    <n v="15"/>
    <n v="0"/>
    <d v="2024-04-24T00:00:00"/>
    <d v="2024-05-11T00:00:00"/>
    <x v="2"/>
    <x v="2"/>
    <s v="London"/>
    <s v="Non-Profit"/>
    <x v="2"/>
    <x v="14"/>
    <x v="5"/>
    <s v="PHN-9107"/>
    <n v="1232.77"/>
    <n v="1356.047"/>
    <n v="891.73"/>
    <s v="Medium"/>
    <n v="0.16700000000000001"/>
    <n v="0.1"/>
    <s v=""/>
    <n v="10"/>
    <n v="12"/>
    <n v="12327.7"/>
    <n v="1398841.4532999999"/>
    <n v="307490.55299"/>
    <n v="0.2198180160193284"/>
    <s v="A"/>
    <n v="16272.564"/>
    <n v="9630.6840000000011"/>
    <n v="7428.1108999999988"/>
    <n v="-4899.589100000002"/>
    <n v="-6641.8799999999992"/>
    <n v="-0.65960096260813805"/>
  </r>
  <r>
    <s v="ORD-2024-819778"/>
    <s v="819778"/>
    <x v="1"/>
    <d v="2023-01-20T00:00:00"/>
    <n v="16"/>
    <d v="2024-06-02T00:00:00"/>
    <s v="Jun-2024"/>
    <x v="6"/>
    <s v="Q2-2024"/>
    <n v="13"/>
    <n v="13"/>
    <n v="0"/>
    <d v="2024-06-15T00:00:00"/>
    <d v="2024-06-15T00:00:00"/>
    <x v="0"/>
    <x v="8"/>
    <s v="Mombasa"/>
    <s v="Education"/>
    <x v="4"/>
    <x v="7"/>
    <x v="5"/>
    <s v="PHN-6866"/>
    <n v="1295.18"/>
    <n v="1424.6980000000001"/>
    <n v="3024.03"/>
    <s v="High"/>
    <n v="0.192"/>
    <n v="0.1"/>
    <s v=""/>
    <n v="8"/>
    <n v="9.6"/>
    <n v="10361.44"/>
    <n v="1398841.4532999999"/>
    <n v="327037.88290999999"/>
    <n v="0.2337919584370956"/>
    <s v="A"/>
    <n v="13677.1008"/>
    <n v="26127.619200000001"/>
    <n v="19547.329920000004"/>
    <n v="9185.8899200000033"/>
    <n v="12450.518400000001"/>
    <n v="0.46993067378483178"/>
  </r>
  <r>
    <s v="ORD-2024-566589"/>
    <s v="566589"/>
    <x v="1"/>
    <d v="2023-01-15T00:00:00"/>
    <n v="16"/>
    <d v="2024-06-11T00:00:00"/>
    <s v="Jun-2024"/>
    <x v="6"/>
    <s v="Q2-2024"/>
    <n v="28"/>
    <n v="28"/>
    <n v="0"/>
    <d v="2024-07-09T00:00:00"/>
    <d v="2024-07-09T00:00:00"/>
    <x v="0"/>
    <x v="0"/>
    <s v="Port Harcourt"/>
    <s v="Corporate"/>
    <x v="3"/>
    <x v="13"/>
    <x v="5"/>
    <s v="PHN-2436"/>
    <n v="895.54"/>
    <n v="985.09400000000005"/>
    <n v="1045"/>
    <s v="Medium"/>
    <n v="0.216"/>
    <n v="0.1"/>
    <s v=""/>
    <n v="15"/>
    <n v="18"/>
    <n v="13433.099999999999"/>
    <n v="1398841.4532999999"/>
    <n v="339327.08291"/>
    <n v="0.24257722854115824"/>
    <s v="A"/>
    <n v="17731.692000000003"/>
    <n v="16929"/>
    <n v="12289.2"/>
    <n v="-1143.8999999999978"/>
    <n v="-802.69200000000274"/>
    <n v="-9.3081730299775234E-2"/>
  </r>
  <r>
    <s v="ORD-2024-690270"/>
    <s v="690270"/>
    <x v="1"/>
    <d v="2023-01-13T00:00:00"/>
    <n v="16"/>
    <d v="2024-05-17T00:00:00"/>
    <s v="May-2024"/>
    <x v="5"/>
    <s v="Q2-2024"/>
    <n v="10"/>
    <n v="10"/>
    <n v="0"/>
    <d v="2024-05-27T00:00:00"/>
    <d v="2024-05-27T00:00:00"/>
    <x v="3"/>
    <x v="11"/>
    <s v="Austin"/>
    <s v="Non-Profit"/>
    <x v="4"/>
    <x v="9"/>
    <x v="5"/>
    <s v="PHN-7974"/>
    <n v="1484.23"/>
    <n v="1632.6530000000002"/>
    <n v="3472.81"/>
    <s v="High"/>
    <n v="0.25600000000000001"/>
    <n v="0.1"/>
    <s v=""/>
    <n v="12"/>
    <n v="14.399999999999999"/>
    <n v="17810.760000000002"/>
    <n v="1398841.4532999999"/>
    <n v="370332.33059000003"/>
    <n v="0.26474217626046959"/>
    <s v="A"/>
    <n v="23510.2032"/>
    <n v="45007.617599999998"/>
    <n v="31005.24768"/>
    <n v="13194.487679999998"/>
    <n v="21497.414399999998"/>
    <n v="0.42555659661803413"/>
  </r>
  <r>
    <s v="ORD-2024-605518"/>
    <s v="605518"/>
    <x v="1"/>
    <d v="2023-01-13T00:00:00"/>
    <n v="16"/>
    <d v="2024-05-30T00:00:00"/>
    <s v="May-2024"/>
    <x v="5"/>
    <s v="Q2-2024"/>
    <n v="14"/>
    <n v="14"/>
    <n v="0"/>
    <d v="2024-06-13T00:00:00"/>
    <d v="2024-06-13T00:00:00"/>
    <x v="3"/>
    <x v="11"/>
    <s v="San Francisco"/>
    <s v="Small Business"/>
    <x v="1"/>
    <x v="5"/>
    <x v="5"/>
    <s v="PHN-4356"/>
    <n v="157.78"/>
    <n v="173.55800000000002"/>
    <n v="361.1"/>
    <s v="Low"/>
    <n v="0.187"/>
    <n v="0.1"/>
    <s v=""/>
    <n v="9"/>
    <n v="10.799999999999999"/>
    <n v="1420.02"/>
    <n v="1398841.4532999999"/>
    <n v="372974.49929000001"/>
    <n v="0.26663100268448414"/>
    <s v="A"/>
    <n v="1874.4264000000001"/>
    <n v="3509.8919999999998"/>
    <n v="2642.1686999999997"/>
    <n v="1222.1486999999997"/>
    <n v="1635.4655999999998"/>
    <n v="0.46255513510549112"/>
  </r>
  <r>
    <s v="ORD-2024-819979"/>
    <s v="819979"/>
    <x v="1"/>
    <d v="2023-01-22T00:00:00"/>
    <n v="16"/>
    <d v="2024-05-28T00:00:00"/>
    <s v="May-2024"/>
    <x v="5"/>
    <s v="Q2-2024"/>
    <n v="21"/>
    <n v="21"/>
    <n v="0"/>
    <d v="2024-06-18T00:00:00"/>
    <d v="2024-06-18T00:00:00"/>
    <x v="2"/>
    <x v="7"/>
    <s v="Frankfurt"/>
    <s v="Small Business"/>
    <x v="4"/>
    <x v="12"/>
    <x v="5"/>
    <s v="PHN-9399"/>
    <n v="986.85"/>
    <n v="1085.5350000000001"/>
    <n v="2422.1"/>
    <s v="High"/>
    <n v="7.5999999999999998E-2"/>
    <n v="7.5999999999999998E-2"/>
    <s v=""/>
    <n v="10"/>
    <n v="12"/>
    <n v="9868.5"/>
    <n v="1398841.4532999999"/>
    <n v="395354.70329000003"/>
    <n v="0.28263010247324366"/>
    <s v="A"/>
    <n v="13026.420000000002"/>
    <n v="26856.244799999997"/>
    <n v="22380.204000000002"/>
    <n v="12511.704000000002"/>
    <n v="13829.824799999995"/>
    <n v="0.55905227673527913"/>
  </r>
  <r>
    <s v="ORD-2024-855073"/>
    <s v="855073"/>
    <x v="1"/>
    <d v="2023-01-20T00:00:00"/>
    <n v="17"/>
    <d v="2024-07-19T00:00:00"/>
    <s v="Jul-2024"/>
    <x v="7"/>
    <s v="Q3-2024"/>
    <n v="0"/>
    <n v="0"/>
    <n v="1"/>
    <d v="2024-07-19T00:00:00"/>
    <d v="2024-07-19T00:00:00"/>
    <x v="0"/>
    <x v="8"/>
    <s v="Kisumu"/>
    <s v="Small Business"/>
    <x v="1"/>
    <x v="3"/>
    <x v="5"/>
    <s v="PHN-6854"/>
    <n v="857.24"/>
    <n v="942.96400000000006"/>
    <n v="758.23"/>
    <s v="Low"/>
    <n v="0.125"/>
    <n v="0.1"/>
    <s v=""/>
    <n v="6"/>
    <n v="7.1999999999999993"/>
    <n v="5143.4400000000005"/>
    <n v="1398841.4532999999"/>
    <n v="399335.41079000005"/>
    <n v="0.28547581989933873"/>
    <s v="A"/>
    <n v="6789.3407999999999"/>
    <n v="4913.3303999999998"/>
    <n v="3980.7075"/>
    <n v="-1162.7325000000005"/>
    <n v="-1876.0104000000001"/>
    <n v="-0.29209192084572921"/>
  </r>
  <r>
    <s v="ORD-2024-580808"/>
    <s v="580808"/>
    <x v="1"/>
    <d v="2023-01-07T00:00:00"/>
    <n v="17"/>
    <d v="2024-06-16T00:00:00"/>
    <s v="Jun-2024"/>
    <x v="6"/>
    <s v="Q2-2024"/>
    <n v="17"/>
    <n v="17"/>
    <n v="0"/>
    <d v="2024-07-03T00:00:00"/>
    <d v="2024-07-03T00:00:00"/>
    <x v="0"/>
    <x v="6"/>
    <s v="Johannesburg"/>
    <s v="Enterprise"/>
    <x v="3"/>
    <x v="5"/>
    <x v="5"/>
    <s v="PHN-6832"/>
    <n v="1173.83"/>
    <n v="1291.213"/>
    <n v="2328.9"/>
    <s v="High"/>
    <n v="0.12"/>
    <n v="0.1"/>
    <s v=""/>
    <n v="17"/>
    <n v="20.399999999999999"/>
    <n v="19955.11"/>
    <n v="1398841.4532999999"/>
    <n v="434175.75479000004"/>
    <n v="0.31038239091766845"/>
    <s v="A"/>
    <n v="26340.745199999998"/>
    <n v="42758.603999999999"/>
    <n v="34840.344000000005"/>
    <n v="14885.234000000004"/>
    <n v="16417.858800000002"/>
    <n v="0.42724130393201637"/>
  </r>
  <r>
    <s v="ORD-2024-571797"/>
    <s v="571797"/>
    <x v="1"/>
    <d v="2023-01-12T00:00:00"/>
    <n v="17"/>
    <d v="2024-07-11T00:00:00"/>
    <s v="Jul-2024"/>
    <x v="7"/>
    <s v="Q3-2024"/>
    <n v="20"/>
    <n v="20"/>
    <n v="0"/>
    <d v="2024-07-31T00:00:00"/>
    <d v="2024-07-31T00:00:00"/>
    <x v="1"/>
    <x v="4"/>
    <s v="Shenzhen"/>
    <s v="Consumer"/>
    <x v="4"/>
    <x v="2"/>
    <x v="5"/>
    <s v="PHN-7815"/>
    <n v="647.26"/>
    <n v="711.9860000000001"/>
    <n v="1374.72"/>
    <s v="Medium"/>
    <n v="6.6000000000000003E-2"/>
    <n v="6.6000000000000003E-2"/>
    <s v=""/>
    <n v="22"/>
    <n v="26.4"/>
    <n v="14239.72"/>
    <n v="1398841.4532999999"/>
    <n v="462423.50135000004"/>
    <n v="0.33057606368405729"/>
    <s v="A"/>
    <n v="18796.430400000001"/>
    <n v="33897.295871999995"/>
    <n v="28247.74656"/>
    <n v="14008.02656"/>
    <n v="15100.865471999994"/>
    <n v="0.49589890401508901"/>
  </r>
  <r>
    <s v="ORD-2024-536442"/>
    <s v="536442"/>
    <x v="1"/>
    <d v="2023-03-03T00:00:00"/>
    <n v="17"/>
    <d v="2024-08-31T00:00:00"/>
    <s v="Aug-2024"/>
    <x v="8"/>
    <s v="Q3-2024"/>
    <n v="26"/>
    <n v="26"/>
    <n v="0"/>
    <d v="2024-09-26T00:00:00"/>
    <d v="2024-09-26T00:00:00"/>
    <x v="1"/>
    <x v="3"/>
    <s v="Tokyo"/>
    <s v="Education"/>
    <x v="4"/>
    <x v="13"/>
    <x v="5"/>
    <s v="PHN-6111"/>
    <n v="1189.03"/>
    <n v="1307.933"/>
    <n v="2949.62"/>
    <s v="High"/>
    <n v="0.125"/>
    <n v="0.1"/>
    <s v=""/>
    <n v="13"/>
    <n v="15.6"/>
    <n v="15457.39"/>
    <n v="1398841.4532999999"/>
    <n v="495975.42885000003"/>
    <n v="0.35456157499475499"/>
    <s v="A"/>
    <n v="20403.754799999999"/>
    <n v="41412.664799999999"/>
    <n v="33551.927499999998"/>
    <n v="18094.537499999999"/>
    <n v="21008.91"/>
    <n v="0.53929949330034765"/>
  </r>
  <r>
    <s v="ORD-2024-993481"/>
    <s v="993481"/>
    <x v="1"/>
    <d v="2023-01-29T00:00:00"/>
    <n v="18"/>
    <d v="2024-08-18T00:00:00"/>
    <s v="Aug-2024"/>
    <x v="8"/>
    <s v="Q3-2024"/>
    <n v="25"/>
    <n v="25"/>
    <n v="0"/>
    <d v="2024-09-12T00:00:00"/>
    <d v="2024-09-12T00:00:00"/>
    <x v="1"/>
    <x v="1"/>
    <s v="Mumbai"/>
    <s v="Consumer"/>
    <x v="3"/>
    <x v="9"/>
    <x v="5"/>
    <s v="PHN-3077"/>
    <n v="1154.03"/>
    <n v="1269.433"/>
    <n v="1590.36"/>
    <s v="Medium"/>
    <n v="0.314"/>
    <n v="0.1"/>
    <s v="&gt;0.3"/>
    <n v="18"/>
    <n v="21.599999999999998"/>
    <n v="20772.54"/>
    <n v="1398841.4532999999"/>
    <n v="515613.19413000002"/>
    <n v="0.3686001675984219"/>
    <s v="A"/>
    <n v="27419.752799999998"/>
    <n v="30916.598399999999"/>
    <n v="19637.76528"/>
    <n v="-1134.7747200000013"/>
    <n v="3496.8456000000006"/>
    <n v="-5.7785328616576745E-2"/>
  </r>
  <r>
    <s v="ORD-2024-286833"/>
    <s v="286833"/>
    <x v="1"/>
    <d v="2023-01-19T00:00:00"/>
    <n v="18"/>
    <d v="2024-08-14T00:00:00"/>
    <s v="Aug-2024"/>
    <x v="8"/>
    <s v="Q3-2024"/>
    <n v="21"/>
    <n v="21"/>
    <n v="0"/>
    <d v="2024-09-04T00:00:00"/>
    <d v="2024-09-04T00:00:00"/>
    <x v="2"/>
    <x v="2"/>
    <s v="Manchester"/>
    <s v="Non-Profit"/>
    <x v="4"/>
    <x v="10"/>
    <x v="5"/>
    <s v="PHN-2341"/>
    <n v="1138.8"/>
    <n v="1252.68"/>
    <n v="2250.81"/>
    <s v="High"/>
    <n v="0.123"/>
    <n v="0.1"/>
    <s v=""/>
    <n v="12"/>
    <n v="14.399999999999999"/>
    <n v="13665.599999999999"/>
    <n v="1398841.4532999999"/>
    <n v="539300.71857000003"/>
    <n v="0.38553384109238281"/>
    <s v="A"/>
    <n v="18038.592000000001"/>
    <n v="29170.497599999999"/>
    <n v="23687.524440000001"/>
    <n v="10021.924440000003"/>
    <n v="11131.905599999998"/>
    <n v="0.42308872188756258"/>
  </r>
  <r>
    <s v="ORD-2024-805860"/>
    <s v="805860"/>
    <x v="1"/>
    <d v="2023-01-20T00:00:00"/>
    <n v="19"/>
    <d v="2024-09-13T00:00:00"/>
    <s v="Sept-2024"/>
    <x v="11"/>
    <s v="Q3-2024"/>
    <n v="19"/>
    <n v="19"/>
    <n v="0"/>
    <d v="2024-10-02T00:00:00"/>
    <d v="2024-10-02T00:00:00"/>
    <x v="0"/>
    <x v="8"/>
    <s v="Mombasa"/>
    <s v="Small Business"/>
    <x v="1"/>
    <x v="6"/>
    <x v="5"/>
    <s v="PHN-8804"/>
    <n v="1338.99"/>
    <n v="1472.8890000000001"/>
    <n v="1765.76"/>
    <s v="High"/>
    <n v="0.126"/>
    <n v="0.1"/>
    <s v=""/>
    <n v="24"/>
    <n v="28.799999999999997"/>
    <n v="32135.760000000002"/>
    <n v="1398841.4532999999"/>
    <n v="576339.30033"/>
    <n v="0.41201188238335434"/>
    <s v="A"/>
    <n v="42419.203199999996"/>
    <n v="45768.499199999991"/>
    <n v="37038.581760000001"/>
    <n v="4902.8217599999989"/>
    <n v="3349.2959999999948"/>
    <n v="0.1323706666677725"/>
  </r>
  <r>
    <s v="ORD-2024-668926"/>
    <s v="668926"/>
    <x v="1"/>
    <d v="2023-03-03T00:00:00"/>
    <n v="19"/>
    <d v="2024-10-23T00:00:00"/>
    <s v="Oct-2024"/>
    <x v="9"/>
    <s v="Q4-2024"/>
    <n v="22"/>
    <n v="22"/>
    <n v="0"/>
    <d v="2024-11-14T00:00:00"/>
    <d v="2024-11-14T00:00:00"/>
    <x v="1"/>
    <x v="3"/>
    <s v="Osaka"/>
    <s v="Non-Profit"/>
    <x v="0"/>
    <x v="1"/>
    <x v="5"/>
    <s v="PHN-9789"/>
    <n v="1406.4"/>
    <n v="1547.0400000000002"/>
    <n v="1564.76"/>
    <s v="Medium"/>
    <n v="0.185"/>
    <n v="0.1"/>
    <s v=""/>
    <n v="17"/>
    <n v="20.399999999999999"/>
    <n v="23908.800000000003"/>
    <n v="1398841.4532999999"/>
    <n v="598019.05012999999"/>
    <n v="0.42751024336547661"/>
    <s v="A"/>
    <n v="31559.616000000002"/>
    <n v="28728.993600000002"/>
    <n v="21679.749799999998"/>
    <n v="-2229.0502000000051"/>
    <n v="-2830.6224000000002"/>
    <n v="-0.10281715520536151"/>
  </r>
  <r>
    <s v="ORD-2023-613287"/>
    <s v="613287"/>
    <x v="0"/>
    <d v="2023-01-20T00:00:00"/>
    <n v="2"/>
    <d v="2023-03-31T00:00:00"/>
    <s v="Mar-2023"/>
    <x v="4"/>
    <s v="Q1-2023"/>
    <n v="12"/>
    <n v="12"/>
    <n v="0"/>
    <d v="2023-04-12T00:00:00"/>
    <d v="2023-04-12T00:00:00"/>
    <x v="0"/>
    <x v="8"/>
    <s v="Mombasa"/>
    <s v="Small Business"/>
    <x v="4"/>
    <x v="9"/>
    <x v="5"/>
    <s v="PHN-8014"/>
    <n v="304.22000000000003"/>
    <n v="334.64200000000005"/>
    <n v="393.31"/>
    <s v="Low"/>
    <n v="0.26500000000000001"/>
    <n v="0.1"/>
    <s v=""/>
    <n v="15"/>
    <n v="18"/>
    <n v="4563.3"/>
    <n v="1398841.4532999999"/>
    <n v="602355.29287999996"/>
    <n v="0.43061012487082551"/>
    <s v="A"/>
    <n v="6023.5560000000005"/>
    <n v="6371.6220000000003"/>
    <n v="4336.2427499999994"/>
    <n v="-227.05725000000075"/>
    <n v="348.0659999999998"/>
    <n v="-5.2362670424759034E-2"/>
  </r>
  <r>
    <s v="ORD-2023-897079"/>
    <s v="897079"/>
    <x v="0"/>
    <d v="2023-01-20T00:00:00"/>
    <n v="2"/>
    <d v="2023-04-14T00:00:00"/>
    <s v="Apr-2023"/>
    <x v="2"/>
    <s v="Q2-2023"/>
    <n v="30"/>
    <n v="30"/>
    <n v="0"/>
    <d v="2023-05-14T00:00:00"/>
    <d v="2023-05-14T00:00:00"/>
    <x v="0"/>
    <x v="8"/>
    <s v="Nakuru"/>
    <s v="Consumer"/>
    <x v="3"/>
    <x v="6"/>
    <x v="5"/>
    <s v="PHN-1784"/>
    <n v="209.25"/>
    <n v="230.17500000000001"/>
    <n v="434.8"/>
    <s v="Low"/>
    <n v="0"/>
    <n v="0"/>
    <s v=""/>
    <n v="9"/>
    <n v="10.799999999999999"/>
    <n v="1883.25"/>
    <n v="1398841.4532999999"/>
    <n v="606268.49287999992"/>
    <n v="0.43340758271765173"/>
    <s v="A"/>
    <n v="2485.89"/>
    <n v="4695.8399999999992"/>
    <n v="3913.2000000000003"/>
    <n v="2029.9500000000003"/>
    <n v="2209.9499999999994"/>
    <n v="0.51874425022999082"/>
  </r>
  <r>
    <s v="ORD-2023-747341"/>
    <s v="747341"/>
    <x v="0"/>
    <d v="2023-01-29T00:00:00"/>
    <n v="2"/>
    <d v="2023-04-19T00:00:00"/>
    <s v="Apr-2023"/>
    <x v="2"/>
    <s v="Q2-2023"/>
    <n v="9"/>
    <n v="9"/>
    <n v="0"/>
    <d v="2023-04-28T00:00:00"/>
    <d v="2023-04-28T00:00:00"/>
    <x v="3"/>
    <x v="9"/>
    <s v="Rio de Janeiro"/>
    <s v="Corporate"/>
    <x v="2"/>
    <x v="6"/>
    <x v="5"/>
    <s v="PHN-7132"/>
    <n v="1013.54"/>
    <n v="1114.894"/>
    <n v="927.93"/>
    <s v="Medium"/>
    <n v="0.17499999999999999"/>
    <n v="0.1"/>
    <s v=""/>
    <n v="16"/>
    <n v="19.2"/>
    <n v="16216.64"/>
    <n v="1398841.4532999999"/>
    <n v="618517.1688799999"/>
    <n v="0.44216388313404575"/>
    <s v="A"/>
    <n v="21405.964799999998"/>
    <n v="16034.630399999998"/>
    <n v="12248.675999999999"/>
    <n v="-3967.9639999999999"/>
    <n v="-5371.3343999999997"/>
    <n v="-0.32395044166406234"/>
  </r>
  <r>
    <s v="ORD-2023-363031"/>
    <s v="363031"/>
    <x v="0"/>
    <d v="2023-03-03T00:00:00"/>
    <n v="2"/>
    <d v="2023-05-06T00:00:00"/>
    <s v="May-2023"/>
    <x v="5"/>
    <s v="Q2-2023"/>
    <n v="8"/>
    <n v="8"/>
    <n v="0"/>
    <d v="2023-05-14T00:00:00"/>
    <d v="2023-05-14T00:00:00"/>
    <x v="1"/>
    <x v="3"/>
    <s v="Osaka"/>
    <s v="Enterprise"/>
    <x v="3"/>
    <x v="1"/>
    <x v="5"/>
    <s v="PHN-6131"/>
    <n v="291.18"/>
    <n v="320.29800000000006"/>
    <n v="479.54"/>
    <s v="Low"/>
    <n v="0.14099999999999999"/>
    <n v="0.1"/>
    <s v=""/>
    <n v="22"/>
    <n v="26.4"/>
    <n v="6405.96"/>
    <n v="1398841.4532999999"/>
    <n v="627579.51579999994"/>
    <n v="0.44864234922369522"/>
    <s v="A"/>
    <n v="8455.8672000000006"/>
    <n v="11393.8704"/>
    <n v="9062.34692"/>
    <n v="2656.3869199999999"/>
    <n v="2938.0031999999992"/>
    <n v="0.29312350801066001"/>
  </r>
  <r>
    <s v="ORD-2024-438404"/>
    <s v="438404"/>
    <x v="1"/>
    <d v="2023-01-02T00:00:00"/>
    <n v="20"/>
    <d v="2024-09-23T00:00:00"/>
    <s v="Sept-2024"/>
    <x v="11"/>
    <s v="Q3-2024"/>
    <n v="25"/>
    <n v="25"/>
    <n v="0"/>
    <d v="2024-10-18T00:00:00"/>
    <d v="2024-10-18T00:00:00"/>
    <x v="3"/>
    <x v="10"/>
    <s v="Vancouver"/>
    <s v="Small Business"/>
    <x v="4"/>
    <x v="14"/>
    <x v="5"/>
    <s v="PHN-4568"/>
    <n v="1297"/>
    <n v="1426.7"/>
    <n v="2411.52"/>
    <s v="High"/>
    <n v="2.1000000000000001E-2"/>
    <n v="2.1000000000000001E-2"/>
    <s v=""/>
    <n v="18"/>
    <n v="21.599999999999998"/>
    <n v="23346"/>
    <n v="1398841.4532999999"/>
    <n v="670075.32123999996"/>
    <n v="0.47902163583959323"/>
    <s v="A"/>
    <n v="30816.719999999998"/>
    <n v="50994.966527999997"/>
    <n v="42495.805439999996"/>
    <n v="19149.805439999996"/>
    <n v="20178.246528"/>
    <n v="0.45062813239385913"/>
  </r>
  <r>
    <s v="ORD-2024-237478"/>
    <s v="237478"/>
    <x v="1"/>
    <d v="2023-01-12T00:00:00"/>
    <n v="20"/>
    <d v="2024-10-03T00:00:00"/>
    <s v="Oct-2024"/>
    <x v="9"/>
    <s v="Q4-2024"/>
    <n v="8"/>
    <n v="8"/>
    <n v="0"/>
    <d v="2024-10-11T00:00:00"/>
    <d v="2024-10-11T00:00:00"/>
    <x v="1"/>
    <x v="4"/>
    <s v="Beijing"/>
    <s v="Enterprise"/>
    <x v="0"/>
    <x v="1"/>
    <x v="5"/>
    <s v="PHN-7488"/>
    <n v="1132.6099999999999"/>
    <n v="1245.8710000000001"/>
    <n v="2206.63"/>
    <s v="High"/>
    <n v="6.3E-2"/>
    <n v="6.3E-2"/>
    <s v=""/>
    <n v="20"/>
    <n v="24"/>
    <n v="22652.199999999997"/>
    <n v="1398841.4532999999"/>
    <n v="711427.56744000001"/>
    <n v="0.50858341791464268"/>
    <s v="A"/>
    <n v="29900.904000000002"/>
    <n v="49622.695440000003"/>
    <n v="41352.246200000009"/>
    <n v="18700.046200000012"/>
    <n v="19721.791440000001"/>
    <n v="0.45221355351671338"/>
  </r>
  <r>
    <s v="ORD-2024-331226"/>
    <s v="331226"/>
    <x v="1"/>
    <d v="2023-01-20T00:00:00"/>
    <n v="22"/>
    <d v="2024-11-30T00:00:00"/>
    <s v="Nov-2024"/>
    <x v="10"/>
    <s v="Q4-2024"/>
    <n v="19"/>
    <n v="19"/>
    <n v="0"/>
    <d v="2024-12-19T00:00:00"/>
    <d v="2024-12-19T00:00:00"/>
    <x v="0"/>
    <x v="8"/>
    <s v="Kisumu"/>
    <s v="Corporate"/>
    <x v="4"/>
    <x v="4"/>
    <x v="5"/>
    <s v="PHN-1919"/>
    <n v="1195.98"/>
    <n v="1315.5780000000002"/>
    <n v="1841.9"/>
    <s v="High"/>
    <n v="5.5E-2"/>
    <n v="5.5E-2"/>
    <s v=""/>
    <n v="19"/>
    <n v="22.8"/>
    <n v="22723.62"/>
    <n v="1398841.4532999999"/>
    <n v="744498.88193999999"/>
    <n v="0.53222534990198955"/>
    <s v="A"/>
    <n v="29995.178400000004"/>
    <n v="39685.577400000002"/>
    <n v="33071.3145"/>
    <n v="10347.694500000001"/>
    <n v="9690.3989999999976"/>
    <n v="0.31289032977506842"/>
  </r>
  <r>
    <s v="ORD-2025-515515"/>
    <s v="515515"/>
    <x v="2"/>
    <d v="2023-03-03T00:00:00"/>
    <n v="22"/>
    <d v="2025-01-03T00:00:00"/>
    <s v="Jan-2025"/>
    <x v="1"/>
    <s v="Q1-2025"/>
    <n v="20"/>
    <n v="20"/>
    <n v="0"/>
    <d v="2025-01-23T00:00:00"/>
    <d v="2025-01-23T00:00:00"/>
    <x v="1"/>
    <x v="3"/>
    <s v="Osaka"/>
    <s v="Corporate"/>
    <x v="2"/>
    <x v="5"/>
    <x v="5"/>
    <s v="PHN-7019"/>
    <n v="908.6"/>
    <n v="999.46000000000015"/>
    <n v="691.37"/>
    <s v="Low"/>
    <n v="0.25"/>
    <n v="0.1"/>
    <s v=""/>
    <n v="20"/>
    <n v="24"/>
    <n v="18172"/>
    <n v="1398841.4532999999"/>
    <n v="754869.43194000004"/>
    <n v="0.53963902067613978"/>
    <s v="A"/>
    <n v="23987.040000000005"/>
    <n v="14933.592000000001"/>
    <n v="10370.549999999999"/>
    <n v="-7801.4500000000007"/>
    <n v="-9053.448000000004"/>
    <n v="-0.75226964818645115"/>
  </r>
  <r>
    <s v="ORD-2025-653781"/>
    <s v="653781"/>
    <x v="2"/>
    <d v="2023-01-13T00:00:00"/>
    <n v="23"/>
    <d v="2025-01-11T00:00:00"/>
    <s v="Jan-2025"/>
    <x v="1"/>
    <s v="Q1-2025"/>
    <n v="12"/>
    <n v="12"/>
    <n v="0"/>
    <d v="2025-01-23T00:00:00"/>
    <d v="2025-01-23T00:00:00"/>
    <x v="3"/>
    <x v="11"/>
    <s v="Austin"/>
    <s v="Consumer"/>
    <x v="2"/>
    <x v="8"/>
    <x v="5"/>
    <s v="PHN-6307"/>
    <n v="100.69"/>
    <n v="110.759"/>
    <n v="226.14"/>
    <s v="Low"/>
    <n v="6.5000000000000002E-2"/>
    <n v="6.5000000000000002E-2"/>
    <s v=""/>
    <n v="12"/>
    <n v="14.399999999999999"/>
    <n v="1208.28"/>
    <n v="1398841.4532999999"/>
    <n v="757406.72274"/>
    <n v="0.54145287227026728"/>
    <s v="A"/>
    <n v="1594.9295999999999"/>
    <n v="3044.7489599999994"/>
    <n v="2537.2908000000002"/>
    <n v="1329.0108000000002"/>
    <n v="1449.8193599999995"/>
    <n v="0.52379128162999689"/>
  </r>
  <r>
    <s v="ORD-2025-354346"/>
    <s v="354346"/>
    <x v="2"/>
    <d v="2023-01-12T00:00:00"/>
    <n v="23"/>
    <d v="2025-01-09T00:00:00"/>
    <s v="Jan-2025"/>
    <x v="1"/>
    <s v="Q1-2025"/>
    <n v="6"/>
    <n v="6"/>
    <n v="1"/>
    <d v="2025-01-15T00:00:00"/>
    <d v="2025-01-15T00:00:00"/>
    <x v="1"/>
    <x v="4"/>
    <s v="Beijing"/>
    <s v="Education"/>
    <x v="4"/>
    <x v="9"/>
    <x v="5"/>
    <s v="PHN-2875"/>
    <n v="304.77999999999997"/>
    <n v="335.25799999999998"/>
    <n v="537.27"/>
    <s v="Low"/>
    <n v="0.187"/>
    <n v="0.1"/>
    <s v=""/>
    <n v="8"/>
    <n v="9.6"/>
    <n v="2438.2399999999998"/>
    <n v="1398841.4532999999"/>
    <n v="760901.12682"/>
    <n v="0.54395094242093123"/>
    <s v="A"/>
    <n v="3218.4767999999999"/>
    <n v="4642.0127999999995"/>
    <n v="3494.4040799999998"/>
    <n v="1056.16408"/>
    <n v="1423.5359999999996"/>
    <n v="0.3022444044307549"/>
  </r>
  <r>
    <s v="ORD-2024-902741"/>
    <s v="902741"/>
    <x v="1"/>
    <d v="2023-01-22T00:00:00"/>
    <n v="23"/>
    <d v="2024-12-23T00:00:00"/>
    <s v="Dec-2024"/>
    <x v="3"/>
    <s v="Q4-2024"/>
    <n v="19"/>
    <n v="19"/>
    <n v="0"/>
    <d v="2025-01-11T00:00:00"/>
    <d v="2025-01-11T00:00:00"/>
    <x v="2"/>
    <x v="7"/>
    <s v="Berlin"/>
    <s v="Education"/>
    <x v="1"/>
    <x v="11"/>
    <x v="5"/>
    <s v="PHN-8057"/>
    <n v="501.81"/>
    <n v="551.9910000000001"/>
    <n v="921.62"/>
    <s v="Medium"/>
    <n v="0.01"/>
    <n v="0.01"/>
    <s v=""/>
    <n v="9"/>
    <n v="10.799999999999999"/>
    <n v="4516.29"/>
    <n v="1398841.4532999999"/>
    <n v="769112.76101999998"/>
    <n v="0.54982125329899956"/>
    <s v="A"/>
    <n v="5961.5028000000002"/>
    <n v="9853.9610399999983"/>
    <n v="8211.6342000000004"/>
    <n v="3695.3442000000005"/>
    <n v="3892.4582399999981"/>
    <n v="0.45001325071202031"/>
  </r>
  <r>
    <s v="ORD-2025-564184"/>
    <s v="564184"/>
    <x v="2"/>
    <d v="2023-01-20T00:00:00"/>
    <n v="24"/>
    <d v="2025-01-29T00:00:00"/>
    <s v="Jan-2025"/>
    <x v="1"/>
    <s v="Q1-2025"/>
    <n v="8"/>
    <n v="8"/>
    <n v="0"/>
    <d v="2025-02-06T00:00:00"/>
    <d v="2025-02-06T00:00:00"/>
    <x v="0"/>
    <x v="8"/>
    <s v="Kisumu"/>
    <s v="Education"/>
    <x v="1"/>
    <x v="1"/>
    <x v="5"/>
    <s v="PHN-1671"/>
    <n v="1445.27"/>
    <n v="1589.797"/>
    <n v="2691.45"/>
    <s v="High"/>
    <n v="0"/>
    <n v="0"/>
    <s v=""/>
    <n v="9"/>
    <n v="10.799999999999999"/>
    <n v="13007.43"/>
    <n v="1398841.4532999999"/>
    <n v="793335.81102000002"/>
    <n v="0.56713776185889075"/>
    <s v="A"/>
    <n v="17169.8076"/>
    <n v="29067.659999999996"/>
    <n v="24223.05"/>
    <n v="11215.619999999999"/>
    <n v="11897.852399999996"/>
    <n v="0.46301436028906351"/>
  </r>
  <r>
    <s v="ORD-2025-328504"/>
    <s v="328504"/>
    <x v="2"/>
    <d v="2023-01-12T00:00:00"/>
    <n v="24"/>
    <d v="2025-01-27T00:00:00"/>
    <s v="Jan-2025"/>
    <x v="1"/>
    <s v="Q1-2025"/>
    <n v="19"/>
    <n v="19"/>
    <n v="0"/>
    <d v="2025-02-15T00:00:00"/>
    <d v="2025-02-15T00:00:00"/>
    <x v="1"/>
    <x v="4"/>
    <s v="Shenzhen"/>
    <s v="Non-Profit"/>
    <x v="0"/>
    <x v="4"/>
    <x v="5"/>
    <s v="PHN-8368"/>
    <n v="1253.22"/>
    <n v="1378.5420000000001"/>
    <n v="3104.71"/>
    <s v="High"/>
    <n v="0"/>
    <n v="0"/>
    <s v=""/>
    <n v="17"/>
    <n v="20.399999999999999"/>
    <n v="21304.74"/>
    <n v="1398841.4532999999"/>
    <n v="846115.88101999997"/>
    <n v="0.6048690357466403"/>
    <s v="A"/>
    <n v="28122.256799999999"/>
    <n v="63336.083999999995"/>
    <n v="52780.07"/>
    <n v="31475.329999999998"/>
    <n v="35213.8272"/>
    <n v="0.59634877331538205"/>
  </r>
  <r>
    <s v="ORD-2025-881624"/>
    <s v="881624"/>
    <x v="2"/>
    <d v="2023-01-15T00:00:00"/>
    <n v="25"/>
    <d v="2025-02-21T00:00:00"/>
    <s v="Feb-2025"/>
    <x v="0"/>
    <s v="Q1-2025"/>
    <n v="28"/>
    <n v="28"/>
    <n v="0"/>
    <d v="2025-03-21T00:00:00"/>
    <d v="2025-03-21T00:00:00"/>
    <x v="0"/>
    <x v="0"/>
    <s v="Abuja"/>
    <s v="Enterprise"/>
    <x v="3"/>
    <x v="13"/>
    <x v="5"/>
    <s v="PHN-5887"/>
    <n v="1437.39"/>
    <n v="1581.1290000000001"/>
    <n v="1388.31"/>
    <s v="Medium"/>
    <n v="0.13800000000000001"/>
    <n v="0.1"/>
    <s v=""/>
    <n v="18"/>
    <n v="21.599999999999998"/>
    <n v="25873.02"/>
    <n v="1398841.4532999999"/>
    <n v="867656.89897999994"/>
    <n v="0.62026822048568464"/>
    <s v="A"/>
    <n v="34152.386400000003"/>
    <n v="26988.746399999996"/>
    <n v="21541.017959999997"/>
    <n v="-4332.002040000003"/>
    <n v="-7163.6400000000067"/>
    <n v="-0.20110479681341872"/>
  </r>
  <r>
    <s v="ORD-2025-276968"/>
    <s v="276968"/>
    <x v="2"/>
    <d v="2023-01-13T00:00:00"/>
    <n v="25"/>
    <d v="2025-02-25T00:00:00"/>
    <s v="Feb-2025"/>
    <x v="0"/>
    <s v="Q1-2025"/>
    <n v="20"/>
    <n v="20"/>
    <n v="0"/>
    <d v="2025-03-17T00:00:00"/>
    <d v="2025-03-17T00:00:00"/>
    <x v="3"/>
    <x v="11"/>
    <s v="San Francisco"/>
    <s v="Non-Profit"/>
    <x v="3"/>
    <x v="8"/>
    <x v="5"/>
    <s v="PHN-1044"/>
    <n v="1205.26"/>
    <n v="1325.7860000000001"/>
    <n v="1696.35"/>
    <s v="High"/>
    <n v="1.9E-2"/>
    <n v="1.9E-2"/>
    <s v=""/>
    <n v="6"/>
    <n v="7.1999999999999993"/>
    <n v="7231.5599999999995"/>
    <n v="1398841.4532999999"/>
    <n v="877641.6150799999"/>
    <n v="0.6274060673635028"/>
    <s v="A"/>
    <n v="9545.6592000000001"/>
    <n v="11981.659319999997"/>
    <n v="9984.7160999999978"/>
    <n v="2753.1560999999983"/>
    <n v="2436.000119999997"/>
    <n v="0.27573704374028213"/>
  </r>
  <r>
    <s v="ORD-2025-177994"/>
    <s v="177994"/>
    <x v="2"/>
    <d v="2023-01-29T00:00:00"/>
    <n v="25"/>
    <d v="2025-03-24T00:00:00"/>
    <s v="Mar-2025"/>
    <x v="4"/>
    <s v="Q1-2025"/>
    <n v="11"/>
    <n v="11"/>
    <n v="0"/>
    <d v="2025-04-04T00:00:00"/>
    <d v="2025-04-04T00:00:00"/>
    <x v="1"/>
    <x v="1"/>
    <s v="Mumbai"/>
    <s v="Education"/>
    <x v="3"/>
    <x v="10"/>
    <x v="5"/>
    <s v="PHN-4395"/>
    <n v="23.83"/>
    <n v="26.213000000000001"/>
    <n v="47.29"/>
    <s v="Low"/>
    <n v="6.4000000000000001E-2"/>
    <n v="6.4000000000000001E-2"/>
    <s v=""/>
    <n v="19"/>
    <n v="22.8"/>
    <n v="452.77"/>
    <n v="1398841.4532999999"/>
    <n v="878482.62043999985"/>
    <n v="0.62800728300378561"/>
    <s v="A"/>
    <n v="597.65640000000008"/>
    <n v="1009.2064319999999"/>
    <n v="841.00536"/>
    <n v="388.23536000000001"/>
    <n v="411.55003199999987"/>
    <n v="0.46163244429262618"/>
  </r>
  <r>
    <s v="ORD-2025-926547"/>
    <s v="926547"/>
    <x v="2"/>
    <d v="2023-01-22T00:00:00"/>
    <n v="25"/>
    <d v="2025-03-11T00:00:00"/>
    <s v="Mar-2025"/>
    <x v="4"/>
    <s v="Q1-2025"/>
    <n v="15"/>
    <n v="15"/>
    <n v="0"/>
    <d v="2025-03-26T00:00:00"/>
    <d v="2025-03-26T00:00:00"/>
    <x v="2"/>
    <x v="7"/>
    <s v="Berlin"/>
    <s v="Small Business"/>
    <x v="4"/>
    <x v="13"/>
    <x v="5"/>
    <s v="PHN-3007"/>
    <n v="116.97"/>
    <n v="128.667"/>
    <n v="140.82"/>
    <s v="Low"/>
    <n v="0.122"/>
    <n v="0.1"/>
    <s v=""/>
    <n v="5"/>
    <n v="6"/>
    <n v="584.85"/>
    <n v="1398841.4532999999"/>
    <n v="879100.8202399998"/>
    <n v="0.6284492200071119"/>
    <s v="A"/>
    <n v="772.00199999999995"/>
    <n v="760.428"/>
    <n v="618.19979999999987"/>
    <n v="33.349799999999846"/>
    <n v="-11.573999999999955"/>
    <n v="5.3946636669891926E-2"/>
  </r>
  <r>
    <s v="ORD-2025-168148"/>
    <s v="168148"/>
    <x v="2"/>
    <d v="2023-01-15T00:00:00"/>
    <n v="26"/>
    <d v="2025-03-29T00:00:00"/>
    <s v="Mar-2025"/>
    <x v="4"/>
    <s v="Q1-2025"/>
    <n v="4"/>
    <n v="4"/>
    <n v="1"/>
    <d v="2025-04-02T00:00:00"/>
    <d v="2025-04-02T00:00:00"/>
    <x v="0"/>
    <x v="0"/>
    <s v="Lagos"/>
    <s v="Non-Profit"/>
    <x v="3"/>
    <x v="2"/>
    <x v="5"/>
    <s v="PHN-4556"/>
    <n v="259.93"/>
    <n v="285.92300000000006"/>
    <n v="255.94"/>
    <s v="Low"/>
    <n v="7.1999999999999995E-2"/>
    <n v="7.1999999999999995E-2"/>
    <s v=""/>
    <n v="22"/>
    <n v="26.4"/>
    <n v="5718.46"/>
    <n v="1398841.4532999999"/>
    <n v="884326.09127999982"/>
    <n v="0.63218464765523674"/>
    <s v="A"/>
    <n v="7548.3672000000015"/>
    <n v="6270.3252480000001"/>
    <n v="5225.2710400000005"/>
    <n v="-493.1889599999995"/>
    <n v="-1278.0419520000014"/>
    <n v="-9.4385335463861311E-2"/>
  </r>
  <r>
    <s v="ORD-2025-757957"/>
    <s v="757957"/>
    <x v="2"/>
    <d v="2023-01-29T00:00:00"/>
    <n v="26"/>
    <d v="2025-04-24T00:00:00"/>
    <s v="Apr-2025"/>
    <x v="2"/>
    <s v="Q2-2025"/>
    <n v="12"/>
    <n v="12"/>
    <n v="0"/>
    <d v="2025-05-06T00:00:00"/>
    <d v="2025-05-06T00:00:00"/>
    <x v="3"/>
    <x v="9"/>
    <s v="Brasília"/>
    <s v="Consumer"/>
    <x v="4"/>
    <x v="9"/>
    <x v="5"/>
    <s v="PHN-2787"/>
    <n v="394.13"/>
    <n v="433.54300000000001"/>
    <n v="932.29"/>
    <s v="Medium"/>
    <n v="0.109"/>
    <n v="0.1"/>
    <s v=""/>
    <n v="7"/>
    <n v="8.4"/>
    <n v="2758.91"/>
    <n v="1398841.4532999999"/>
    <n v="890140.78400999983"/>
    <n v="0.63634143948913802"/>
    <s v="A"/>
    <n v="3641.7612000000004"/>
    <n v="7048.1124"/>
    <n v="5814.6927299999998"/>
    <n v="3055.7827299999999"/>
    <n v="3406.3511999999996"/>
    <n v="0.5255278089303268"/>
  </r>
  <r>
    <s v="ORD-2025-246692"/>
    <s v="246692"/>
    <x v="2"/>
    <d v="2023-01-29T00:00:00"/>
    <n v="26"/>
    <d v="2025-04-17T00:00:00"/>
    <s v="Apr-2025"/>
    <x v="2"/>
    <s v="Q2-2025"/>
    <n v="0"/>
    <n v="0"/>
    <n v="1"/>
    <d v="2025-04-17T00:00:00"/>
    <d v="2025-04-17T00:00:00"/>
    <x v="3"/>
    <x v="9"/>
    <s v="São Paulo"/>
    <s v="Corporate"/>
    <x v="2"/>
    <x v="4"/>
    <x v="5"/>
    <s v="PHN-4566"/>
    <n v="719.41"/>
    <n v="791.351"/>
    <n v="1125.99"/>
    <s v="Medium"/>
    <n v="4.1000000000000002E-2"/>
    <n v="4.1000000000000002E-2"/>
    <s v=""/>
    <n v="21"/>
    <n v="25.2"/>
    <n v="15107.609999999999"/>
    <n v="1398841.4532999999"/>
    <n v="912817.09661999985"/>
    <n v="0.65255222060125373"/>
    <s v="A"/>
    <n v="19942.0452"/>
    <n v="27211.575131999998"/>
    <n v="22676.312610000001"/>
    <n v="7568.7026100000021"/>
    <n v="7269.5299319999976"/>
    <n v="0.33377131194876403"/>
  </r>
  <r>
    <s v="ORD-2025-323492"/>
    <s v="323492"/>
    <x v="2"/>
    <d v="2023-01-29T00:00:00"/>
    <n v="26"/>
    <d v="2025-04-27T00:00:00"/>
    <s v="Apr-2025"/>
    <x v="2"/>
    <s v="Q2-2025"/>
    <n v="30"/>
    <n v="30"/>
    <n v="0"/>
    <d v="2025-05-27T00:00:00"/>
    <d v="2025-05-27T00:00:00"/>
    <x v="1"/>
    <x v="1"/>
    <s v="Delhi"/>
    <s v="Enterprise"/>
    <x v="3"/>
    <x v="8"/>
    <x v="5"/>
    <s v="PHN-3854"/>
    <n v="481.32"/>
    <n v="529.452"/>
    <n v="1135.99"/>
    <s v="Medium"/>
    <n v="0.14499999999999999"/>
    <n v="0.1"/>
    <s v=""/>
    <n v="5"/>
    <n v="6"/>
    <n v="2406.6"/>
    <n v="1398841.4532999999"/>
    <n v="917673.45386999985"/>
    <n v="0.65602392015558375"/>
    <s v="A"/>
    <n v="3176.712"/>
    <n v="6134.3460000000005"/>
    <n v="4856.35725"/>
    <n v="2449.7572500000001"/>
    <n v="2957.6340000000005"/>
    <n v="0.50444337677175621"/>
  </r>
  <r>
    <s v="ORD-2025-254721"/>
    <s v="254721"/>
    <x v="2"/>
    <d v="2023-03-03T00:00:00"/>
    <n v="26"/>
    <d v="2025-05-15T00:00:00"/>
    <s v="May-2025"/>
    <x v="5"/>
    <s v="Q2-2025"/>
    <n v="21"/>
    <n v="21"/>
    <n v="0"/>
    <d v="2025-06-05T00:00:00"/>
    <d v="2025-06-05T00:00:00"/>
    <x v="1"/>
    <x v="3"/>
    <s v="Osaka"/>
    <s v="Enterprise"/>
    <x v="0"/>
    <x v="8"/>
    <x v="5"/>
    <s v="PHN-6480"/>
    <n v="1466.5"/>
    <n v="1613.15"/>
    <n v="2778.74"/>
    <s v="High"/>
    <n v="0.13500000000000001"/>
    <n v="0.1"/>
    <s v=""/>
    <n v="4"/>
    <n v="4.8"/>
    <n v="5866"/>
    <n v="1398841.4532999999"/>
    <n v="927287.89426999982"/>
    <n v="0.66289706534106463"/>
    <s v="A"/>
    <n v="7743.12"/>
    <n v="12004.156799999999"/>
    <n v="9614.4403999999995"/>
    <n v="3748.4403999999995"/>
    <n v="4261.0367999999989"/>
    <n v="0.38987608680792279"/>
  </r>
  <r>
    <s v="ORD-2025-541048"/>
    <s v="541048"/>
    <x v="2"/>
    <d v="2023-01-22T00:00:00"/>
    <n v="26"/>
    <d v="2025-04-04T00:00:00"/>
    <s v="Apr-2025"/>
    <x v="2"/>
    <s v="Q2-2025"/>
    <n v="9"/>
    <n v="9"/>
    <n v="0"/>
    <d v="2025-04-13T00:00:00"/>
    <d v="2025-04-13T00:00:00"/>
    <x v="2"/>
    <x v="7"/>
    <s v="Munich"/>
    <s v="Consumer"/>
    <x v="3"/>
    <x v="5"/>
    <x v="5"/>
    <s v="PHN-3803"/>
    <n v="7.02"/>
    <n v="7.7220000000000004"/>
    <n v="6.28"/>
    <s v="Low"/>
    <n v="0.13400000000000001"/>
    <n v="0.1"/>
    <s v=""/>
    <n v="14"/>
    <n v="16.8"/>
    <n v="98.28"/>
    <n v="1398841.4532999999"/>
    <n v="927364.03298999986"/>
    <n v="0.66295149518357488"/>
    <s v="A"/>
    <n v="129.7296"/>
    <n v="94.953600000000009"/>
    <n v="76.138720000000006"/>
    <n v="-22.141279999999995"/>
    <n v="-34.775999999999996"/>
    <n v="-0.29080184169106066"/>
  </r>
  <r>
    <s v="ORD-2025-474368"/>
    <s v="474368"/>
    <x v="2"/>
    <d v="2023-01-13T00:00:00"/>
    <n v="27"/>
    <d v="2025-04-27T00:00:00"/>
    <s v="Apr-2025"/>
    <x v="2"/>
    <s v="Q2-2025"/>
    <n v="20"/>
    <n v="20"/>
    <n v="0"/>
    <d v="2025-05-17T00:00:00"/>
    <d v="2025-05-17T00:00:00"/>
    <x v="3"/>
    <x v="11"/>
    <s v="Austin"/>
    <s v="Corporate"/>
    <x v="0"/>
    <x v="14"/>
    <x v="5"/>
    <s v="PHN-8776"/>
    <n v="932.26"/>
    <n v="1025.4860000000001"/>
    <n v="1624.67"/>
    <s v="Medium"/>
    <n v="0.23499999999999999"/>
    <n v="0.1"/>
    <s v=""/>
    <n v="28"/>
    <n v="33.6"/>
    <n v="26103.279999999999"/>
    <n v="1398841.4532999999"/>
    <n v="962164.46438999986"/>
    <n v="0.6878295335902167"/>
    <s v="A"/>
    <n v="34456.329600000005"/>
    <n v="49130.020800000006"/>
    <n v="34800.431400000001"/>
    <n v="8697.1514000000025"/>
    <n v="14673.691200000001"/>
    <n v="0.24991504559337163"/>
  </r>
  <r>
    <s v="ORD-2025-673091"/>
    <s v="673091"/>
    <x v="2"/>
    <d v="2023-01-29T00:00:00"/>
    <n v="27"/>
    <d v="2025-05-07T00:00:00"/>
    <s v="May-2025"/>
    <x v="5"/>
    <s v="Q2-2025"/>
    <n v="6"/>
    <n v="6"/>
    <n v="1"/>
    <d v="2025-05-13T00:00:00"/>
    <d v="2025-05-13T00:00:00"/>
    <x v="1"/>
    <x v="1"/>
    <s v="Bengaluru"/>
    <s v="Enterprise"/>
    <x v="0"/>
    <x v="10"/>
    <x v="5"/>
    <s v="PHN-5683"/>
    <n v="935.98"/>
    <n v="1029.5780000000002"/>
    <n v="2077.69"/>
    <s v="High"/>
    <n v="0.17499999999999999"/>
    <n v="0.1"/>
    <s v=""/>
    <n v="24"/>
    <n v="28.799999999999997"/>
    <n v="22463.52"/>
    <n v="1398841.4532999999"/>
    <n v="1003302.7263899999"/>
    <n v="0.7172383432183207"/>
    <s v="A"/>
    <n v="29651.846400000002"/>
    <n v="53853.724799999996"/>
    <n v="41138.261999999995"/>
    <n v="18674.741999999995"/>
    <n v="24201.878399999994"/>
    <n v="0.45395067978321491"/>
  </r>
  <r>
    <s v="ORD-2025-417942"/>
    <s v="417942"/>
    <x v="2"/>
    <d v="2023-03-03T00:00:00"/>
    <n v="27"/>
    <d v="2025-06-09T00:00:00"/>
    <s v="Jun-2025"/>
    <x v="6"/>
    <s v="Q2-2025"/>
    <n v="15"/>
    <n v="15"/>
    <n v="0"/>
    <d v="2025-06-24T00:00:00"/>
    <d v="2025-06-24T00:00:00"/>
    <x v="1"/>
    <x v="3"/>
    <s v="Nagoya"/>
    <s v="Corporate"/>
    <x v="0"/>
    <x v="1"/>
    <x v="5"/>
    <s v="PHN-5675"/>
    <n v="400.39"/>
    <n v="440.42900000000003"/>
    <n v="712.75"/>
    <s v="Low"/>
    <n v="0.115"/>
    <n v="0.1"/>
    <s v=""/>
    <n v="19"/>
    <n v="22.8"/>
    <n v="7607.41"/>
    <n v="1398841.4532999999"/>
    <n v="1015287.6176399998"/>
    <n v="0.72580606990509167"/>
    <s v="A"/>
    <n v="10041.781200000001"/>
    <n v="14625.630000000001"/>
    <n v="11984.891250000001"/>
    <n v="4377.4812500000007"/>
    <n v="4583.8487999999998"/>
    <n v="0.36524997671547504"/>
  </r>
  <r>
    <s v="ORD-2025-526650"/>
    <s v="526650"/>
    <x v="2"/>
    <d v="2023-01-10T00:00:00"/>
    <n v="27"/>
    <d v="2025-04-27T00:00:00"/>
    <s v="Apr-2025"/>
    <x v="2"/>
    <s v="Q2-2025"/>
    <n v="28"/>
    <n v="28"/>
    <n v="0"/>
    <d v="2025-05-25T00:00:00"/>
    <d v="2025-05-25T00:00:00"/>
    <x v="2"/>
    <x v="5"/>
    <s v="Paris"/>
    <s v="Small Business"/>
    <x v="3"/>
    <x v="13"/>
    <x v="5"/>
    <s v="PHN-8350"/>
    <n v="603.45000000000005"/>
    <n v="663.79500000000007"/>
    <n v="1244.08"/>
    <s v="Medium"/>
    <n v="0.2"/>
    <n v="0.1"/>
    <s v=""/>
    <n v="11"/>
    <n v="13.2"/>
    <n v="6637.9500000000007"/>
    <n v="1398841.4532999999"/>
    <n v="1026235.5216399998"/>
    <n v="0.73363247794738473"/>
    <s v="A"/>
    <n v="8762.094000000001"/>
    <n v="14779.670400000001"/>
    <n v="10947.904"/>
    <n v="4309.9539999999997"/>
    <n v="6017.5763999999999"/>
    <n v="0.39367846119220623"/>
  </r>
  <r>
    <s v="ORD-2025-252117"/>
    <s v="252117"/>
    <x v="2"/>
    <d v="2023-01-22T00:00:00"/>
    <n v="27"/>
    <d v="2025-04-28T00:00:00"/>
    <s v="Apr-2025"/>
    <x v="2"/>
    <s v="Q2-2025"/>
    <n v="21"/>
    <n v="21"/>
    <n v="0"/>
    <d v="2025-05-19T00:00:00"/>
    <d v="2025-05-19T00:00:00"/>
    <x v="2"/>
    <x v="7"/>
    <s v="Berlin"/>
    <s v="Corporate"/>
    <x v="2"/>
    <x v="1"/>
    <x v="5"/>
    <s v="PHN-2462"/>
    <n v="350.76"/>
    <n v="385.83600000000001"/>
    <n v="492.18"/>
    <s v="Low"/>
    <n v="5.2999999999999999E-2"/>
    <n v="5.2999999999999999E-2"/>
    <s v=""/>
    <n v="11"/>
    <n v="13.2"/>
    <n v="3858.3599999999997"/>
    <n v="1398841.4532999999"/>
    <n v="1031362.5606999998"/>
    <n v="0.73729768178296229"/>
    <s v="A"/>
    <n v="5093.0352000000003"/>
    <n v="6152.4468719999995"/>
    <n v="5127.0390600000001"/>
    <n v="1268.6790600000004"/>
    <n v="1059.4116719999993"/>
    <n v="0.24744868239798437"/>
  </r>
  <r>
    <s v="ORD-2025-509940"/>
    <s v="509940"/>
    <x v="2"/>
    <d v="2023-01-12T00:00:00"/>
    <n v="28"/>
    <d v="2025-05-16T00:00:00"/>
    <s v="May-2025"/>
    <x v="5"/>
    <s v="Q2-2025"/>
    <n v="11"/>
    <n v="11"/>
    <n v="0"/>
    <d v="2025-05-27T00:00:00"/>
    <d v="2025-05-27T00:00:00"/>
    <x v="1"/>
    <x v="4"/>
    <s v="Beijing"/>
    <s v="Enterprise"/>
    <x v="4"/>
    <x v="5"/>
    <x v="5"/>
    <s v="PHN-3800"/>
    <n v="918.12"/>
    <n v="1009.9320000000001"/>
    <n v="1337.69"/>
    <s v="Medium"/>
    <n v="9.5000000000000001E-2"/>
    <n v="9.5000000000000001E-2"/>
    <s v=""/>
    <n v="8"/>
    <n v="9.6"/>
    <n v="7344.96"/>
    <n v="1398841.4532999999"/>
    <n v="1041047.4362999998"/>
    <n v="0.74422117949398048"/>
    <s v="A"/>
    <n v="9695.3472000000002"/>
    <n v="11621.85072"/>
    <n v="9684.8756000000012"/>
    <n v="2339.9156000000012"/>
    <n v="1926.5035200000002"/>
    <n v="0.24160512707050164"/>
  </r>
  <r>
    <s v="ORD-2025-526752"/>
    <s v="526752"/>
    <x v="2"/>
    <d v="2023-01-29T00:00:00"/>
    <n v="28"/>
    <d v="2025-06-09T00:00:00"/>
    <s v="Jun-2025"/>
    <x v="6"/>
    <s v="Q2-2025"/>
    <n v="16"/>
    <n v="16"/>
    <n v="0"/>
    <d v="2025-06-25T00:00:00"/>
    <d v="2025-06-25T00:00:00"/>
    <x v="1"/>
    <x v="1"/>
    <s v="Hyderabad"/>
    <s v="Enterprise"/>
    <x v="2"/>
    <x v="6"/>
    <x v="5"/>
    <s v="PHN-3482"/>
    <n v="527.33000000000004"/>
    <n v="580.0630000000001"/>
    <n v="911.72"/>
    <s v="Medium"/>
    <n v="0.14399999999999999"/>
    <n v="0.1"/>
    <s v=""/>
    <n v="25"/>
    <n v="30"/>
    <n v="13183.250000000002"/>
    <n v="1398841.4532999999"/>
    <n v="1060558.2442999999"/>
    <n v="0.75816901322022034"/>
    <s v="A"/>
    <n v="17401.890000000003"/>
    <n v="24616.440000000002"/>
    <n v="19510.808000000001"/>
    <n v="6327.5579999999991"/>
    <n v="7214.5499999999993"/>
    <n v="0.32431040272652978"/>
  </r>
  <r>
    <s v="ORD-2025-155182"/>
    <s v="155182"/>
    <x v="2"/>
    <d v="2023-01-20T00:00:00"/>
    <n v="29"/>
    <d v="2025-07-11T00:00:00"/>
    <s v="Jul-2025"/>
    <x v="7"/>
    <s v="Q3-2025"/>
    <n v="23"/>
    <n v="23"/>
    <n v="0"/>
    <d v="2025-08-03T00:00:00"/>
    <d v="2025-08-03T00:00:00"/>
    <x v="0"/>
    <x v="8"/>
    <s v="Nakuru"/>
    <s v="Small Business"/>
    <x v="1"/>
    <x v="9"/>
    <x v="5"/>
    <s v="PHN-7636"/>
    <n v="389.93"/>
    <n v="428.92300000000006"/>
    <n v="486.13"/>
    <s v="Low"/>
    <n v="0.13200000000000001"/>
    <n v="0.1"/>
    <s v=""/>
    <n v="17"/>
    <n v="20.399999999999999"/>
    <n v="6628.81"/>
    <n v="1398841.4532999999"/>
    <n v="1067731.57858"/>
    <n v="0.76329706705582656"/>
    <s v="A"/>
    <n v="8750.0292000000009"/>
    <n v="8925.3467999999993"/>
    <n v="7173.3342799999991"/>
    <n v="544.52427999999873"/>
    <n v="175.31759999999849"/>
    <n v="7.5909508569562828E-2"/>
  </r>
  <r>
    <s v="ORD-2025-908258"/>
    <s v="908258"/>
    <x v="2"/>
    <d v="2023-01-07T00:00:00"/>
    <n v="29"/>
    <d v="2025-06-21T00:00:00"/>
    <s v="Jun-2025"/>
    <x v="6"/>
    <s v="Q2-2025"/>
    <n v="6"/>
    <n v="6"/>
    <n v="1"/>
    <d v="2025-06-27T00:00:00"/>
    <d v="2025-06-27T00:00:00"/>
    <x v="0"/>
    <x v="6"/>
    <s v="Durban"/>
    <s v="Enterprise"/>
    <x v="2"/>
    <x v="14"/>
    <x v="5"/>
    <s v="PHN-3819"/>
    <n v="93.91"/>
    <n v="103.301"/>
    <n v="99.04"/>
    <s v="Low"/>
    <n v="5.7000000000000002E-2"/>
    <n v="5.7000000000000002E-2"/>
    <s v=""/>
    <n v="6"/>
    <n v="7.1999999999999993"/>
    <n v="563.46"/>
    <n v="1398841.4532999999"/>
    <n v="1068291.9468999999"/>
    <n v="0.76369766164692765"/>
    <s v="A"/>
    <n v="743.76719999999989"/>
    <n v="672.44198399999993"/>
    <n v="560.36831999999993"/>
    <n v="-3.0916800000001103"/>
    <n v="-71.325215999999955"/>
    <n v="-5.5172283829323376E-3"/>
  </r>
  <r>
    <s v="ORD-2025-262434"/>
    <s v="262434"/>
    <x v="2"/>
    <d v="2023-01-07T00:00:00"/>
    <n v="29"/>
    <d v="2025-06-19T00:00:00"/>
    <s v="Jun-2025"/>
    <x v="6"/>
    <s v="Q2-2025"/>
    <n v="2"/>
    <n v="2"/>
    <n v="1"/>
    <d v="2025-06-21T00:00:00"/>
    <d v="2025-06-21T00:00:00"/>
    <x v="0"/>
    <x v="6"/>
    <s v="Johannesburg"/>
    <s v="Small Business"/>
    <x v="2"/>
    <x v="8"/>
    <x v="5"/>
    <s v="PHN-7379"/>
    <n v="1466.27"/>
    <n v="1612.8970000000002"/>
    <n v="3589.89"/>
    <s v="High"/>
    <n v="9.7000000000000003E-2"/>
    <n v="9.7000000000000003E-2"/>
    <s v=""/>
    <n v="9"/>
    <n v="10.799999999999999"/>
    <n v="13196.43"/>
    <n v="1398841.4532999999"/>
    <n v="1097466.9829299999"/>
    <n v="0.78455423260511115"/>
    <s v="A"/>
    <n v="17419.2876"/>
    <n v="35010.043235999998"/>
    <n v="29175.036029999999"/>
    <n v="15978.606029999999"/>
    <n v="17590.755635999998"/>
    <n v="0.54768076425234147"/>
  </r>
  <r>
    <s v="ORD-2025-591006"/>
    <s v="591006"/>
    <x v="2"/>
    <d v="2023-01-19T00:00:00"/>
    <n v="29"/>
    <d v="2025-06-25T00:00:00"/>
    <s v="Jun-2025"/>
    <x v="6"/>
    <s v="Q2-2025"/>
    <n v="15"/>
    <n v="15"/>
    <n v="0"/>
    <d v="2025-07-10T00:00:00"/>
    <d v="2025-07-10T00:00:00"/>
    <x v="2"/>
    <x v="2"/>
    <s v="Birmingham"/>
    <s v="Non-Profit"/>
    <x v="3"/>
    <x v="0"/>
    <x v="5"/>
    <s v="PHN-5383"/>
    <n v="546.83000000000004"/>
    <n v="601.51300000000015"/>
    <n v="400.84"/>
    <s v="Low"/>
    <n v="7.8E-2"/>
    <n v="7.8E-2"/>
    <s v=""/>
    <n v="13"/>
    <n v="15.6"/>
    <n v="7108.7900000000009"/>
    <n v="1398841.4532999999"/>
    <n v="1102271.45117"/>
    <n v="0.78798883788411966"/>
    <s v="A"/>
    <n v="9383.6028000000024"/>
    <n v="5765.3618879999995"/>
    <n v="4804.4682400000002"/>
    <n v="-2304.3217600000007"/>
    <n v="-3618.2409120000029"/>
    <n v="-0.47962056254533608"/>
  </r>
  <r>
    <s v="ORD-2025-278048"/>
    <s v="278048"/>
    <x v="2"/>
    <d v="2023-01-19T00:00:00"/>
    <n v="29"/>
    <d v="2025-06-22T00:00:00"/>
    <s v="Jun-2025"/>
    <x v="6"/>
    <s v="Q2-2025"/>
    <n v="16"/>
    <n v="16"/>
    <n v="0"/>
    <d v="2025-07-08T00:00:00"/>
    <d v="2025-07-08T00:00:00"/>
    <x v="2"/>
    <x v="2"/>
    <s v="London"/>
    <s v="Education"/>
    <x v="0"/>
    <x v="3"/>
    <x v="5"/>
    <s v="PHN-5316"/>
    <n v="892.73"/>
    <n v="982.00300000000004"/>
    <n v="979.84"/>
    <s v="Medium"/>
    <n v="0.17399999999999999"/>
    <n v="0.1"/>
    <s v=""/>
    <n v="10"/>
    <n v="12"/>
    <n v="8927.2999999999993"/>
    <n v="1398841.4532999999"/>
    <n v="1110364.9295699999"/>
    <n v="0.79377468186301137"/>
    <s v="A"/>
    <n v="11784.036"/>
    <n v="10582.272000000001"/>
    <n v="8093.4784"/>
    <n v="-833.82159999999931"/>
    <n v="-1201.7639999999992"/>
    <n v="-0.10302388649112838"/>
  </r>
  <r>
    <s v="ORD-2023-251563"/>
    <s v="251563"/>
    <x v="0"/>
    <d v="2023-01-20T00:00:00"/>
    <n v="3"/>
    <d v="2023-05-11T00:00:00"/>
    <s v="May-2023"/>
    <x v="5"/>
    <s v="Q2-2023"/>
    <n v="27"/>
    <n v="27"/>
    <n v="0"/>
    <d v="2023-06-07T00:00:00"/>
    <d v="2023-06-07T00:00:00"/>
    <x v="0"/>
    <x v="8"/>
    <s v="Mombasa"/>
    <s v="Corporate"/>
    <x v="4"/>
    <x v="10"/>
    <x v="5"/>
    <s v="PHN-8970"/>
    <n v="12.85"/>
    <n v="14.135000000000002"/>
    <n v="15.41"/>
    <s v="Low"/>
    <n v="0.13700000000000001"/>
    <n v="0.1"/>
    <s v=""/>
    <n v="39"/>
    <n v="46.8"/>
    <n v="501.15"/>
    <n v="1398841.4532999999"/>
    <n v="1110883.5839399998"/>
    <n v="0.79414545609820175"/>
    <s v="A"/>
    <n v="661.51800000000003"/>
    <n v="649.06920000000002"/>
    <n v="518.65436999999997"/>
    <n v="17.504369999999994"/>
    <n v="-12.448800000000006"/>
    <n v="3.3749585489851353E-2"/>
  </r>
  <r>
    <s v="ORD-2023-898009"/>
    <s v="898009"/>
    <x v="0"/>
    <d v="2023-01-15T00:00:00"/>
    <n v="3"/>
    <d v="2023-05-04T00:00:00"/>
    <s v="May-2023"/>
    <x v="5"/>
    <s v="Q2-2023"/>
    <n v="12"/>
    <n v="12"/>
    <n v="0"/>
    <d v="2023-05-16T00:00:00"/>
    <d v="2023-05-16T00:00:00"/>
    <x v="0"/>
    <x v="0"/>
    <s v="Abuja"/>
    <s v="Small Business"/>
    <x v="3"/>
    <x v="10"/>
    <x v="5"/>
    <s v="PHN-1670"/>
    <n v="77.739999999999995"/>
    <n v="85.513999999999996"/>
    <n v="147.12"/>
    <s v="Low"/>
    <n v="0"/>
    <n v="0"/>
    <s v=""/>
    <n v="15"/>
    <n v="18"/>
    <n v="1166.0999999999999"/>
    <n v="1398841.4532999999"/>
    <n v="1113090.3839399999"/>
    <n v="0.79572304732184895"/>
    <s v="A"/>
    <n v="1539.252"/>
    <n v="2648.16"/>
    <n v="2206.8000000000002"/>
    <n v="1040.7000000000003"/>
    <n v="1108.9079999999999"/>
    <n v="0.47158781946710177"/>
  </r>
  <r>
    <s v="ORD-2023-378676"/>
    <s v="378676"/>
    <x v="0"/>
    <d v="2023-01-13T00:00:00"/>
    <n v="3"/>
    <d v="2023-05-03T00:00:00"/>
    <s v="May-2023"/>
    <x v="5"/>
    <s v="Q2-2023"/>
    <n v="13"/>
    <n v="13"/>
    <n v="0"/>
    <d v="2023-05-16T00:00:00"/>
    <d v="2023-05-16T00:00:00"/>
    <x v="3"/>
    <x v="11"/>
    <s v="New York"/>
    <s v="Corporate"/>
    <x v="3"/>
    <x v="4"/>
    <x v="5"/>
    <s v="PHN-5366"/>
    <n v="64.5"/>
    <n v="70.95"/>
    <n v="123.62"/>
    <s v="Low"/>
    <n v="0"/>
    <n v="0"/>
    <s v=""/>
    <n v="3"/>
    <n v="3.5999999999999996"/>
    <n v="193.5"/>
    <n v="1398841.4532999999"/>
    <n v="1113461.24394"/>
    <n v="0.79598816671699213"/>
    <s v="A"/>
    <n v="255.42"/>
    <n v="445.03199999999998"/>
    <n v="370.86"/>
    <n v="177.36"/>
    <n v="189.61199999999999"/>
    <n v="0.47823976702798904"/>
  </r>
  <r>
    <s v="ORD-2023-610470"/>
    <s v="610470"/>
    <x v="0"/>
    <d v="2023-03-03T00:00:00"/>
    <n v="3"/>
    <d v="2023-06-24T00:00:00"/>
    <s v="Jun-2023"/>
    <x v="6"/>
    <s v="Q2-2023"/>
    <n v="27"/>
    <n v="27"/>
    <n v="0"/>
    <d v="2023-07-21T00:00:00"/>
    <d v="2023-07-21T00:00:00"/>
    <x v="1"/>
    <x v="3"/>
    <s v="Nagoya"/>
    <s v="Consumer"/>
    <x v="3"/>
    <x v="10"/>
    <x v="5"/>
    <s v="PHN-6818"/>
    <n v="554.76"/>
    <n v="610.23599999999999"/>
    <n v="728.69"/>
    <s v="Low"/>
    <n v="0.22"/>
    <n v="0.1"/>
    <s v=""/>
    <n v="7"/>
    <n v="8.4"/>
    <n v="3883.3199999999997"/>
    <n v="1398841.4532999999"/>
    <n v="1117439.8913399999"/>
    <n v="0.79883241142436334"/>
    <s v="A"/>
    <n v="5125.9823999999999"/>
    <n v="5508.8964000000014"/>
    <n v="3978.6474000000003"/>
    <n v="95.32740000000058"/>
    <n v="382.91400000000158"/>
    <n v="2.395975074343119E-2"/>
  </r>
  <r>
    <s v="ORD-2025-418232"/>
    <s v="418232"/>
    <x v="2"/>
    <d v="2023-01-12T00:00:00"/>
    <n v="30"/>
    <d v="2025-08-01T00:00:00"/>
    <s v="Aug-2025"/>
    <x v="8"/>
    <s v="Q3-2025"/>
    <n v="20"/>
    <n v="20"/>
    <n v="0"/>
    <d v="2025-08-21T00:00:00"/>
    <d v="2025-08-21T00:00:00"/>
    <x v="1"/>
    <x v="4"/>
    <s v="Shanghai"/>
    <s v="Corporate"/>
    <x v="0"/>
    <x v="13"/>
    <x v="5"/>
    <s v="PHN-9234"/>
    <n v="1220.4100000000001"/>
    <n v="1342.4510000000002"/>
    <n v="2552.2199999999998"/>
    <s v="High"/>
    <n v="0.18099999999999999"/>
    <n v="0.1"/>
    <s v=""/>
    <n v="14"/>
    <n v="16.8"/>
    <n v="17085.740000000002"/>
    <n v="1398841.4532999999"/>
    <n v="1146703.6458599998"/>
    <n v="0.81975240521705794"/>
    <s v="B"/>
    <n v="22553.176800000005"/>
    <n v="38589.566399999996"/>
    <n v="29263.754519999995"/>
    <n v="12178.014519999993"/>
    <n v="16036.389599999991"/>
    <n v="0.41614668793360271"/>
  </r>
  <r>
    <s v="ORD-2025-233883"/>
    <s v="233883"/>
    <x v="2"/>
    <d v="2023-03-03T00:00:00"/>
    <n v="30"/>
    <d v="2025-09-08T00:00:00"/>
    <s v="Sept-2025"/>
    <x v="11"/>
    <s v="Q3-2025"/>
    <n v="8"/>
    <n v="8"/>
    <n v="0"/>
    <d v="2025-09-16T00:00:00"/>
    <d v="2025-09-16T00:00:00"/>
    <x v="1"/>
    <x v="3"/>
    <s v="Osaka"/>
    <s v="Corporate"/>
    <x v="2"/>
    <x v="9"/>
    <x v="5"/>
    <s v="PHN-1197"/>
    <n v="1225.57"/>
    <n v="1348.127"/>
    <n v="2705.57"/>
    <s v="High"/>
    <n v="0.183"/>
    <n v="0.1"/>
    <s v=""/>
    <n v="16"/>
    <n v="19.2"/>
    <n v="19609.12"/>
    <n v="1398841.4532999999"/>
    <n v="1182070.8568999998"/>
    <n v="0.84503562152192613"/>
    <s v="B"/>
    <n v="25884.038399999998"/>
    <n v="46752.249600000003"/>
    <n v="35367.211040000002"/>
    <n v="15758.091040000003"/>
    <n v="20868.211200000005"/>
    <n v="0.44555650775453404"/>
  </r>
  <r>
    <s v="ORD-2025-725646"/>
    <s v="725646"/>
    <x v="2"/>
    <d v="2023-01-20T00:00:00"/>
    <n v="31"/>
    <d v="2025-09-10T00:00:00"/>
    <s v="Sept-2025"/>
    <x v="11"/>
    <s v="Q3-2025"/>
    <n v="20"/>
    <n v="20"/>
    <n v="0"/>
    <d v="2025-09-30T00:00:00"/>
    <d v="2025-09-30T00:00:00"/>
    <x v="0"/>
    <x v="8"/>
    <s v="Mombasa"/>
    <s v="Corporate"/>
    <x v="0"/>
    <x v="4"/>
    <x v="5"/>
    <s v="PHN-6954"/>
    <n v="1009.48"/>
    <n v="1110.4280000000001"/>
    <n v="1088.81"/>
    <s v="Medium"/>
    <n v="0.16"/>
    <n v="0.1"/>
    <s v=""/>
    <n v="6"/>
    <n v="7.1999999999999993"/>
    <n v="6056.88"/>
    <n v="1398841.4532999999"/>
    <n v="1187558.4592999998"/>
    <n v="0.84895858390415613"/>
    <s v="B"/>
    <n v="7995.0816000000004"/>
    <n v="7055.4887999999992"/>
    <n v="5487.6023999999998"/>
    <n v="-569.27760000000035"/>
    <n v="-939.59280000000126"/>
    <n v="-0.10373885688219693"/>
  </r>
  <r>
    <s v="ORD-2025-831576"/>
    <s v="831576"/>
    <x v="2"/>
    <d v="2023-01-29T00:00:00"/>
    <n v="31"/>
    <d v="2025-09-15T00:00:00"/>
    <s v="Sept-2025"/>
    <x v="11"/>
    <s v="Q3-2025"/>
    <n v="10"/>
    <n v="10"/>
    <n v="0"/>
    <d v="2025-09-25T00:00:00"/>
    <d v="2025-09-25T00:00:00"/>
    <x v="1"/>
    <x v="1"/>
    <s v="Delhi"/>
    <s v="Consumer"/>
    <x v="1"/>
    <x v="3"/>
    <x v="5"/>
    <s v="PHN-2859"/>
    <n v="1488.91"/>
    <n v="1637.8010000000002"/>
    <n v="1483.74"/>
    <s v="Medium"/>
    <n v="0.16800000000000001"/>
    <n v="0.1"/>
    <s v=""/>
    <n v="24"/>
    <n v="28.799999999999997"/>
    <n v="35733.840000000004"/>
    <n v="1398841.4532999999"/>
    <n v="1217185.7796199997"/>
    <n v="0.87013848263399884"/>
    <s v="B"/>
    <n v="47168.668799999999"/>
    <n v="38458.540800000002"/>
    <n v="29627.320319999999"/>
    <n v="-6106.5196800000049"/>
    <n v="-8710.127999999997"/>
    <n v="-0.20611110333450519"/>
  </r>
  <r>
    <s v="ORD-2025-683043"/>
    <s v="683043"/>
    <x v="2"/>
    <d v="2023-01-10T00:00:00"/>
    <n v="31"/>
    <d v="2025-08-13T00:00:00"/>
    <s v="Aug-2025"/>
    <x v="8"/>
    <s v="Q3-2025"/>
    <n v="21"/>
    <n v="21"/>
    <n v="0"/>
    <d v="2025-09-03T00:00:00"/>
    <d v="2025-09-03T00:00:00"/>
    <x v="2"/>
    <x v="5"/>
    <s v="Paris"/>
    <s v="Education"/>
    <x v="1"/>
    <x v="13"/>
    <x v="5"/>
    <s v="PHN-9465"/>
    <n v="603.47"/>
    <n v="663.81700000000012"/>
    <n v="1344.05"/>
    <s v="Medium"/>
    <n v="0.20499999999999999"/>
    <n v="0.1"/>
    <s v=""/>
    <n v="18"/>
    <n v="21.599999999999998"/>
    <n v="10862.460000000001"/>
    <n v="1398841.4532999999"/>
    <n v="1236419.1351199998"/>
    <n v="0.88388797186641099"/>
    <s v="B"/>
    <n v="14338.447200000001"/>
    <n v="26128.331999999999"/>
    <n v="19233.355499999998"/>
    <n v="8370.8954999999969"/>
    <n v="11789.884799999998"/>
    <n v="0.43522803392262976"/>
  </r>
  <r>
    <s v="ORD-2023-536542"/>
    <s v="536542"/>
    <x v="0"/>
    <d v="2023-01-20T00:00:00"/>
    <n v="4"/>
    <d v="2023-06-10T00:00:00"/>
    <s v="Jun-2023"/>
    <x v="6"/>
    <s v="Q2-2023"/>
    <n v="8"/>
    <n v="8"/>
    <n v="0"/>
    <d v="2023-06-18T00:00:00"/>
    <d v="2023-06-18T00:00:00"/>
    <x v="0"/>
    <x v="8"/>
    <s v="Nakuru"/>
    <s v="Enterprise"/>
    <x v="0"/>
    <x v="8"/>
    <x v="5"/>
    <s v="PHN-2337"/>
    <n v="894.23"/>
    <n v="983.65300000000013"/>
    <n v="1421.55"/>
    <s v="Medium"/>
    <n v="0.109"/>
    <n v="0.1"/>
    <s v=""/>
    <n v="3"/>
    <n v="3.5999999999999996"/>
    <n v="2682.69"/>
    <n v="1398841.4532999999"/>
    <n v="1240218.9382699998"/>
    <n v="0.88660436487938321"/>
    <s v="B"/>
    <n v="3541.1508000000003"/>
    <n v="4605.8219999999992"/>
    <n v="3799.8031499999997"/>
    <n v="1117.1131499999997"/>
    <n v="1064.6711999999989"/>
    <n v="0.29399237431549574"/>
  </r>
  <r>
    <s v="ORD-2023-349264"/>
    <s v="349264"/>
    <x v="0"/>
    <d v="2023-01-22T00:00:00"/>
    <n v="4"/>
    <d v="2023-06-01T00:00:00"/>
    <s v="Jun-2023"/>
    <x v="6"/>
    <s v="Q2-2023"/>
    <n v="7"/>
    <n v="7"/>
    <n v="1"/>
    <d v="2023-06-08T00:00:00"/>
    <d v="2023-06-08T00:00:00"/>
    <x v="2"/>
    <x v="7"/>
    <s v="Frankfurt"/>
    <s v="Consumer"/>
    <x v="4"/>
    <x v="3"/>
    <x v="5"/>
    <s v="PHN-1924"/>
    <n v="804.17"/>
    <n v="884.58699999999999"/>
    <n v="1072.29"/>
    <s v="Medium"/>
    <n v="3.2000000000000001E-2"/>
    <n v="3.2000000000000001E-2"/>
    <s v=""/>
    <n v="5"/>
    <n v="6"/>
    <n v="4020.85"/>
    <n v="1398841.4532999999"/>
    <n v="1245408.8218699999"/>
    <n v="0.89031449484997893"/>
    <s v="B"/>
    <n v="5307.5219999999999"/>
    <n v="6227.8603199999998"/>
    <n v="5189.8836000000001"/>
    <n v="1169.0336000000002"/>
    <n v="920.33831999999984"/>
    <n v="0.2252523736755869"/>
  </r>
  <r>
    <s v="ORD-2023-921939"/>
    <s v="921939"/>
    <x v="0"/>
    <d v="2023-01-02T00:00:00"/>
    <n v="5"/>
    <d v="2023-06-23T00:00:00"/>
    <s v="Jun-2023"/>
    <x v="6"/>
    <s v="Q2-2023"/>
    <n v="25"/>
    <n v="25"/>
    <n v="0"/>
    <d v="2023-07-18T00:00:00"/>
    <d v="2023-07-18T00:00:00"/>
    <x v="3"/>
    <x v="10"/>
    <s v="Vancouver"/>
    <s v="Enterprise"/>
    <x v="4"/>
    <x v="14"/>
    <x v="5"/>
    <s v="PHN-4677"/>
    <n v="807.02"/>
    <n v="887.72200000000009"/>
    <n v="1435.54"/>
    <s v="Medium"/>
    <n v="0"/>
    <n v="0"/>
    <s v=""/>
    <n v="23"/>
    <n v="27.599999999999998"/>
    <n v="18561.46"/>
    <n v="1398841.4532999999"/>
    <n v="1278426.2418699998"/>
    <n v="0.91391789888272956"/>
    <s v="B"/>
    <n v="24501.127199999999"/>
    <n v="39620.903999999995"/>
    <n v="33017.42"/>
    <n v="14455.96"/>
    <n v="15119.776799999996"/>
    <n v="0.43782827368098415"/>
  </r>
  <r>
    <s v="ORD-2023-274037"/>
    <s v="274037"/>
    <x v="0"/>
    <d v="2023-01-20T00:00:00"/>
    <n v="6"/>
    <d v="2023-08-15T00:00:00"/>
    <s v="Aug-2023"/>
    <x v="8"/>
    <s v="Q3-2023"/>
    <n v="10"/>
    <n v="10"/>
    <n v="0"/>
    <d v="2023-08-25T00:00:00"/>
    <d v="2023-08-25T00:00:00"/>
    <x v="0"/>
    <x v="8"/>
    <s v="Nairobi"/>
    <s v="Small Business"/>
    <x v="1"/>
    <x v="14"/>
    <x v="5"/>
    <s v="PHN-1234"/>
    <n v="91.85"/>
    <n v="101.035"/>
    <n v="111.29"/>
    <s v="Low"/>
    <n v="0"/>
    <n v="0"/>
    <s v=""/>
    <n v="6"/>
    <n v="7.1999999999999993"/>
    <n v="551.09999999999991"/>
    <n v="1398841.4532999999"/>
    <n v="1279093.9818699998"/>
    <n v="0.91439525105042851"/>
    <s v="B"/>
    <n v="727.45199999999988"/>
    <n v="801.28800000000001"/>
    <n v="667.74"/>
    <n v="116.6400000000001"/>
    <n v="73.836000000000126"/>
    <n v="0.17467876718483258"/>
  </r>
  <r>
    <s v="ORD-2023-732585"/>
    <s v="732585"/>
    <x v="0"/>
    <d v="2023-01-15T00:00:00"/>
    <n v="7"/>
    <d v="2023-08-25T00:00:00"/>
    <s v="Aug-2023"/>
    <x v="8"/>
    <s v="Q3-2023"/>
    <n v="22"/>
    <n v="22"/>
    <n v="0"/>
    <d v="2023-09-16T00:00:00"/>
    <d v="2023-09-16T00:00:00"/>
    <x v="0"/>
    <x v="0"/>
    <s v="Abuja"/>
    <s v="Corporate"/>
    <x v="3"/>
    <x v="4"/>
    <x v="5"/>
    <s v="PHN-3971"/>
    <n v="1196.83"/>
    <n v="1316.5129999999999"/>
    <n v="2513.5100000000002"/>
    <s v="High"/>
    <n v="8.3000000000000004E-2"/>
    <n v="8.3000000000000004E-2"/>
    <s v=""/>
    <n v="7"/>
    <n v="8.4"/>
    <n v="8377.81"/>
    <n v="1398841.4532999999"/>
    <n v="1295228.2025599999"/>
    <n v="0.92592923916033043"/>
    <s v="B"/>
    <n v="11058.709199999999"/>
    <n v="19361.064828000006"/>
    <n v="16134.22069"/>
    <n v="7756.4106900000006"/>
    <n v="8302.3556280000066"/>
    <n v="0.48074281609445374"/>
  </r>
  <r>
    <s v="ORD-2023-525643"/>
    <s v="525643"/>
    <x v="0"/>
    <d v="2023-01-07T00:00:00"/>
    <n v="7"/>
    <d v="2023-08-17T00:00:00"/>
    <s v="Aug-2023"/>
    <x v="8"/>
    <s v="Q3-2023"/>
    <n v="17"/>
    <n v="17"/>
    <n v="0"/>
    <d v="2023-09-03T00:00:00"/>
    <d v="2023-09-03T00:00:00"/>
    <x v="0"/>
    <x v="6"/>
    <s v="Durban"/>
    <s v="Enterprise"/>
    <x v="1"/>
    <x v="3"/>
    <x v="5"/>
    <s v="PHN-8072"/>
    <n v="676.37"/>
    <n v="744.00700000000006"/>
    <n v="1276.67"/>
    <s v="Medium"/>
    <n v="6.6000000000000003E-2"/>
    <n v="6.6000000000000003E-2"/>
    <s v=""/>
    <n v="10"/>
    <n v="12"/>
    <n v="6763.7"/>
    <n v="1398841.4532999999"/>
    <n v="1307152.30036"/>
    <n v="0.93445350598976284"/>
    <s v="B"/>
    <n v="8928.0840000000007"/>
    <n v="14308.917359999999"/>
    <n v="11924.0978"/>
    <n v="5160.3977999999997"/>
    <n v="5380.8333599999987"/>
    <n v="0.4327705027712872"/>
  </r>
  <r>
    <s v="ORD-2023-133848"/>
    <s v="133848"/>
    <x v="0"/>
    <d v="2023-01-13T00:00:00"/>
    <n v="7"/>
    <d v="2023-08-15T00:00:00"/>
    <s v="Aug-2023"/>
    <x v="8"/>
    <s v="Q3-2023"/>
    <n v="23"/>
    <n v="23"/>
    <n v="0"/>
    <d v="2023-09-07T00:00:00"/>
    <d v="2023-09-07T00:00:00"/>
    <x v="3"/>
    <x v="11"/>
    <s v="New York"/>
    <s v="Enterprise"/>
    <x v="4"/>
    <x v="11"/>
    <x v="5"/>
    <s v="PHN-2013"/>
    <n v="590.33000000000004"/>
    <n v="649.36300000000006"/>
    <n v="973.04"/>
    <s v="Medium"/>
    <n v="0"/>
    <n v="0"/>
    <s v=""/>
    <n v="26"/>
    <n v="31.2"/>
    <n v="15348.580000000002"/>
    <n v="1398841.4532999999"/>
    <n v="1332451.34036"/>
    <n v="0.95253921537470931"/>
    <s v="C"/>
    <n v="20260.125600000003"/>
    <n v="30358.847999999998"/>
    <n v="25299.040000000001"/>
    <n v="9950.4599999999991"/>
    <n v="10098.722399999995"/>
    <n v="0.39331373838691108"/>
  </r>
  <r>
    <s v="ORD-2023-623293"/>
    <s v="623293"/>
    <x v="0"/>
    <d v="2023-03-03T00:00:00"/>
    <n v="7"/>
    <d v="2023-10-12T00:00:00"/>
    <s v="Oct-2023"/>
    <x v="9"/>
    <s v="Q4-2023"/>
    <n v="17"/>
    <n v="17"/>
    <n v="0"/>
    <d v="2023-10-29T00:00:00"/>
    <d v="2023-10-29T00:00:00"/>
    <x v="1"/>
    <x v="3"/>
    <s v="Nagoya"/>
    <s v="Non-Profit"/>
    <x v="0"/>
    <x v="8"/>
    <x v="5"/>
    <s v="PHN-8478"/>
    <n v="1102.19"/>
    <n v="1212.4090000000001"/>
    <n v="1711.16"/>
    <s v="High"/>
    <n v="0.151"/>
    <n v="0.1"/>
    <s v=""/>
    <n v="10"/>
    <n v="12"/>
    <n v="11021.900000000001"/>
    <n v="1398841.4532999999"/>
    <n v="1346979.08876"/>
    <n v="0.96292477291286172"/>
    <s v="C"/>
    <n v="14548.908000000001"/>
    <n v="18480.528000000002"/>
    <n v="14527.748400000002"/>
    <n v="3505.8484000000008"/>
    <n v="3931.6200000000008"/>
    <n v="0.24132083675127525"/>
  </r>
  <r>
    <s v="ORD-2023-378104"/>
    <s v="378104"/>
    <x v="0"/>
    <d v="2023-01-20T00:00:00"/>
    <n v="8"/>
    <d v="2023-10-18T00:00:00"/>
    <s v="Oct-2023"/>
    <x v="9"/>
    <s v="Q4-2023"/>
    <n v="2"/>
    <n v="2"/>
    <n v="1"/>
    <d v="2023-10-20T00:00:00"/>
    <d v="2023-10-20T00:00:00"/>
    <x v="0"/>
    <x v="8"/>
    <s v="Kisumu"/>
    <s v="Consumer"/>
    <x v="1"/>
    <x v="10"/>
    <x v="5"/>
    <s v="PHN-8891"/>
    <n v="774.12"/>
    <n v="851.53200000000004"/>
    <n v="908.3"/>
    <s v="Medium"/>
    <n v="0"/>
    <n v="0"/>
    <s v=""/>
    <n v="30"/>
    <n v="36"/>
    <n v="23223.599999999999"/>
    <n v="1398841.4532999999"/>
    <n v="1374228.08876"/>
    <n v="0.98240446443595542"/>
    <s v="C"/>
    <n v="30655.152000000002"/>
    <n v="32698.799999999999"/>
    <n v="27249"/>
    <n v="4025.4000000000015"/>
    <n v="2043.6479999999974"/>
    <n v="0.14772652207420461"/>
  </r>
  <r>
    <s v="ORD-2023-455933"/>
    <s v="455933"/>
    <x v="0"/>
    <d v="2023-03-03T00:00:00"/>
    <n v="8"/>
    <d v="2023-11-19T00:00:00"/>
    <s v="Nov-2023"/>
    <x v="10"/>
    <s v="Q4-2023"/>
    <n v="30"/>
    <n v="30"/>
    <n v="0"/>
    <d v="2023-12-19T00:00:00"/>
    <d v="2023-12-19T00:00:00"/>
    <x v="1"/>
    <x v="3"/>
    <s v="Nagoya"/>
    <s v="Consumer"/>
    <x v="1"/>
    <x v="8"/>
    <x v="5"/>
    <s v="PHN-9184"/>
    <n v="807.11"/>
    <n v="887.82100000000014"/>
    <n v="1853.86"/>
    <s v="High"/>
    <n v="0.13900000000000001"/>
    <n v="0.1"/>
    <s v=""/>
    <n v="8"/>
    <n v="9.6"/>
    <n v="6456.88"/>
    <n v="1398841.4532999999"/>
    <n v="1386997.4764399999"/>
    <n v="0.99153300981175607"/>
    <s v="C"/>
    <n v="8523.0816000000013"/>
    <n v="16017.350399999998"/>
    <n v="12769.38768"/>
    <n v="6312.5076799999997"/>
    <n v="7494.2687999999962"/>
    <n v="0.49434693645388639"/>
  </r>
  <r>
    <s v="ORD-2023-964434"/>
    <s v="964434"/>
    <x v="0"/>
    <d v="2023-01-29T00:00:00"/>
    <n v="9"/>
    <d v="2023-11-28T00:00:00"/>
    <s v="Nov-2023"/>
    <x v="10"/>
    <s v="Q4-2023"/>
    <n v="9"/>
    <n v="9"/>
    <n v="0"/>
    <d v="2023-12-07T00:00:00"/>
    <d v="2023-12-07T00:00:00"/>
    <x v="1"/>
    <x v="1"/>
    <s v="Delhi"/>
    <s v="Enterprise"/>
    <x v="3"/>
    <x v="4"/>
    <x v="5"/>
    <s v="PHN-2447"/>
    <n v="699.33"/>
    <n v="769.26300000000015"/>
    <n v="873.75"/>
    <s v="Medium"/>
    <n v="0.23499999999999999"/>
    <n v="0.1"/>
    <s v=""/>
    <n v="10"/>
    <n v="12"/>
    <n v="6993.3"/>
    <n v="1398841.4532999999"/>
    <n v="1393681.6639399999"/>
    <n v="0.99631138371841377"/>
    <s v="C"/>
    <n v="9231.1560000000027"/>
    <n v="9436.5"/>
    <n v="6684.1875"/>
    <n v="-309.11250000000018"/>
    <n v="205.34399999999732"/>
    <n v="-4.6245336475076469E-2"/>
  </r>
  <r>
    <s v="ORD-2023-597666"/>
    <s v="597666"/>
    <x v="0"/>
    <d v="2023-01-10T00:00:00"/>
    <n v="9"/>
    <d v="2023-10-25T00:00:00"/>
    <s v="Oct-2023"/>
    <x v="9"/>
    <s v="Q4-2023"/>
    <n v="30"/>
    <n v="30"/>
    <n v="0"/>
    <d v="2023-11-24T00:00:00"/>
    <d v="2023-11-24T00:00:00"/>
    <x v="2"/>
    <x v="5"/>
    <s v="Paris"/>
    <s v="Enterprise"/>
    <x v="2"/>
    <x v="9"/>
    <x v="5"/>
    <s v="PHN-5938"/>
    <n v="287.85000000000002"/>
    <n v="316.63500000000005"/>
    <n v="602.91999999999996"/>
    <s v="Low"/>
    <n v="0.222"/>
    <n v="0.1"/>
    <s v=""/>
    <n v="11"/>
    <n v="13.2"/>
    <n v="3166.3500000000004"/>
    <n v="1398841.4532999999"/>
    <n v="1398841.4532999999"/>
    <n v="1"/>
    <s v="C"/>
    <n v="4179.5820000000003"/>
    <n v="7162.6895999999988"/>
    <n v="5159.7893599999998"/>
    <n v="1993.4393599999994"/>
    <n v="2983.1075999999985"/>
    <n v="0.38634122847216373"/>
  </r>
  <r>
    <s v="ORD-2023-112666"/>
    <s v="112666"/>
    <x v="0"/>
    <d v="2023-01-15T00:00:00"/>
    <n v="0"/>
    <d v="2023-01-15T00:00:00"/>
    <s v="Jan-2023"/>
    <x v="1"/>
    <s v="Q1-2023"/>
    <n v="-2"/>
    <n v="15"/>
    <n v="0"/>
    <d v="2023-01-13T00:00:00"/>
    <d v="2023-01-30T00:00:00"/>
    <x v="0"/>
    <x v="0"/>
    <s v="Abuja"/>
    <s v="Education"/>
    <x v="4"/>
    <x v="7"/>
    <x v="6"/>
    <s v="PRN-6276"/>
    <n v="28.38"/>
    <n v="31.218"/>
    <n v="47.22"/>
    <s v="Low"/>
    <n v="0.19400000000000001"/>
    <n v="0.1"/>
    <s v=""/>
    <n v="18"/>
    <n v="21.599999999999998"/>
    <n v="510.84"/>
    <n v="1616102.6546600002"/>
    <n v="685.06776000000002"/>
    <n v="4.2390114144334864E-4"/>
    <s v="A"/>
    <n v="674.30879999999991"/>
    <n v="917.95679999999993"/>
    <n v="685.06776000000002"/>
    <n v="174.22776000000005"/>
    <n v="243.64800000000002"/>
    <n v="0.25432193743871417"/>
  </r>
  <r>
    <s v="ORD-2023-689428"/>
    <s v="689428"/>
    <x v="0"/>
    <d v="2023-01-07T00:00:00"/>
    <n v="0"/>
    <d v="2023-01-07T00:00:00"/>
    <s v="Jan-2023"/>
    <x v="1"/>
    <s v="Q1-2023"/>
    <n v="23"/>
    <n v="23"/>
    <n v="0"/>
    <d v="2023-01-30T00:00:00"/>
    <d v="2023-01-30T00:00:00"/>
    <x v="0"/>
    <x v="6"/>
    <s v="Cape Town"/>
    <s v="Consumer"/>
    <x v="4"/>
    <x v="3"/>
    <x v="6"/>
    <s v="PRN-4787"/>
    <n v="299.02"/>
    <n v="328.92200000000003"/>
    <n v="724.7"/>
    <s v="Low"/>
    <n v="0.14000000000000001"/>
    <n v="0.1"/>
    <s v=""/>
    <n v="5"/>
    <n v="6"/>
    <n v="1495.1"/>
    <n v="1616102.6546600002"/>
    <n v="3801.2777599999999"/>
    <n v="2.3521264252856031E-3"/>
    <s v="A"/>
    <n v="1973.5320000000002"/>
    <n v="3913.3800000000006"/>
    <n v="3116.21"/>
    <n v="1621.1100000000001"/>
    <n v="1939.8480000000004"/>
    <n v="0.52021847051386139"/>
  </r>
  <r>
    <s v="ORD-2023-700699"/>
    <s v="700699"/>
    <x v="0"/>
    <d v="2023-01-12T00:00:00"/>
    <n v="0"/>
    <d v="2023-01-12T00:00:00"/>
    <s v="Jan-2023"/>
    <x v="1"/>
    <s v="Q1-2023"/>
    <n v="14"/>
    <n v="14"/>
    <n v="0"/>
    <d v="2023-01-26T00:00:00"/>
    <d v="2023-01-26T00:00:00"/>
    <x v="1"/>
    <x v="4"/>
    <s v="Shenzhen"/>
    <s v="Non-Profit"/>
    <x v="1"/>
    <x v="6"/>
    <x v="6"/>
    <s v="PRN-1641"/>
    <n v="1083.0899999999999"/>
    <n v="1191.3990000000001"/>
    <n v="1425.87"/>
    <s v="Medium"/>
    <n v="0"/>
    <n v="0"/>
    <s v=""/>
    <n v="8"/>
    <n v="9.6"/>
    <n v="8664.7199999999993"/>
    <n v="1616102.6546600002"/>
    <n v="15208.23776"/>
    <n v="9.4104404297260108E-3"/>
    <s v="A"/>
    <n v="11437.430400000001"/>
    <n v="13688.351999999999"/>
    <n v="11406.96"/>
    <n v="2742.24"/>
    <n v="2250.9215999999979"/>
    <n v="0.24040059752992909"/>
  </r>
  <r>
    <s v="ORD-2023-949710"/>
    <s v="949710"/>
    <x v="0"/>
    <d v="2023-01-20T00:00:00"/>
    <n v="1"/>
    <d v="2023-03-07T00:00:00"/>
    <s v="Mar-2023"/>
    <x v="4"/>
    <s v="Q1-2023"/>
    <n v="25"/>
    <n v="25"/>
    <n v="0"/>
    <d v="2023-04-01T00:00:00"/>
    <d v="2023-04-01T00:00:00"/>
    <x v="0"/>
    <x v="8"/>
    <s v="Nairobi"/>
    <s v="Consumer"/>
    <x v="3"/>
    <x v="0"/>
    <x v="6"/>
    <s v="PRN-7049"/>
    <n v="1024.0999999999999"/>
    <n v="1126.51"/>
    <n v="918.19"/>
    <s v="Medium"/>
    <n v="0.189"/>
    <n v="0.1"/>
    <s v=""/>
    <n v="10"/>
    <n v="12"/>
    <n v="10241"/>
    <n v="1616102.6546600002"/>
    <n v="22654.75866"/>
    <n v="1.4018143336795746E-2"/>
    <s v="A"/>
    <n v="13518.119999999999"/>
    <n v="9916.4520000000011"/>
    <n v="7446.5209000000004"/>
    <n v="-2794.4790999999996"/>
    <n v="-3601.6679999999978"/>
    <n v="-0.37527311579827827"/>
  </r>
  <r>
    <s v="ORD-2023-744942"/>
    <s v="744942"/>
    <x v="0"/>
    <d v="2023-01-12T00:00:00"/>
    <n v="1"/>
    <d v="2023-02-23T00:00:00"/>
    <s v="Feb-2023"/>
    <x v="0"/>
    <s v="Q1-2023"/>
    <n v="23"/>
    <n v="23"/>
    <n v="0"/>
    <d v="2023-03-18T00:00:00"/>
    <d v="2023-03-18T00:00:00"/>
    <x v="1"/>
    <x v="4"/>
    <s v="Beijing"/>
    <s v="Education"/>
    <x v="2"/>
    <x v="11"/>
    <x v="6"/>
    <s v="PRN-1060"/>
    <n v="770.11"/>
    <n v="847.12100000000009"/>
    <n v="1667.82"/>
    <s v="High"/>
    <n v="6.9000000000000006E-2"/>
    <n v="6.9000000000000006E-2"/>
    <s v=""/>
    <n v="7"/>
    <n v="8.4"/>
    <n v="5390.77"/>
    <n v="1616102.6546600002"/>
    <n v="33523.941599999998"/>
    <n v="2.0743695645406169E-2"/>
    <s v="A"/>
    <n v="7115.8164000000015"/>
    <n v="13043.019528000001"/>
    <n v="10869.182940000001"/>
    <n v="5478.4129400000002"/>
    <n v="5927.2031279999992"/>
    <n v="0.50403171703355287"/>
  </r>
  <r>
    <s v="ORD-2023-864121"/>
    <s v="864121"/>
    <x v="0"/>
    <d v="2023-01-29T00:00:00"/>
    <n v="1"/>
    <d v="2023-03-27T00:00:00"/>
    <s v="Mar-2023"/>
    <x v="4"/>
    <s v="Q1-2023"/>
    <n v="26"/>
    <n v="26"/>
    <n v="0"/>
    <d v="2023-04-22T00:00:00"/>
    <d v="2023-04-22T00:00:00"/>
    <x v="1"/>
    <x v="1"/>
    <s v="Delhi"/>
    <s v="Non-Profit"/>
    <x v="3"/>
    <x v="10"/>
    <x v="6"/>
    <s v="PRN-4506"/>
    <n v="178.53"/>
    <n v="196.38300000000001"/>
    <n v="199.37"/>
    <s v="Low"/>
    <n v="0.10100000000000001"/>
    <n v="0.1"/>
    <s v=""/>
    <n v="37"/>
    <n v="44.4"/>
    <n v="6605.61"/>
    <n v="1616102.6546600002"/>
    <n v="40155.585910000002"/>
    <n v="2.4847175267123135E-2"/>
    <s v="A"/>
    <n v="8719.4052000000011"/>
    <n v="7966.8252000000002"/>
    <n v="6631.6443100000006"/>
    <n v="26.034310000000914"/>
    <n v="-752.58000000000084"/>
    <n v="3.9257699573457538E-3"/>
  </r>
  <r>
    <s v="ORD-2023-472078"/>
    <s v="472078"/>
    <x v="0"/>
    <d v="2023-01-22T00:00:00"/>
    <n v="1"/>
    <d v="2023-02-28T00:00:00"/>
    <s v="Feb-2023"/>
    <x v="0"/>
    <s v="Q1-2023"/>
    <n v="6"/>
    <n v="6"/>
    <n v="1"/>
    <d v="2023-03-06T00:00:00"/>
    <d v="2023-03-06T00:00:00"/>
    <x v="2"/>
    <x v="7"/>
    <s v="Frankfurt"/>
    <s v="Small Business"/>
    <x v="3"/>
    <x v="0"/>
    <x v="6"/>
    <s v="PRN-9624"/>
    <n v="880.02"/>
    <n v="968.02200000000005"/>
    <n v="1251.21"/>
    <s v="Medium"/>
    <n v="0.123"/>
    <n v="0.1"/>
    <s v=""/>
    <n v="29"/>
    <n v="34.799999999999997"/>
    <n v="25520.579999999998"/>
    <n v="1616102.6546600002"/>
    <n v="71977.609840000005"/>
    <n v="4.4537770934571501E-2"/>
    <s v="A"/>
    <n v="33687.1656"/>
    <n v="39187.897199999999"/>
    <n v="31822.023930000003"/>
    <n v="6301.4439300000049"/>
    <n v="5500.7315999999992"/>
    <n v="0.19802146915172672"/>
  </r>
  <r>
    <s v="ORD-2023-735274"/>
    <s v="735274"/>
    <x v="0"/>
    <d v="2023-01-19T00:00:00"/>
    <n v="1"/>
    <d v="2023-02-23T00:00:00"/>
    <s v="Feb-2023"/>
    <x v="0"/>
    <s v="Q1-2023"/>
    <n v="13"/>
    <n v="13"/>
    <n v="0"/>
    <d v="2023-03-08T00:00:00"/>
    <d v="2023-03-08T00:00:00"/>
    <x v="2"/>
    <x v="2"/>
    <s v="Manchester"/>
    <s v="Small Business"/>
    <x v="0"/>
    <x v="9"/>
    <x v="6"/>
    <s v="PRN-7410"/>
    <n v="307.37"/>
    <n v="338.10700000000003"/>
    <n v="462.61"/>
    <s v="Low"/>
    <n v="0.188"/>
    <n v="0.1"/>
    <s v=""/>
    <n v="11"/>
    <n v="13.2"/>
    <n v="3381.07"/>
    <n v="1616102.6546600002"/>
    <n v="76109.642359999998"/>
    <n v="4.7094559334173072E-2"/>
    <s v="A"/>
    <n v="4463.0124000000005"/>
    <n v="5495.8068000000003"/>
    <n v="4132.0325200000007"/>
    <n v="750.9625200000005"/>
    <n v="1032.7943999999998"/>
    <n v="0.18174167709599739"/>
  </r>
  <r>
    <s v="ORD-2024-281211"/>
    <s v="281211"/>
    <x v="1"/>
    <d v="2023-03-03T00:00:00"/>
    <n v="10"/>
    <d v="2024-01-11T00:00:00"/>
    <s v="Jan-2024"/>
    <x v="1"/>
    <s v="Q1-2024"/>
    <n v="22"/>
    <n v="22"/>
    <n v="0"/>
    <d v="2024-02-02T00:00:00"/>
    <d v="2024-02-02T00:00:00"/>
    <x v="1"/>
    <x v="3"/>
    <s v="Nagoya"/>
    <s v="Small Business"/>
    <x v="4"/>
    <x v="8"/>
    <x v="6"/>
    <s v="PRN-7816"/>
    <n v="1237.68"/>
    <n v="1361.4480000000001"/>
    <n v="1432.8"/>
    <s v="Medium"/>
    <n v="6.8000000000000005E-2"/>
    <n v="6.8000000000000005E-2"/>
    <s v=""/>
    <n v="13"/>
    <n v="15.6"/>
    <n v="16089.84"/>
    <n v="1616102.6546600002"/>
    <n v="93469.447159999996"/>
    <n v="5.783633044007612E-2"/>
    <s v="A"/>
    <n v="21238.588800000001"/>
    <n v="20831.765759999998"/>
    <n v="17359.804799999998"/>
    <n v="1269.9647999999979"/>
    <n v="-406.82304000000295"/>
    <n v="7.315547695559331E-2"/>
  </r>
  <r>
    <s v="ORD-2023-974506"/>
    <s v="974506"/>
    <x v="0"/>
    <d v="2023-01-07T00:00:00"/>
    <n v="11"/>
    <d v="2023-12-28T00:00:00"/>
    <s v="Dec-2023"/>
    <x v="3"/>
    <s v="Q4-2023"/>
    <n v="4"/>
    <n v="4"/>
    <n v="1"/>
    <d v="2024-01-01T00:00:00"/>
    <d v="2024-01-01T00:00:00"/>
    <x v="0"/>
    <x v="6"/>
    <s v="Cape Town"/>
    <s v="Education"/>
    <x v="2"/>
    <x v="3"/>
    <x v="6"/>
    <s v="PRN-1654"/>
    <n v="1141.8"/>
    <n v="1255.98"/>
    <n v="2318.7399999999998"/>
    <s v="High"/>
    <n v="0.107"/>
    <n v="0.1"/>
    <s v=""/>
    <n v="32"/>
    <n v="38.4"/>
    <n v="36537.599999999999"/>
    <n v="1616102.6546600002"/>
    <n v="159729.76139999999"/>
    <n v="9.8836395658049539E-2"/>
    <s v="A"/>
    <n v="48229.631999999998"/>
    <n v="80135.654399999999"/>
    <n v="66260.314239999992"/>
    <n v="29722.714239999994"/>
    <n v="31906.022400000002"/>
    <n v="0.44857490612468304"/>
  </r>
  <r>
    <s v="ORD-2024-999607"/>
    <s v="999607"/>
    <x v="1"/>
    <d v="2023-01-13T00:00:00"/>
    <n v="11"/>
    <d v="2024-01-12T00:00:00"/>
    <s v="Jan-2024"/>
    <x v="1"/>
    <s v="Q1-2024"/>
    <n v="17"/>
    <n v="17"/>
    <n v="0"/>
    <d v="2024-01-29T00:00:00"/>
    <d v="2024-01-29T00:00:00"/>
    <x v="3"/>
    <x v="11"/>
    <s v="Chicago"/>
    <s v="Education"/>
    <x v="2"/>
    <x v="3"/>
    <x v="6"/>
    <s v="PRN-8604"/>
    <n v="493.76"/>
    <n v="543.13600000000008"/>
    <n v="625.04"/>
    <s v="Low"/>
    <n v="0.25800000000000001"/>
    <n v="0.1"/>
    <s v=""/>
    <n v="10"/>
    <n v="12"/>
    <n v="4937.6000000000004"/>
    <n v="1616102.6546600002"/>
    <n v="164367.5582"/>
    <n v="0.10170613712318916"/>
    <s v="A"/>
    <n v="6517.6320000000014"/>
    <n v="6750.4319999999998"/>
    <n v="4637.7968000000001"/>
    <n v="-299.80320000000029"/>
    <n v="232.79999999999836"/>
    <n v="-6.464345311549663E-2"/>
  </r>
  <r>
    <s v="ORD-2024-872291"/>
    <s v="872291"/>
    <x v="1"/>
    <d v="2023-01-29T00:00:00"/>
    <n v="11"/>
    <d v="2024-01-08T00:00:00"/>
    <s v="Jan-2024"/>
    <x v="1"/>
    <s v="Q1-2024"/>
    <n v="4"/>
    <n v="4"/>
    <n v="1"/>
    <d v="2024-01-12T00:00:00"/>
    <d v="2024-01-12T00:00:00"/>
    <x v="1"/>
    <x v="1"/>
    <s v="Bengaluru"/>
    <s v="Corporate"/>
    <x v="0"/>
    <x v="12"/>
    <x v="6"/>
    <s v="PRN-6585"/>
    <n v="802.32"/>
    <n v="882.55200000000013"/>
    <n v="602.34"/>
    <s v="Low"/>
    <n v="0.12"/>
    <n v="0.1"/>
    <s v=""/>
    <n v="25"/>
    <n v="30"/>
    <n v="20058"/>
    <n v="1616102.6546600002"/>
    <n v="177619.03820000001"/>
    <n v="0.10990578951642645"/>
    <s v="A"/>
    <n v="26476.560000000005"/>
    <n v="16263.18"/>
    <n v="13251.48"/>
    <n v="-6806.52"/>
    <n v="-10213.380000000005"/>
    <n v="-0.51364224977134632"/>
  </r>
  <r>
    <s v="ORD-2024-201376"/>
    <s v="201376"/>
    <x v="1"/>
    <d v="2023-01-20T00:00:00"/>
    <n v="12"/>
    <d v="2024-02-18T00:00:00"/>
    <s v="Feb-2024"/>
    <x v="0"/>
    <s v="Q1-2024"/>
    <n v="15"/>
    <n v="15"/>
    <n v="0"/>
    <d v="2024-03-04T00:00:00"/>
    <d v="2024-03-04T00:00:00"/>
    <x v="0"/>
    <x v="8"/>
    <s v="Kisumu"/>
    <s v="Education"/>
    <x v="0"/>
    <x v="11"/>
    <x v="6"/>
    <s v="PRN-7089"/>
    <n v="928.68"/>
    <n v="1021.548"/>
    <n v="2145.17"/>
    <s v="High"/>
    <n v="0.13600000000000001"/>
    <n v="0.1"/>
    <s v=""/>
    <n v="16"/>
    <n v="19.2"/>
    <n v="14858.88"/>
    <n v="1616102.6546600002"/>
    <n v="207273.86828"/>
    <n v="0.12825538506624556"/>
    <s v="A"/>
    <n v="19613.721600000001"/>
    <n v="37068.537600000003"/>
    <n v="29654.83008"/>
    <n v="14795.950080000001"/>
    <n v="17454.816000000003"/>
    <n v="0.49893896003062177"/>
  </r>
  <r>
    <s v="ORD-2024-892173"/>
    <s v="892173"/>
    <x v="1"/>
    <d v="2023-01-07T00:00:00"/>
    <n v="12"/>
    <d v="2024-01-18T00:00:00"/>
    <s v="Jan-2024"/>
    <x v="1"/>
    <s v="Q1-2024"/>
    <n v="16"/>
    <n v="16"/>
    <n v="0"/>
    <d v="2024-02-03T00:00:00"/>
    <d v="2024-02-03T00:00:00"/>
    <x v="0"/>
    <x v="6"/>
    <s v="Cape Town"/>
    <s v="Non-Profit"/>
    <x v="2"/>
    <x v="4"/>
    <x v="6"/>
    <s v="PRN-6660"/>
    <n v="666.23"/>
    <n v="732.85300000000007"/>
    <n v="1382.91"/>
    <s v="Medium"/>
    <n v="0.17599999999999999"/>
    <n v="0.1"/>
    <s v=""/>
    <n v="13"/>
    <n v="15.6"/>
    <n v="8660.99"/>
    <n v="1616102.6546600002"/>
    <n v="222087.60019999999"/>
    <n v="0.1374217161017679"/>
    <s v="A"/>
    <n v="11432.506800000001"/>
    <n v="19416.056400000001"/>
    <n v="14813.731920000002"/>
    <n v="6152.7419200000022"/>
    <n v="7983.5496000000003"/>
    <n v="0.41534043907553048"/>
  </r>
  <r>
    <s v="ORD-2024-129345"/>
    <s v="129345"/>
    <x v="1"/>
    <d v="2023-01-29T00:00:00"/>
    <n v="12"/>
    <d v="2024-02-18T00:00:00"/>
    <s v="Feb-2024"/>
    <x v="0"/>
    <s v="Q1-2024"/>
    <n v="14"/>
    <n v="14"/>
    <n v="0"/>
    <d v="2024-03-03T00:00:00"/>
    <d v="2024-03-03T00:00:00"/>
    <x v="3"/>
    <x v="9"/>
    <s v="Brasília"/>
    <s v="Enterprise"/>
    <x v="2"/>
    <x v="3"/>
    <x v="6"/>
    <s v="PRN-5384"/>
    <n v="624.23"/>
    <n v="686.65300000000002"/>
    <n v="1318.37"/>
    <s v="Medium"/>
    <n v="0.21"/>
    <n v="0.1"/>
    <s v=""/>
    <n v="37"/>
    <n v="44.4"/>
    <n v="23096.510000000002"/>
    <n v="1616102.6546600002"/>
    <n v="260623.55529999998"/>
    <n v="0.16126670824312866"/>
    <s v="A"/>
    <n v="30487.393199999999"/>
    <n v="52682.06519999999"/>
    <n v="38535.955099999999"/>
    <n v="15439.445099999997"/>
    <n v="22194.671999999991"/>
    <n v="0.40065038118128793"/>
  </r>
  <r>
    <s v="ORD-2024-331408"/>
    <s v="331408"/>
    <x v="1"/>
    <d v="2023-01-13T00:00:00"/>
    <n v="12"/>
    <d v="2024-02-01T00:00:00"/>
    <s v="Feb-2024"/>
    <x v="0"/>
    <s v="Q1-2024"/>
    <n v="0"/>
    <n v="0"/>
    <n v="1"/>
    <d v="2024-02-01T00:00:00"/>
    <d v="2024-02-01T00:00:00"/>
    <x v="3"/>
    <x v="11"/>
    <s v="Austin"/>
    <s v="Consumer"/>
    <x v="2"/>
    <x v="8"/>
    <x v="6"/>
    <s v="PRN-4906"/>
    <n v="714.43"/>
    <n v="785.87300000000005"/>
    <n v="1595.52"/>
    <s v="Medium"/>
    <n v="0.19400000000000001"/>
    <n v="0.1"/>
    <s v=""/>
    <n v="14"/>
    <n v="16.8"/>
    <n v="10002.019999999999"/>
    <n v="1616102.6546600002"/>
    <n v="278627.40297999996"/>
    <n v="0.17240699541986601"/>
    <s v="A"/>
    <n v="13202.666400000002"/>
    <n v="24124.2624"/>
    <n v="18003.847679999999"/>
    <n v="8001.8276800000003"/>
    <n v="10921.595999999998"/>
    <n v="0.44445097638151093"/>
  </r>
  <r>
    <s v="ORD-2024-890180"/>
    <s v="890180"/>
    <x v="1"/>
    <d v="2023-01-10T00:00:00"/>
    <n v="12"/>
    <d v="2024-01-20T00:00:00"/>
    <s v="Jan-2024"/>
    <x v="1"/>
    <s v="Q1-2024"/>
    <n v="24"/>
    <n v="24"/>
    <n v="0"/>
    <d v="2024-02-13T00:00:00"/>
    <d v="2024-02-13T00:00:00"/>
    <x v="2"/>
    <x v="5"/>
    <s v="Marseille"/>
    <s v="Corporate"/>
    <x v="1"/>
    <x v="8"/>
    <x v="6"/>
    <s v="PRN-8392"/>
    <n v="643.53"/>
    <n v="707.88300000000004"/>
    <n v="1439.01"/>
    <s v="Medium"/>
    <n v="0"/>
    <n v="0"/>
    <s v=""/>
    <n v="15"/>
    <n v="18"/>
    <n v="9652.9499999999989"/>
    <n v="1616102.6546600002"/>
    <n v="300212.55297999998"/>
    <n v="0.18576329425259155"/>
    <s v="A"/>
    <n v="12741.894"/>
    <n v="25902.18"/>
    <n v="21585.15"/>
    <n v="11932.200000000003"/>
    <n v="13160.286"/>
    <n v="0.55279671440782208"/>
  </r>
  <r>
    <s v="ORD-2024-885858"/>
    <s v="885858"/>
    <x v="1"/>
    <d v="2023-01-10T00:00:00"/>
    <n v="12"/>
    <d v="2024-01-10T00:00:00"/>
    <s v="Jan-2024"/>
    <x v="1"/>
    <s v="Q1-2024"/>
    <n v="13"/>
    <n v="13"/>
    <n v="0"/>
    <d v="2024-01-23T00:00:00"/>
    <d v="2024-01-23T00:00:00"/>
    <x v="2"/>
    <x v="5"/>
    <s v="Marseille"/>
    <s v="Corporate"/>
    <x v="0"/>
    <x v="3"/>
    <x v="6"/>
    <s v="PRN-6776"/>
    <n v="720"/>
    <n v="792.00000000000011"/>
    <n v="907.59"/>
    <s v="Medium"/>
    <n v="0.154"/>
    <n v="0.1"/>
    <s v=""/>
    <n v="10"/>
    <n v="12"/>
    <n v="7200"/>
    <n v="1616102.6546600002"/>
    <n v="307890.76437999995"/>
    <n v="0.1905143608867933"/>
    <s v="A"/>
    <n v="9504.0000000000018"/>
    <n v="9801.9719999999998"/>
    <n v="7678.2113999999992"/>
    <n v="478.21139999999923"/>
    <n v="297.97199999999793"/>
    <n v="6.2281614179052078E-2"/>
  </r>
  <r>
    <s v="ORD-2024-468655"/>
    <s v="468655"/>
    <x v="1"/>
    <d v="2023-01-12T00:00:00"/>
    <n v="13"/>
    <d v="2024-02-19T00:00:00"/>
    <s v="Feb-2024"/>
    <x v="0"/>
    <s v="Q1-2024"/>
    <n v="16"/>
    <n v="16"/>
    <n v="0"/>
    <d v="2024-03-06T00:00:00"/>
    <d v="2024-03-06T00:00:00"/>
    <x v="1"/>
    <x v="4"/>
    <s v="Beijing"/>
    <s v="Education"/>
    <x v="3"/>
    <x v="7"/>
    <x v="6"/>
    <s v="PRN-6308"/>
    <n v="1477.84"/>
    <n v="1625.624"/>
    <n v="3197.47"/>
    <s v="High"/>
    <n v="0.24299999999999999"/>
    <n v="0.1"/>
    <s v=""/>
    <n v="24"/>
    <n v="28.799999999999997"/>
    <n v="35468.159999999996"/>
    <n v="1616102.6546600002"/>
    <n v="365982.39933999995"/>
    <n v="0.22645987139783286"/>
    <s v="A"/>
    <n v="46817.971199999993"/>
    <n v="82878.422399999981"/>
    <n v="58091.634960000003"/>
    <n v="22623.474960000007"/>
    <n v="36060.451199999989"/>
    <n v="0.38944462443823091"/>
  </r>
  <r>
    <s v="ORD-2024-356812"/>
    <s v="356812"/>
    <x v="1"/>
    <d v="2023-01-22T00:00:00"/>
    <n v="13"/>
    <d v="2024-03-07T00:00:00"/>
    <s v="Mar-2024"/>
    <x v="4"/>
    <s v="Q1-2024"/>
    <n v="27"/>
    <n v="27"/>
    <n v="0"/>
    <d v="2024-04-03T00:00:00"/>
    <d v="2024-04-03T00:00:00"/>
    <x v="2"/>
    <x v="7"/>
    <s v="Frankfurt"/>
    <s v="Corporate"/>
    <x v="0"/>
    <x v="6"/>
    <x v="6"/>
    <s v="PRN-6911"/>
    <n v="738.16"/>
    <n v="811.976"/>
    <n v="956.49"/>
    <s v="Medium"/>
    <n v="0.152"/>
    <n v="0.1"/>
    <s v=""/>
    <n v="5"/>
    <n v="6"/>
    <n v="3690.7999999999997"/>
    <n v="1616102.6546600002"/>
    <n v="370037.91693999997"/>
    <n v="0.22896931446341165"/>
    <s v="A"/>
    <n v="4871.8559999999998"/>
    <n v="5165.0460000000003"/>
    <n v="4055.5175999999997"/>
    <n v="364.71759999999995"/>
    <n v="293.19000000000051"/>
    <n v="8.9931208780847108E-2"/>
  </r>
  <r>
    <s v="ORD-2024-364080"/>
    <s v="364080"/>
    <x v="1"/>
    <d v="2023-01-20T00:00:00"/>
    <n v="14"/>
    <d v="2024-04-16T00:00:00"/>
    <s v="Apr-2024"/>
    <x v="2"/>
    <s v="Q2-2024"/>
    <n v="11"/>
    <n v="11"/>
    <n v="0"/>
    <d v="2024-04-27T00:00:00"/>
    <d v="2024-04-27T00:00:00"/>
    <x v="0"/>
    <x v="8"/>
    <s v="Nakuru"/>
    <s v="Enterprise"/>
    <x v="4"/>
    <x v="0"/>
    <x v="6"/>
    <s v="PRN-2641"/>
    <n v="401.3"/>
    <n v="441.43000000000006"/>
    <n v="826.47"/>
    <s v="Medium"/>
    <n v="0.22500000000000001"/>
    <n v="0.1"/>
    <s v=""/>
    <n v="13"/>
    <n v="15.6"/>
    <n v="5216.9000000000005"/>
    <n v="1616102.6546600002"/>
    <n v="378364.60218999995"/>
    <n v="0.23412163893116136"/>
    <s v="A"/>
    <n v="6886.3080000000009"/>
    <n v="11603.638800000001"/>
    <n v="8326.6852500000005"/>
    <n v="3109.7852499999999"/>
    <n v="4717.3307999999997"/>
    <n v="0.37347217489696755"/>
  </r>
  <r>
    <s v="ORD-2024-792137"/>
    <s v="792137"/>
    <x v="1"/>
    <d v="2023-01-02T00:00:00"/>
    <n v="14"/>
    <d v="2024-03-02T00:00:00"/>
    <s v="Mar-2024"/>
    <x v="4"/>
    <s v="Q1-2024"/>
    <n v="14"/>
    <n v="14"/>
    <n v="0"/>
    <d v="2024-03-16T00:00:00"/>
    <d v="2024-03-16T00:00:00"/>
    <x v="3"/>
    <x v="10"/>
    <s v="Vancouver"/>
    <s v="Non-Profit"/>
    <x v="0"/>
    <x v="7"/>
    <x v="6"/>
    <s v="PRN-7976"/>
    <n v="248.24"/>
    <n v="273.06400000000002"/>
    <n v="464.05"/>
    <s v="Low"/>
    <n v="0.16900000000000001"/>
    <n v="0.1"/>
    <s v=""/>
    <n v="11"/>
    <n v="13.2"/>
    <n v="2730.6400000000003"/>
    <n v="1616102.6546600002"/>
    <n v="382606.48323999997"/>
    <n v="0.23674639858845706"/>
    <s v="A"/>
    <n v="3604.4448000000002"/>
    <n v="5512.9139999999998"/>
    <n v="4241.88105"/>
    <n v="1511.2410499999996"/>
    <n v="1908.4691999999995"/>
    <n v="0.3562667203975462"/>
  </r>
  <r>
    <s v="ORD-2024-332076"/>
    <s v="332076"/>
    <x v="1"/>
    <d v="2023-01-10T00:00:00"/>
    <n v="14"/>
    <d v="2024-04-09T00:00:00"/>
    <s v="Apr-2024"/>
    <x v="2"/>
    <s v="Q2-2024"/>
    <n v="9"/>
    <n v="9"/>
    <n v="0"/>
    <d v="2024-04-18T00:00:00"/>
    <d v="2024-04-18T00:00:00"/>
    <x v="2"/>
    <x v="5"/>
    <s v="Lyon"/>
    <s v="Consumer"/>
    <x v="4"/>
    <x v="12"/>
    <x v="6"/>
    <s v="PRN-1086"/>
    <n v="1288.8499999999999"/>
    <n v="1417.7350000000001"/>
    <n v="2751.84"/>
    <s v="High"/>
    <n v="0.158"/>
    <n v="0.1"/>
    <s v=""/>
    <n v="7"/>
    <n v="8.4"/>
    <n v="9021.9499999999989"/>
    <n v="1616102.6546600002"/>
    <n v="398825.82819999999"/>
    <n v="0.24678248442324721"/>
    <s v="A"/>
    <n v="11908.974000000002"/>
    <n v="20803.910400000001"/>
    <n v="16219.34496"/>
    <n v="7197.3949600000014"/>
    <n v="8894.9363999999987"/>
    <n v="0.44375373837538756"/>
  </r>
  <r>
    <s v="ORD-2024-834983"/>
    <s v="834983"/>
    <x v="1"/>
    <d v="2023-01-10T00:00:00"/>
    <n v="14"/>
    <d v="2024-03-16T00:00:00"/>
    <s v="Mar-2024"/>
    <x v="4"/>
    <s v="Q1-2024"/>
    <n v="28"/>
    <n v="28"/>
    <n v="0"/>
    <d v="2024-04-13T00:00:00"/>
    <d v="2024-04-13T00:00:00"/>
    <x v="2"/>
    <x v="5"/>
    <s v="Paris"/>
    <s v="Small Business"/>
    <x v="4"/>
    <x v="11"/>
    <x v="6"/>
    <s v="PRN-8758"/>
    <n v="287.61"/>
    <n v="316.37100000000004"/>
    <n v="628.54"/>
    <s v="Low"/>
    <n v="0.13500000000000001"/>
    <n v="0.1"/>
    <s v=""/>
    <n v="21"/>
    <n v="25.2"/>
    <n v="6039.81"/>
    <n v="1616102.6546600002"/>
    <n v="410243.2573"/>
    <n v="0.2538472764196455"/>
    <s v="A"/>
    <n v="7972.5492000000004"/>
    <n v="14255.287199999999"/>
    <n v="11417.429099999999"/>
    <n v="5377.619099999999"/>
    <n v="6282.7379999999985"/>
    <n v="0.47100087531964613"/>
  </r>
  <r>
    <s v="ORD-2024-599522"/>
    <s v="599522"/>
    <x v="1"/>
    <d v="2023-01-15T00:00:00"/>
    <n v="15"/>
    <d v="2024-04-19T00:00:00"/>
    <s v="Apr-2024"/>
    <x v="2"/>
    <s v="Q2-2024"/>
    <n v="17"/>
    <n v="17"/>
    <n v="0"/>
    <d v="2024-05-06T00:00:00"/>
    <d v="2024-05-06T00:00:00"/>
    <x v="0"/>
    <x v="0"/>
    <s v="Port Harcourt"/>
    <s v="Non-Profit"/>
    <x v="4"/>
    <x v="3"/>
    <x v="6"/>
    <s v="PRN-7303"/>
    <n v="865.33"/>
    <n v="951.86300000000017"/>
    <n v="1395.64"/>
    <s v="Medium"/>
    <n v="0.17499999999999999"/>
    <n v="0.1"/>
    <s v=""/>
    <n v="13"/>
    <n v="15.6"/>
    <n v="11249.29"/>
    <n v="1616102.6546600002"/>
    <n v="425211.4963"/>
    <n v="0.26310921219881112"/>
    <s v="A"/>
    <n v="14849.062800000002"/>
    <n v="19594.785599999999"/>
    <n v="14968.239"/>
    <n v="3718.9489999999987"/>
    <n v="4745.7227999999977"/>
    <n v="0.24845601409758347"/>
  </r>
  <r>
    <s v="ORD-2024-973420"/>
    <s v="973420"/>
    <x v="1"/>
    <d v="2023-01-19T00:00:00"/>
    <n v="15"/>
    <d v="2024-05-12T00:00:00"/>
    <s v="May-2024"/>
    <x v="5"/>
    <s v="Q2-2024"/>
    <n v="12"/>
    <n v="12"/>
    <n v="0"/>
    <d v="2024-05-24T00:00:00"/>
    <d v="2024-05-24T00:00:00"/>
    <x v="2"/>
    <x v="2"/>
    <s v="Manchester"/>
    <s v="Education"/>
    <x v="3"/>
    <x v="11"/>
    <x v="6"/>
    <s v="PRN-5813"/>
    <n v="111.02"/>
    <n v="122.122"/>
    <n v="172.88"/>
    <s v="Low"/>
    <n v="0.19700000000000001"/>
    <n v="0.1"/>
    <s v=""/>
    <n v="29"/>
    <n v="34.799999999999997"/>
    <n v="3219.58"/>
    <n v="1616102.6546600002"/>
    <n v="429237.35285999998"/>
    <n v="0.26560030182631189"/>
    <s v="A"/>
    <n v="4249.8455999999996"/>
    <n v="5414.6015999999991"/>
    <n v="4025.8565599999993"/>
    <n v="806.27655999999934"/>
    <n v="1164.7559999999994"/>
    <n v="0.20027453735212053"/>
  </r>
  <r>
    <s v="ORD-2024-970848"/>
    <s v="970848"/>
    <x v="1"/>
    <d v="2023-01-07T00:00:00"/>
    <n v="16"/>
    <d v="2024-05-23T00:00:00"/>
    <s v="May-2024"/>
    <x v="5"/>
    <s v="Q2-2024"/>
    <n v="11"/>
    <n v="11"/>
    <n v="0"/>
    <d v="2024-06-03T00:00:00"/>
    <d v="2024-06-03T00:00:00"/>
    <x v="0"/>
    <x v="6"/>
    <s v="Johannesburg"/>
    <s v="Small Business"/>
    <x v="2"/>
    <x v="5"/>
    <x v="6"/>
    <s v="PRN-3785"/>
    <n v="180.89"/>
    <n v="198.97900000000001"/>
    <n v="249.57"/>
    <s v="Low"/>
    <n v="2.1999999999999999E-2"/>
    <n v="2.1999999999999999E-2"/>
    <s v=""/>
    <n v="8"/>
    <n v="9.6"/>
    <n v="1447.12"/>
    <n v="1616102.6546600002"/>
    <n v="431189.98853999999"/>
    <n v="0.26680853923274744"/>
    <s v="A"/>
    <n v="1910.1984"/>
    <n v="2343.162816"/>
    <n v="1952.6356799999999"/>
    <n v="505.51567999999997"/>
    <n v="432.96441600000003"/>
    <n v="0.25888888806948362"/>
  </r>
  <r>
    <s v="ORD-2024-134084"/>
    <s v="134084"/>
    <x v="1"/>
    <d v="2023-01-12T00:00:00"/>
    <n v="16"/>
    <d v="2024-06-04T00:00:00"/>
    <s v="Jun-2024"/>
    <x v="6"/>
    <s v="Q2-2024"/>
    <n v="12"/>
    <n v="12"/>
    <n v="0"/>
    <d v="2024-06-16T00:00:00"/>
    <d v="2024-06-16T00:00:00"/>
    <x v="1"/>
    <x v="4"/>
    <s v="Shanghai"/>
    <s v="Corporate"/>
    <x v="1"/>
    <x v="10"/>
    <x v="6"/>
    <s v="PRN-4097"/>
    <n v="918.42"/>
    <n v="1010.2620000000001"/>
    <n v="1511.71"/>
    <s v="Medium"/>
    <n v="0.02"/>
    <n v="0.02"/>
    <s v=""/>
    <n v="8"/>
    <n v="9.6"/>
    <n v="7347.36"/>
    <n v="1616102.6546600002"/>
    <n v="443041.79493999999"/>
    <n v="0.27414211198929578"/>
    <s v="A"/>
    <n v="9698.5151999999998"/>
    <n v="14222.167679999999"/>
    <n v="11851.806399999999"/>
    <n v="4504.4463999999998"/>
    <n v="4523.6524799999988"/>
    <n v="0.38006412254590999"/>
  </r>
  <r>
    <s v="ORD-2024-375848"/>
    <s v="375848"/>
    <x v="1"/>
    <d v="2023-01-10T00:00:00"/>
    <n v="16"/>
    <d v="2024-05-18T00:00:00"/>
    <s v="May-2024"/>
    <x v="5"/>
    <s v="Q2-2024"/>
    <n v="3"/>
    <n v="3"/>
    <n v="1"/>
    <d v="2024-05-21T00:00:00"/>
    <d v="2024-05-21T00:00:00"/>
    <x v="2"/>
    <x v="5"/>
    <s v="Marseille"/>
    <s v="Non-Profit"/>
    <x v="3"/>
    <x v="0"/>
    <x v="6"/>
    <s v="PRN-1725"/>
    <n v="663.66"/>
    <n v="730.02600000000007"/>
    <n v="824.26"/>
    <s v="Medium"/>
    <n v="0.23899999999999999"/>
    <n v="0.1"/>
    <s v=""/>
    <n v="11"/>
    <n v="13.2"/>
    <n v="7300.2599999999993"/>
    <n v="1616102.6546600002"/>
    <n v="449941.67540000001"/>
    <n v="0.27841156878407569"/>
    <s v="A"/>
    <n v="9636.3432000000012"/>
    <n v="9792.2088000000003"/>
    <n v="6899.8804600000003"/>
    <n v="-400.379539999999"/>
    <n v="155.86559999999918"/>
    <n v="-5.8027025587048933E-2"/>
  </r>
  <r>
    <s v="ORD-2024-389102"/>
    <s v="389102"/>
    <x v="1"/>
    <d v="2023-01-02T00:00:00"/>
    <n v="17"/>
    <d v="2024-06-15T00:00:00"/>
    <s v="Jun-2024"/>
    <x v="6"/>
    <s v="Q2-2024"/>
    <n v="21"/>
    <n v="21"/>
    <n v="0"/>
    <d v="2024-07-06T00:00:00"/>
    <d v="2024-07-06T00:00:00"/>
    <x v="3"/>
    <x v="10"/>
    <s v="Toronto"/>
    <s v="Enterprise"/>
    <x v="2"/>
    <x v="4"/>
    <x v="6"/>
    <s v="PRN-4453"/>
    <n v="817.23"/>
    <n v="898.95300000000009"/>
    <n v="1467.17"/>
    <s v="Medium"/>
    <n v="0.245"/>
    <n v="0.1"/>
    <s v=""/>
    <n v="9"/>
    <n v="10.799999999999999"/>
    <n v="7355.07"/>
    <n v="1616102.6546600002"/>
    <n v="459911.09555000003"/>
    <n v="0.28458037255483459"/>
    <s v="A"/>
    <n v="9708.6923999999999"/>
    <n v="14260.892400000001"/>
    <n v="9969.4201499999999"/>
    <n v="2614.3501500000002"/>
    <n v="4552.2000000000007"/>
    <n v="0.26223693160328893"/>
  </r>
  <r>
    <s v="ORD-2024-626750"/>
    <s v="626750"/>
    <x v="1"/>
    <d v="2023-01-13T00:00:00"/>
    <n v="18"/>
    <d v="2024-08-12T00:00:00"/>
    <s v="Aug-2024"/>
    <x v="8"/>
    <s v="Q3-2024"/>
    <n v="3"/>
    <n v="3"/>
    <n v="1"/>
    <d v="2024-08-15T00:00:00"/>
    <d v="2024-08-15T00:00:00"/>
    <x v="3"/>
    <x v="11"/>
    <s v="Chicago"/>
    <s v="Corporate"/>
    <x v="3"/>
    <x v="0"/>
    <x v="6"/>
    <s v="PRN-5591"/>
    <n v="850.7"/>
    <n v="935.7700000000001"/>
    <n v="1118.56"/>
    <s v="Medium"/>
    <n v="0.18"/>
    <n v="0.1"/>
    <s v=""/>
    <n v="19"/>
    <n v="22.8"/>
    <n v="16163.300000000001"/>
    <n v="1616102.6546600002"/>
    <n v="477338.26035000006"/>
    <n v="0.29536382418134427"/>
    <s v="A"/>
    <n v="21335.556000000004"/>
    <n v="22952.851199999997"/>
    <n v="17427.164800000002"/>
    <n v="1263.8648000000012"/>
    <n v="1617.2951999999932"/>
    <n v="7.2522685962090688E-2"/>
  </r>
  <r>
    <s v="ORD-2024-301260"/>
    <s v="301260"/>
    <x v="1"/>
    <d v="2023-01-13T00:00:00"/>
    <n v="18"/>
    <d v="2024-07-29T00:00:00"/>
    <s v="Jul-2024"/>
    <x v="7"/>
    <s v="Q3-2024"/>
    <n v="2"/>
    <n v="2"/>
    <n v="1"/>
    <d v="2024-07-31T00:00:00"/>
    <d v="2024-07-31T00:00:00"/>
    <x v="3"/>
    <x v="11"/>
    <s v="New York"/>
    <s v="Education"/>
    <x v="3"/>
    <x v="13"/>
    <x v="6"/>
    <s v="PRN-2829"/>
    <n v="798.97"/>
    <n v="878.86700000000008"/>
    <n v="1814.06"/>
    <s v="High"/>
    <n v="0.122"/>
    <n v="0.1"/>
    <s v=""/>
    <n v="16"/>
    <n v="19.2"/>
    <n v="12783.52"/>
    <n v="1616102.6546600002"/>
    <n v="502822.17523000005"/>
    <n v="0.31113257179556147"/>
    <s v="A"/>
    <n v="16874.2464"/>
    <n v="31346.9568"/>
    <n v="25483.91488"/>
    <n v="12700.39488"/>
    <n v="14472.7104"/>
    <n v="0.49836906691159061"/>
  </r>
  <r>
    <s v="ORD-2024-207792"/>
    <s v="207792"/>
    <x v="1"/>
    <d v="2023-03-03T00:00:00"/>
    <n v="18"/>
    <d v="2024-09-03T00:00:00"/>
    <s v="Sept-2024"/>
    <x v="11"/>
    <s v="Q3-2024"/>
    <n v="4"/>
    <n v="4"/>
    <n v="1"/>
    <d v="2024-09-07T00:00:00"/>
    <d v="2024-09-07T00:00:00"/>
    <x v="1"/>
    <x v="3"/>
    <s v="Tokyo"/>
    <s v="Small Business"/>
    <x v="2"/>
    <x v="14"/>
    <x v="6"/>
    <s v="PRN-3917"/>
    <n v="43.23"/>
    <n v="47.552999999999997"/>
    <n v="94.78"/>
    <s v="Low"/>
    <n v="9.0999999999999998E-2"/>
    <n v="9.0999999999999998E-2"/>
    <s v=""/>
    <n v="55"/>
    <n v="66"/>
    <n v="2377.6499999999996"/>
    <n v="1616102.6546600002"/>
    <n v="507560.70133000007"/>
    <n v="0.31406464178897225"/>
    <s v="A"/>
    <n v="3138.4979999999996"/>
    <n v="5686.2313200000008"/>
    <n v="4738.5261"/>
    <n v="2360.8761000000004"/>
    <n v="2547.7333200000012"/>
    <n v="0.49823005090127082"/>
  </r>
  <r>
    <s v="ORD-2024-687100"/>
    <s v="687100"/>
    <x v="1"/>
    <d v="2023-01-20T00:00:00"/>
    <n v="19"/>
    <d v="2024-09-10T00:00:00"/>
    <s v="Sept-2024"/>
    <x v="11"/>
    <s v="Q3-2024"/>
    <n v="27"/>
    <n v="27"/>
    <n v="0"/>
    <d v="2024-10-07T00:00:00"/>
    <d v="2024-10-07T00:00:00"/>
    <x v="0"/>
    <x v="8"/>
    <s v="Kisumu"/>
    <s v="Consumer"/>
    <x v="1"/>
    <x v="4"/>
    <x v="6"/>
    <s v="PRN-6068"/>
    <n v="1248.3900000000001"/>
    <n v="1373.2290000000003"/>
    <n v="1805.11"/>
    <s v="High"/>
    <n v="0.20300000000000001"/>
    <n v="0.1"/>
    <s v=""/>
    <n v="11"/>
    <n v="13.2"/>
    <n v="13732.29"/>
    <n v="1616102.6546600002"/>
    <n v="523386.10070000007"/>
    <n v="0.32385696489689347"/>
    <s v="A"/>
    <n v="18126.622800000001"/>
    <n v="21444.7068"/>
    <n v="15825.399369999997"/>
    <n v="2093.1093699999965"/>
    <n v="3318.0839999999989"/>
    <n v="0.13226265707820786"/>
  </r>
  <r>
    <s v="ORD-2024-423853"/>
    <s v="423853"/>
    <x v="1"/>
    <d v="2023-01-15T00:00:00"/>
    <n v="19"/>
    <d v="2024-09-03T00:00:00"/>
    <s v="Sept-2024"/>
    <x v="11"/>
    <s v="Q3-2024"/>
    <n v="5"/>
    <n v="5"/>
    <n v="1"/>
    <d v="2024-09-08T00:00:00"/>
    <d v="2024-09-08T00:00:00"/>
    <x v="0"/>
    <x v="0"/>
    <s v="Lagos"/>
    <s v="Small Business"/>
    <x v="0"/>
    <x v="11"/>
    <x v="6"/>
    <s v="PRN-1141"/>
    <n v="197.63"/>
    <n v="217.393"/>
    <n v="325.79000000000002"/>
    <s v="Low"/>
    <n v="0.11600000000000001"/>
    <n v="0.1"/>
    <s v=""/>
    <n v="10"/>
    <n v="12"/>
    <n v="1976.3"/>
    <n v="1616102.6546600002"/>
    <n v="526266.0843000001"/>
    <n v="0.32563901976308385"/>
    <s v="A"/>
    <n v="2608.7159999999999"/>
    <n v="3518.5320000000006"/>
    <n v="2879.9836"/>
    <n v="903.68360000000007"/>
    <n v="909.81600000000071"/>
    <n v="0.31378081458519419"/>
  </r>
  <r>
    <s v="ORD-2024-777623"/>
    <s v="777623"/>
    <x v="1"/>
    <d v="2023-01-29T00:00:00"/>
    <n v="19"/>
    <d v="2024-09-19T00:00:00"/>
    <s v="Sept-2024"/>
    <x v="11"/>
    <s v="Q3-2024"/>
    <n v="25"/>
    <n v="25"/>
    <n v="0"/>
    <d v="2024-10-14T00:00:00"/>
    <d v="2024-10-14T00:00:00"/>
    <x v="3"/>
    <x v="9"/>
    <s v="Rio de Janeiro"/>
    <s v="Small Business"/>
    <x v="1"/>
    <x v="11"/>
    <x v="6"/>
    <s v="PRN-2749"/>
    <n v="386.96"/>
    <n v="425.65600000000001"/>
    <n v="937.46"/>
    <s v="Medium"/>
    <n v="0.26600000000000001"/>
    <n v="0.1"/>
    <s v=""/>
    <n v="41"/>
    <n v="49.199999999999996"/>
    <n v="15865.359999999999"/>
    <n v="1616102.6546600002"/>
    <n v="554478.00554000016"/>
    <n v="0.34309578289545761"/>
    <s v="A"/>
    <n v="20942.2752"/>
    <n v="41510.728799999997"/>
    <n v="28211.92124"/>
    <n v="12346.561240000001"/>
    <n v="20568.453599999997"/>
    <n v="0.43763631462626335"/>
  </r>
  <r>
    <s v="ORD-2024-550400"/>
    <s v="550400"/>
    <x v="1"/>
    <d v="2023-01-02T00:00:00"/>
    <n v="19"/>
    <d v="2024-08-19T00:00:00"/>
    <s v="Aug-2024"/>
    <x v="8"/>
    <s v="Q3-2024"/>
    <n v="14"/>
    <n v="14"/>
    <n v="0"/>
    <d v="2024-09-02T00:00:00"/>
    <d v="2024-09-02T00:00:00"/>
    <x v="3"/>
    <x v="10"/>
    <s v="Toronto"/>
    <s v="Consumer"/>
    <x v="2"/>
    <x v="9"/>
    <x v="6"/>
    <s v="PRN-9793"/>
    <n v="1337.01"/>
    <n v="1470.711"/>
    <n v="1269.78"/>
    <s v="Medium"/>
    <n v="0.16"/>
    <n v="0.1"/>
    <s v=""/>
    <n v="7"/>
    <n v="8.4"/>
    <n v="9359.07"/>
    <n v="1616102.6546600002"/>
    <n v="561944.31194000016"/>
    <n v="0.34771572852729671"/>
    <s v="A"/>
    <n v="12353.972400000001"/>
    <n v="9599.5367999999999"/>
    <n v="7466.3063999999986"/>
    <n v="-1892.7636000000011"/>
    <n v="-2754.4356000000007"/>
    <n v="-0.25350735672996244"/>
  </r>
  <r>
    <s v="ORD-2024-988736"/>
    <s v="988736"/>
    <x v="1"/>
    <d v="2023-01-12T00:00:00"/>
    <n v="19"/>
    <d v="2024-09-09T00:00:00"/>
    <s v="Sept-2024"/>
    <x v="11"/>
    <s v="Q3-2024"/>
    <n v="22"/>
    <n v="22"/>
    <n v="0"/>
    <d v="2024-10-01T00:00:00"/>
    <d v="2024-10-01T00:00:00"/>
    <x v="1"/>
    <x v="4"/>
    <s v="Shenzhen"/>
    <s v="Consumer"/>
    <x v="0"/>
    <x v="4"/>
    <x v="6"/>
    <s v="PRN-3014"/>
    <n v="1166.18"/>
    <n v="1282.7980000000002"/>
    <n v="1335.02"/>
    <s v="Medium"/>
    <n v="0.128"/>
    <n v="0.1"/>
    <s v=""/>
    <n v="6"/>
    <n v="7.1999999999999993"/>
    <n v="6997.08"/>
    <n v="1616102.6546600002"/>
    <n v="568929.13658000017"/>
    <n v="0.35203774645100927"/>
    <s v="A"/>
    <n v="9236.1455999999998"/>
    <n v="8650.9295999999995"/>
    <n v="6984.8246399999998"/>
    <n v="-12.25536000000011"/>
    <n v="-585.21600000000035"/>
    <n v="-1.7545694604582242E-3"/>
  </r>
  <r>
    <s v="ORD-2024-307849"/>
    <s v="307849"/>
    <x v="1"/>
    <d v="2023-01-10T00:00:00"/>
    <n v="19"/>
    <d v="2024-08-10T00:00:00"/>
    <s v="Aug-2024"/>
    <x v="8"/>
    <s v="Q3-2024"/>
    <n v="28"/>
    <n v="28"/>
    <n v="0"/>
    <d v="2024-09-07T00:00:00"/>
    <d v="2024-09-07T00:00:00"/>
    <x v="2"/>
    <x v="5"/>
    <s v="Marseille"/>
    <s v="Non-Profit"/>
    <x v="0"/>
    <x v="5"/>
    <x v="6"/>
    <s v="PRN-1183"/>
    <n v="229.96"/>
    <n v="252.95600000000002"/>
    <n v="564.26"/>
    <s v="Low"/>
    <n v="0.105"/>
    <n v="0.1"/>
    <s v=""/>
    <n v="5"/>
    <n v="6"/>
    <n v="1149.8"/>
    <n v="1616102.6546600002"/>
    <n v="571454.20008000021"/>
    <n v="0.35360018649324243"/>
    <s v="A"/>
    <n v="1517.7360000000001"/>
    <n v="3047.0039999999999"/>
    <n v="2525.0635000000002"/>
    <n v="1375.2635000000002"/>
    <n v="1529.2679999999998"/>
    <n v="0.54464511486542821"/>
  </r>
  <r>
    <s v="ORD-2024-745424"/>
    <s v="745424"/>
    <x v="1"/>
    <d v="2023-01-22T00:00:00"/>
    <n v="19"/>
    <d v="2024-08-22T00:00:00"/>
    <s v="Aug-2024"/>
    <x v="8"/>
    <s v="Q3-2024"/>
    <n v="13"/>
    <n v="13"/>
    <n v="0"/>
    <d v="2024-09-04T00:00:00"/>
    <d v="2024-09-04T00:00:00"/>
    <x v="2"/>
    <x v="7"/>
    <s v="Frankfurt"/>
    <s v="Non-Profit"/>
    <x v="1"/>
    <x v="4"/>
    <x v="6"/>
    <s v="PRN-4892"/>
    <n v="90.04"/>
    <n v="99.044000000000011"/>
    <n v="194.62"/>
    <s v="Low"/>
    <n v="4.2999999999999997E-2"/>
    <n v="4.2999999999999997E-2"/>
    <s v=""/>
    <n v="32"/>
    <n v="38.4"/>
    <n v="2881.28"/>
    <n v="1616102.6546600002"/>
    <n v="577414.24296000018"/>
    <n v="0.35728809756919683"/>
    <s v="A"/>
    <n v="3803.2896000000001"/>
    <n v="7152.0514559999992"/>
    <n v="5960.04288"/>
    <n v="3078.7628799999998"/>
    <n v="3348.7618559999992"/>
    <n v="0.51656723650954672"/>
  </r>
  <r>
    <s v="ORD-2023-701153"/>
    <s v="701153"/>
    <x v="0"/>
    <d v="2023-01-22T00:00:00"/>
    <n v="2"/>
    <d v="2023-04-14T00:00:00"/>
    <s v="Apr-2023"/>
    <x v="2"/>
    <s v="Q2-2023"/>
    <n v="29"/>
    <n v="29"/>
    <n v="0"/>
    <d v="2023-05-13T00:00:00"/>
    <d v="2023-05-13T00:00:00"/>
    <x v="2"/>
    <x v="7"/>
    <s v="Frankfurt"/>
    <s v="Consumer"/>
    <x v="0"/>
    <x v="10"/>
    <x v="6"/>
    <s v="PRN-7019"/>
    <n v="1320.33"/>
    <n v="1452.3630000000001"/>
    <n v="2645.23"/>
    <s v="High"/>
    <n v="0.155"/>
    <n v="0.1"/>
    <s v=""/>
    <n v="25"/>
    <n v="30"/>
    <n v="33008.25"/>
    <n v="1616102.6546600002"/>
    <n v="633294.72671000019"/>
    <n v="0.39186540835379935"/>
    <s v="A"/>
    <n v="43570.89"/>
    <n v="71421.209999999992"/>
    <n v="55880.483749999999"/>
    <n v="22872.233749999999"/>
    <n v="27850.319999999992"/>
    <n v="0.40930629470436536"/>
  </r>
  <r>
    <s v="ORD-2023-294716"/>
    <s v="294716"/>
    <x v="0"/>
    <d v="2023-01-19T00:00:00"/>
    <n v="2"/>
    <d v="2023-04-10T00:00:00"/>
    <s v="Apr-2023"/>
    <x v="2"/>
    <s v="Q2-2023"/>
    <n v="15"/>
    <n v="15"/>
    <n v="0"/>
    <d v="2023-04-25T00:00:00"/>
    <d v="2023-04-25T00:00:00"/>
    <x v="2"/>
    <x v="2"/>
    <s v="London"/>
    <s v="Small Business"/>
    <x v="1"/>
    <x v="0"/>
    <x v="6"/>
    <s v="PRN-5067"/>
    <n v="405.66"/>
    <n v="446.22600000000006"/>
    <n v="962.51"/>
    <s v="Medium"/>
    <n v="0.19"/>
    <n v="0.1"/>
    <s v=""/>
    <n v="7"/>
    <n v="8.4"/>
    <n v="2839.6200000000003"/>
    <n v="1616102.6546600002"/>
    <n v="638752.15841000015"/>
    <n v="0.39524231741601984"/>
    <s v="A"/>
    <n v="3748.2984000000006"/>
    <n v="7276.5756000000001"/>
    <n v="5457.4317000000001"/>
    <n v="2617.8116999999997"/>
    <n v="3528.2771999999995"/>
    <n v="0.47967832561239376"/>
  </r>
  <r>
    <s v="ORD-2023-868734"/>
    <s v="868734"/>
    <x v="0"/>
    <d v="2023-01-19T00:00:00"/>
    <n v="2"/>
    <d v="2023-04-06T00:00:00"/>
    <s v="Apr-2023"/>
    <x v="2"/>
    <s v="Q2-2023"/>
    <n v="21"/>
    <n v="21"/>
    <n v="0"/>
    <d v="2023-04-27T00:00:00"/>
    <d v="2023-04-27T00:00:00"/>
    <x v="2"/>
    <x v="2"/>
    <s v="Manchester"/>
    <s v="Enterprise"/>
    <x v="2"/>
    <x v="13"/>
    <x v="6"/>
    <s v="PRN-8970"/>
    <n v="1084.79"/>
    <n v="1193.269"/>
    <n v="2484.9899999999998"/>
    <s v="High"/>
    <n v="3.4000000000000002E-2"/>
    <n v="3.4000000000000002E-2"/>
    <s v=""/>
    <n v="18"/>
    <n v="21.599999999999998"/>
    <n v="19526.22"/>
    <n v="1616102.6546600002"/>
    <n v="681961.16453000018"/>
    <n v="0.42197886536698553"/>
    <s v="A"/>
    <n v="25774.610399999998"/>
    <n v="51850.807343999993"/>
    <n v="43209.006119999991"/>
    <n v="23682.78611999999"/>
    <n v="26076.196943999996"/>
    <n v="0.54809837685755114"/>
  </r>
  <r>
    <s v="ORD-2024-510520"/>
    <s v="510520"/>
    <x v="1"/>
    <d v="2023-01-02T00:00:00"/>
    <n v="20"/>
    <d v="2024-09-25T00:00:00"/>
    <s v="Sept-2024"/>
    <x v="11"/>
    <s v="Q3-2024"/>
    <n v="8"/>
    <n v="8"/>
    <n v="0"/>
    <d v="2024-10-03T00:00:00"/>
    <d v="2024-10-03T00:00:00"/>
    <x v="3"/>
    <x v="10"/>
    <s v="Toronto"/>
    <s v="Consumer"/>
    <x v="4"/>
    <x v="12"/>
    <x v="6"/>
    <s v="PRN-9557"/>
    <n v="558.19000000000005"/>
    <n v="614.00900000000013"/>
    <n v="1031.6400000000001"/>
    <s v="Medium"/>
    <n v="0"/>
    <n v="0"/>
    <s v=""/>
    <n v="21"/>
    <n v="25.2"/>
    <n v="11721.990000000002"/>
    <n v="1616102.6546600002"/>
    <n v="703625.60453000013"/>
    <n v="0.43538422667712939"/>
    <s v="A"/>
    <n v="15473.026800000003"/>
    <n v="25997.328000000001"/>
    <n v="21664.440000000002"/>
    <n v="9942.4500000000007"/>
    <n v="10524.301199999998"/>
    <n v="0.45892947152107322"/>
  </r>
  <r>
    <s v="ORD-2024-720756"/>
    <s v="720756"/>
    <x v="1"/>
    <d v="2023-01-12T00:00:00"/>
    <n v="20"/>
    <d v="2024-10-11T00:00:00"/>
    <s v="Oct-2024"/>
    <x v="9"/>
    <s v="Q4-2024"/>
    <n v="29"/>
    <n v="29"/>
    <n v="0"/>
    <d v="2024-11-09T00:00:00"/>
    <d v="2024-11-09T00:00:00"/>
    <x v="1"/>
    <x v="4"/>
    <s v="Shanghai"/>
    <s v="Non-Profit"/>
    <x v="4"/>
    <x v="5"/>
    <x v="6"/>
    <s v="PRN-5666"/>
    <n v="391.64"/>
    <n v="430.80400000000003"/>
    <n v="504.76"/>
    <s v="Low"/>
    <n v="4.0000000000000001E-3"/>
    <n v="4.0000000000000001E-3"/>
    <s v=""/>
    <n v="13"/>
    <n v="15.6"/>
    <n v="5091.32"/>
    <n v="1616102.6546600002"/>
    <n v="710161.23701000016"/>
    <n v="0.43942829681163148"/>
    <s v="A"/>
    <n v="6720.5424000000003"/>
    <n v="7842.7589759999992"/>
    <n v="6535.6324800000002"/>
    <n v="1444.3124800000005"/>
    <n v="1122.2165759999989"/>
    <n v="0.22099046793402319"/>
  </r>
  <r>
    <s v="ORD-2024-998320"/>
    <s v="998320"/>
    <x v="1"/>
    <d v="2023-01-20T00:00:00"/>
    <n v="21"/>
    <d v="2024-10-25T00:00:00"/>
    <s v="Oct-2024"/>
    <x v="9"/>
    <s v="Q4-2024"/>
    <n v="20"/>
    <n v="20"/>
    <n v="0"/>
    <d v="2024-11-14T00:00:00"/>
    <d v="2024-11-14T00:00:00"/>
    <x v="0"/>
    <x v="8"/>
    <s v="Mombasa"/>
    <s v="Corporate"/>
    <x v="0"/>
    <x v="8"/>
    <x v="6"/>
    <s v="PRN-3143"/>
    <n v="1396.48"/>
    <n v="1536.1280000000002"/>
    <n v="3204.5"/>
    <s v="High"/>
    <n v="0.318"/>
    <n v="0.1"/>
    <s v="&gt;0.3"/>
    <n v="14"/>
    <n v="16.8"/>
    <n v="19550.72"/>
    <n v="1616102.6546600002"/>
    <n v="740757.80301000015"/>
    <n v="0.45836061272100481"/>
    <s v="A"/>
    <n v="25806.950400000005"/>
    <n v="48452.040000000008"/>
    <n v="30596.565999999999"/>
    <n v="11045.845999999998"/>
    <n v="22645.089600000003"/>
    <n v="0.36101587348070363"/>
  </r>
  <r>
    <s v="ORD-2024-333192"/>
    <s v="333192"/>
    <x v="1"/>
    <d v="2023-01-20T00:00:00"/>
    <n v="21"/>
    <d v="2024-10-29T00:00:00"/>
    <s v="Oct-2024"/>
    <x v="9"/>
    <s v="Q4-2024"/>
    <n v="6"/>
    <n v="6"/>
    <n v="1"/>
    <d v="2024-11-04T00:00:00"/>
    <d v="2024-11-04T00:00:00"/>
    <x v="0"/>
    <x v="8"/>
    <s v="Nairobi"/>
    <s v="Corporate"/>
    <x v="2"/>
    <x v="6"/>
    <x v="6"/>
    <s v="PRN-4893"/>
    <n v="805.81"/>
    <n v="886.39099999999996"/>
    <n v="1823.04"/>
    <s v="High"/>
    <n v="0"/>
    <n v="0"/>
    <s v=""/>
    <n v="11"/>
    <n v="13.2"/>
    <n v="8863.91"/>
    <n v="1616102.6546600002"/>
    <n v="760811.24301000009"/>
    <n v="0.47076913141390853"/>
    <s v="A"/>
    <n v="11700.361199999999"/>
    <n v="24064.127999999997"/>
    <n v="20053.439999999999"/>
    <n v="11189.529999999999"/>
    <n v="12363.766799999998"/>
    <n v="0.55798556257679477"/>
  </r>
  <r>
    <s v="ORD-2024-358795"/>
    <s v="358795"/>
    <x v="1"/>
    <d v="2023-01-15T00:00:00"/>
    <n v="21"/>
    <d v="2024-10-23T00:00:00"/>
    <s v="Oct-2024"/>
    <x v="9"/>
    <s v="Q4-2024"/>
    <n v="-1"/>
    <n v="15"/>
    <n v="0"/>
    <d v="2024-10-22T00:00:00"/>
    <d v="2024-11-07T00:00:00"/>
    <x v="0"/>
    <x v="0"/>
    <s v="Port Harcourt"/>
    <s v="Education"/>
    <x v="4"/>
    <x v="10"/>
    <x v="6"/>
    <s v="PRN-9322"/>
    <n v="1084.3900000000001"/>
    <n v="1192.8290000000002"/>
    <n v="759.33"/>
    <s v="Low"/>
    <n v="0.23699999999999999"/>
    <n v="0.1"/>
    <s v=""/>
    <n v="31"/>
    <n v="37.199999999999996"/>
    <n v="33616.090000000004"/>
    <n v="1616102.6546600002"/>
    <n v="778771.67550000013"/>
    <n v="0.48188255446176476"/>
    <s v="A"/>
    <n v="44373.238799999999"/>
    <n v="25422.368399999999"/>
    <n v="17960.432489999999"/>
    <n v="-15655.657510000005"/>
    <n v="-18950.8704"/>
    <n v="-0.87167486187856302"/>
  </r>
  <r>
    <s v="ORD-2024-225829"/>
    <s v="225829"/>
    <x v="1"/>
    <d v="2023-01-29T00:00:00"/>
    <n v="21"/>
    <d v="2024-11-07T00:00:00"/>
    <s v="Nov-2024"/>
    <x v="10"/>
    <s v="Q4-2024"/>
    <n v="19"/>
    <n v="19"/>
    <n v="0"/>
    <d v="2024-11-26T00:00:00"/>
    <d v="2024-11-26T00:00:00"/>
    <x v="3"/>
    <x v="9"/>
    <s v="Rio de Janeiro"/>
    <s v="Non-Profit"/>
    <x v="2"/>
    <x v="10"/>
    <x v="6"/>
    <s v="PRN-9960"/>
    <n v="55.35"/>
    <n v="60.885000000000005"/>
    <n v="128.68"/>
    <s v="Low"/>
    <n v="0.128"/>
    <n v="0.1"/>
    <s v=""/>
    <n v="10"/>
    <n v="12"/>
    <n v="553.5"/>
    <n v="1616102.6546600002"/>
    <n v="779893.76510000008"/>
    <n v="0.48257687273218181"/>
    <s v="A"/>
    <n v="730.62000000000012"/>
    <n v="1389.7440000000001"/>
    <n v="1122.0896000000002"/>
    <n v="568.58960000000025"/>
    <n v="659.12400000000002"/>
    <n v="0.50672388372550647"/>
  </r>
  <r>
    <s v="ORD-2024-381197"/>
    <s v="381197"/>
    <x v="1"/>
    <d v="2023-01-22T00:00:00"/>
    <n v="21"/>
    <d v="2024-11-01T00:00:00"/>
    <s v="Nov-2024"/>
    <x v="10"/>
    <s v="Q4-2024"/>
    <n v="11"/>
    <n v="11"/>
    <n v="0"/>
    <d v="2024-11-12T00:00:00"/>
    <d v="2024-11-12T00:00:00"/>
    <x v="2"/>
    <x v="7"/>
    <s v="Frankfurt"/>
    <s v="Consumer"/>
    <x v="4"/>
    <x v="1"/>
    <x v="6"/>
    <s v="PRN-2409"/>
    <n v="599.84"/>
    <n v="659.82400000000007"/>
    <n v="1330.85"/>
    <s v="Medium"/>
    <n v="0.115"/>
    <n v="0.1"/>
    <s v=""/>
    <n v="11"/>
    <n v="13.2"/>
    <n v="6598.2400000000007"/>
    <n v="1616102.6546600002"/>
    <n v="792849.58985000011"/>
    <n v="0.49059358176526341"/>
    <s v="A"/>
    <n v="8709.6768000000011"/>
    <n v="15810.497999999998"/>
    <n v="12955.824749999998"/>
    <n v="6357.5847499999973"/>
    <n v="7100.8211999999967"/>
    <n v="0.49071246892252063"/>
  </r>
  <r>
    <s v="ORD-2024-925626"/>
    <s v="925626"/>
    <x v="1"/>
    <d v="2023-01-19T00:00:00"/>
    <n v="21"/>
    <d v="2024-11-04T00:00:00"/>
    <s v="Nov-2024"/>
    <x v="10"/>
    <s v="Q4-2024"/>
    <n v="1"/>
    <n v="1"/>
    <n v="1"/>
    <d v="2024-11-05T00:00:00"/>
    <d v="2024-11-05T00:00:00"/>
    <x v="2"/>
    <x v="2"/>
    <s v="London"/>
    <s v="Corporate"/>
    <x v="1"/>
    <x v="6"/>
    <x v="6"/>
    <s v="PRN-2293"/>
    <n v="840.68"/>
    <n v="924.74800000000005"/>
    <n v="1493.53"/>
    <s v="Medium"/>
    <n v="0"/>
    <n v="0"/>
    <s v=""/>
    <n v="27"/>
    <n v="32.4"/>
    <n v="22698.359999999997"/>
    <n v="1616102.6546600002"/>
    <n v="833174.89985000016"/>
    <n v="0.51554577764448117"/>
    <s v="A"/>
    <n v="29961.835200000001"/>
    <n v="48390.371999999996"/>
    <n v="40325.31"/>
    <n v="17626.95"/>
    <n v="18428.536799999994"/>
    <n v="0.43711877230454027"/>
  </r>
  <r>
    <s v="ORD-2024-266562"/>
    <s v="266562"/>
    <x v="1"/>
    <d v="2023-01-20T00:00:00"/>
    <n v="22"/>
    <d v="2024-11-27T00:00:00"/>
    <s v="Nov-2024"/>
    <x v="10"/>
    <s v="Q4-2024"/>
    <n v="27"/>
    <n v="27"/>
    <n v="0"/>
    <d v="2024-12-24T00:00:00"/>
    <d v="2024-12-24T00:00:00"/>
    <x v="0"/>
    <x v="8"/>
    <s v="Mombasa"/>
    <s v="Corporate"/>
    <x v="2"/>
    <x v="1"/>
    <x v="6"/>
    <s v="PRN-5569"/>
    <n v="143.33000000000001"/>
    <n v="157.66300000000004"/>
    <n v="233.51"/>
    <s v="Low"/>
    <n v="0.16300000000000001"/>
    <n v="0.1"/>
    <s v=""/>
    <n v="14"/>
    <n v="16.8"/>
    <n v="2006.6200000000001"/>
    <n v="1616102.6546600002"/>
    <n v="835911.17003000015"/>
    <n v="0.5172389065878128"/>
    <s v="A"/>
    <n v="2648.7384000000006"/>
    <n v="3530.6711999999998"/>
    <n v="2736.27018"/>
    <n v="729.65017999999986"/>
    <n v="881.93279999999913"/>
    <n v="0.26665867476580835"/>
  </r>
  <r>
    <s v="ORD-2024-371409"/>
    <s v="371409"/>
    <x v="1"/>
    <d v="2023-01-02T00:00:00"/>
    <n v="22"/>
    <d v="2024-11-17T00:00:00"/>
    <s v="Nov-2024"/>
    <x v="10"/>
    <s v="Q4-2024"/>
    <n v="11"/>
    <n v="11"/>
    <n v="0"/>
    <d v="2024-11-28T00:00:00"/>
    <d v="2024-11-28T00:00:00"/>
    <x v="3"/>
    <x v="10"/>
    <s v="Vancouver"/>
    <s v="Consumer"/>
    <x v="2"/>
    <x v="3"/>
    <x v="6"/>
    <s v="PRN-1371"/>
    <n v="1008.16"/>
    <n v="1108.9760000000001"/>
    <n v="2077.5"/>
    <s v="High"/>
    <n v="7.3999999999999996E-2"/>
    <n v="7.3999999999999996E-2"/>
    <s v=""/>
    <n v="15"/>
    <n v="18"/>
    <n v="15122.4"/>
    <n v="1616102.6546600002"/>
    <n v="864767.64503000013"/>
    <n v="0.53509450190955354"/>
    <s v="A"/>
    <n v="19961.568000000003"/>
    <n v="34627.770000000004"/>
    <n v="28856.475000000002"/>
    <n v="13734.075000000003"/>
    <n v="14666.202000000001"/>
    <n v="0.47594430712691005"/>
  </r>
  <r>
    <s v="ORD-2024-390951"/>
    <s v="390951"/>
    <x v="1"/>
    <d v="2023-01-29T00:00:00"/>
    <n v="22"/>
    <d v="2024-12-20T00:00:00"/>
    <s v="Dec-2024"/>
    <x v="3"/>
    <s v="Q4-2024"/>
    <n v="25"/>
    <n v="25"/>
    <n v="0"/>
    <d v="2025-01-14T00:00:00"/>
    <d v="2025-01-14T00:00:00"/>
    <x v="1"/>
    <x v="1"/>
    <s v="Delhi"/>
    <s v="Small Business"/>
    <x v="1"/>
    <x v="6"/>
    <x v="6"/>
    <s v="PRN-9378"/>
    <n v="1361.34"/>
    <n v="1497.4739999999999"/>
    <n v="1737.9"/>
    <s v="High"/>
    <n v="7.6999999999999999E-2"/>
    <n v="7.6999999999999999E-2"/>
    <s v=""/>
    <n v="14"/>
    <n v="16.8"/>
    <n v="19058.759999999998"/>
    <n v="1616102.6546600002"/>
    <n v="887224.78883000009"/>
    <n v="0.54899036659070188"/>
    <s v="A"/>
    <n v="25157.563200000001"/>
    <n v="26948.572560000001"/>
    <n v="22457.143800000002"/>
    <n v="3398.3838000000032"/>
    <n v="1791.00936"/>
    <n v="0.15132751654731813"/>
  </r>
  <r>
    <s v="ORD-2025-415018"/>
    <s v="415018"/>
    <x v="2"/>
    <d v="2023-03-03T00:00:00"/>
    <n v="22"/>
    <d v="2025-01-22T00:00:00"/>
    <s v="Jan-2025"/>
    <x v="1"/>
    <s v="Q1-2025"/>
    <n v="13"/>
    <n v="13"/>
    <n v="0"/>
    <d v="2025-02-04T00:00:00"/>
    <d v="2025-02-04T00:00:00"/>
    <x v="1"/>
    <x v="3"/>
    <s v="Tokyo"/>
    <s v="Small Business"/>
    <x v="2"/>
    <x v="4"/>
    <x v="6"/>
    <s v="PRN-2991"/>
    <n v="122.29"/>
    <n v="134.51900000000001"/>
    <n v="224.95"/>
    <s v="Low"/>
    <n v="0.153"/>
    <n v="0.1"/>
    <s v=""/>
    <n v="28"/>
    <n v="33.6"/>
    <n v="3424.1200000000003"/>
    <n v="1616102.6546600002"/>
    <n v="892559.70303000009"/>
    <n v="0.55229146518404737"/>
    <s v="A"/>
    <n v="4519.8384000000005"/>
    <n v="6802.4880000000003"/>
    <n v="5334.9141999999993"/>
    <n v="1910.7941999999989"/>
    <n v="2282.6495999999997"/>
    <n v="0.3581677471026618"/>
  </r>
  <r>
    <s v="ORD-2024-788105"/>
    <s v="788105"/>
    <x v="1"/>
    <d v="2023-01-10T00:00:00"/>
    <n v="22"/>
    <d v="2024-11-30T00:00:00"/>
    <s v="Nov-2024"/>
    <x v="10"/>
    <s v="Q4-2024"/>
    <n v="30"/>
    <n v="30"/>
    <n v="0"/>
    <d v="2024-12-30T00:00:00"/>
    <d v="2024-12-30T00:00:00"/>
    <x v="2"/>
    <x v="5"/>
    <s v="Marseille"/>
    <s v="Consumer"/>
    <x v="3"/>
    <x v="5"/>
    <x v="6"/>
    <s v="PRN-4170"/>
    <n v="117.64"/>
    <n v="129.40400000000002"/>
    <n v="175.67"/>
    <s v="Low"/>
    <n v="0"/>
    <n v="0"/>
    <s v=""/>
    <n v="10"/>
    <n v="12"/>
    <n v="1176.4000000000001"/>
    <n v="1616102.6546600002"/>
    <n v="894316.40303000004"/>
    <n v="0.55337846296536686"/>
    <s v="A"/>
    <n v="1552.8480000000004"/>
    <n v="2108.04"/>
    <n v="1756.6999999999998"/>
    <n v="580.29999999999973"/>
    <n v="555.19199999999955"/>
    <n v="0.33033528775545046"/>
  </r>
  <r>
    <s v="ORD-2024-783321"/>
    <s v="783321"/>
    <x v="1"/>
    <d v="2023-01-10T00:00:00"/>
    <n v="22"/>
    <d v="2024-11-20T00:00:00"/>
    <s v="Nov-2024"/>
    <x v="10"/>
    <s v="Q4-2024"/>
    <n v="25"/>
    <n v="25"/>
    <n v="0"/>
    <d v="2024-12-15T00:00:00"/>
    <d v="2024-12-15T00:00:00"/>
    <x v="2"/>
    <x v="5"/>
    <s v="Paris"/>
    <s v="Corporate"/>
    <x v="4"/>
    <x v="2"/>
    <x v="6"/>
    <s v="PRN-4911"/>
    <n v="1203.58"/>
    <n v="1323.9380000000001"/>
    <n v="1856.16"/>
    <s v="High"/>
    <n v="0.129"/>
    <n v="0.1"/>
    <s v=""/>
    <n v="22"/>
    <n v="26.4"/>
    <n v="26478.76"/>
    <n v="1616102.6546600002"/>
    <n v="929884.14095000003"/>
    <n v="0.57538680372109863"/>
    <s v="A"/>
    <n v="34951.963199999998"/>
    <n v="44102.361599999997"/>
    <n v="35567.737920000007"/>
    <n v="9088.9779200000085"/>
    <n v="9150.3983999999982"/>
    <n v="0.25553994860295032"/>
  </r>
  <r>
    <s v="ORD-2024-866535"/>
    <s v="866535"/>
    <x v="1"/>
    <d v="2023-01-22T00:00:00"/>
    <n v="22"/>
    <d v="2024-12-04T00:00:00"/>
    <s v="Dec-2024"/>
    <x v="3"/>
    <s v="Q4-2024"/>
    <n v="8"/>
    <n v="8"/>
    <n v="0"/>
    <d v="2024-12-12T00:00:00"/>
    <d v="2024-12-12T00:00:00"/>
    <x v="2"/>
    <x v="7"/>
    <s v="Frankfurt"/>
    <s v="Enterprise"/>
    <x v="3"/>
    <x v="1"/>
    <x v="6"/>
    <s v="PRN-5492"/>
    <n v="72.06"/>
    <n v="79.266000000000005"/>
    <n v="122.74"/>
    <s v="Low"/>
    <n v="0.23799999999999999"/>
    <n v="0.1"/>
    <s v=""/>
    <n v="8"/>
    <n v="9.6"/>
    <n v="576.48"/>
    <n v="1616102.6546600002"/>
    <n v="930632.36398999998"/>
    <n v="0.57584978361772987"/>
    <s v="A"/>
    <n v="760.95360000000005"/>
    <n v="1060.4735999999998"/>
    <n v="748.22303999999997"/>
    <n v="171.74303999999995"/>
    <n v="299.51999999999975"/>
    <n v="0.22953455162246802"/>
  </r>
  <r>
    <s v="ORD-2024-164288"/>
    <s v="164288"/>
    <x v="1"/>
    <d v="2023-01-13T00:00:00"/>
    <n v="23"/>
    <d v="2024-12-21T00:00:00"/>
    <s v="Dec-2024"/>
    <x v="3"/>
    <s v="Q4-2024"/>
    <n v="5"/>
    <n v="5"/>
    <n v="1"/>
    <d v="2024-12-26T00:00:00"/>
    <d v="2024-12-26T00:00:00"/>
    <x v="3"/>
    <x v="11"/>
    <s v="San Francisco"/>
    <s v="Consumer"/>
    <x v="3"/>
    <x v="6"/>
    <x v="6"/>
    <s v="PRN-4788"/>
    <n v="699.57"/>
    <n v="769.52700000000016"/>
    <n v="572.71"/>
    <s v="Low"/>
    <n v="0.192"/>
    <n v="0.1"/>
    <s v=""/>
    <n v="26"/>
    <n v="31.2"/>
    <n v="18188.82"/>
    <n v="1616102.6546600002"/>
    <n v="942663.85566999996"/>
    <n v="0.58329454069755238"/>
    <s v="A"/>
    <n v="24009.242400000003"/>
    <n v="16081.6968"/>
    <n v="12031.491680000001"/>
    <n v="-6157.3283199999987"/>
    <n v="-7927.5456000000031"/>
    <n v="-0.51176765805651114"/>
  </r>
  <r>
    <s v="ORD-2024-206081"/>
    <s v="206081"/>
    <x v="1"/>
    <d v="2023-01-10T00:00:00"/>
    <n v="23"/>
    <d v="2024-12-10T00:00:00"/>
    <s v="Dec-2024"/>
    <x v="3"/>
    <s v="Q4-2024"/>
    <n v="29"/>
    <n v="29"/>
    <n v="0"/>
    <d v="2025-01-08T00:00:00"/>
    <d v="2025-01-08T00:00:00"/>
    <x v="2"/>
    <x v="5"/>
    <s v="Marseille"/>
    <s v="Small Business"/>
    <x v="1"/>
    <x v="11"/>
    <x v="6"/>
    <s v="PRN-6791"/>
    <n v="891.08"/>
    <n v="980.1880000000001"/>
    <n v="1040.0999999999999"/>
    <s v="Medium"/>
    <n v="0.109"/>
    <n v="0.1"/>
    <s v=""/>
    <n v="28"/>
    <n v="33.6"/>
    <n v="24950.240000000002"/>
    <n v="1616102.6546600002"/>
    <n v="968612.27046999999"/>
    <n v="0.59935070812304247"/>
    <s v="A"/>
    <n v="32934.316800000008"/>
    <n v="31452.624"/>
    <n v="25948.414799999995"/>
    <n v="998.17479999999341"/>
    <n v="-1481.692800000008"/>
    <n v="3.8467660074556598E-2"/>
  </r>
  <r>
    <s v="ORD-2025-460466"/>
    <s v="460466"/>
    <x v="2"/>
    <d v="2023-01-15T00:00:00"/>
    <n v="24"/>
    <d v="2025-02-07T00:00:00"/>
    <s v="Feb-2025"/>
    <x v="0"/>
    <s v="Q1-2025"/>
    <n v="9"/>
    <n v="9"/>
    <n v="0"/>
    <d v="2025-02-16T00:00:00"/>
    <d v="2025-02-16T00:00:00"/>
    <x v="0"/>
    <x v="0"/>
    <s v="Lagos"/>
    <s v="Small Business"/>
    <x v="2"/>
    <x v="9"/>
    <x v="6"/>
    <s v="PRN-1882"/>
    <n v="90.68"/>
    <n v="99.748000000000019"/>
    <n v="118.17"/>
    <s v="Low"/>
    <n v="0.13500000000000001"/>
    <n v="0.1"/>
    <s v=""/>
    <n v="21"/>
    <n v="25.2"/>
    <n v="1904.2800000000002"/>
    <n v="1616102.6546600002"/>
    <n v="970758.82851999998"/>
    <n v="0.60067893937358252"/>
    <s v="A"/>
    <n v="2513.6496000000002"/>
    <n v="2680.0956000000001"/>
    <n v="2146.5580500000001"/>
    <n v="242.27804999999989"/>
    <n v="166.44599999999991"/>
    <n v="0.11286815653552899"/>
  </r>
  <r>
    <s v="ORD-2025-683247"/>
    <s v="683247"/>
    <x v="2"/>
    <d v="2023-03-03T00:00:00"/>
    <n v="24"/>
    <d v="2025-03-10T00:00:00"/>
    <s v="Mar-2025"/>
    <x v="4"/>
    <s v="Q1-2025"/>
    <n v="25"/>
    <n v="25"/>
    <n v="0"/>
    <d v="2025-04-04T00:00:00"/>
    <d v="2025-04-04T00:00:00"/>
    <x v="1"/>
    <x v="3"/>
    <s v="Osaka"/>
    <s v="Corporate"/>
    <x v="0"/>
    <x v="8"/>
    <x v="6"/>
    <s v="PRN-9867"/>
    <n v="783.72"/>
    <n v="862.0920000000001"/>
    <n v="1355.94"/>
    <s v="Medium"/>
    <n v="0.187"/>
    <n v="0.1"/>
    <s v=""/>
    <n v="4"/>
    <n v="4.8"/>
    <n v="3134.88"/>
    <n v="1616102.6546600002"/>
    <n v="975168.34539999999"/>
    <n v="0.60340742748495657"/>
    <s v="A"/>
    <n v="4138.0416000000005"/>
    <n v="5857.6607999999997"/>
    <n v="4409.5168800000001"/>
    <n v="1274.63688"/>
    <n v="1719.6191999999992"/>
    <n v="0.28906497348525856"/>
  </r>
  <r>
    <s v="ORD-2025-532859"/>
    <s v="532859"/>
    <x v="2"/>
    <d v="2023-03-03T00:00:00"/>
    <n v="24"/>
    <d v="2025-03-11T00:00:00"/>
    <s v="Mar-2025"/>
    <x v="4"/>
    <s v="Q1-2025"/>
    <n v="16"/>
    <n v="16"/>
    <n v="0"/>
    <d v="2025-03-27T00:00:00"/>
    <d v="2025-03-27T00:00:00"/>
    <x v="1"/>
    <x v="3"/>
    <s v="Tokyo"/>
    <s v="Enterprise"/>
    <x v="2"/>
    <x v="1"/>
    <x v="6"/>
    <s v="PRN-5264"/>
    <n v="1317.58"/>
    <n v="1449.338"/>
    <n v="1897.74"/>
    <s v="High"/>
    <n v="8.1000000000000003E-2"/>
    <n v="8.1000000000000003E-2"/>
    <s v=""/>
    <n v="6"/>
    <n v="7.1999999999999993"/>
    <n v="7905.48"/>
    <n v="1616102.6546600002"/>
    <n v="985632.48375999997"/>
    <n v="0.60988234931608343"/>
    <s v="A"/>
    <n v="10435.2336"/>
    <n v="12556.966032"/>
    <n v="10464.138360000001"/>
    <n v="2558.6583600000013"/>
    <n v="2121.7324320000007"/>
    <n v="0.24451687009230266"/>
  </r>
  <r>
    <s v="ORD-2025-752845"/>
    <s v="752845"/>
    <x v="2"/>
    <d v="2023-01-29T00:00:00"/>
    <n v="26"/>
    <d v="2025-03-30T00:00:00"/>
    <s v="Mar-2025"/>
    <x v="4"/>
    <s v="Q1-2025"/>
    <n v="8"/>
    <n v="8"/>
    <n v="0"/>
    <d v="2025-04-07T00:00:00"/>
    <d v="2025-04-07T00:00:00"/>
    <x v="3"/>
    <x v="9"/>
    <s v="São Paulo"/>
    <s v="Non-Profit"/>
    <x v="0"/>
    <x v="4"/>
    <x v="6"/>
    <s v="PRN-8763"/>
    <n v="71.62"/>
    <n v="78.782000000000011"/>
    <n v="118.37"/>
    <s v="Low"/>
    <n v="0.156"/>
    <n v="0.1"/>
    <s v=""/>
    <n v="11"/>
    <n v="13.2"/>
    <n v="787.82"/>
    <n v="1616102.6546600002"/>
    <n v="986731.43083999993"/>
    <n v="0.61056234762982364"/>
    <s v="A"/>
    <n v="1039.9224000000002"/>
    <n v="1406.2356"/>
    <n v="1098.9470800000001"/>
    <n v="311.12708000000009"/>
    <n v="366.31319999999982"/>
    <n v="0.28311379652603474"/>
  </r>
  <r>
    <s v="ORD-2025-222035"/>
    <s v="222035"/>
    <x v="2"/>
    <d v="2023-01-12T00:00:00"/>
    <n v="26"/>
    <d v="2025-03-14T00:00:00"/>
    <s v="Mar-2025"/>
    <x v="4"/>
    <s v="Q1-2025"/>
    <n v="25"/>
    <n v="25"/>
    <n v="0"/>
    <d v="2025-04-08T00:00:00"/>
    <d v="2025-04-08T00:00:00"/>
    <x v="1"/>
    <x v="4"/>
    <s v="Shanghai"/>
    <s v="Corporate"/>
    <x v="2"/>
    <x v="0"/>
    <x v="6"/>
    <s v="PRN-5815"/>
    <n v="80.59"/>
    <n v="88.649000000000015"/>
    <n v="157.82"/>
    <s v="Low"/>
    <n v="0.217"/>
    <n v="0.1"/>
    <s v=""/>
    <n v="6"/>
    <n v="7.1999999999999993"/>
    <n v="483.54"/>
    <n v="1616102.6546600002"/>
    <n v="987472.86919999996"/>
    <n v="0.61102112935254538"/>
    <s v="A"/>
    <n v="638.27280000000007"/>
    <n v="1022.6735999999999"/>
    <n v="741.43835999999999"/>
    <n v="257.89835999999997"/>
    <n v="384.40079999999978"/>
    <n v="0.34783519967863541"/>
  </r>
  <r>
    <s v="ORD-2025-752192"/>
    <s v="752192"/>
    <x v="2"/>
    <d v="2023-03-03T00:00:00"/>
    <n v="26"/>
    <d v="2025-05-16T00:00:00"/>
    <s v="May-2025"/>
    <x v="5"/>
    <s v="Q2-2025"/>
    <n v="2"/>
    <n v="2"/>
    <n v="1"/>
    <d v="2025-05-18T00:00:00"/>
    <d v="2025-05-18T00:00:00"/>
    <x v="1"/>
    <x v="3"/>
    <s v="Tokyo"/>
    <s v="Enterprise"/>
    <x v="1"/>
    <x v="10"/>
    <x v="6"/>
    <s v="PRN-6131"/>
    <n v="1144.3800000000001"/>
    <n v="1258.8180000000002"/>
    <n v="2755.04"/>
    <s v="High"/>
    <n v="0.15"/>
    <n v="0.1"/>
    <s v=""/>
    <n v="17"/>
    <n v="20.399999999999999"/>
    <n v="19454.460000000003"/>
    <n v="1616102.6546600002"/>
    <n v="1027283.1971999999"/>
    <n v="0.63565466849389118"/>
    <s v="A"/>
    <n v="25679.887200000001"/>
    <n v="50582.534399999997"/>
    <n v="39810.328000000001"/>
    <n v="20355.867999999999"/>
    <n v="24902.647199999996"/>
    <n v="0.51132128326096682"/>
  </r>
  <r>
    <s v="ORD-2025-947929"/>
    <s v="947929"/>
    <x v="2"/>
    <d v="2023-01-22T00:00:00"/>
    <n v="26"/>
    <d v="2025-03-23T00:00:00"/>
    <s v="Mar-2025"/>
    <x v="4"/>
    <s v="Q1-2025"/>
    <n v="10"/>
    <n v="10"/>
    <n v="0"/>
    <d v="2025-04-02T00:00:00"/>
    <d v="2025-04-02T00:00:00"/>
    <x v="2"/>
    <x v="7"/>
    <s v="Berlin"/>
    <s v="Enterprise"/>
    <x v="4"/>
    <x v="12"/>
    <x v="6"/>
    <s v="PRN-3159"/>
    <n v="663.61"/>
    <n v="729.97100000000012"/>
    <n v="1002.11"/>
    <s v="Medium"/>
    <n v="4.5999999999999999E-2"/>
    <n v="4.5999999999999999E-2"/>
    <s v=""/>
    <n v="17"/>
    <n v="20.399999999999999"/>
    <n v="11281.37"/>
    <n v="1616102.6546600002"/>
    <n v="1043535.41718"/>
    <n v="0.64571109648943781"/>
    <s v="A"/>
    <n v="14891.408400000002"/>
    <n v="19502.663975999996"/>
    <n v="16252.219979999998"/>
    <n v="4970.8499799999972"/>
    <n v="4611.2555759999941"/>
    <n v="0.30585667595670812"/>
  </r>
  <r>
    <s v="ORD-2025-269934"/>
    <s v="269934"/>
    <x v="2"/>
    <d v="2023-01-19T00:00:00"/>
    <n v="26"/>
    <d v="2025-04-04T00:00:00"/>
    <s v="Apr-2025"/>
    <x v="2"/>
    <s v="Q2-2025"/>
    <n v="6"/>
    <n v="6"/>
    <n v="1"/>
    <d v="2025-04-10T00:00:00"/>
    <d v="2025-04-10T00:00:00"/>
    <x v="2"/>
    <x v="2"/>
    <s v="Birmingham"/>
    <s v="Non-Profit"/>
    <x v="0"/>
    <x v="14"/>
    <x v="6"/>
    <s v="PRN-8657"/>
    <n v="290.14"/>
    <n v="319.154"/>
    <n v="250.73"/>
    <s v="Low"/>
    <n v="3.4000000000000002E-2"/>
    <n v="3.4000000000000002E-2"/>
    <s v=""/>
    <n v="17"/>
    <n v="20.399999999999999"/>
    <n v="4932.38"/>
    <n v="1616102.6546600002"/>
    <n v="1047652.90524"/>
    <n v="0.64825888517608299"/>
    <s v="A"/>
    <n v="6510.7415999999994"/>
    <n v="4940.9856719999998"/>
    <n v="4117.4880599999997"/>
    <n v="-814.89194000000043"/>
    <n v="-1569.7559279999996"/>
    <n v="-0.19790997038131072"/>
  </r>
  <r>
    <s v="ORD-2025-246470"/>
    <s v="246470"/>
    <x v="2"/>
    <d v="2023-01-02T00:00:00"/>
    <n v="27"/>
    <d v="2025-04-16T00:00:00"/>
    <s v="Apr-2025"/>
    <x v="2"/>
    <s v="Q2-2025"/>
    <n v="30"/>
    <n v="30"/>
    <n v="0"/>
    <d v="2025-05-16T00:00:00"/>
    <d v="2025-05-16T00:00:00"/>
    <x v="3"/>
    <x v="10"/>
    <s v="Montreal"/>
    <s v="Enterprise"/>
    <x v="2"/>
    <x v="11"/>
    <x v="6"/>
    <s v="PRN-6178"/>
    <n v="763.32"/>
    <n v="839.65200000000016"/>
    <n v="568.29"/>
    <s v="Low"/>
    <n v="0.13100000000000001"/>
    <n v="0.1"/>
    <s v=""/>
    <n v="16"/>
    <n v="19.2"/>
    <n v="12213.12"/>
    <n v="1616102.6546600002"/>
    <n v="1055554.4094"/>
    <n v="0.65314811924621841"/>
    <s v="A"/>
    <n v="16121.318400000002"/>
    <n v="9820.0511999999999"/>
    <n v="7901.5041599999995"/>
    <n v="-4311.6158400000013"/>
    <n v="-6301.267200000002"/>
    <n v="-0.54567026134426555"/>
  </r>
  <r>
    <s v="ORD-2025-866565"/>
    <s v="866565"/>
    <x v="2"/>
    <d v="2023-01-29T00:00:00"/>
    <n v="27"/>
    <d v="2025-05-12T00:00:00"/>
    <s v="May-2025"/>
    <x v="5"/>
    <s v="Q2-2025"/>
    <n v="14"/>
    <n v="14"/>
    <n v="0"/>
    <d v="2025-05-26T00:00:00"/>
    <d v="2025-05-26T00:00:00"/>
    <x v="1"/>
    <x v="1"/>
    <s v="Hyderabad"/>
    <s v="Corporate"/>
    <x v="3"/>
    <x v="2"/>
    <x v="6"/>
    <s v="PRN-8850"/>
    <n v="320.12"/>
    <n v="352.13200000000006"/>
    <n v="594.41999999999996"/>
    <s v="Low"/>
    <n v="0.104"/>
    <n v="0.1"/>
    <s v=""/>
    <n v="18"/>
    <n v="21.599999999999998"/>
    <n v="5762.16"/>
    <n v="1616102.6546600002"/>
    <n v="1065141.2151599999"/>
    <n v="0.6590801717259025"/>
    <s v="A"/>
    <n v="7606.0512000000008"/>
    <n v="11555.524799999999"/>
    <n v="9586.8057599999993"/>
    <n v="3824.6457599999994"/>
    <n v="3949.4735999999984"/>
    <n v="0.39894891538931104"/>
  </r>
  <r>
    <s v="ORD-2025-874124"/>
    <s v="874124"/>
    <x v="2"/>
    <d v="2023-01-02T00:00:00"/>
    <n v="28"/>
    <d v="2025-05-14T00:00:00"/>
    <s v="May-2025"/>
    <x v="5"/>
    <s v="Q2-2025"/>
    <n v="-2"/>
    <n v="15"/>
    <n v="0"/>
    <d v="2025-05-12T00:00:00"/>
    <d v="2025-05-29T00:00:00"/>
    <x v="3"/>
    <x v="10"/>
    <s v="Vancouver"/>
    <s v="Non-Profit"/>
    <x v="2"/>
    <x v="5"/>
    <x v="6"/>
    <s v="PRN-2407"/>
    <n v="883.5"/>
    <n v="971.85"/>
    <n v="1978.91"/>
    <s v="High"/>
    <n v="5.3999999999999999E-2"/>
    <n v="5.3999999999999999E-2"/>
    <s v=""/>
    <n v="27"/>
    <n v="32.4"/>
    <n v="23854.5"/>
    <n v="1616102.6546600002"/>
    <n v="1115686.5343799999"/>
    <n v="0.69035622901982108"/>
    <s v="A"/>
    <n v="31487.94"/>
    <n v="60654.383064000001"/>
    <n v="50545.319219999998"/>
    <n v="26690.819219999998"/>
    <n v="29166.443064000003"/>
    <n v="0.52805718970390547"/>
  </r>
  <r>
    <s v="ORD-2025-820255"/>
    <s v="820255"/>
    <x v="2"/>
    <d v="2023-01-22T00:00:00"/>
    <n v="28"/>
    <d v="2025-05-29T00:00:00"/>
    <s v="May-2025"/>
    <x v="5"/>
    <s v="Q2-2025"/>
    <n v="22"/>
    <n v="22"/>
    <n v="0"/>
    <d v="2025-06-20T00:00:00"/>
    <d v="2025-06-20T00:00:00"/>
    <x v="2"/>
    <x v="7"/>
    <s v="Berlin"/>
    <s v="Corporate"/>
    <x v="0"/>
    <x v="3"/>
    <x v="6"/>
    <s v="PRN-9787"/>
    <n v="483.47"/>
    <n v="531.81700000000012"/>
    <n v="1135.43"/>
    <s v="Medium"/>
    <n v="0.14599999999999999"/>
    <n v="0.1"/>
    <s v=""/>
    <n v="11"/>
    <n v="13.2"/>
    <n v="5318.17"/>
    <n v="1616102.6546600002"/>
    <n v="1126352.7637999998"/>
    <n v="0.69695619925639241"/>
    <s v="A"/>
    <n v="7019.9844000000012"/>
    <n v="13488.9084"/>
    <n v="10666.229420000001"/>
    <n v="5348.0594200000014"/>
    <n v="6468.9239999999991"/>
    <n v="0.50140112399719983"/>
  </r>
  <r>
    <s v="ORD-2025-698069"/>
    <s v="698069"/>
    <x v="2"/>
    <d v="2023-01-02T00:00:00"/>
    <n v="29"/>
    <d v="2025-06-03T00:00:00"/>
    <s v="Jun-2025"/>
    <x v="6"/>
    <s v="Q2-2025"/>
    <n v="7"/>
    <n v="7"/>
    <n v="1"/>
    <d v="2025-06-10T00:00:00"/>
    <d v="2025-06-10T00:00:00"/>
    <x v="3"/>
    <x v="10"/>
    <s v="Toronto"/>
    <s v="Consumer"/>
    <x v="2"/>
    <x v="7"/>
    <x v="6"/>
    <s v="PRN-6429"/>
    <n v="75.180000000000007"/>
    <n v="82.698000000000008"/>
    <n v="53.45"/>
    <s v="Low"/>
    <n v="0.157"/>
    <n v="0.1"/>
    <s v=""/>
    <n v="17"/>
    <n v="20.399999999999999"/>
    <n v="1278.0600000000002"/>
    <n v="1616102.6546600002"/>
    <n v="1127118.7557499998"/>
    <n v="0.69743017406720731"/>
    <s v="A"/>
    <n v="1687.0391999999999"/>
    <n v="981.34199999999987"/>
    <n v="765.99195000000009"/>
    <n v="-512.06805000000008"/>
    <n v="-705.69720000000007"/>
    <n v="-0.66850317421743144"/>
  </r>
  <r>
    <s v="ORD-2025-306903"/>
    <s v="306903"/>
    <x v="2"/>
    <d v="2023-01-02T00:00:00"/>
    <n v="29"/>
    <d v="2025-06-24T00:00:00"/>
    <s v="Jun-2025"/>
    <x v="6"/>
    <s v="Q2-2025"/>
    <n v="29"/>
    <n v="29"/>
    <n v="0"/>
    <d v="2025-07-23T00:00:00"/>
    <d v="2025-07-23T00:00:00"/>
    <x v="3"/>
    <x v="10"/>
    <s v="Vancouver"/>
    <s v="Non-Profit"/>
    <x v="3"/>
    <x v="13"/>
    <x v="6"/>
    <s v="PRN-3775"/>
    <n v="255.4"/>
    <n v="280.94000000000005"/>
    <n v="322.70999999999998"/>
    <s v="Low"/>
    <n v="0.115"/>
    <n v="0.1"/>
    <s v=""/>
    <n v="16"/>
    <n v="19.2"/>
    <n v="4086.4"/>
    <n v="1616102.6546600002"/>
    <n v="1131688.3293499998"/>
    <n v="0.70025770088725414"/>
    <s v="A"/>
    <n v="5394.0480000000007"/>
    <n v="5576.4287999999997"/>
    <n v="4569.5735999999997"/>
    <n v="483.17359999999962"/>
    <n v="182.380799999999"/>
    <n v="0.10573713048412212"/>
  </r>
  <r>
    <s v="ORD-2025-150713"/>
    <s v="150713"/>
    <x v="2"/>
    <d v="2023-01-19T00:00:00"/>
    <n v="29"/>
    <d v="2025-07-11T00:00:00"/>
    <s v="Jul-2025"/>
    <x v="7"/>
    <s v="Q3-2025"/>
    <n v="5"/>
    <n v="5"/>
    <n v="1"/>
    <d v="2025-07-16T00:00:00"/>
    <d v="2025-07-16T00:00:00"/>
    <x v="2"/>
    <x v="2"/>
    <s v="London"/>
    <s v="Enterprise"/>
    <x v="4"/>
    <x v="11"/>
    <x v="6"/>
    <s v="PRN-5753"/>
    <n v="930.03"/>
    <n v="1023.033"/>
    <n v="1086.68"/>
    <s v="Medium"/>
    <n v="0.109"/>
    <n v="0.1"/>
    <s v=""/>
    <n v="26"/>
    <n v="31.2"/>
    <n v="24180.78"/>
    <n v="1616102.6546600002"/>
    <n v="1156862.3582299999"/>
    <n v="0.71583469954350365"/>
    <s v="A"/>
    <n v="31918.6296"/>
    <n v="30513.974400000006"/>
    <n v="25174.028880000002"/>
    <n v="993.24888000000283"/>
    <n v="-1404.6551999999938"/>
    <n v="3.9455300728168656E-2"/>
  </r>
  <r>
    <s v="ORD-2023-931633"/>
    <s v="931633"/>
    <x v="0"/>
    <d v="2023-01-20T00:00:00"/>
    <n v="3"/>
    <d v="2023-05-14T00:00:00"/>
    <s v="May-2023"/>
    <x v="5"/>
    <s v="Q2-2023"/>
    <n v="8"/>
    <n v="8"/>
    <n v="0"/>
    <d v="2023-05-22T00:00:00"/>
    <d v="2023-05-22T00:00:00"/>
    <x v="0"/>
    <x v="8"/>
    <s v="Mombasa"/>
    <s v="Small Business"/>
    <x v="2"/>
    <x v="5"/>
    <x v="6"/>
    <s v="PRN-9488"/>
    <n v="432.01"/>
    <n v="475.21100000000001"/>
    <n v="913.78"/>
    <s v="Medium"/>
    <n v="4.9000000000000002E-2"/>
    <n v="4.9000000000000002E-2"/>
    <s v=""/>
    <n v="12"/>
    <n v="14.399999999999999"/>
    <n v="5184.12"/>
    <n v="1616102.6546600002"/>
    <n v="1167290.4155899999"/>
    <n v="0.72228729544137615"/>
    <s v="A"/>
    <n v="6843.0383999999995"/>
    <n v="12513.668831999998"/>
    <n v="10428.057360000001"/>
    <n v="5243.9373600000008"/>
    <n v="5670.6304319999981"/>
    <n v="0.50286809699711899"/>
  </r>
  <r>
    <s v="ORD-2023-588455"/>
    <s v="588455"/>
    <x v="0"/>
    <d v="2023-01-29T00:00:00"/>
    <n v="3"/>
    <d v="2023-05-23T00:00:00"/>
    <s v="May-2023"/>
    <x v="5"/>
    <s v="Q2-2023"/>
    <n v="2"/>
    <n v="2"/>
    <n v="1"/>
    <d v="2023-05-25T00:00:00"/>
    <d v="2023-05-25T00:00:00"/>
    <x v="3"/>
    <x v="9"/>
    <s v="Rio de Janeiro"/>
    <s v="Enterprise"/>
    <x v="1"/>
    <x v="6"/>
    <x v="6"/>
    <s v="PRN-1271"/>
    <n v="690.49"/>
    <n v="759.5390000000001"/>
    <n v="1290.29"/>
    <s v="Medium"/>
    <n v="4.2000000000000003E-2"/>
    <n v="4.2000000000000003E-2"/>
    <s v=""/>
    <n v="22"/>
    <n v="26.4"/>
    <n v="15190.78"/>
    <n v="1616102.6546600002"/>
    <n v="1194484.5676299999"/>
    <n v="0.73911429090579561"/>
    <s v="A"/>
    <n v="20051.829600000001"/>
    <n v="32632.982447999995"/>
    <n v="27194.152039999997"/>
    <n v="12003.372039999997"/>
    <n v="12581.152847999994"/>
    <n v="0.44139534199647718"/>
  </r>
  <r>
    <s v="ORD-2023-664790"/>
    <s v="664790"/>
    <x v="0"/>
    <d v="2023-01-13T00:00:00"/>
    <n v="3"/>
    <d v="2023-04-16T00:00:00"/>
    <s v="Apr-2023"/>
    <x v="2"/>
    <s v="Q2-2023"/>
    <n v="7"/>
    <n v="7"/>
    <n v="1"/>
    <d v="2023-04-23T00:00:00"/>
    <d v="2023-04-23T00:00:00"/>
    <x v="3"/>
    <x v="11"/>
    <s v="Austin"/>
    <s v="Corporate"/>
    <x v="2"/>
    <x v="7"/>
    <x v="6"/>
    <s v="PRN-9249"/>
    <n v="1099.1500000000001"/>
    <n v="1209.0650000000003"/>
    <n v="1431.37"/>
    <s v="Medium"/>
    <n v="0.104"/>
    <n v="0.1"/>
    <s v=""/>
    <n v="8"/>
    <n v="9.6"/>
    <n v="8793.2000000000007"/>
    <n v="1616102.6546600002"/>
    <n v="1204744.6277900001"/>
    <n v="0.74546293474374448"/>
    <s v="A"/>
    <n v="11607.024000000003"/>
    <n v="12367.036799999998"/>
    <n v="10260.060159999999"/>
    <n v="1466.8601599999984"/>
    <n v="760.01279999999497"/>
    <n v="0.14296798821109433"/>
  </r>
  <r>
    <s v="ORD-2025-949776"/>
    <s v="949776"/>
    <x v="2"/>
    <d v="2023-01-29T00:00:00"/>
    <n v="30"/>
    <d v="2025-08-14T00:00:00"/>
    <s v="Aug-2025"/>
    <x v="8"/>
    <s v="Q3-2025"/>
    <n v="28"/>
    <n v="28"/>
    <n v="0"/>
    <d v="2025-09-11T00:00:00"/>
    <d v="2025-09-11T00:00:00"/>
    <x v="3"/>
    <x v="9"/>
    <s v="São Paulo"/>
    <s v="Non-Profit"/>
    <x v="0"/>
    <x v="5"/>
    <x v="6"/>
    <s v="PRN-9490"/>
    <n v="1203.02"/>
    <n v="1323.3220000000001"/>
    <n v="2439.33"/>
    <s v="High"/>
    <n v="0"/>
    <n v="0"/>
    <s v=""/>
    <n v="18"/>
    <n v="21.599999999999998"/>
    <n v="21654.36"/>
    <n v="1616102.6546600002"/>
    <n v="1248652.56779"/>
    <n v="0.77263196381092181"/>
    <s v="A"/>
    <n v="28583.7552"/>
    <n v="52689.527999999991"/>
    <n v="43907.94"/>
    <n v="22253.58"/>
    <n v="24105.772799999992"/>
    <n v="0.50682359500354612"/>
  </r>
  <r>
    <s v="ORD-2025-289139"/>
    <s v="289139"/>
    <x v="2"/>
    <d v="2023-01-13T00:00:00"/>
    <n v="30"/>
    <d v="2025-08-10T00:00:00"/>
    <s v="Aug-2025"/>
    <x v="8"/>
    <s v="Q3-2025"/>
    <n v="20"/>
    <n v="20"/>
    <n v="0"/>
    <d v="2025-08-30T00:00:00"/>
    <d v="2025-08-30T00:00:00"/>
    <x v="3"/>
    <x v="11"/>
    <s v="San Francisco"/>
    <s v="Corporate"/>
    <x v="3"/>
    <x v="11"/>
    <x v="6"/>
    <s v="PRN-2098"/>
    <n v="933.29"/>
    <n v="1026.6190000000001"/>
    <n v="1456.81"/>
    <s v="Medium"/>
    <n v="0.123"/>
    <n v="0.1"/>
    <s v=""/>
    <n v="13"/>
    <n v="15.6"/>
    <n v="12132.77"/>
    <n v="1616102.6546600002"/>
    <n v="1265261.6586"/>
    <n v="0.78290921368864952"/>
    <s v="A"/>
    <n v="16015.256400000002"/>
    <n v="20453.612399999998"/>
    <n v="16609.090809999998"/>
    <n v="4476.3208099999974"/>
    <n v="4438.3559999999961"/>
    <n v="0.26951028573489977"/>
  </r>
  <r>
    <s v="ORD-2025-789245"/>
    <s v="789245"/>
    <x v="2"/>
    <d v="2023-01-19T00:00:00"/>
    <n v="30"/>
    <d v="2025-07-23T00:00:00"/>
    <s v="Jul-2025"/>
    <x v="7"/>
    <s v="Q3-2025"/>
    <n v="25"/>
    <n v="25"/>
    <n v="0"/>
    <d v="2025-08-17T00:00:00"/>
    <d v="2025-08-17T00:00:00"/>
    <x v="2"/>
    <x v="2"/>
    <s v="Birmingham"/>
    <s v="Education"/>
    <x v="4"/>
    <x v="13"/>
    <x v="6"/>
    <s v="PRN-5876"/>
    <n v="1142.06"/>
    <n v="1256.2660000000001"/>
    <n v="1455"/>
    <s v="Medium"/>
    <n v="7.8E-2"/>
    <n v="7.8E-2"/>
    <s v=""/>
    <n v="28"/>
    <n v="33.6"/>
    <n v="31977.68"/>
    <n v="1616102.6546600002"/>
    <n v="1302823.9386"/>
    <n v="0.80615172238182564"/>
    <s v="B"/>
    <n v="42210.537600000003"/>
    <n v="45074.736000000004"/>
    <n v="37562.28"/>
    <n v="5584.5999999999985"/>
    <n v="2864.1984000000011"/>
    <n v="0.1486757459877302"/>
  </r>
  <r>
    <s v="ORD-2025-652467"/>
    <s v="652467"/>
    <x v="2"/>
    <d v="2023-01-12T00:00:00"/>
    <n v="31"/>
    <d v="2025-08-21T00:00:00"/>
    <s v="Aug-2025"/>
    <x v="8"/>
    <s v="Q3-2025"/>
    <n v="22"/>
    <n v="22"/>
    <n v="0"/>
    <d v="2025-09-12T00:00:00"/>
    <d v="2025-09-12T00:00:00"/>
    <x v="1"/>
    <x v="4"/>
    <s v="Shenzhen"/>
    <s v="Education"/>
    <x v="1"/>
    <x v="1"/>
    <x v="6"/>
    <s v="PRN-8137"/>
    <n v="352.66"/>
    <n v="387.92600000000004"/>
    <n v="411.18"/>
    <s v="Low"/>
    <n v="0.17299999999999999"/>
    <n v="0.1"/>
    <s v=""/>
    <n v="13"/>
    <n v="15.6"/>
    <n v="4584.58"/>
    <n v="1616102.6546600002"/>
    <n v="1307244.5347800001"/>
    <n v="0.80888706606018257"/>
    <s v="B"/>
    <n v="6051.6456000000007"/>
    <n v="5772.9672"/>
    <n v="4420.5961799999995"/>
    <n v="-163.98382000000038"/>
    <n v="-278.67840000000069"/>
    <n v="-3.7095408248758066E-2"/>
  </r>
  <r>
    <s v="ORD-2025-898022"/>
    <s v="898022"/>
    <x v="2"/>
    <d v="2023-01-02T00:00:00"/>
    <n v="32"/>
    <d v="2025-09-02T00:00:00"/>
    <s v="Sept-2025"/>
    <x v="11"/>
    <s v="Q3-2025"/>
    <n v="9"/>
    <n v="9"/>
    <n v="0"/>
    <d v="2025-09-11T00:00:00"/>
    <d v="2025-09-11T00:00:00"/>
    <x v="3"/>
    <x v="10"/>
    <s v="Toronto"/>
    <s v="Corporate"/>
    <x v="2"/>
    <x v="6"/>
    <x v="6"/>
    <s v="PRN-1276"/>
    <n v="1207.6300000000001"/>
    <n v="1328.3930000000003"/>
    <n v="921.68"/>
    <s v="Medium"/>
    <n v="0.19600000000000001"/>
    <n v="0.1"/>
    <s v=""/>
    <n v="17"/>
    <n v="20.399999999999999"/>
    <n v="20529.710000000003"/>
    <n v="1616102.6546600002"/>
    <n v="1319842.0570200002"/>
    <n v="0.81668206732676385"/>
    <s v="B"/>
    <n v="27099.217200000003"/>
    <n v="16922.0448"/>
    <n v="12597.52224"/>
    <n v="-7932.1877600000025"/>
    <n v="-10177.172400000003"/>
    <n v="-0.62966253274897988"/>
  </r>
  <r>
    <s v="ORD-2023-374486"/>
    <s v="374486"/>
    <x v="0"/>
    <d v="2023-01-29T00:00:00"/>
    <n v="4"/>
    <d v="2023-06-24T00:00:00"/>
    <s v="Jun-2023"/>
    <x v="6"/>
    <s v="Q2-2023"/>
    <n v="-1"/>
    <n v="15"/>
    <n v="0"/>
    <d v="2023-06-23T00:00:00"/>
    <d v="2023-07-09T00:00:00"/>
    <x v="3"/>
    <x v="9"/>
    <s v="Rio de Janeiro"/>
    <s v="Non-Profit"/>
    <x v="1"/>
    <x v="12"/>
    <x v="6"/>
    <s v="PRN-6490"/>
    <n v="804.01"/>
    <n v="884.41100000000006"/>
    <n v="1405.07"/>
    <s v="Medium"/>
    <n v="9.6000000000000002E-2"/>
    <n v="9.6000000000000002E-2"/>
    <s v=""/>
    <n v="8"/>
    <n v="9.6"/>
    <n v="6432.08"/>
    <n v="1616102.6546600002"/>
    <n v="1330003.5232600002"/>
    <n v="0.82296970395102143"/>
    <s v="B"/>
    <n v="8490.3456000000006"/>
    <n v="12193.759488"/>
    <n v="10161.46624"/>
    <n v="3729.3862399999998"/>
    <n v="3703.4138879999991"/>
    <n v="0.36701260939287439"/>
  </r>
  <r>
    <s v="ORD-2023-184577"/>
    <s v="184577"/>
    <x v="0"/>
    <d v="2023-01-12T00:00:00"/>
    <n v="4"/>
    <d v="2023-05-17T00:00:00"/>
    <s v="May-2023"/>
    <x v="5"/>
    <s v="Q2-2023"/>
    <n v="17"/>
    <n v="17"/>
    <n v="0"/>
    <d v="2023-06-03T00:00:00"/>
    <d v="2023-06-03T00:00:00"/>
    <x v="1"/>
    <x v="4"/>
    <s v="Beijing"/>
    <s v="Non-Profit"/>
    <x v="2"/>
    <x v="6"/>
    <x v="6"/>
    <s v="PRN-1923"/>
    <n v="979.59"/>
    <n v="1077.5490000000002"/>
    <n v="2210.94"/>
    <s v="High"/>
    <n v="0.15"/>
    <n v="0.1"/>
    <s v=""/>
    <n v="11"/>
    <n v="13.2"/>
    <n v="10775.49"/>
    <n v="1616102.6546600002"/>
    <n v="1350675.8122600003"/>
    <n v="0.83576114943277469"/>
    <s v="B"/>
    <n v="14223.646800000002"/>
    <n v="26265.967199999999"/>
    <n v="20672.289000000001"/>
    <n v="9896.7990000000009"/>
    <n v="12042.320399999997"/>
    <n v="0.47874712858358359"/>
  </r>
  <r>
    <s v="ORD-2023-386663"/>
    <s v="386663"/>
    <x v="0"/>
    <d v="2023-01-19T00:00:00"/>
    <n v="4"/>
    <d v="2023-06-05T00:00:00"/>
    <s v="Jun-2023"/>
    <x v="6"/>
    <s v="Q2-2023"/>
    <n v="23"/>
    <n v="23"/>
    <n v="0"/>
    <d v="2023-06-28T00:00:00"/>
    <d v="2023-06-28T00:00:00"/>
    <x v="2"/>
    <x v="2"/>
    <s v="Birmingham"/>
    <s v="Corporate"/>
    <x v="0"/>
    <x v="11"/>
    <x v="6"/>
    <s v="PRN-3690"/>
    <n v="605.82000000000005"/>
    <n v="666.40200000000016"/>
    <n v="771.12"/>
    <s v="Low"/>
    <n v="0.13200000000000001"/>
    <n v="0.1"/>
    <s v=""/>
    <n v="19"/>
    <n v="22.8"/>
    <n v="11510.580000000002"/>
    <n v="1616102.6546600002"/>
    <n v="1363393.1233000003"/>
    <n v="0.84363027272350744"/>
    <s v="B"/>
    <n v="15193.965600000003"/>
    <n v="15823.3824"/>
    <n v="12717.311040000001"/>
    <n v="1206.7310399999988"/>
    <n v="629.41679999999724"/>
    <n v="9.4888851597986767E-2"/>
  </r>
  <r>
    <s v="ORD-2023-128295"/>
    <s v="128295"/>
    <x v="0"/>
    <d v="2023-01-15T00:00:00"/>
    <n v="5"/>
    <d v="2023-06-23T00:00:00"/>
    <s v="Jun-2023"/>
    <x v="6"/>
    <s v="Q2-2023"/>
    <n v="10"/>
    <n v="10"/>
    <n v="0"/>
    <d v="2023-07-03T00:00:00"/>
    <d v="2023-07-03T00:00:00"/>
    <x v="0"/>
    <x v="0"/>
    <s v="Abuja"/>
    <s v="Consumer"/>
    <x v="4"/>
    <x v="10"/>
    <x v="6"/>
    <s v="PRN-2542"/>
    <n v="337.75"/>
    <n v="371.52500000000003"/>
    <n v="548.89"/>
    <s v="Low"/>
    <n v="0"/>
    <n v="0"/>
    <s v=""/>
    <n v="13"/>
    <n v="15.6"/>
    <n v="4390.75"/>
    <n v="1616102.6546600002"/>
    <n v="1370528.6933000004"/>
    <n v="0.84804556774169504"/>
    <s v="B"/>
    <n v="5795.79"/>
    <n v="8562.6839999999993"/>
    <n v="7135.57"/>
    <n v="2744.8199999999997"/>
    <n v="2766.8939999999993"/>
    <n v="0.38466723751571352"/>
  </r>
  <r>
    <s v="ORD-2023-769774"/>
    <s v="769774"/>
    <x v="0"/>
    <d v="2023-01-02T00:00:00"/>
    <n v="5"/>
    <d v="2023-06-13T00:00:00"/>
    <s v="Jun-2023"/>
    <x v="6"/>
    <s v="Q2-2023"/>
    <n v="11"/>
    <n v="11"/>
    <n v="0"/>
    <d v="2023-06-24T00:00:00"/>
    <d v="2023-06-24T00:00:00"/>
    <x v="3"/>
    <x v="10"/>
    <s v="Toronto"/>
    <s v="Corporate"/>
    <x v="4"/>
    <x v="9"/>
    <x v="6"/>
    <s v="PRN-8008"/>
    <n v="247.07"/>
    <n v="271.77699999999999"/>
    <n v="495.19"/>
    <s v="Low"/>
    <n v="2.8000000000000001E-2"/>
    <n v="2.8000000000000001E-2"/>
    <s v=""/>
    <n v="4"/>
    <n v="4.8"/>
    <n v="988.28"/>
    <n v="1616102.6546600002"/>
    <n v="1372453.9920200005"/>
    <n v="0.84923688978701717"/>
    <s v="B"/>
    <n v="1304.5295999999998"/>
    <n v="2310.3584639999999"/>
    <n v="1925.29872"/>
    <n v="937.01872000000003"/>
    <n v="1005.8288640000001"/>
    <n v="0.48668744764968214"/>
  </r>
  <r>
    <s v="ORD-2023-651638"/>
    <s v="651638"/>
    <x v="0"/>
    <d v="2023-01-13T00:00:00"/>
    <n v="5"/>
    <d v="2023-06-17T00:00:00"/>
    <s v="Jun-2023"/>
    <x v="6"/>
    <s v="Q2-2023"/>
    <n v="7"/>
    <n v="7"/>
    <n v="1"/>
    <d v="2023-06-24T00:00:00"/>
    <d v="2023-06-24T00:00:00"/>
    <x v="3"/>
    <x v="11"/>
    <s v="San Francisco"/>
    <s v="Corporate"/>
    <x v="1"/>
    <x v="13"/>
    <x v="6"/>
    <s v="PRN-6536"/>
    <n v="313.99"/>
    <n v="345.38900000000001"/>
    <n v="454.42"/>
    <s v="Low"/>
    <n v="0.129"/>
    <n v="0.1"/>
    <s v=""/>
    <n v="9"/>
    <n v="10.799999999999999"/>
    <n v="2825.91"/>
    <n v="1616102.6546600002"/>
    <n v="1376016.1904000004"/>
    <n v="0.85144108044887168"/>
    <s v="B"/>
    <n v="3730.2011999999995"/>
    <n v="4416.9624000000003"/>
    <n v="3562.1983800000003"/>
    <n v="736.28838000000042"/>
    <n v="686.76120000000083"/>
    <n v="0.20669493988147858"/>
  </r>
  <r>
    <s v="ORD-2023-109927"/>
    <s v="109927"/>
    <x v="0"/>
    <d v="2023-01-29T00:00:00"/>
    <n v="5"/>
    <d v="2023-07-22T00:00:00"/>
    <s v="Jul-2023"/>
    <x v="7"/>
    <s v="Q3-2023"/>
    <n v="-1"/>
    <n v="15"/>
    <n v="0"/>
    <d v="2023-07-21T00:00:00"/>
    <d v="2023-08-06T00:00:00"/>
    <x v="1"/>
    <x v="1"/>
    <s v="Delhi"/>
    <s v="Small Business"/>
    <x v="2"/>
    <x v="12"/>
    <x v="6"/>
    <s v="PRN-2301"/>
    <n v="946.99"/>
    <n v="1041.6890000000001"/>
    <n v="2132.19"/>
    <s v="High"/>
    <n v="0.16500000000000001"/>
    <n v="0.1"/>
    <s v=""/>
    <n v="7"/>
    <n v="8.4"/>
    <n v="6628.93"/>
    <n v="1616102.6546600002"/>
    <n v="1388478.8409500003"/>
    <n v="0.85915262681262783"/>
    <s v="B"/>
    <n v="8750.1876000000011"/>
    <n v="16119.356400000001"/>
    <n v="12462.65055"/>
    <n v="5833.72055"/>
    <n v="7369.1687999999995"/>
    <n v="0.46809629513362228"/>
  </r>
  <r>
    <s v="ORD-2023-568013"/>
    <s v="568013"/>
    <x v="0"/>
    <d v="2023-03-03T00:00:00"/>
    <n v="6"/>
    <d v="2023-09-30T00:00:00"/>
    <s v="Sept-2023"/>
    <x v="11"/>
    <s v="Q3-2023"/>
    <n v="30"/>
    <n v="30"/>
    <n v="0"/>
    <d v="2023-10-30T00:00:00"/>
    <d v="2023-10-30T00:00:00"/>
    <x v="1"/>
    <x v="3"/>
    <s v="Tokyo"/>
    <s v="Enterprise"/>
    <x v="4"/>
    <x v="0"/>
    <x v="6"/>
    <s v="PRN-1786"/>
    <n v="649.13"/>
    <n v="714.04300000000001"/>
    <n v="975.43"/>
    <s v="Medium"/>
    <n v="0.157"/>
    <n v="0.1"/>
    <s v=""/>
    <n v="27"/>
    <n v="32.4"/>
    <n v="17526.509999999998"/>
    <n v="1616102.6546600002"/>
    <n v="1410680.6031800003"/>
    <n v="0.87289046838227169"/>
    <s v="B"/>
    <n v="23134.993200000001"/>
    <n v="28443.538799999998"/>
    <n v="22201.762229999997"/>
    <n v="4675.2522299999982"/>
    <n v="5308.5455999999976"/>
    <n v="0.21058023149543473"/>
  </r>
  <r>
    <s v="ORD-2023-292714"/>
    <s v="292714"/>
    <x v="0"/>
    <d v="2023-01-10T00:00:00"/>
    <n v="6"/>
    <d v="2023-07-10T00:00:00"/>
    <s v="Jul-2023"/>
    <x v="7"/>
    <s v="Q3-2023"/>
    <n v="22"/>
    <n v="22"/>
    <n v="0"/>
    <d v="2023-08-01T00:00:00"/>
    <d v="2023-08-01T00:00:00"/>
    <x v="2"/>
    <x v="5"/>
    <s v="Marseille"/>
    <s v="Consumer"/>
    <x v="3"/>
    <x v="1"/>
    <x v="6"/>
    <s v="PRN-1504"/>
    <n v="1303.56"/>
    <n v="1433.9160000000002"/>
    <n v="1791.37"/>
    <s v="High"/>
    <n v="0.126"/>
    <n v="0.1"/>
    <s v=""/>
    <n v="22"/>
    <n v="26.4"/>
    <n v="28678.32"/>
    <n v="1616102.6546600002"/>
    <n v="1445125.0655400003"/>
    <n v="0.89420375702806421"/>
    <s v="B"/>
    <n v="37855.382400000002"/>
    <n v="42562.951199999996"/>
    <n v="34444.462359999998"/>
    <n v="5766.142359999998"/>
    <n v="4707.5687999999936"/>
    <n v="0.16740404596055358"/>
  </r>
  <r>
    <s v="ORD-2023-640022"/>
    <s v="640022"/>
    <x v="0"/>
    <d v="2023-01-07T00:00:00"/>
    <n v="7"/>
    <d v="2023-08-24T00:00:00"/>
    <s v="Aug-2023"/>
    <x v="8"/>
    <s v="Q3-2023"/>
    <n v="27"/>
    <n v="27"/>
    <n v="0"/>
    <d v="2023-09-20T00:00:00"/>
    <d v="2023-09-20T00:00:00"/>
    <x v="0"/>
    <x v="6"/>
    <s v="Durban"/>
    <s v="Small Business"/>
    <x v="3"/>
    <x v="6"/>
    <x v="6"/>
    <s v="PRN-4732"/>
    <n v="1399.64"/>
    <n v="1539.6040000000003"/>
    <n v="3342.11"/>
    <s v="High"/>
    <n v="0"/>
    <n v="0"/>
    <s v=""/>
    <n v="10"/>
    <n v="12"/>
    <n v="13996.400000000001"/>
    <n v="1616102.6546600002"/>
    <n v="1478546.1655400004"/>
    <n v="0.91488381711189048"/>
    <s v="B"/>
    <n v="18475.248000000003"/>
    <n v="40105.32"/>
    <n v="33421.1"/>
    <n v="19424.699999999997"/>
    <n v="21630.071999999996"/>
    <n v="0.58121067229983447"/>
  </r>
  <r>
    <s v="ORD-2023-343322"/>
    <s v="343322"/>
    <x v="0"/>
    <d v="2023-01-02T00:00:00"/>
    <n v="7"/>
    <d v="2023-08-19T00:00:00"/>
    <s v="Aug-2023"/>
    <x v="8"/>
    <s v="Q3-2023"/>
    <n v="24"/>
    <n v="24"/>
    <n v="0"/>
    <d v="2023-09-12T00:00:00"/>
    <d v="2023-09-12T00:00:00"/>
    <x v="3"/>
    <x v="10"/>
    <s v="Vancouver"/>
    <s v="Enterprise"/>
    <x v="1"/>
    <x v="13"/>
    <x v="6"/>
    <s v="PRN-9669"/>
    <n v="1183.95"/>
    <n v="1302.3450000000003"/>
    <n v="1503.53"/>
    <s v="Medium"/>
    <n v="0.24099999999999999"/>
    <n v="0.1"/>
    <s v=""/>
    <n v="16"/>
    <n v="19.2"/>
    <n v="18943.2"/>
    <n v="1616102.6546600002"/>
    <n v="1496805.0338600003"/>
    <n v="0.92618190406654699"/>
    <s v="B"/>
    <n v="25005.024000000005"/>
    <n v="25980.9984"/>
    <n v="18258.868320000001"/>
    <n v="-684.33167999999932"/>
    <n v="975.97439999999551"/>
    <n v="-3.7479413729623705E-2"/>
  </r>
  <r>
    <s v="ORD-2023-987081"/>
    <s v="987081"/>
    <x v="0"/>
    <d v="2023-01-02T00:00:00"/>
    <n v="7"/>
    <d v="2023-08-29T00:00:00"/>
    <s v="Aug-2023"/>
    <x v="8"/>
    <s v="Q3-2023"/>
    <n v="15"/>
    <n v="15"/>
    <n v="0"/>
    <d v="2023-09-13T00:00:00"/>
    <d v="2023-09-13T00:00:00"/>
    <x v="3"/>
    <x v="10"/>
    <s v="Vancouver"/>
    <s v="Small Business"/>
    <x v="3"/>
    <x v="7"/>
    <x v="6"/>
    <s v="PRN-9975"/>
    <n v="1287.6400000000001"/>
    <n v="1416.4040000000002"/>
    <n v="2717.15"/>
    <s v="High"/>
    <n v="3.2000000000000001E-2"/>
    <n v="3.2000000000000001E-2"/>
    <s v=""/>
    <n v="7"/>
    <n v="8.4"/>
    <n v="9013.4800000000014"/>
    <n v="1616102.6546600002"/>
    <n v="1515216.4422600004"/>
    <n v="0.93757437863919324"/>
    <s v="B"/>
    <n v="11897.793600000003"/>
    <n v="22093.69008"/>
    <n v="18411.4084"/>
    <n v="9397.9283999999989"/>
    <n v="10195.896479999998"/>
    <n v="0.51044049405802105"/>
  </r>
  <r>
    <s v="ORD-2023-517216"/>
    <s v="517216"/>
    <x v="0"/>
    <d v="2023-01-29T00:00:00"/>
    <n v="7"/>
    <d v="2023-09-19T00:00:00"/>
    <s v="Sept-2023"/>
    <x v="11"/>
    <s v="Q3-2023"/>
    <n v="19"/>
    <n v="19"/>
    <n v="0"/>
    <d v="2023-10-08T00:00:00"/>
    <d v="2023-10-08T00:00:00"/>
    <x v="1"/>
    <x v="1"/>
    <s v="Bengaluru"/>
    <s v="Education"/>
    <x v="0"/>
    <x v="10"/>
    <x v="6"/>
    <s v="PRN-5005"/>
    <n v="385.32"/>
    <n v="423.85200000000003"/>
    <n v="606.76"/>
    <s v="Low"/>
    <n v="8.5999999999999993E-2"/>
    <n v="8.5999999999999993E-2"/>
    <s v=""/>
    <n v="8"/>
    <n v="9.6"/>
    <n v="3082.56"/>
    <n v="1616102.6546600002"/>
    <n v="1519653.0713800003"/>
    <n v="0.94031964306110793"/>
    <s v="B"/>
    <n v="4068.9792000000002"/>
    <n v="5323.9549440000001"/>
    <n v="4436.6291200000005"/>
    <n v="1354.0691200000006"/>
    <n v="1254.9757439999998"/>
    <n v="0.30520223425842735"/>
  </r>
  <r>
    <s v="ORD-2023-243704"/>
    <s v="243704"/>
    <x v="0"/>
    <d v="2023-01-10T00:00:00"/>
    <n v="7"/>
    <d v="2023-08-29T00:00:00"/>
    <s v="Aug-2023"/>
    <x v="8"/>
    <s v="Q3-2023"/>
    <n v="21"/>
    <n v="21"/>
    <n v="0"/>
    <d v="2023-09-19T00:00:00"/>
    <d v="2023-09-19T00:00:00"/>
    <x v="2"/>
    <x v="5"/>
    <s v="Lyon"/>
    <s v="Small Business"/>
    <x v="0"/>
    <x v="1"/>
    <x v="6"/>
    <s v="PRN-7079"/>
    <n v="784.46"/>
    <n v="862.90600000000006"/>
    <n v="1843.51"/>
    <s v="High"/>
    <n v="0.13800000000000001"/>
    <n v="0.1"/>
    <s v=""/>
    <n v="23"/>
    <n v="27.599999999999998"/>
    <n v="18042.580000000002"/>
    <n v="1616102.6546600002"/>
    <n v="1556202.5006400002"/>
    <n v="0.96293542749448546"/>
    <s v="C"/>
    <n v="23816.205600000001"/>
    <n v="45792.788399999998"/>
    <n v="36549.429260000004"/>
    <n v="18506.849260000003"/>
    <n v="21976.582799999996"/>
    <n v="0.50635125184441798"/>
  </r>
  <r>
    <s v="ORD-2023-664749"/>
    <s v="664749"/>
    <x v="0"/>
    <d v="2023-01-19T00:00:00"/>
    <n v="7"/>
    <d v="2023-08-27T00:00:00"/>
    <s v="Aug-2023"/>
    <x v="8"/>
    <s v="Q3-2023"/>
    <n v="15"/>
    <n v="15"/>
    <n v="0"/>
    <d v="2023-09-11T00:00:00"/>
    <d v="2023-09-11T00:00:00"/>
    <x v="2"/>
    <x v="2"/>
    <s v="London"/>
    <s v="Consumer"/>
    <x v="3"/>
    <x v="14"/>
    <x v="6"/>
    <s v="PRN-5107"/>
    <n v="943.79"/>
    <n v="1038.1690000000001"/>
    <n v="1913.76"/>
    <s v="High"/>
    <n v="9.0999999999999998E-2"/>
    <n v="9.0999999999999998E-2"/>
    <s v=""/>
    <n v="9"/>
    <n v="10.799999999999999"/>
    <n v="8494.11"/>
    <n v="1616102.6546600002"/>
    <n v="1571858.9712000003"/>
    <n v="0.97262322208776519"/>
    <s v="C"/>
    <n v="11212.225200000001"/>
    <n v="18787.764671999998"/>
    <n v="15656.47056"/>
    <n v="7162.3605599999992"/>
    <n v="7575.5394719999967"/>
    <n v="0.45746967891338081"/>
  </r>
  <r>
    <s v="ORD-2023-166668"/>
    <s v="166668"/>
    <x v="0"/>
    <d v="2023-01-12T00:00:00"/>
    <n v="8"/>
    <d v="2023-10-05T00:00:00"/>
    <s v="Oct-2023"/>
    <x v="9"/>
    <s v="Q4-2023"/>
    <n v="26"/>
    <n v="26"/>
    <n v="0"/>
    <d v="2023-10-31T00:00:00"/>
    <d v="2023-10-31T00:00:00"/>
    <x v="1"/>
    <x v="4"/>
    <s v="Shanghai"/>
    <s v="Consumer"/>
    <x v="4"/>
    <x v="10"/>
    <x v="6"/>
    <s v="PRN-6520"/>
    <n v="649.91"/>
    <n v="714.90100000000007"/>
    <n v="1360.12"/>
    <s v="Medium"/>
    <n v="0.19400000000000001"/>
    <n v="0.1"/>
    <s v=""/>
    <n v="9"/>
    <n v="10.799999999999999"/>
    <n v="5849.19"/>
    <n v="1616102.6546600002"/>
    <n v="1581725.2816800002"/>
    <n v="0.97872822442258012"/>
    <s v="C"/>
    <n v="7720.9308000000001"/>
    <n v="13220.366399999997"/>
    <n v="9866.3104799999983"/>
    <n v="4017.1204799999987"/>
    <n v="5499.4355999999971"/>
    <n v="0.40715528749506769"/>
  </r>
  <r>
    <s v="ORD-2023-192324"/>
    <s v="192324"/>
    <x v="0"/>
    <d v="2023-01-10T00:00:00"/>
    <n v="8"/>
    <d v="2023-09-14T00:00:00"/>
    <s v="Sept-2023"/>
    <x v="11"/>
    <s v="Q3-2023"/>
    <n v="2"/>
    <n v="2"/>
    <n v="1"/>
    <d v="2023-09-16T00:00:00"/>
    <d v="2023-09-16T00:00:00"/>
    <x v="2"/>
    <x v="5"/>
    <s v="Lyon"/>
    <s v="Non-Profit"/>
    <x v="0"/>
    <x v="1"/>
    <x v="6"/>
    <s v="PRN-4432"/>
    <n v="376.83"/>
    <n v="414.51300000000003"/>
    <n v="732.88"/>
    <s v="Low"/>
    <n v="0.188"/>
    <n v="0.1"/>
    <s v=""/>
    <n v="25"/>
    <n v="30"/>
    <n v="9420.75"/>
    <n v="1616102.6546600002"/>
    <n v="1596602.7456800002"/>
    <n v="0.98793399112131119"/>
    <s v="C"/>
    <n v="12435.390000000001"/>
    <n v="19787.760000000002"/>
    <n v="14877.464000000002"/>
    <n v="5456.7140000000018"/>
    <n v="7352.3700000000008"/>
    <n v="0.36677716040852132"/>
  </r>
  <r>
    <s v="ORD-2023-925146"/>
    <s v="925146"/>
    <x v="0"/>
    <d v="2023-01-12T00:00:00"/>
    <n v="9"/>
    <d v="2023-10-15T00:00:00"/>
    <s v="Oct-2023"/>
    <x v="9"/>
    <s v="Q4-2023"/>
    <n v="29"/>
    <n v="29"/>
    <n v="0"/>
    <d v="2023-11-13T00:00:00"/>
    <d v="2023-11-13T00:00:00"/>
    <x v="1"/>
    <x v="4"/>
    <s v="Shenzhen"/>
    <s v="Non-Profit"/>
    <x v="2"/>
    <x v="10"/>
    <x v="6"/>
    <s v="PRN-4983"/>
    <n v="986.44"/>
    <n v="1085.0840000000001"/>
    <n v="790.61"/>
    <s v="Low"/>
    <n v="7.1999999999999995E-2"/>
    <n v="7.1999999999999995E-2"/>
    <s v=""/>
    <n v="6"/>
    <n v="7.1999999999999993"/>
    <n v="5918.64"/>
    <n v="1616102.6546600002"/>
    <n v="1601004.8621600003"/>
    <n v="0.99065790006812637"/>
    <s v="C"/>
    <n v="7812.6048000000001"/>
    <n v="5282.5397760000005"/>
    <n v="4402.1164799999997"/>
    <n v="-1516.5235200000006"/>
    <n v="-2530.0650239999995"/>
    <n v="-0.34449872621271499"/>
  </r>
  <r>
    <s v="ORD-2023-824839"/>
    <s v="824839"/>
    <x v="0"/>
    <d v="2023-03-03T00:00:00"/>
    <n v="9"/>
    <d v="2023-12-06T00:00:00"/>
    <s v="Dec-2023"/>
    <x v="3"/>
    <s v="Q4-2023"/>
    <n v="25"/>
    <n v="25"/>
    <n v="0"/>
    <d v="2023-12-31T00:00:00"/>
    <d v="2023-12-31T00:00:00"/>
    <x v="1"/>
    <x v="3"/>
    <s v="Osaka"/>
    <s v="Consumer"/>
    <x v="1"/>
    <x v="4"/>
    <x v="6"/>
    <s v="PRN-8041"/>
    <n v="663.03"/>
    <n v="729.33300000000008"/>
    <n v="813.51"/>
    <s v="Low"/>
    <n v="0.10199999999999999"/>
    <n v="0.1"/>
    <s v=""/>
    <n v="15"/>
    <n v="18"/>
    <n v="9945.4499999999989"/>
    <n v="1616102.6546600002"/>
    <n v="1611962.8418600003"/>
    <n v="0.99743839737651385"/>
    <s v="C"/>
    <n v="13127.994000000002"/>
    <n v="13178.862000000001"/>
    <n v="10957.9797"/>
    <n v="1012.529700000001"/>
    <n v="50.867999999998574"/>
    <n v="9.2401129379715952E-2"/>
  </r>
  <r>
    <s v="ORD-2023-596758"/>
    <s v="596758"/>
    <x v="0"/>
    <d v="2023-03-03T00:00:00"/>
    <n v="9"/>
    <d v="2023-12-07T00:00:00"/>
    <s v="Dec-2023"/>
    <x v="3"/>
    <s v="Q4-2023"/>
    <n v="-2"/>
    <n v="15"/>
    <n v="0"/>
    <d v="2023-12-05T00:00:00"/>
    <d v="2023-12-22T00:00:00"/>
    <x v="1"/>
    <x v="3"/>
    <s v="Tokyo"/>
    <s v="Non-Profit"/>
    <x v="3"/>
    <x v="8"/>
    <x v="6"/>
    <s v="PRN-8175"/>
    <n v="1097.5899999999999"/>
    <n v="1207.3489999999999"/>
    <n v="845.55"/>
    <s v="Medium"/>
    <n v="0.184"/>
    <n v="0.1"/>
    <s v=""/>
    <n v="6"/>
    <n v="7.1999999999999993"/>
    <n v="6585.5399999999991"/>
    <n v="1616102.6546600002"/>
    <n v="1616102.6546600002"/>
    <n v="1"/>
    <s v="C"/>
    <n v="8692.9127999999982"/>
    <n v="5479.1639999999998"/>
    <n v="4139.8127999999997"/>
    <n v="-2445.7271999999994"/>
    <n v="-3213.7487999999985"/>
    <n v="-0.590782075943144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s v="ORD-2023-960380"/>
    <s v="960380"/>
    <n v="2023"/>
    <d v="2023-01-15T00:00:00"/>
    <x v="0"/>
    <d v="2023-02-11T00:00:00"/>
    <s v="Feb-2023"/>
    <x v="0"/>
    <s v="Q1-2023"/>
    <n v="1"/>
    <n v="1"/>
    <n v="1"/>
    <d v="2023-02-12T00:00:00"/>
    <d v="2023-02-12T00:00:00"/>
    <x v="0"/>
    <x v="0"/>
    <s v="Port Harcourt"/>
    <s v="Non-Profit"/>
    <x v="0"/>
    <s v="D. Smith"/>
    <s v="Accessories"/>
    <x v="0"/>
    <n v="944.61"/>
    <n v="1039.0710000000001"/>
    <n v="839.04"/>
    <s v="Medium"/>
    <n v="5.8999999999999997E-2"/>
    <n v="5.8999999999999997E-2"/>
    <s v=""/>
    <n v="6"/>
    <n v="7.1999999999999993"/>
    <n v="5667.66"/>
    <n v="1331102.9440700002"/>
    <n v="4737.2198399999997"/>
    <n v="3.5588681259432916E-3"/>
    <s v="A"/>
    <n v="7481.3112000000001"/>
    <n v="5684.6638079999993"/>
    <n v="4737.2198399999997"/>
    <n v="-930.44016000000011"/>
    <n v="-1796.6473920000008"/>
    <n v="-0.19641059343363726"/>
  </r>
  <r>
    <s v="ORD-2023-521818"/>
    <s v="521818"/>
    <n v="2023"/>
    <d v="2023-01-29T00:00:00"/>
    <x v="0"/>
    <d v="2023-01-29T00:00:00"/>
    <s v="Jan-2023"/>
    <x v="1"/>
    <s v="Q1-2023"/>
    <n v="30"/>
    <n v="30"/>
    <n v="0"/>
    <d v="2023-02-28T00:00:00"/>
    <d v="2023-02-28T00:00:00"/>
    <x v="1"/>
    <x v="1"/>
    <s v="Bengaluru"/>
    <s v="Non-Profit"/>
    <x v="1"/>
    <s v="B. Chen"/>
    <s v="Accessories"/>
    <x v="1"/>
    <n v="1262.0999999999999"/>
    <n v="1388.31"/>
    <n v="1395.53"/>
    <s v="Medium"/>
    <n v="0.23300000000000001"/>
    <n v="0.1"/>
    <s v=""/>
    <n v="25"/>
    <n v="30"/>
    <n v="31552.499999999996"/>
    <n v="1331102.9440700002"/>
    <n v="31496.507590000001"/>
    <n v="2.3661962232384377E-2"/>
    <s v="A"/>
    <n v="41649.299999999996"/>
    <n v="37679.310000000005"/>
    <n v="26759.28775"/>
    <n v="-4793.2122499999969"/>
    <n v="-3969.9899999999907"/>
    <n v="-0.17912331205452198"/>
  </r>
  <r>
    <s v="ORD-2023-780206"/>
    <s v="780206"/>
    <n v="2023"/>
    <d v="2023-01-19T00:00:00"/>
    <x v="0"/>
    <d v="2023-01-19T00:00:00"/>
    <s v="Jan-2023"/>
    <x v="1"/>
    <s v="Q1-2023"/>
    <n v="15"/>
    <n v="15"/>
    <n v="0"/>
    <d v="2023-02-03T00:00:00"/>
    <d v="2023-02-03T00:00:00"/>
    <x v="2"/>
    <x v="2"/>
    <s v="London"/>
    <s v="Enterprise"/>
    <x v="2"/>
    <s v="G. Dubois"/>
    <s v="Accessories"/>
    <x v="2"/>
    <n v="873.06"/>
    <n v="960.36599999999999"/>
    <n v="2101.5500000000002"/>
    <s v="High"/>
    <n v="6.6000000000000003E-2"/>
    <n v="6.6000000000000003E-2"/>
    <s v=""/>
    <n v="10"/>
    <n v="12"/>
    <n v="8730.5999999999985"/>
    <n v="1331102.9440700002"/>
    <n v="51124.98459"/>
    <n v="3.8407987013896527E-2"/>
    <s v="A"/>
    <n v="11524.392"/>
    <n v="23554.172399999999"/>
    <n v="19628.476999999999"/>
    <n v="10897.877"/>
    <n v="12029.7804"/>
    <n v="0.55520746719167269"/>
  </r>
  <r>
    <s v="ORD-2023-107265"/>
    <s v="107265"/>
    <n v="2023"/>
    <d v="2023-03-03T00:00:00"/>
    <x v="1"/>
    <d v="2023-04-22T00:00:00"/>
    <s v="Apr-2023"/>
    <x v="2"/>
    <s v="Q2-2023"/>
    <n v="22"/>
    <n v="22"/>
    <n v="0"/>
    <d v="2023-05-14T00:00:00"/>
    <d v="2023-05-14T00:00:00"/>
    <x v="1"/>
    <x v="3"/>
    <s v="Nagoya"/>
    <s v="Enterprise"/>
    <x v="1"/>
    <s v="A. Patel"/>
    <s v="Accessories"/>
    <x v="3"/>
    <n v="1209.22"/>
    <n v="1330.1420000000001"/>
    <n v="1404.33"/>
    <s v="Medium"/>
    <n v="0.10299999999999999"/>
    <n v="0.1"/>
    <s v=""/>
    <n v="11"/>
    <n v="13.2"/>
    <n v="13301.42"/>
    <n v="1331102.9440700002"/>
    <n v="64981.508699999998"/>
    <n v="4.8817793536923275E-2"/>
    <s v="A"/>
    <n v="17557.874400000001"/>
    <n v="16683.440399999999"/>
    <n v="13856.52411"/>
    <n v="555.10411000000022"/>
    <n v="-874.43400000000111"/>
    <n v="4.0060848275751328E-2"/>
  </r>
  <r>
    <s v="ORD-2023-674887"/>
    <s v="674887"/>
    <n v="2023"/>
    <d v="2023-01-12T00:00:00"/>
    <x v="2"/>
    <d v="2023-12-16T00:00:00"/>
    <s v="Dec-2023"/>
    <x v="3"/>
    <s v="Q4-2023"/>
    <n v="3"/>
    <n v="3"/>
    <n v="1"/>
    <d v="2023-12-19T00:00:00"/>
    <d v="2023-12-19T00:00:00"/>
    <x v="1"/>
    <x v="4"/>
    <s v="Beijing"/>
    <s v="Education"/>
    <x v="1"/>
    <s v="A. Patel"/>
    <s v="Accessories"/>
    <x v="4"/>
    <n v="1415.05"/>
    <n v="1556.5550000000001"/>
    <n v="1972.38"/>
    <s v="High"/>
    <n v="0"/>
    <n v="0"/>
    <s v=""/>
    <n v="12"/>
    <n v="14.399999999999999"/>
    <n v="16980.599999999999"/>
    <n v="1331102.9440700002"/>
    <n v="88650.068700000003"/>
    <n v="6.6598957725194585E-2"/>
    <s v="A"/>
    <n v="22414.392"/>
    <n v="28402.271999999997"/>
    <n v="23668.560000000001"/>
    <n v="6687.9600000000028"/>
    <n v="5987.8799999999974"/>
    <n v="0.28256725377462771"/>
  </r>
  <r>
    <s v="ORD-2023-808024"/>
    <s v="808024"/>
    <n v="2023"/>
    <d v="2023-01-10T00:00:00"/>
    <x v="2"/>
    <d v="2023-12-30T00:00:00"/>
    <s v="Dec-2023"/>
    <x v="3"/>
    <s v="Q4-2023"/>
    <n v="9"/>
    <n v="9"/>
    <n v="0"/>
    <d v="2024-01-08T00:00:00"/>
    <d v="2024-01-08T00:00:00"/>
    <x v="2"/>
    <x v="5"/>
    <s v="Marseille"/>
    <s v="Consumer"/>
    <x v="3"/>
    <s v="L. Okafor"/>
    <s v="Accessories"/>
    <x v="5"/>
    <n v="861.1"/>
    <n v="947.21000000000015"/>
    <n v="1224.72"/>
    <s v="Medium"/>
    <n v="0.17399999999999999"/>
    <n v="0.1"/>
    <s v=""/>
    <n v="24"/>
    <n v="28.799999999999997"/>
    <n v="20666.400000000001"/>
    <n v="1331102.9440700002"/>
    <n v="112928.91798"/>
    <n v="8.4838605821655574E-2"/>
    <s v="A"/>
    <n v="27279.648000000001"/>
    <n v="31744.742399999996"/>
    <n v="24278.849280000002"/>
    <n v="3612.4492800000007"/>
    <n v="4465.0943999999945"/>
    <n v="0.14878997098827909"/>
  </r>
  <r>
    <s v="ORD-2024-921935"/>
    <s v="921935"/>
    <n v="2024"/>
    <d v="2023-01-19T00:00:00"/>
    <x v="2"/>
    <d v="2024-01-01T00:00:00"/>
    <s v="Jan-2024"/>
    <x v="1"/>
    <s v="Q1-2024"/>
    <n v="26"/>
    <n v="26"/>
    <n v="0"/>
    <d v="2024-01-27T00:00:00"/>
    <d v="2024-01-27T00:00:00"/>
    <x v="2"/>
    <x v="2"/>
    <s v="Manchester"/>
    <s v="Education"/>
    <x v="2"/>
    <s v="D. Smith"/>
    <s v="Accessories"/>
    <x v="6"/>
    <n v="657.45"/>
    <n v="723.19500000000016"/>
    <n v="1325.96"/>
    <s v="Medium"/>
    <n v="0.16700000000000001"/>
    <n v="0.1"/>
    <s v=""/>
    <n v="21"/>
    <n v="25.2"/>
    <n v="13806.45"/>
    <n v="1331102.9440700002"/>
    <n v="136123.93625999999"/>
    <n v="0.10226401862186962"/>
    <s v="A"/>
    <n v="18224.514000000003"/>
    <n v="30072.772800000002"/>
    <n v="23195.01828"/>
    <n v="9388.5682799999995"/>
    <n v="11848.2588"/>
    <n v="0.40476658249048808"/>
  </r>
  <r>
    <s v="ORD-2024-277241"/>
    <s v="277241"/>
    <n v="2024"/>
    <d v="2023-01-07T00:00:00"/>
    <x v="3"/>
    <d v="2024-01-28T00:00:00"/>
    <s v="Jan-2024"/>
    <x v="1"/>
    <s v="Q1-2024"/>
    <n v="2"/>
    <n v="2"/>
    <n v="1"/>
    <d v="2024-01-30T00:00:00"/>
    <d v="2024-01-30T00:00:00"/>
    <x v="0"/>
    <x v="6"/>
    <s v="Cape Town"/>
    <s v="Consumer"/>
    <x v="0"/>
    <s v="F. Müller"/>
    <s v="Accessories"/>
    <x v="7"/>
    <n v="798.45"/>
    <n v="878.29500000000007"/>
    <n v="1592.02"/>
    <s v="Medium"/>
    <n v="6.6000000000000003E-2"/>
    <n v="6.6000000000000003E-2"/>
    <s v=""/>
    <n v="18"/>
    <n v="21.599999999999998"/>
    <n v="14372.1"/>
    <n v="1331102.9440700002"/>
    <n v="162888.97649999999"/>
    <n v="0.12237143432494277"/>
    <s v="A"/>
    <n v="18971.171999999999"/>
    <n v="32118.048287999994"/>
    <n v="26765.040239999998"/>
    <n v="12392.940239999998"/>
    <n v="13146.876287999996"/>
    <n v="0.46302714768494585"/>
  </r>
  <r>
    <s v="ORD-2024-210687"/>
    <s v="210687"/>
    <n v="2024"/>
    <d v="2023-01-22T00:00:00"/>
    <x v="3"/>
    <d v="2024-01-28T00:00:00"/>
    <s v="Jan-2024"/>
    <x v="1"/>
    <s v="Q1-2024"/>
    <n v="12"/>
    <n v="12"/>
    <n v="0"/>
    <d v="2024-02-09T00:00:00"/>
    <d v="2024-02-09T00:00:00"/>
    <x v="2"/>
    <x v="7"/>
    <s v="Berlin"/>
    <s v="Corporate"/>
    <x v="4"/>
    <s v="G. Dubois"/>
    <s v="Accessories"/>
    <x v="8"/>
    <n v="644.16999999999996"/>
    <n v="708.58699999999999"/>
    <n v="700.12"/>
    <s v="Low"/>
    <n v="6.0000000000000001E-3"/>
    <n v="6.0000000000000001E-3"/>
    <s v=""/>
    <n v="23"/>
    <n v="27.599999999999998"/>
    <n v="14815.91"/>
    <n v="1331102.9440700002"/>
    <n v="178895.11994"/>
    <n v="0.13439615676380942"/>
    <s v="A"/>
    <n v="19557.001199999999"/>
    <n v="19207.372127999999"/>
    <n v="16006.14344"/>
    <n v="1190.23344"/>
    <n v="-349.62907199999972"/>
    <n v="7.436103796405813E-2"/>
  </r>
  <r>
    <s v="ORD-2024-232632"/>
    <s v="232632"/>
    <n v="2024"/>
    <d v="2023-01-12T00:00:00"/>
    <x v="4"/>
    <d v="2024-02-14T00:00:00"/>
    <s v="Feb-2024"/>
    <x v="0"/>
    <s v="Q1-2024"/>
    <n v="0"/>
    <n v="0"/>
    <n v="1"/>
    <d v="2024-02-14T00:00:00"/>
    <d v="2024-02-14T00:00:00"/>
    <x v="1"/>
    <x v="4"/>
    <s v="Beijing"/>
    <s v="Corporate"/>
    <x v="2"/>
    <s v="L. Okafor"/>
    <s v="Accessories"/>
    <x v="9"/>
    <n v="65.930000000000007"/>
    <n v="72.52300000000001"/>
    <n v="84.9"/>
    <s v="Low"/>
    <n v="0.25900000000000001"/>
    <n v="0.1"/>
    <s v=""/>
    <n v="23"/>
    <n v="27.599999999999998"/>
    <n v="1516.39"/>
    <n v="1331102.9440700002"/>
    <n v="180342.07063999999"/>
    <n v="0.13548318816618599"/>
    <s v="A"/>
    <n v="2001.6348"/>
    <n v="2108.9159999999997"/>
    <n v="1446.9507000000001"/>
    <n v="-69.439300000000003"/>
    <n v="107.28119999999967"/>
    <n v="-4.7990093926489688E-2"/>
  </r>
  <r>
    <s v="ORD-2024-287210"/>
    <s v="287210"/>
    <n v="2024"/>
    <d v="2023-01-22T00:00:00"/>
    <x v="4"/>
    <d v="2024-03-18T00:00:00"/>
    <s v="Mar-2024"/>
    <x v="4"/>
    <s v="Q1-2024"/>
    <n v="3"/>
    <n v="3"/>
    <n v="1"/>
    <d v="2024-03-21T00:00:00"/>
    <d v="2024-03-21T00:00:00"/>
    <x v="2"/>
    <x v="7"/>
    <s v="Munich"/>
    <s v="Small Business"/>
    <x v="4"/>
    <s v="M. Rossi"/>
    <s v="Accessories"/>
    <x v="10"/>
    <n v="910.63"/>
    <n v="1001.6930000000001"/>
    <n v="1269.4000000000001"/>
    <s v="Medium"/>
    <n v="6.8000000000000005E-2"/>
    <n v="6.8000000000000005E-2"/>
    <s v=""/>
    <n v="9"/>
    <n v="10.799999999999999"/>
    <n v="8195.67"/>
    <n v="1331102.9440700002"/>
    <n v="190989.79783999998"/>
    <n v="0.14348236452398394"/>
    <s v="A"/>
    <n v="10818.2844"/>
    <n v="12777.272639999999"/>
    <n v="10647.727199999999"/>
    <n v="2452.0571999999993"/>
    <n v="1958.9882399999988"/>
    <n v="0.23028925834989455"/>
  </r>
  <r>
    <s v="ORD-2024-211453"/>
    <s v="211453"/>
    <n v="2024"/>
    <d v="2023-01-22T00:00:00"/>
    <x v="5"/>
    <d v="2024-04-04T00:00:00"/>
    <s v="Apr-2024"/>
    <x v="2"/>
    <s v="Q2-2024"/>
    <n v="20"/>
    <n v="20"/>
    <n v="0"/>
    <d v="2024-04-24T00:00:00"/>
    <d v="2024-04-24T00:00:00"/>
    <x v="2"/>
    <x v="7"/>
    <s v="Frankfurt"/>
    <s v="Non-Profit"/>
    <x v="0"/>
    <s v="O. Wang"/>
    <s v="Accessories"/>
    <x v="11"/>
    <n v="683.42"/>
    <n v="751.76200000000006"/>
    <n v="951.51"/>
    <s v="Medium"/>
    <n v="0"/>
    <n v="0"/>
    <s v=""/>
    <n v="14"/>
    <n v="16.8"/>
    <n v="9567.8799999999992"/>
    <n v="1331102.9440700002"/>
    <n v="204310.93783999997"/>
    <n v="0.15348996014935989"/>
    <s v="A"/>
    <n v="12629.601600000002"/>
    <n v="15985.368"/>
    <n v="13321.14"/>
    <n v="3753.26"/>
    <n v="3355.7663999999986"/>
    <n v="0.28175216235247136"/>
  </r>
  <r>
    <s v="ORD-2024-555229"/>
    <s v="555229"/>
    <n v="2024"/>
    <d v="2023-01-20T00:00:00"/>
    <x v="6"/>
    <d v="2024-05-18T00:00:00"/>
    <s v="May-2024"/>
    <x v="5"/>
    <s v="Q2-2024"/>
    <n v="4"/>
    <n v="4"/>
    <n v="1"/>
    <d v="2024-05-22T00:00:00"/>
    <d v="2024-05-22T00:00:00"/>
    <x v="0"/>
    <x v="8"/>
    <s v="Nairobi"/>
    <s v="Corporate"/>
    <x v="0"/>
    <s v="H. Kim"/>
    <s v="Accessories"/>
    <x v="12"/>
    <n v="857.42"/>
    <n v="943.16200000000003"/>
    <n v="1658.92"/>
    <s v="High"/>
    <n v="0.122"/>
    <n v="0.1"/>
    <s v=""/>
    <n v="9"/>
    <n v="10.799999999999999"/>
    <n v="7716.78"/>
    <n v="1331102.9440700002"/>
    <n v="217419.72367999997"/>
    <n v="0.16333802329008015"/>
    <s v="A"/>
    <n v="10186.149599999999"/>
    <n v="16124.7024"/>
    <n v="13108.78584"/>
    <n v="5392.0058400000007"/>
    <n v="5938.5528000000013"/>
    <n v="0.41132763215544305"/>
  </r>
  <r>
    <s v="ORD-2024-247032"/>
    <s v="247032"/>
    <n v="2024"/>
    <d v="2023-01-15T00:00:00"/>
    <x v="6"/>
    <d v="2024-04-21T00:00:00"/>
    <s v="Apr-2024"/>
    <x v="2"/>
    <s v="Q2-2024"/>
    <n v="28"/>
    <n v="28"/>
    <n v="0"/>
    <d v="2024-05-19T00:00:00"/>
    <d v="2024-05-19T00:00:00"/>
    <x v="0"/>
    <x v="0"/>
    <s v="Lagos"/>
    <s v="Corporate"/>
    <x v="2"/>
    <s v="A. Patel"/>
    <s v="Accessories"/>
    <x v="13"/>
    <n v="187.22"/>
    <n v="205.94200000000001"/>
    <n v="309.47000000000003"/>
    <s v="Low"/>
    <n v="0"/>
    <n v="0"/>
    <s v=""/>
    <n v="5"/>
    <n v="6"/>
    <n v="936.1"/>
    <n v="1331102.9440700002"/>
    <n v="218967.07367999997"/>
    <n v="0.16450048033887069"/>
    <s v="A"/>
    <n v="1235.652"/>
    <n v="1856.8200000000002"/>
    <n v="1547.3500000000001"/>
    <n v="611.25000000000011"/>
    <n v="621.16800000000012"/>
    <n v="0.39503021294471197"/>
  </r>
  <r>
    <s v="ORD-2024-578646"/>
    <s v="578646"/>
    <n v="2024"/>
    <d v="2023-01-29T00:00:00"/>
    <x v="6"/>
    <d v="2024-05-27T00:00:00"/>
    <s v="May-2024"/>
    <x v="5"/>
    <s v="Q2-2024"/>
    <n v="21"/>
    <n v="21"/>
    <n v="0"/>
    <d v="2024-06-17T00:00:00"/>
    <d v="2024-06-17T00:00:00"/>
    <x v="1"/>
    <x v="1"/>
    <s v="Delhi"/>
    <s v="Small Business"/>
    <x v="4"/>
    <s v="H. Kim"/>
    <s v="Accessories"/>
    <x v="14"/>
    <n v="465.02"/>
    <n v="511.52200000000005"/>
    <n v="651.55999999999995"/>
    <s v="Low"/>
    <n v="4.2000000000000003E-2"/>
    <n v="4.2000000000000003E-2"/>
    <s v=""/>
    <n v="19"/>
    <n v="22.8"/>
    <n v="8835.3799999999992"/>
    <n v="1331102.9440700002"/>
    <n v="230826.76879999996"/>
    <n v="0.17341015571208984"/>
    <s v="A"/>
    <n v="11662.701600000002"/>
    <n v="14231.634144"/>
    <n v="11859.695119999998"/>
    <n v="3024.3151199999993"/>
    <n v="2568.9325439999975"/>
    <n v="0.25500783025187918"/>
  </r>
  <r>
    <s v="ORD-2024-166150"/>
    <s v="166150"/>
    <n v="2024"/>
    <d v="2023-01-20T00:00:00"/>
    <x v="7"/>
    <d v="2024-06-02T00:00:00"/>
    <s v="Jun-2024"/>
    <x v="6"/>
    <s v="Q2-2024"/>
    <n v="6"/>
    <n v="6"/>
    <n v="1"/>
    <d v="2024-06-08T00:00:00"/>
    <d v="2024-06-08T00:00:00"/>
    <x v="0"/>
    <x v="8"/>
    <s v="Kisumu"/>
    <s v="Consumer"/>
    <x v="3"/>
    <s v="A. Patel"/>
    <s v="Accessories"/>
    <x v="15"/>
    <n v="292.94"/>
    <n v="322.23400000000004"/>
    <n v="356.55"/>
    <s v="Low"/>
    <n v="0.22900000000000001"/>
    <n v="0.1"/>
    <s v=""/>
    <n v="2"/>
    <n v="2.4"/>
    <n v="585.88"/>
    <n v="1331102.9440700002"/>
    <n v="231376.56889999995"/>
    <n v="0.17382319671875979"/>
    <s v="A"/>
    <n v="773.36160000000007"/>
    <n v="770.14800000000002"/>
    <n v="549.80010000000004"/>
    <n v="-36.079899999999952"/>
    <n v="-3.2136000000000422"/>
    <n v="-6.5623669402751925E-2"/>
  </r>
  <r>
    <s v="ORD-2024-638884"/>
    <s v="638884"/>
    <n v="2024"/>
    <d v="2023-01-15T00:00:00"/>
    <x v="7"/>
    <d v="2024-05-28T00:00:00"/>
    <s v="May-2024"/>
    <x v="5"/>
    <s v="Q2-2024"/>
    <n v="-2"/>
    <n v="15"/>
    <n v="0"/>
    <d v="2024-05-26T00:00:00"/>
    <d v="2024-06-12T00:00:00"/>
    <x v="0"/>
    <x v="0"/>
    <s v="Abuja"/>
    <s v="Enterprise"/>
    <x v="4"/>
    <s v="F. Müller"/>
    <s v="Accessories"/>
    <x v="16"/>
    <n v="1227.08"/>
    <n v="1349.788"/>
    <n v="1896.62"/>
    <s v="High"/>
    <n v="0"/>
    <n v="0"/>
    <s v=""/>
    <n v="18"/>
    <n v="21.599999999999998"/>
    <n v="22087.439999999999"/>
    <n v="1331102.9440700002"/>
    <n v="265515.72889999993"/>
    <n v="0.19947046926975842"/>
    <s v="A"/>
    <n v="29155.420799999996"/>
    <n v="40966.991999999991"/>
    <n v="34139.159999999996"/>
    <n v="12051.719999999998"/>
    <n v="11811.571199999995"/>
    <n v="0.353017473189147"/>
  </r>
  <r>
    <s v="ORD-2024-605629"/>
    <s v="605629"/>
    <n v="2024"/>
    <d v="2023-03-03T00:00:00"/>
    <x v="7"/>
    <d v="2024-07-15T00:00:00"/>
    <s v="Jul-2024"/>
    <x v="7"/>
    <s v="Q3-2024"/>
    <n v="0"/>
    <n v="0"/>
    <n v="1"/>
    <d v="2024-07-15T00:00:00"/>
    <d v="2024-07-15T00:00:00"/>
    <x v="1"/>
    <x v="3"/>
    <s v="Tokyo"/>
    <s v="Small Business"/>
    <x v="3"/>
    <s v="G. Dubois"/>
    <s v="Accessories"/>
    <x v="17"/>
    <n v="801.77"/>
    <n v="881.947"/>
    <n v="1218.92"/>
    <s v="Medium"/>
    <n v="0.254"/>
    <n v="0.1"/>
    <s v=""/>
    <n v="16"/>
    <n v="19.2"/>
    <n v="12828.32"/>
    <n v="1331102.9440700002"/>
    <n v="280064.75801999995"/>
    <n v="0.21040052481866636"/>
    <s v="A"/>
    <n v="16933.382399999999"/>
    <n v="21062.937600000001"/>
    <n v="14549.029120000001"/>
    <n v="1720.7091200000013"/>
    <n v="4129.5552000000025"/>
    <n v="0.11826968698788344"/>
  </r>
  <r>
    <s v="ORD-2024-787018"/>
    <s v="787018"/>
    <n v="2024"/>
    <d v="2023-01-15T00:00:00"/>
    <x v="8"/>
    <d v="2024-06-23T00:00:00"/>
    <s v="Jun-2024"/>
    <x v="6"/>
    <s v="Q2-2024"/>
    <n v="5"/>
    <n v="5"/>
    <n v="1"/>
    <d v="2024-06-28T00:00:00"/>
    <d v="2024-06-28T00:00:00"/>
    <x v="0"/>
    <x v="0"/>
    <s v="Port Harcourt"/>
    <s v="Non-Profit"/>
    <x v="0"/>
    <s v="M. Rossi"/>
    <s v="Accessories"/>
    <x v="18"/>
    <n v="242.31"/>
    <n v="266.541"/>
    <n v="587.95000000000005"/>
    <s v="Low"/>
    <n v="0.22900000000000001"/>
    <n v="0.1"/>
    <s v=""/>
    <n v="6"/>
    <n v="7.1999999999999993"/>
    <n v="1453.8600000000001"/>
    <n v="1331102.9440700002"/>
    <n v="282784.61471999995"/>
    <n v="0.21244383537711478"/>
    <s v="A"/>
    <n v="1919.0951999999997"/>
    <n v="3809.9159999999997"/>
    <n v="2719.8567000000003"/>
    <n v="1265.9967000000001"/>
    <n v="1890.8208"/>
    <n v="0.46546448568411714"/>
  </r>
  <r>
    <s v="ORD-2024-215294"/>
    <s v="215294"/>
    <n v="2024"/>
    <d v="2023-01-29T00:00:00"/>
    <x v="8"/>
    <d v="2024-06-30T00:00:00"/>
    <s v="Jun-2024"/>
    <x v="6"/>
    <s v="Q2-2024"/>
    <n v="14"/>
    <n v="14"/>
    <n v="0"/>
    <d v="2024-07-14T00:00:00"/>
    <d v="2024-07-14T00:00:00"/>
    <x v="3"/>
    <x v="9"/>
    <s v="Brasília"/>
    <s v="Education"/>
    <x v="1"/>
    <s v="C. Otieno"/>
    <s v="Accessories"/>
    <x v="19"/>
    <n v="1491.85"/>
    <n v="1641.0350000000001"/>
    <n v="2583.02"/>
    <s v="High"/>
    <n v="0.16800000000000001"/>
    <n v="0.1"/>
    <s v=""/>
    <n v="4"/>
    <n v="4.8"/>
    <n v="5967.4"/>
    <n v="1331102.9440700002"/>
    <n v="291380.90527999995"/>
    <n v="0.21890185622238154"/>
    <s v="A"/>
    <n v="7876.9679999999998"/>
    <n v="11158.6464"/>
    <n v="8596.2905599999995"/>
    <n v="2628.8905599999998"/>
    <n v="3281.6783999999998"/>
    <n v="0.30581685689321325"/>
  </r>
  <r>
    <s v="ORD-2024-451005"/>
    <s v="451005"/>
    <n v="2024"/>
    <d v="2023-01-29T00:00:00"/>
    <x v="8"/>
    <d v="2024-06-30T00:00:00"/>
    <s v="Jun-2024"/>
    <x v="6"/>
    <s v="Q2-2024"/>
    <n v="-2"/>
    <n v="15"/>
    <n v="0"/>
    <d v="2024-06-28T00:00:00"/>
    <d v="2024-07-15T00:00:00"/>
    <x v="3"/>
    <x v="9"/>
    <s v="Rio de Janeiro"/>
    <s v="Small Business"/>
    <x v="0"/>
    <s v="L. Okafor"/>
    <s v="Accessories"/>
    <x v="20"/>
    <n v="1112.98"/>
    <n v="1224.278"/>
    <n v="2095.73"/>
    <s v="High"/>
    <n v="7.1999999999999995E-2"/>
    <n v="7.1999999999999995E-2"/>
    <s v=""/>
    <n v="17"/>
    <n v="20.399999999999999"/>
    <n v="18920.66"/>
    <n v="1331102.9440700002"/>
    <n v="324443.14175999997"/>
    <n v="0.24374008276773679"/>
    <s v="A"/>
    <n v="24975.271199999999"/>
    <n v="39674.683776000005"/>
    <n v="33062.236480000007"/>
    <n v="14141.576480000007"/>
    <n v="14699.412576000006"/>
    <n v="0.42772594916724777"/>
  </r>
  <r>
    <s v="ORD-2024-468615"/>
    <s v="468615"/>
    <n v="2024"/>
    <d v="2023-01-12T00:00:00"/>
    <x v="8"/>
    <d v="2024-07-09T00:00:00"/>
    <s v="Jul-2024"/>
    <x v="7"/>
    <s v="Q3-2024"/>
    <n v="3"/>
    <n v="3"/>
    <n v="1"/>
    <d v="2024-07-12T00:00:00"/>
    <d v="2024-07-12T00:00:00"/>
    <x v="1"/>
    <x v="4"/>
    <s v="Shanghai"/>
    <s v="Small Business"/>
    <x v="1"/>
    <s v="D. Smith"/>
    <s v="Accessories"/>
    <x v="21"/>
    <n v="748.39"/>
    <n v="823.22900000000004"/>
    <n v="979.42"/>
    <s v="Medium"/>
    <n v="0"/>
    <n v="0"/>
    <s v=""/>
    <n v="23"/>
    <n v="27.599999999999998"/>
    <n v="17212.97"/>
    <n v="1331102.9440700002"/>
    <n v="346969.80175999994"/>
    <n v="0.26066338693467234"/>
    <s v="A"/>
    <n v="22721.1204"/>
    <n v="27031.991999999998"/>
    <n v="22526.66"/>
    <n v="5313.6899999999987"/>
    <n v="4310.8715999999986"/>
    <n v="0.23588450307324738"/>
  </r>
  <r>
    <s v="ORD-2024-704056"/>
    <s v="704056"/>
    <n v="2024"/>
    <d v="2023-01-19T00:00:00"/>
    <x v="8"/>
    <d v="2024-06-23T00:00:00"/>
    <s v="Jun-2024"/>
    <x v="6"/>
    <s v="Q2-2024"/>
    <n v="2"/>
    <n v="2"/>
    <n v="1"/>
    <d v="2024-06-25T00:00:00"/>
    <d v="2024-06-25T00:00:00"/>
    <x v="2"/>
    <x v="2"/>
    <s v="Birmingham"/>
    <s v="Small Business"/>
    <x v="3"/>
    <s v="L. Okafor"/>
    <s v="Accessories"/>
    <x v="22"/>
    <n v="951.44"/>
    <n v="1046.5840000000001"/>
    <n v="1646.43"/>
    <s v="High"/>
    <n v="0.11"/>
    <n v="0.1"/>
    <s v=""/>
    <n v="24"/>
    <n v="28.799999999999997"/>
    <n v="22834.560000000001"/>
    <n v="1331102.9440700002"/>
    <n v="382137.54655999993"/>
    <n v="0.28708339070423095"/>
    <s v="A"/>
    <n v="30141.619199999997"/>
    <n v="42675.465599999996"/>
    <n v="35167.7448"/>
    <n v="12333.184799999999"/>
    <n v="12533.846399999999"/>
    <n v="0.35069592520473475"/>
  </r>
  <r>
    <s v="ORD-2024-446699"/>
    <s v="446699"/>
    <n v="2024"/>
    <d v="2023-01-29T00:00:00"/>
    <x v="9"/>
    <d v="2024-08-28T00:00:00"/>
    <s v="Aug-2024"/>
    <x v="8"/>
    <s v="Q3-2024"/>
    <n v="28"/>
    <n v="28"/>
    <n v="0"/>
    <d v="2024-09-25T00:00:00"/>
    <d v="2024-09-25T00:00:00"/>
    <x v="3"/>
    <x v="9"/>
    <s v="Rio de Janeiro"/>
    <s v="Non-Profit"/>
    <x v="4"/>
    <s v="L. Okafor"/>
    <s v="Accessories"/>
    <x v="23"/>
    <n v="1394.65"/>
    <n v="1534.1150000000002"/>
    <n v="3144.1"/>
    <s v="High"/>
    <n v="0.13400000000000001"/>
    <n v="0.1"/>
    <s v=""/>
    <n v="13"/>
    <n v="15.6"/>
    <n v="18130.45"/>
    <n v="1331102.9440700002"/>
    <n v="417533.82435999991"/>
    <n v="0.31367508142033124"/>
    <s v="A"/>
    <n v="23932.194000000003"/>
    <n v="44143.163999999997"/>
    <n v="35396.277799999996"/>
    <n v="17265.827799999995"/>
    <n v="20210.969999999994"/>
    <n v="0.4877865378263021"/>
  </r>
  <r>
    <s v="ORD-2024-901115"/>
    <s v="901115"/>
    <n v="2024"/>
    <d v="2023-01-02T00:00:00"/>
    <x v="9"/>
    <d v="2024-07-25T00:00:00"/>
    <s v="Jul-2024"/>
    <x v="7"/>
    <s v="Q3-2024"/>
    <n v="8"/>
    <n v="8"/>
    <n v="0"/>
    <d v="2024-08-02T00:00:00"/>
    <d v="2024-08-02T00:00:00"/>
    <x v="3"/>
    <x v="10"/>
    <s v="Montreal"/>
    <s v="Consumer"/>
    <x v="0"/>
    <s v="J. Njeri"/>
    <s v="Accessories"/>
    <x v="24"/>
    <n v="986.81"/>
    <n v="1085.491"/>
    <n v="2050.31"/>
    <s v="High"/>
    <n v="0.10299999999999999"/>
    <n v="0.1"/>
    <s v=""/>
    <n v="43"/>
    <n v="51.6"/>
    <n v="42432.829999999994"/>
    <n v="1331102.9440700002"/>
    <n v="496616.33136999991"/>
    <n v="0.3730863443600676"/>
    <s v="A"/>
    <n v="56011.335599999999"/>
    <n v="95216.396399999998"/>
    <n v="79082.507010000001"/>
    <n v="36649.677010000007"/>
    <n v="39205.060799999999"/>
    <n v="0.46343595310358138"/>
  </r>
  <r>
    <s v="ORD-2023-835010"/>
    <s v="835010"/>
    <n v="2023"/>
    <d v="2023-01-20T00:00:00"/>
    <x v="10"/>
    <d v="2023-03-23T00:00:00"/>
    <s v="Mar-2023"/>
    <x v="4"/>
    <s v="Q1-2023"/>
    <n v="23"/>
    <n v="23"/>
    <n v="0"/>
    <d v="2023-04-15T00:00:00"/>
    <d v="2023-04-15T00:00:00"/>
    <x v="0"/>
    <x v="8"/>
    <s v="Mombasa"/>
    <s v="Small Business"/>
    <x v="1"/>
    <s v="C. Otieno"/>
    <s v="Accessories"/>
    <x v="25"/>
    <n v="875.36"/>
    <n v="962.89600000000007"/>
    <n v="1178.6199999999999"/>
    <s v="Medium"/>
    <n v="0.151"/>
    <n v="0.1"/>
    <s v=""/>
    <n v="53"/>
    <n v="63.599999999999994"/>
    <n v="46394.080000000002"/>
    <n v="1331102.9440700002"/>
    <n v="549650.69550999987"/>
    <n v="0.41292876554639696"/>
    <s v="A"/>
    <n v="61240.185599999997"/>
    <n v="67464.208799999993"/>
    <n v="53034.364139999991"/>
    <n v="6640.2841399999888"/>
    <n v="6224.023199999996"/>
    <n v="0.12520719815685888"/>
  </r>
  <r>
    <s v="ORD-2023-727290"/>
    <s v="727290"/>
    <n v="2023"/>
    <d v="2023-01-10T00:00:00"/>
    <x v="10"/>
    <d v="2023-04-03T00:00:00"/>
    <s v="Apr-2023"/>
    <x v="2"/>
    <s v="Q2-2023"/>
    <n v="13"/>
    <n v="13"/>
    <n v="0"/>
    <d v="2023-04-16T00:00:00"/>
    <d v="2023-04-16T00:00:00"/>
    <x v="2"/>
    <x v="5"/>
    <s v="Marseille"/>
    <s v="Non-Profit"/>
    <x v="3"/>
    <s v="M. Rossi"/>
    <s v="Accessories"/>
    <x v="26"/>
    <n v="790.54"/>
    <n v="869.59400000000005"/>
    <n v="601.49"/>
    <s v="Low"/>
    <n v="0"/>
    <n v="0"/>
    <s v=""/>
    <n v="15"/>
    <n v="18"/>
    <n v="11858.099999999999"/>
    <n v="1331102.9440700002"/>
    <n v="558673.04550999985"/>
    <n v="0.41970686639892241"/>
    <s v="A"/>
    <n v="15652.692000000001"/>
    <n v="10826.82"/>
    <n v="9022.35"/>
    <n v="-2835.7499999999982"/>
    <n v="-4825.8720000000012"/>
    <n v="-0.31430281467688553"/>
  </r>
  <r>
    <s v="ORD-2023-609394"/>
    <s v="609394"/>
    <n v="2023"/>
    <d v="2023-01-22T00:00:00"/>
    <x v="10"/>
    <d v="2023-04-16T00:00:00"/>
    <s v="Apr-2023"/>
    <x v="2"/>
    <s v="Q2-2023"/>
    <n v="3"/>
    <n v="3"/>
    <n v="1"/>
    <d v="2023-04-19T00:00:00"/>
    <d v="2023-04-19T00:00:00"/>
    <x v="2"/>
    <x v="7"/>
    <s v="Munich"/>
    <s v="Corporate"/>
    <x v="0"/>
    <s v="B. Chen"/>
    <s v="Accessories"/>
    <x v="27"/>
    <n v="553.61"/>
    <n v="608.97100000000012"/>
    <n v="699.47"/>
    <s v="Low"/>
    <n v="0.02"/>
    <n v="0.02"/>
    <s v=""/>
    <n v="33"/>
    <n v="39.6"/>
    <n v="18269.13"/>
    <n v="1331102.9440700002"/>
    <n v="581293.90530999983"/>
    <n v="0.43670093879638411"/>
    <s v="A"/>
    <n v="24115.251600000007"/>
    <n v="27145.031760000002"/>
    <n v="22620.859800000002"/>
    <n v="4351.729800000001"/>
    <n v="3029.7801599999948"/>
    <n v="0.19237685209472014"/>
  </r>
  <r>
    <s v="ORD-2023-548874"/>
    <s v="548874"/>
    <n v="2023"/>
    <d v="2023-01-19T00:00:00"/>
    <x v="10"/>
    <d v="2023-03-19T00:00:00"/>
    <s v="Mar-2023"/>
    <x v="4"/>
    <s v="Q1-2023"/>
    <n v="21"/>
    <n v="21"/>
    <n v="0"/>
    <d v="2023-04-09T00:00:00"/>
    <d v="2023-04-09T00:00:00"/>
    <x v="2"/>
    <x v="2"/>
    <s v="Manchester"/>
    <s v="Consumer"/>
    <x v="1"/>
    <s v="L. Okafor"/>
    <s v="Accessories"/>
    <x v="28"/>
    <n v="1082.17"/>
    <n v="1190.3870000000002"/>
    <n v="1234.0999999999999"/>
    <s v="Medium"/>
    <n v="0.189"/>
    <n v="0.1"/>
    <s v=""/>
    <n v="16"/>
    <n v="19.2"/>
    <n v="17314.72"/>
    <n v="1331102.9440700002"/>
    <n v="597307.58690999984"/>
    <n v="0.44873132432842744"/>
    <s v="A"/>
    <n v="22855.430400000001"/>
    <n v="21325.248"/>
    <n v="16013.681599999998"/>
    <n v="-1301.0384000000031"/>
    <n v="-1530.1824000000015"/>
    <n v="-8.124542703534228E-2"/>
  </r>
  <r>
    <s v="ORD-2024-997336"/>
    <s v="997336"/>
    <n v="2024"/>
    <d v="2023-01-15T00:00:00"/>
    <x v="11"/>
    <d v="2024-10-04T00:00:00"/>
    <s v="Oct-2024"/>
    <x v="9"/>
    <s v="Q4-2024"/>
    <n v="29"/>
    <n v="29"/>
    <n v="0"/>
    <d v="2024-11-02T00:00:00"/>
    <d v="2024-11-02T00:00:00"/>
    <x v="0"/>
    <x v="0"/>
    <s v="Abuja"/>
    <s v="Corporate"/>
    <x v="2"/>
    <s v="F. Müller"/>
    <s v="Accessories"/>
    <x v="29"/>
    <n v="412.09"/>
    <n v="453.29900000000004"/>
    <n v="968.94"/>
    <s v="Medium"/>
    <n v="9.9000000000000005E-2"/>
    <n v="9.9000000000000005E-2"/>
    <s v=""/>
    <n v="23"/>
    <n v="27.599999999999998"/>
    <n v="9478.07"/>
    <n v="1331102.9440700002"/>
    <n v="617386.9305299999"/>
    <n v="0.46381606567728595"/>
    <s v="A"/>
    <n v="12511.0524"/>
    <n v="24095.212344"/>
    <n v="20079.343620000003"/>
    <n v="10601.273620000004"/>
    <n v="11584.159943999999"/>
    <n v="0.52796913189137418"/>
  </r>
  <r>
    <s v="ORD-2024-468501"/>
    <s v="468501"/>
    <n v="2024"/>
    <d v="2023-01-02T00:00:00"/>
    <x v="12"/>
    <d v="2024-11-06T00:00:00"/>
    <s v="Nov-2024"/>
    <x v="10"/>
    <s v="Q4-2024"/>
    <n v="16"/>
    <n v="16"/>
    <n v="0"/>
    <d v="2024-11-22T00:00:00"/>
    <d v="2024-11-22T00:00:00"/>
    <x v="3"/>
    <x v="10"/>
    <s v="Toronto"/>
    <s v="Non-Profit"/>
    <x v="2"/>
    <s v="D. Smith"/>
    <s v="Accessories"/>
    <x v="30"/>
    <n v="1454.11"/>
    <n v="1599.521"/>
    <n v="2629.75"/>
    <s v="High"/>
    <n v="0.29199999999999998"/>
    <n v="0.1"/>
    <s v=""/>
    <n v="8"/>
    <n v="9.6"/>
    <n v="11632.88"/>
    <n v="1331102.9440700002"/>
    <n v="632281.83452999988"/>
    <n v="0.47500596204582457"/>
    <s v="A"/>
    <n v="15355.401599999999"/>
    <n v="22721.040000000001"/>
    <n v="14894.903999999999"/>
    <n v="3262.0239999999994"/>
    <n v="7365.6384000000016"/>
    <n v="0.21900268709351867"/>
  </r>
  <r>
    <s v="ORD-2024-961756"/>
    <s v="961756"/>
    <n v="2024"/>
    <d v="2023-01-12T00:00:00"/>
    <x v="12"/>
    <d v="2024-11-25T00:00:00"/>
    <s v="Nov-2024"/>
    <x v="10"/>
    <s v="Q4-2024"/>
    <n v="12"/>
    <n v="12"/>
    <n v="0"/>
    <d v="2024-12-07T00:00:00"/>
    <d v="2024-12-07T00:00:00"/>
    <x v="1"/>
    <x v="4"/>
    <s v="Shanghai"/>
    <s v="Corporate"/>
    <x v="2"/>
    <s v="A. Patel"/>
    <s v="Accessories"/>
    <x v="31"/>
    <n v="769.9"/>
    <n v="846.8900000000001"/>
    <n v="814.36"/>
    <s v="Low"/>
    <n v="0"/>
    <n v="0"/>
    <s v=""/>
    <n v="5"/>
    <n v="6"/>
    <n v="3849.5"/>
    <n v="1331102.9440700002"/>
    <n v="636353.63452999992"/>
    <n v="0.47806492906121562"/>
    <s v="A"/>
    <n v="5081.34"/>
    <n v="4886.16"/>
    <n v="4071.8"/>
    <n v="222.30000000000018"/>
    <n v="-195.18000000000029"/>
    <n v="5.4595019401738831E-2"/>
  </r>
  <r>
    <s v="ORD-2024-655710"/>
    <s v="655710"/>
    <n v="2024"/>
    <d v="2023-01-29T00:00:00"/>
    <x v="12"/>
    <d v="2024-11-30T00:00:00"/>
    <s v="Nov-2024"/>
    <x v="10"/>
    <s v="Q4-2024"/>
    <n v="10"/>
    <n v="10"/>
    <n v="0"/>
    <d v="2024-12-10T00:00:00"/>
    <d v="2024-12-10T00:00:00"/>
    <x v="1"/>
    <x v="1"/>
    <s v="Hyderabad"/>
    <s v="Small Business"/>
    <x v="1"/>
    <s v="F. Müller"/>
    <s v="Accessories"/>
    <x v="32"/>
    <n v="851.49"/>
    <n v="936.63900000000012"/>
    <n v="901.79"/>
    <s v="Medium"/>
    <n v="0.245"/>
    <n v="0.1"/>
    <s v=""/>
    <n v="16"/>
    <n v="19.2"/>
    <n v="13623.84"/>
    <n v="1331102.9440700002"/>
    <n v="647247.25772999995"/>
    <n v="0.48624883643557054"/>
    <s v="A"/>
    <n v="17983.468800000002"/>
    <n v="15582.931199999999"/>
    <n v="10893.6232"/>
    <n v="-2730.2168000000001"/>
    <n v="-2400.5376000000033"/>
    <n v="-0.25062522816100341"/>
  </r>
  <r>
    <s v="ORD-2025-898843"/>
    <s v="898843"/>
    <n v="2025"/>
    <d v="2023-03-03T00:00:00"/>
    <x v="12"/>
    <d v="2025-02-02T00:00:00"/>
    <s v="Feb-2025"/>
    <x v="0"/>
    <s v="Q1-2025"/>
    <n v="30"/>
    <n v="30"/>
    <n v="0"/>
    <d v="2025-03-04T00:00:00"/>
    <d v="2025-03-04T00:00:00"/>
    <x v="1"/>
    <x v="3"/>
    <s v="Osaka"/>
    <s v="Education"/>
    <x v="2"/>
    <s v="L. Okafor"/>
    <s v="Accessories"/>
    <x v="33"/>
    <n v="766.59"/>
    <n v="843.24900000000014"/>
    <n v="1912.8"/>
    <s v="High"/>
    <n v="0.19600000000000001"/>
    <n v="0.1"/>
    <s v=""/>
    <n v="5"/>
    <n v="6"/>
    <n v="3832.9500000000003"/>
    <n v="1331102.9440700002"/>
    <n v="654936.71372999996"/>
    <n v="0.49202559174533539"/>
    <s v="A"/>
    <n v="5059.4940000000006"/>
    <n v="10329.119999999999"/>
    <n v="7689.4560000000001"/>
    <n v="3856.5059999999999"/>
    <n v="5269.6259999999984"/>
    <n v="0.50153170783472845"/>
  </r>
  <r>
    <s v="ORD-2024-289089"/>
    <s v="289089"/>
    <n v="2024"/>
    <d v="2023-01-22T00:00:00"/>
    <x v="12"/>
    <d v="2024-12-17T00:00:00"/>
    <s v="Dec-2024"/>
    <x v="3"/>
    <s v="Q4-2024"/>
    <n v="1"/>
    <n v="1"/>
    <n v="1"/>
    <d v="2024-12-18T00:00:00"/>
    <d v="2024-12-18T00:00:00"/>
    <x v="2"/>
    <x v="7"/>
    <s v="Munich"/>
    <s v="Education"/>
    <x v="1"/>
    <s v="L. Okafor"/>
    <s v="Accessories"/>
    <x v="34"/>
    <n v="346.82"/>
    <n v="381.50200000000001"/>
    <n v="701.95"/>
    <s v="Low"/>
    <n v="0.14699999999999999"/>
    <n v="0.1"/>
    <s v=""/>
    <n v="8"/>
    <n v="9.6"/>
    <n v="2774.56"/>
    <n v="1331102.9440700002"/>
    <n v="659726.82052999991"/>
    <n v="0.4956241915541178"/>
    <s v="A"/>
    <n v="3662.4191999999998"/>
    <n v="6064.848"/>
    <n v="4790.1068000000005"/>
    <n v="2015.5468000000005"/>
    <n v="2402.4288000000001"/>
    <n v="0.42077283120284509"/>
  </r>
  <r>
    <s v="ORD-2024-478165"/>
    <s v="478165"/>
    <n v="2024"/>
    <d v="2023-01-02T00:00:00"/>
    <x v="13"/>
    <d v="2024-12-05T00:00:00"/>
    <s v="Dec-2024"/>
    <x v="3"/>
    <s v="Q4-2024"/>
    <n v="23"/>
    <n v="23"/>
    <n v="0"/>
    <d v="2024-12-28T00:00:00"/>
    <d v="2024-12-28T00:00:00"/>
    <x v="3"/>
    <x v="10"/>
    <s v="Vancouver"/>
    <s v="Corporate"/>
    <x v="0"/>
    <s v="F. Müller"/>
    <s v="Accessories"/>
    <x v="35"/>
    <n v="107.03"/>
    <n v="117.733"/>
    <n v="242.29"/>
    <s v="Low"/>
    <n v="0.18"/>
    <n v="0.1"/>
    <s v=""/>
    <n v="30"/>
    <n v="36"/>
    <n v="3210.9"/>
    <n v="1331102.9440700002"/>
    <n v="665687.15452999994"/>
    <n v="0.50010193238291922"/>
    <s v="A"/>
    <n v="4238.3879999999999"/>
    <n v="7850.1960000000008"/>
    <n v="5960.3340000000007"/>
    <n v="2749.4340000000007"/>
    <n v="3611.8080000000009"/>
    <n v="0.46128857879440988"/>
  </r>
  <r>
    <s v="ORD-2024-257550"/>
    <s v="257550"/>
    <n v="2024"/>
    <d v="2023-01-02T00:00:00"/>
    <x v="13"/>
    <d v="2024-12-27T00:00:00"/>
    <s v="Dec-2024"/>
    <x v="3"/>
    <s v="Q4-2024"/>
    <n v="2"/>
    <n v="2"/>
    <n v="1"/>
    <d v="2024-12-29T00:00:00"/>
    <d v="2024-12-29T00:00:00"/>
    <x v="3"/>
    <x v="10"/>
    <s v="Vancouver"/>
    <s v="Enterprise"/>
    <x v="3"/>
    <s v="C. Otieno"/>
    <s v="Accessories"/>
    <x v="36"/>
    <n v="1146.72"/>
    <n v="1261.3920000000001"/>
    <n v="2074.34"/>
    <s v="High"/>
    <n v="0.111"/>
    <n v="0.1"/>
    <s v=""/>
    <n v="8"/>
    <n v="9.6"/>
    <n v="9173.76"/>
    <n v="1331102.9440700002"/>
    <n v="680439.86060999997"/>
    <n v="0.51118500161187908"/>
    <s v="A"/>
    <n v="12109.3632"/>
    <n v="17922.297600000002"/>
    <n v="14752.706080000002"/>
    <n v="5578.9460800000015"/>
    <n v="5812.9344000000019"/>
    <n v="0.37816425337472737"/>
  </r>
  <r>
    <s v="ORD-2025-332931"/>
    <s v="332931"/>
    <n v="2025"/>
    <d v="2023-01-20T00:00:00"/>
    <x v="14"/>
    <d v="2025-02-15T00:00:00"/>
    <s v="Feb-2025"/>
    <x v="0"/>
    <s v="Q1-2025"/>
    <n v="14"/>
    <n v="14"/>
    <n v="0"/>
    <d v="2025-03-01T00:00:00"/>
    <d v="2025-03-01T00:00:00"/>
    <x v="0"/>
    <x v="8"/>
    <s v="Mombasa"/>
    <s v="Education"/>
    <x v="0"/>
    <s v="L. Okafor"/>
    <s v="Accessories"/>
    <x v="37"/>
    <n v="1162.8599999999999"/>
    <n v="1279.146"/>
    <n v="1447.68"/>
    <s v="Medium"/>
    <n v="8.6999999999999994E-2"/>
    <n v="8.6999999999999994E-2"/>
    <s v=""/>
    <n v="12"/>
    <n v="14.399999999999999"/>
    <n v="13954.32"/>
    <n v="1331102.9440700002"/>
    <n v="696300.64269000001"/>
    <n v="0.523100520355684"/>
    <s v="A"/>
    <n v="18419.702399999998"/>
    <n v="19032.938496000002"/>
    <n v="15860.782080000001"/>
    <n v="1906.4620800000012"/>
    <n v="613.23609600000418"/>
    <n v="0.12019975247021369"/>
  </r>
  <r>
    <s v="ORD-2025-146850"/>
    <s v="146850"/>
    <n v="2025"/>
    <d v="2023-01-20T00:00:00"/>
    <x v="14"/>
    <d v="2025-01-21T00:00:00"/>
    <s v="Jan-2025"/>
    <x v="1"/>
    <s v="Q1-2025"/>
    <n v="24"/>
    <n v="24"/>
    <n v="0"/>
    <d v="2025-02-14T00:00:00"/>
    <d v="2025-02-14T00:00:00"/>
    <x v="0"/>
    <x v="8"/>
    <s v="Nairobi"/>
    <s v="Small Business"/>
    <x v="1"/>
    <s v="J. Njeri"/>
    <s v="Accessories"/>
    <x v="38"/>
    <n v="1030.44"/>
    <n v="1133.4840000000002"/>
    <n v="2562.84"/>
    <s v="High"/>
    <n v="0.14799999999999999"/>
    <n v="0.1"/>
    <s v=""/>
    <n v="13"/>
    <n v="15.6"/>
    <n v="13395.720000000001"/>
    <n v="1331102.9440700002"/>
    <n v="724686.65853000002"/>
    <n v="0.54442570483255581"/>
    <s v="A"/>
    <n v="17682.350400000003"/>
    <n v="35982.273600000008"/>
    <n v="28386.015839999996"/>
    <n v="14990.295839999995"/>
    <n v="18299.923200000005"/>
    <n v="0.52808734852027039"/>
  </r>
  <r>
    <s v="ORD-2025-649239"/>
    <s v="649239"/>
    <n v="2025"/>
    <d v="2023-01-13T00:00:00"/>
    <x v="14"/>
    <d v="2025-01-17T00:00:00"/>
    <s v="Jan-2025"/>
    <x v="1"/>
    <s v="Q1-2025"/>
    <n v="7"/>
    <n v="7"/>
    <n v="1"/>
    <d v="2025-01-24T00:00:00"/>
    <d v="2025-01-24T00:00:00"/>
    <x v="3"/>
    <x v="11"/>
    <s v="Austin"/>
    <s v="Enterprise"/>
    <x v="4"/>
    <s v="G. Dubois"/>
    <s v="Accessories"/>
    <x v="39"/>
    <n v="142.09"/>
    <n v="156.29900000000001"/>
    <n v="218.5"/>
    <s v="Low"/>
    <n v="0.11899999999999999"/>
    <n v="0.1"/>
    <s v=""/>
    <n v="11"/>
    <n v="13.2"/>
    <n v="1562.99"/>
    <n v="1331102.9440700002"/>
    <n v="726804.14202999999"/>
    <n v="0.54601647849092183"/>
    <s v="A"/>
    <n v="2063.1468"/>
    <n v="2595.7799999999997"/>
    <n v="2117.4834999999998"/>
    <n v="554.49349999999981"/>
    <n v="532.63319999999976"/>
    <n v="0.26186437816398561"/>
  </r>
  <r>
    <s v="ORD-2025-939953"/>
    <s v="939953"/>
    <n v="2025"/>
    <d v="2023-01-10T00:00:00"/>
    <x v="14"/>
    <d v="2025-01-22T00:00:00"/>
    <s v="Jan-2025"/>
    <x v="1"/>
    <s v="Q1-2025"/>
    <n v="0"/>
    <n v="0"/>
    <n v="1"/>
    <d v="2025-01-22T00:00:00"/>
    <d v="2025-01-22T00:00:00"/>
    <x v="2"/>
    <x v="5"/>
    <s v="Lyon"/>
    <s v="Small Business"/>
    <x v="4"/>
    <s v="B. Chen"/>
    <s v="Accessories"/>
    <x v="40"/>
    <n v="591.72"/>
    <n v="650.89200000000005"/>
    <n v="577.24"/>
    <s v="Low"/>
    <n v="0"/>
    <n v="0"/>
    <s v=""/>
    <n v="22"/>
    <n v="26.4"/>
    <n v="13017.84"/>
    <n v="1331102.9440700002"/>
    <n v="739503.42203000002"/>
    <n v="0.55555689762722882"/>
    <s v="A"/>
    <n v="17183.5488"/>
    <n v="15239.135999999999"/>
    <n v="12699.28"/>
    <n v="-318.55999999999949"/>
    <n v="-1944.4128000000019"/>
    <n v="-2.5084886702238195E-2"/>
  </r>
  <r>
    <s v="ORD-2025-766923"/>
    <s v="766923"/>
    <n v="2025"/>
    <d v="2023-01-22T00:00:00"/>
    <x v="14"/>
    <d v="2025-02-15T00:00:00"/>
    <s v="Feb-2025"/>
    <x v="0"/>
    <s v="Q1-2025"/>
    <n v="0"/>
    <n v="0"/>
    <n v="1"/>
    <d v="2025-02-15T00:00:00"/>
    <d v="2025-02-15T00:00:00"/>
    <x v="2"/>
    <x v="7"/>
    <s v="Frankfurt"/>
    <s v="Small Business"/>
    <x v="3"/>
    <s v="L. Okafor"/>
    <s v="Accessories"/>
    <x v="41"/>
    <n v="815.83"/>
    <n v="897.41300000000012"/>
    <n v="1982.18"/>
    <s v="High"/>
    <n v="0.127"/>
    <n v="0.1"/>
    <s v=""/>
    <n v="6"/>
    <n v="7.1999999999999993"/>
    <n v="4894.9800000000005"/>
    <n v="1331102.9440700002"/>
    <n v="749886.08087000006"/>
    <n v="0.56335693960463884"/>
    <s v="A"/>
    <n v="6461.3735999999999"/>
    <n v="12844.526400000001"/>
    <n v="10382.65884"/>
    <n v="5487.6788399999996"/>
    <n v="6383.1528000000008"/>
    <n v="0.52854272923408507"/>
  </r>
  <r>
    <s v="ORD-2025-337268"/>
    <s v="337268"/>
    <n v="2025"/>
    <d v="2023-01-22T00:00:00"/>
    <x v="14"/>
    <d v="2025-02-16T00:00:00"/>
    <s v="Feb-2025"/>
    <x v="0"/>
    <s v="Q1-2025"/>
    <n v="29"/>
    <n v="29"/>
    <n v="0"/>
    <d v="2025-03-17T00:00:00"/>
    <d v="2025-03-17T00:00:00"/>
    <x v="2"/>
    <x v="7"/>
    <s v="Munich"/>
    <s v="Consumer"/>
    <x v="1"/>
    <s v="L. Okafor"/>
    <s v="Accessories"/>
    <x v="42"/>
    <n v="730.42"/>
    <n v="803.46199999999999"/>
    <n v="956.7"/>
    <s v="Medium"/>
    <n v="4.2000000000000003E-2"/>
    <n v="4.2000000000000003E-2"/>
    <s v=""/>
    <n v="22"/>
    <n v="26.4"/>
    <n v="16069.24"/>
    <n v="1331102.9440700002"/>
    <n v="770049.49007000006"/>
    <n v="0.57850483578338818"/>
    <s v="A"/>
    <n v="21211.396799999999"/>
    <n v="24196.091039999999"/>
    <n v="20163.409200000002"/>
    <n v="4094.1692000000021"/>
    <n v="2984.6942400000007"/>
    <n v="0.20304945256975698"/>
  </r>
  <r>
    <s v="ORD-2025-501927"/>
    <s v="501927"/>
    <n v="2025"/>
    <d v="2023-01-15T00:00:00"/>
    <x v="15"/>
    <d v="2025-03-03T00:00:00"/>
    <s v="Mar-2025"/>
    <x v="4"/>
    <s v="Q1-2025"/>
    <n v="21"/>
    <n v="21"/>
    <n v="0"/>
    <d v="2025-03-24T00:00:00"/>
    <d v="2025-03-24T00:00:00"/>
    <x v="0"/>
    <x v="0"/>
    <s v="Abuja"/>
    <s v="Enterprise"/>
    <x v="0"/>
    <s v="H. Kim"/>
    <s v="Accessories"/>
    <x v="43"/>
    <n v="555.95000000000005"/>
    <n v="611.54500000000007"/>
    <n v="468.09"/>
    <s v="Low"/>
    <n v="0.14199999999999999"/>
    <n v="0.1"/>
    <s v=""/>
    <n v="11"/>
    <n v="13.2"/>
    <n v="6115.4500000000007"/>
    <n v="1331102.9440700002"/>
    <n v="774467.3234900001"/>
    <n v="0.58182376272264658"/>
    <s v="A"/>
    <n v="8072.3940000000002"/>
    <n v="5560.9092000000001"/>
    <n v="4417.8334199999999"/>
    <n v="-1697.6165800000008"/>
    <n v="-2511.4848000000002"/>
    <n v="-0.38426450674095375"/>
  </r>
  <r>
    <s v="ORD-2025-281062"/>
    <s v="281062"/>
    <n v="2025"/>
    <d v="2023-01-10T00:00:00"/>
    <x v="15"/>
    <d v="2025-02-15T00:00:00"/>
    <s v="Feb-2025"/>
    <x v="0"/>
    <s v="Q1-2025"/>
    <n v="12"/>
    <n v="12"/>
    <n v="0"/>
    <d v="2025-02-27T00:00:00"/>
    <d v="2025-02-27T00:00:00"/>
    <x v="2"/>
    <x v="5"/>
    <s v="Lyon"/>
    <s v="Non-Profit"/>
    <x v="0"/>
    <s v="K. Singh"/>
    <s v="Accessories"/>
    <x v="44"/>
    <n v="1027.26"/>
    <n v="1129.9860000000001"/>
    <n v="2200.41"/>
    <s v="High"/>
    <n v="8.7999999999999995E-2"/>
    <n v="8.7999999999999995E-2"/>
    <s v=""/>
    <n v="6"/>
    <n v="7.1999999999999993"/>
    <n v="6163.5599999999995"/>
    <n v="1331102.9440700002"/>
    <n v="786507.96701000014"/>
    <n v="0.59086937679302376"/>
    <s v="A"/>
    <n v="8135.8991999999998"/>
    <n v="14448.772223999998"/>
    <n v="12040.64352"/>
    <n v="5877.0835200000001"/>
    <n v="6312.8730239999986"/>
    <n v="0.48810377204822358"/>
  </r>
  <r>
    <s v="ORD-2025-944081"/>
    <s v="944081"/>
    <n v="2025"/>
    <d v="2023-01-15T00:00:00"/>
    <x v="16"/>
    <d v="2025-03-25T00:00:00"/>
    <s v="Mar-2025"/>
    <x v="4"/>
    <s v="Q1-2025"/>
    <n v="1"/>
    <n v="1"/>
    <n v="1"/>
    <d v="2025-03-26T00:00:00"/>
    <d v="2025-03-26T00:00:00"/>
    <x v="0"/>
    <x v="0"/>
    <s v="Lagos"/>
    <s v="Education"/>
    <x v="2"/>
    <s v="G. Dubois"/>
    <s v="Accessories"/>
    <x v="45"/>
    <n v="1450.43"/>
    <n v="1595.4730000000002"/>
    <n v="1994.67"/>
    <s v="High"/>
    <n v="0.1"/>
    <n v="0.1"/>
    <s v=""/>
    <n v="24"/>
    <n v="28.799999999999997"/>
    <n v="34810.32"/>
    <n v="1331102.9440700002"/>
    <n v="829592.83901000011"/>
    <n v="0.62323717538586809"/>
    <s v="A"/>
    <n v="45949.6224"/>
    <n v="51701.846400000002"/>
    <n v="43084.872000000003"/>
    <n v="8274.5520000000033"/>
    <n v="5752.224000000002"/>
    <n v="0.19205237513529116"/>
  </r>
  <r>
    <s v="ORD-2025-486350"/>
    <s v="486350"/>
    <n v="2025"/>
    <d v="2023-03-03T00:00:00"/>
    <x v="16"/>
    <d v="2025-05-27T00:00:00"/>
    <s v="May-2025"/>
    <x v="5"/>
    <s v="Q2-2025"/>
    <n v="12"/>
    <n v="12"/>
    <n v="0"/>
    <d v="2025-06-08T00:00:00"/>
    <d v="2025-06-08T00:00:00"/>
    <x v="1"/>
    <x v="3"/>
    <s v="Osaka"/>
    <s v="Corporate"/>
    <x v="1"/>
    <s v="H. Kim"/>
    <s v="Accessories"/>
    <x v="46"/>
    <n v="653.6"/>
    <n v="718.96"/>
    <n v="842.09"/>
    <s v="Medium"/>
    <n v="9.8000000000000004E-2"/>
    <n v="9.8000000000000004E-2"/>
    <s v=""/>
    <n v="19"/>
    <n v="22.8"/>
    <n v="12418.4"/>
    <n v="1331102.9440700002"/>
    <n v="844024.57743000006"/>
    <n v="0.63407911551100471"/>
    <s v="A"/>
    <n v="16392.288"/>
    <n v="17318.086104000002"/>
    <n v="14431.738420000001"/>
    <n v="2013.3384200000019"/>
    <n v="925.79810400000133"/>
    <n v="0.13950768517324622"/>
  </r>
  <r>
    <s v="ORD-2025-762301"/>
    <s v="762301"/>
    <n v="2025"/>
    <d v="2023-01-20T00:00:00"/>
    <x v="17"/>
    <d v="2025-05-02T00:00:00"/>
    <s v="May-2025"/>
    <x v="5"/>
    <s v="Q2-2025"/>
    <n v="11"/>
    <n v="11"/>
    <n v="0"/>
    <d v="2025-05-13T00:00:00"/>
    <d v="2025-05-13T00:00:00"/>
    <x v="0"/>
    <x v="8"/>
    <s v="Nakuru"/>
    <s v="Small Business"/>
    <x v="4"/>
    <s v="A. Patel"/>
    <s v="Accessories"/>
    <x v="47"/>
    <n v="1057.5999999999999"/>
    <n v="1163.3599999999999"/>
    <n v="1437.06"/>
    <s v="Medium"/>
    <n v="0.20499999999999999"/>
    <n v="0.1"/>
    <s v=""/>
    <n v="4"/>
    <n v="4.8"/>
    <n v="4230.3999999999996"/>
    <n v="1331102.9440700002"/>
    <n v="848594.42823000008"/>
    <n v="0.63751224652491945"/>
    <s v="A"/>
    <n v="5584.1279999999997"/>
    <n v="6208.0991999999997"/>
    <n v="4569.8508000000002"/>
    <n v="339.45080000000053"/>
    <n v="623.97119999999995"/>
    <n v="7.4280499485891424E-2"/>
  </r>
  <r>
    <s v="ORD-2025-828263"/>
    <s v="828263"/>
    <n v="2025"/>
    <d v="2023-01-15T00:00:00"/>
    <x v="18"/>
    <d v="2025-05-17T00:00:00"/>
    <s v="May-2025"/>
    <x v="5"/>
    <s v="Q2-2025"/>
    <n v="13"/>
    <n v="13"/>
    <n v="0"/>
    <d v="2025-05-30T00:00:00"/>
    <d v="2025-05-30T00:00:00"/>
    <x v="0"/>
    <x v="0"/>
    <s v="Lagos"/>
    <s v="Consumer"/>
    <x v="2"/>
    <s v="F. Müller"/>
    <s v="Accessories"/>
    <x v="48"/>
    <n v="66.400000000000006"/>
    <n v="73.040000000000006"/>
    <n v="141.43"/>
    <s v="Low"/>
    <n v="0.107"/>
    <n v="0.1"/>
    <s v=""/>
    <n v="8"/>
    <n v="9.6"/>
    <n v="531.20000000000005"/>
    <n v="1331102.9440700002"/>
    <n v="849604.8041500001"/>
    <n v="0.63827129820045003"/>
    <s v="A"/>
    <n v="701.18400000000008"/>
    <n v="1221.9552000000001"/>
    <n v="1010.3759200000001"/>
    <n v="479.17592000000002"/>
    <n v="520.77120000000002"/>
    <n v="0.47425508715607551"/>
  </r>
  <r>
    <s v="ORD-2025-580047"/>
    <s v="580047"/>
    <n v="2025"/>
    <d v="2023-01-15T00:00:00"/>
    <x v="18"/>
    <d v="2025-06-14T00:00:00"/>
    <s v="Jun-2025"/>
    <x v="6"/>
    <s v="Q2-2025"/>
    <n v="15"/>
    <n v="15"/>
    <n v="0"/>
    <d v="2025-06-29T00:00:00"/>
    <d v="2025-06-29T00:00:00"/>
    <x v="0"/>
    <x v="0"/>
    <s v="Port Harcourt"/>
    <s v="Consumer"/>
    <x v="3"/>
    <s v="M. Rossi"/>
    <s v="Accessories"/>
    <x v="49"/>
    <n v="730.99"/>
    <n v="804.08900000000006"/>
    <n v="1242.8399999999999"/>
    <s v="Medium"/>
    <n v="0.12"/>
    <n v="0.1"/>
    <s v=""/>
    <n v="10"/>
    <n v="12"/>
    <n v="7309.9"/>
    <n v="1331102.9440700002"/>
    <n v="860541.79615000007"/>
    <n v="0.64648778667620899"/>
    <s v="A"/>
    <n v="9649.0680000000011"/>
    <n v="13422.671999999999"/>
    <n v="10936.992"/>
    <n v="3627.0920000000006"/>
    <n v="3773.6039999999975"/>
    <n v="0.33163524303574515"/>
  </r>
  <r>
    <s v="ORD-2025-411385"/>
    <s v="411385"/>
    <n v="2025"/>
    <d v="2023-01-29T00:00:00"/>
    <x v="18"/>
    <d v="2025-06-05T00:00:00"/>
    <s v="Jun-2025"/>
    <x v="6"/>
    <s v="Q2-2025"/>
    <n v="9"/>
    <n v="9"/>
    <n v="0"/>
    <d v="2025-06-14T00:00:00"/>
    <d v="2025-06-14T00:00:00"/>
    <x v="1"/>
    <x v="1"/>
    <s v="Delhi"/>
    <s v="Non-Profit"/>
    <x v="1"/>
    <s v="A. Patel"/>
    <s v="Accessories"/>
    <x v="50"/>
    <n v="618.69000000000005"/>
    <n v="680.55900000000008"/>
    <n v="796.15"/>
    <s v="Low"/>
    <n v="0.09"/>
    <n v="0.09"/>
    <s v=""/>
    <n v="11"/>
    <n v="13.2"/>
    <n v="6805.59"/>
    <n v="1331102.9440700002"/>
    <n v="868511.25765000004"/>
    <n v="0.65247489799280822"/>
    <s v="A"/>
    <n v="8983.3788000000004"/>
    <n v="9563.353799999999"/>
    <n v="7969.4615000000003"/>
    <n v="1163.8715000000002"/>
    <n v="579.97499999999854"/>
    <n v="0.14604142325049191"/>
  </r>
  <r>
    <s v="ORD-2025-703623"/>
    <s v="703623"/>
    <n v="2025"/>
    <d v="2023-03-03T00:00:00"/>
    <x v="18"/>
    <d v="2025-07-23T00:00:00"/>
    <s v="Jul-2025"/>
    <x v="7"/>
    <s v="Q3-2025"/>
    <n v="27"/>
    <n v="27"/>
    <n v="0"/>
    <d v="2025-08-19T00:00:00"/>
    <d v="2025-08-19T00:00:00"/>
    <x v="1"/>
    <x v="3"/>
    <s v="Nagoya"/>
    <s v="Consumer"/>
    <x v="3"/>
    <s v="B. Chen"/>
    <s v="Accessories"/>
    <x v="51"/>
    <n v="896.09"/>
    <n v="985.69900000000007"/>
    <n v="744.27"/>
    <s v="Low"/>
    <n v="8.3000000000000004E-2"/>
    <n v="8.3000000000000004E-2"/>
    <s v=""/>
    <n v="11"/>
    <n v="13.2"/>
    <n v="9856.99"/>
    <n v="1331102.9440700002"/>
    <n v="876018.70914000005"/>
    <n v="0.65811492119570569"/>
    <s v="A"/>
    <n v="13011.2268"/>
    <n v="9008.9417880000001"/>
    <n v="7507.4514899999995"/>
    <n v="-2349.5385100000003"/>
    <n v="-4002.2850120000003"/>
    <n v="-0.31296086469950679"/>
  </r>
  <r>
    <s v="ORD-2025-639542"/>
    <s v="639542"/>
    <n v="2025"/>
    <d v="2023-01-10T00:00:00"/>
    <x v="18"/>
    <d v="2025-06-09T00:00:00"/>
    <s v="Jun-2025"/>
    <x v="6"/>
    <s v="Q2-2025"/>
    <n v="9"/>
    <n v="9"/>
    <n v="0"/>
    <d v="2025-06-18T00:00:00"/>
    <d v="2025-06-18T00:00:00"/>
    <x v="2"/>
    <x v="5"/>
    <s v="Marseille"/>
    <s v="Small Business"/>
    <x v="3"/>
    <s v="H. Kim"/>
    <s v="Accessories"/>
    <x v="52"/>
    <n v="1225.5"/>
    <n v="1348.0500000000002"/>
    <n v="-5.27"/>
    <s v="Low"/>
    <n v="7.4999999999999997E-2"/>
    <n v="7.4999999999999997E-2"/>
    <s v=""/>
    <n v="56"/>
    <n v="67.2"/>
    <n v="68628"/>
    <n v="1331102.9440700002"/>
    <n v="875745.72314000002"/>
    <n v="0.65790983863524999"/>
    <s v="A"/>
    <n v="90588.960000000021"/>
    <n v="-327.58320000000003"/>
    <n v="-272.98599999999999"/>
    <n v="-68900.986000000004"/>
    <n v="-90916.543200000015"/>
    <n v="252.39750756449052"/>
  </r>
  <r>
    <s v="ORD-2025-649633"/>
    <s v="649633"/>
    <n v="2025"/>
    <d v="2023-01-20T00:00:00"/>
    <x v="19"/>
    <d v="2025-07-19T00:00:00"/>
    <s v="Jul-2025"/>
    <x v="7"/>
    <s v="Q3-2025"/>
    <n v="12"/>
    <n v="12"/>
    <n v="0"/>
    <d v="2025-07-31T00:00:00"/>
    <d v="2025-07-31T00:00:00"/>
    <x v="0"/>
    <x v="8"/>
    <s v="Nairobi"/>
    <s v="Small Business"/>
    <x v="3"/>
    <s v="O. Wang"/>
    <s v="Accessories"/>
    <x v="53"/>
    <n v="619.64"/>
    <n v="681.60400000000004"/>
    <n v="861.16"/>
    <s v="Medium"/>
    <n v="0.113"/>
    <n v="0.1"/>
    <s v=""/>
    <n v="14"/>
    <n v="16.8"/>
    <n v="8674.9599999999991"/>
    <n v="1331102.9440700002"/>
    <n v="886439.60802000004"/>
    <n v="0.66594369125922681"/>
    <s v="A"/>
    <n v="11450.947200000001"/>
    <n v="13020.7392"/>
    <n v="10693.88488"/>
    <n v="2018.9248800000005"/>
    <n v="1569.7919999999995"/>
    <n v="0.18879246435276761"/>
  </r>
  <r>
    <s v="ORD-2025-843974"/>
    <s v="843974"/>
    <n v="2025"/>
    <d v="2023-01-29T00:00:00"/>
    <x v="19"/>
    <d v="2025-07-20T00:00:00"/>
    <s v="Jul-2025"/>
    <x v="7"/>
    <s v="Q3-2025"/>
    <n v="16"/>
    <n v="16"/>
    <n v="0"/>
    <d v="2025-08-05T00:00:00"/>
    <d v="2025-08-05T00:00:00"/>
    <x v="3"/>
    <x v="9"/>
    <s v="Brasília"/>
    <s v="Enterprise"/>
    <x v="3"/>
    <s v="G. Dubois"/>
    <s v="Accessories"/>
    <x v="54"/>
    <n v="1068.17"/>
    <n v="1174.9870000000001"/>
    <n v="2375.37"/>
    <s v="High"/>
    <n v="0.109"/>
    <n v="0.1"/>
    <s v=""/>
    <n v="18"/>
    <n v="21.599999999999998"/>
    <n v="19227.060000000001"/>
    <n v="1331102.9440700002"/>
    <n v="924535.79208000004"/>
    <n v="0.69456370463213435"/>
    <s v="A"/>
    <n v="25379.7192"/>
    <n v="46177.19279999999"/>
    <n v="38096.18406"/>
    <n v="18869.124059999998"/>
    <n v="20797.47359999999"/>
    <n v="0.49530220744108822"/>
  </r>
  <r>
    <s v="ORD-2025-856556"/>
    <s v="856556"/>
    <n v="2025"/>
    <d v="2023-01-10T00:00:00"/>
    <x v="19"/>
    <d v="2025-06-15T00:00:00"/>
    <s v="Jun-2025"/>
    <x v="6"/>
    <s v="Q2-2025"/>
    <n v="27"/>
    <n v="27"/>
    <n v="0"/>
    <d v="2025-07-12T00:00:00"/>
    <d v="2025-07-12T00:00:00"/>
    <x v="2"/>
    <x v="5"/>
    <s v="Marseille"/>
    <s v="Consumer"/>
    <x v="0"/>
    <s v="C. Otieno"/>
    <s v="Accessories"/>
    <x v="55"/>
    <n v="318.83"/>
    <n v="350.71300000000002"/>
    <n v="699.5"/>
    <s v="Low"/>
    <n v="0.08"/>
    <n v="0.08"/>
    <s v=""/>
    <n v="13"/>
    <n v="15.6"/>
    <n v="4144.79"/>
    <n v="1331102.9440700002"/>
    <n v="932901.81208000006"/>
    <n v="0.70084873317727447"/>
    <s v="A"/>
    <n v="5471.1228000000001"/>
    <n v="10039.224"/>
    <n v="8366.02"/>
    <n v="4221.2300000000005"/>
    <n v="4568.1012000000001"/>
    <n v="0.50456848059172699"/>
  </r>
  <r>
    <s v="ORD-2025-678328"/>
    <s v="678328"/>
    <n v="2025"/>
    <d v="2023-01-22T00:00:00"/>
    <x v="19"/>
    <d v="2025-06-24T00:00:00"/>
    <s v="Jun-2025"/>
    <x v="6"/>
    <s v="Q2-2025"/>
    <n v="20"/>
    <n v="20"/>
    <n v="0"/>
    <d v="2025-07-14T00:00:00"/>
    <d v="2025-07-14T00:00:00"/>
    <x v="2"/>
    <x v="7"/>
    <s v="Berlin"/>
    <s v="Corporate"/>
    <x v="0"/>
    <s v="O. Wang"/>
    <s v="Accessories"/>
    <x v="56"/>
    <n v="385.08"/>
    <n v="423.58800000000002"/>
    <n v="893.19"/>
    <s v="Medium"/>
    <n v="0.151"/>
    <n v="0.1"/>
    <s v=""/>
    <n v="8"/>
    <n v="9.6"/>
    <n v="3080.64"/>
    <n v="1331102.9440700002"/>
    <n v="938968.35856000008"/>
    <n v="0.70540626684289076"/>
    <s v="A"/>
    <n v="4066.4448000000002"/>
    <n v="7717.1616000000004"/>
    <n v="6066.54648"/>
    <n v="2985.9064800000001"/>
    <n v="3650.7168000000001"/>
    <n v="0.49219213762621666"/>
  </r>
  <r>
    <s v="ORD-2023-957692"/>
    <s v="957692"/>
    <n v="2023"/>
    <d v="2023-01-29T00:00:00"/>
    <x v="20"/>
    <d v="2023-05-07T00:00:00"/>
    <s v="May-2023"/>
    <x v="5"/>
    <s v="Q2-2023"/>
    <n v="13"/>
    <n v="13"/>
    <n v="0"/>
    <d v="2023-05-20T00:00:00"/>
    <d v="2023-05-20T00:00:00"/>
    <x v="1"/>
    <x v="1"/>
    <s v="Mumbai"/>
    <s v="Enterprise"/>
    <x v="1"/>
    <s v="D. Smith"/>
    <s v="Accessories"/>
    <x v="57"/>
    <n v="1443.28"/>
    <n v="1587.6080000000002"/>
    <n v="2580.5700000000002"/>
    <s v="High"/>
    <n v="0"/>
    <n v="0"/>
    <s v=""/>
    <n v="18"/>
    <n v="21.599999999999998"/>
    <n v="25979.040000000001"/>
    <n v="1331102.9440700002"/>
    <n v="985418.61856000009"/>
    <n v="0.74030233570588422"/>
    <s v="A"/>
    <n v="34292.332800000004"/>
    <n v="55740.311999999998"/>
    <n v="46450.26"/>
    <n v="20471.22"/>
    <n v="21447.979199999994"/>
    <n v="0.4407127107577008"/>
  </r>
  <r>
    <s v="ORD-2025-629393"/>
    <s v="629393"/>
    <n v="2025"/>
    <d v="2023-01-15T00:00:00"/>
    <x v="21"/>
    <d v="2025-07-21T00:00:00"/>
    <s v="Jul-2025"/>
    <x v="7"/>
    <s v="Q3-2025"/>
    <n v="17"/>
    <n v="17"/>
    <n v="0"/>
    <d v="2025-08-07T00:00:00"/>
    <d v="2025-08-07T00:00:00"/>
    <x v="0"/>
    <x v="0"/>
    <s v="Lagos"/>
    <s v="Enterprise"/>
    <x v="0"/>
    <s v="M. Rossi"/>
    <s v="Accessories"/>
    <x v="58"/>
    <n v="1204.95"/>
    <n v="1325.4450000000002"/>
    <n v="2065.73"/>
    <s v="High"/>
    <n v="0.13600000000000001"/>
    <n v="0.1"/>
    <s v=""/>
    <n v="10"/>
    <n v="12"/>
    <n v="12049.5"/>
    <n v="1331102.9440700002"/>
    <n v="1003266.5257600001"/>
    <n v="0.75371069550218062"/>
    <s v="A"/>
    <n v="15905.340000000002"/>
    <n v="22309.884000000002"/>
    <n v="17847.907199999998"/>
    <n v="5798.4071999999978"/>
    <n v="6404.5439999999999"/>
    <n v="0.32487882949100039"/>
  </r>
  <r>
    <s v="ORD-2025-922513"/>
    <s v="922513"/>
    <n v="2025"/>
    <d v="2023-01-15T00:00:00"/>
    <x v="22"/>
    <d v="2025-08-28T00:00:00"/>
    <s v="Aug-2025"/>
    <x v="8"/>
    <s v="Q3-2025"/>
    <n v="-2"/>
    <n v="15"/>
    <n v="0"/>
    <d v="2025-08-26T00:00:00"/>
    <d v="2025-09-12T00:00:00"/>
    <x v="0"/>
    <x v="0"/>
    <s v="Port Harcourt"/>
    <s v="Small Business"/>
    <x v="1"/>
    <s v="A. Patel"/>
    <s v="Accessories"/>
    <x v="59"/>
    <n v="521.05999999999995"/>
    <n v="573.16599999999994"/>
    <n v="1240.31"/>
    <s v="Medium"/>
    <n v="0.14599999999999999"/>
    <n v="0.1"/>
    <s v=""/>
    <n v="18"/>
    <n v="21.599999999999998"/>
    <n v="9379.0799999999981"/>
    <n v="1331102.9440700002"/>
    <n v="1022332.5710800001"/>
    <n v="0.76803418971796489"/>
    <s v="A"/>
    <n v="12380.385599999998"/>
    <n v="24111.626399999997"/>
    <n v="19066.045319999997"/>
    <n v="9686.9653199999993"/>
    <n v="11731.2408"/>
    <n v="0.50807417885650974"/>
  </r>
  <r>
    <s v="ORD-2025-840976"/>
    <s v="840976"/>
    <n v="2025"/>
    <d v="2023-01-29T00:00:00"/>
    <x v="22"/>
    <d v="2025-09-01T00:00:00"/>
    <s v="Sept-2025"/>
    <x v="11"/>
    <s v="Q3-2025"/>
    <n v="29"/>
    <n v="29"/>
    <n v="0"/>
    <d v="2025-09-30T00:00:00"/>
    <d v="2025-09-30T00:00:00"/>
    <x v="3"/>
    <x v="9"/>
    <s v="Brasília"/>
    <s v="Education"/>
    <x v="1"/>
    <s v="K. Singh"/>
    <s v="Accessories"/>
    <x v="60"/>
    <n v="780.59"/>
    <n v="858.64900000000011"/>
    <n v="631.57000000000005"/>
    <s v="Low"/>
    <n v="0"/>
    <n v="0"/>
    <s v=""/>
    <n v="12"/>
    <n v="14.399999999999999"/>
    <n v="9367.08"/>
    <n v="1331102.9440700002"/>
    <n v="1029911.4110800001"/>
    <n v="0.77372784401702821"/>
    <s v="A"/>
    <n v="12364.545600000001"/>
    <n v="9094.6080000000002"/>
    <n v="7578.84"/>
    <n v="-1788.2399999999998"/>
    <n v="-3269.9376000000011"/>
    <n v="-0.23595167598207639"/>
  </r>
  <r>
    <s v="ORD-2025-667201"/>
    <s v="667201"/>
    <n v="2025"/>
    <d v="2023-01-29T00:00:00"/>
    <x v="22"/>
    <d v="2025-09-15T00:00:00"/>
    <s v="Sept-2025"/>
    <x v="11"/>
    <s v="Q3-2025"/>
    <n v="3"/>
    <n v="3"/>
    <n v="1"/>
    <d v="2025-09-18T00:00:00"/>
    <d v="2025-09-18T00:00:00"/>
    <x v="3"/>
    <x v="9"/>
    <s v="Rio de Janeiro"/>
    <s v="Non-Profit"/>
    <x v="0"/>
    <s v="L. Okafor"/>
    <s v="Accessories"/>
    <x v="61"/>
    <n v="5.5"/>
    <n v="6.0500000000000007"/>
    <n v="5.92"/>
    <s v="Low"/>
    <n v="0.21199999999999999"/>
    <n v="0.1"/>
    <s v=""/>
    <n v="4"/>
    <n v="4.8"/>
    <n v="22"/>
    <n v="1331102.9440700002"/>
    <n v="1029930.0709200001"/>
    <n v="0.77374186234677733"/>
    <s v="A"/>
    <n v="29.040000000000003"/>
    <n v="25.574400000000001"/>
    <n v="18.659839999999999"/>
    <n v="-3.3401600000000009"/>
    <n v="-3.465600000000002"/>
    <n v="-0.17900260666758133"/>
  </r>
  <r>
    <s v="ORD-2023-144816"/>
    <s v="144816"/>
    <n v="2023"/>
    <d v="2023-01-07T00:00:00"/>
    <x v="23"/>
    <d v="2023-05-07T00:00:00"/>
    <s v="May-2023"/>
    <x v="5"/>
    <s v="Q2-2023"/>
    <n v="22"/>
    <n v="22"/>
    <n v="0"/>
    <d v="2023-05-29T00:00:00"/>
    <d v="2023-05-29T00:00:00"/>
    <x v="0"/>
    <x v="6"/>
    <s v="Durban"/>
    <s v="Education"/>
    <x v="2"/>
    <s v="K. Singh"/>
    <s v="Accessories"/>
    <x v="62"/>
    <n v="653.86"/>
    <n v="719.24600000000009"/>
    <n v="931.84"/>
    <s v="Medium"/>
    <n v="0.121"/>
    <n v="0.1"/>
    <s v=""/>
    <n v="12"/>
    <n v="14.399999999999999"/>
    <n v="7846.32"/>
    <n v="1331102.9440700002"/>
    <n v="1039759.11924"/>
    <n v="0.78112600071397709"/>
    <s v="A"/>
    <n v="10357.142400000001"/>
    <n v="12076.6464"/>
    <n v="9829.0483199999999"/>
    <n v="1982.7283200000002"/>
    <n v="1719.503999999999"/>
    <n v="0.20172129136506273"/>
  </r>
  <r>
    <s v="ORD-2023-704111"/>
    <s v="704111"/>
    <n v="2023"/>
    <d v="2023-01-07T00:00:00"/>
    <x v="23"/>
    <d v="2023-05-17T00:00:00"/>
    <s v="May-2023"/>
    <x v="5"/>
    <s v="Q2-2023"/>
    <n v="29"/>
    <n v="29"/>
    <n v="0"/>
    <d v="2023-06-15T00:00:00"/>
    <d v="2023-06-15T00:00:00"/>
    <x v="0"/>
    <x v="6"/>
    <s v="Durban"/>
    <s v="Enterprise"/>
    <x v="1"/>
    <s v="K. Singh"/>
    <s v="Accessories"/>
    <x v="63"/>
    <n v="40.89"/>
    <n v="44.979000000000006"/>
    <n v="62.82"/>
    <s v="Low"/>
    <n v="0.129"/>
    <n v="0.1"/>
    <s v=""/>
    <n v="17"/>
    <n v="20.399999999999999"/>
    <n v="695.13"/>
    <n v="1331102.9440700002"/>
    <n v="1040689.29498"/>
    <n v="0.78182480146725009"/>
    <s v="A"/>
    <n v="917.5716000000001"/>
    <n v="1153.3751999999999"/>
    <n v="930.17574000000002"/>
    <n v="235.04574000000002"/>
    <n v="235.80359999999985"/>
    <n v="0.25268960465470752"/>
  </r>
  <r>
    <s v="ORD-2023-868460"/>
    <s v="868460"/>
    <n v="2023"/>
    <d v="2023-01-29T00:00:00"/>
    <x v="23"/>
    <d v="2023-06-01T00:00:00"/>
    <s v="Jun-2023"/>
    <x v="6"/>
    <s v="Q2-2023"/>
    <n v="0"/>
    <n v="0"/>
    <n v="1"/>
    <d v="2023-06-01T00:00:00"/>
    <d v="2023-06-01T00:00:00"/>
    <x v="1"/>
    <x v="1"/>
    <s v="Bengaluru"/>
    <s v="Corporate"/>
    <x v="1"/>
    <s v="E. Garcia"/>
    <s v="Accessories"/>
    <x v="64"/>
    <n v="669.37"/>
    <n v="736.30700000000002"/>
    <n v="997.2"/>
    <s v="Medium"/>
    <n v="8.2000000000000003E-2"/>
    <n v="8.2000000000000003E-2"/>
    <s v=""/>
    <n v="5"/>
    <n v="6"/>
    <n v="3346.85"/>
    <n v="1331102.9440700002"/>
    <n v="1045266.4429800001"/>
    <n v="0.78526341455152804"/>
    <s v="A"/>
    <n v="4417.8420000000006"/>
    <n v="5492.5776000000005"/>
    <n v="4577.1480000000001"/>
    <n v="1230.2980000000002"/>
    <n v="1074.7356"/>
    <n v="0.26879139586484863"/>
  </r>
  <r>
    <s v="ORD-2023-521280"/>
    <s v="521280"/>
    <n v="2023"/>
    <d v="2023-01-22T00:00:00"/>
    <x v="23"/>
    <d v="2023-05-27T00:00:00"/>
    <s v="May-2023"/>
    <x v="5"/>
    <s v="Q2-2023"/>
    <n v="23"/>
    <n v="23"/>
    <n v="0"/>
    <d v="2023-06-19T00:00:00"/>
    <d v="2023-06-19T00:00:00"/>
    <x v="2"/>
    <x v="7"/>
    <s v="Berlin"/>
    <s v="Education"/>
    <x v="1"/>
    <s v="O. Wang"/>
    <s v="Accessories"/>
    <x v="65"/>
    <n v="1471.58"/>
    <n v="1618.7380000000001"/>
    <n v="2576.65"/>
    <s v="High"/>
    <n v="4.0000000000000001E-3"/>
    <n v="4.0000000000000001E-3"/>
    <s v=""/>
    <n v="7"/>
    <n v="8.4"/>
    <n v="10301.06"/>
    <n v="1331102.9440700002"/>
    <n v="1063230.84678"/>
    <n v="0.79875929319865335"/>
    <s v="A"/>
    <n v="13597.399200000002"/>
    <n v="21557.28456"/>
    <n v="17964.4038"/>
    <n v="7663.3438000000006"/>
    <n v="7959.8853599999984"/>
    <n v="0.4265849223451546"/>
  </r>
  <r>
    <s v="ORD-2023-173313"/>
    <s v="173313"/>
    <n v="2023"/>
    <d v="2023-01-19T00:00:00"/>
    <x v="23"/>
    <d v="2023-06-15T00:00:00"/>
    <s v="Jun-2023"/>
    <x v="6"/>
    <s v="Q2-2023"/>
    <n v="27"/>
    <n v="27"/>
    <n v="0"/>
    <d v="2023-07-12T00:00:00"/>
    <d v="2023-07-12T00:00:00"/>
    <x v="2"/>
    <x v="2"/>
    <s v="Manchester"/>
    <s v="Consumer"/>
    <x v="0"/>
    <s v="I. Johnson"/>
    <s v="Accessories"/>
    <x v="66"/>
    <n v="751.28"/>
    <n v="826.40800000000002"/>
    <n v="1111.8800000000001"/>
    <s v="Medium"/>
    <n v="0.13500000000000001"/>
    <n v="0.1"/>
    <s v=""/>
    <n v="7"/>
    <n v="8.4"/>
    <n v="5258.96"/>
    <n v="1331102.9440700002"/>
    <n v="1069963.28018"/>
    <n v="0.80381707887179965"/>
    <s v="B"/>
    <n v="6941.8272000000006"/>
    <n v="8405.8128000000015"/>
    <n v="6732.4334000000008"/>
    <n v="1473.4734000000008"/>
    <n v="1463.9856000000009"/>
    <n v="0.21886193482433863"/>
  </r>
  <r>
    <s v="ORD-2023-479747"/>
    <s v="479747"/>
    <n v="2023"/>
    <d v="2023-01-15T00:00:00"/>
    <x v="24"/>
    <d v="2023-07-14T00:00:00"/>
    <s v="Jul-2023"/>
    <x v="7"/>
    <s v="Q3-2023"/>
    <n v="0"/>
    <n v="0"/>
    <n v="1"/>
    <d v="2023-07-14T00:00:00"/>
    <d v="2023-07-14T00:00:00"/>
    <x v="0"/>
    <x v="0"/>
    <s v="Lagos"/>
    <s v="Education"/>
    <x v="1"/>
    <s v="I. Johnson"/>
    <s v="Accessories"/>
    <x v="67"/>
    <n v="956.38"/>
    <n v="1052.018"/>
    <n v="1454.22"/>
    <s v="Medium"/>
    <n v="3.9E-2"/>
    <n v="3.9E-2"/>
    <s v=""/>
    <n v="19"/>
    <n v="22.8"/>
    <n v="18171.22"/>
    <n v="1331102.9440700002"/>
    <n v="1096515.88316"/>
    <n v="0.82376489966078559"/>
    <s v="B"/>
    <n v="23986.010400000003"/>
    <n v="31863.123575999998"/>
    <n v="26552.60298"/>
    <n v="8381.3829799999985"/>
    <n v="7877.1131759999953"/>
    <n v="0.31565202802576603"/>
  </r>
  <r>
    <s v="ORD-2023-890605"/>
    <s v="890605"/>
    <n v="2023"/>
    <d v="2023-01-02T00:00:00"/>
    <x v="24"/>
    <d v="2023-06-24T00:00:00"/>
    <s v="Jun-2023"/>
    <x v="6"/>
    <s v="Q2-2023"/>
    <n v="-2"/>
    <n v="15"/>
    <n v="0"/>
    <d v="2023-06-22T00:00:00"/>
    <d v="2023-07-09T00:00:00"/>
    <x v="3"/>
    <x v="10"/>
    <s v="Toronto"/>
    <s v="Non-Profit"/>
    <x v="1"/>
    <s v="M. Rossi"/>
    <s v="Accessories"/>
    <x v="68"/>
    <n v="471.42"/>
    <n v="518.56200000000001"/>
    <n v="824.81"/>
    <s v="Medium"/>
    <n v="8.7999999999999995E-2"/>
    <n v="8.7999999999999995E-2"/>
    <s v=""/>
    <n v="15"/>
    <n v="18"/>
    <n v="7071.3"/>
    <n v="1331102.9440700002"/>
    <n v="1107799.2839599999"/>
    <n v="0.83224163006715046"/>
    <s v="B"/>
    <n v="9334.116"/>
    <n v="13540.080959999999"/>
    <n v="11283.400799999999"/>
    <n v="4212.1007999999993"/>
    <n v="4205.9649599999993"/>
    <n v="0.37330064531608231"/>
  </r>
  <r>
    <s v="ORD-2023-399631"/>
    <s v="399631"/>
    <n v="2023"/>
    <d v="2023-01-10T00:00:00"/>
    <x v="24"/>
    <d v="2023-06-22T00:00:00"/>
    <s v="Jun-2023"/>
    <x v="6"/>
    <s v="Q2-2023"/>
    <n v="29"/>
    <n v="29"/>
    <n v="0"/>
    <d v="2023-07-21T00:00:00"/>
    <d v="2023-07-21T00:00:00"/>
    <x v="2"/>
    <x v="5"/>
    <s v="Lyon"/>
    <s v="Corporate"/>
    <x v="1"/>
    <s v="J. Njeri"/>
    <s v="Accessories"/>
    <x v="69"/>
    <n v="734.34"/>
    <n v="807.77400000000011"/>
    <n v="887.9"/>
    <s v="Medium"/>
    <n v="2.5000000000000001E-2"/>
    <n v="2.5000000000000001E-2"/>
    <s v=""/>
    <n v="12"/>
    <n v="14.399999999999999"/>
    <n v="8812.08"/>
    <n v="1331102.9440700002"/>
    <n v="1118187.7139599998"/>
    <n v="0.84004600766715487"/>
    <s v="B"/>
    <n v="11631.945600000001"/>
    <n v="12466.115999999998"/>
    <n v="10388.429999999998"/>
    <n v="1576.3499999999985"/>
    <n v="834.17039999999724"/>
    <n v="0.15174092716608753"/>
  </r>
  <r>
    <s v="ORD-2023-261081"/>
    <s v="261081"/>
    <n v="2023"/>
    <d v="2023-01-20T00:00:00"/>
    <x v="25"/>
    <d v="2023-07-24T00:00:00"/>
    <s v="Jul-2023"/>
    <x v="7"/>
    <s v="Q3-2023"/>
    <n v="26"/>
    <n v="26"/>
    <n v="0"/>
    <d v="2023-08-19T00:00:00"/>
    <d v="2023-08-19T00:00:00"/>
    <x v="0"/>
    <x v="8"/>
    <s v="Nairobi"/>
    <s v="Enterprise"/>
    <x v="2"/>
    <s v="M. Rossi"/>
    <s v="Accessories"/>
    <x v="70"/>
    <n v="661.45"/>
    <n v="727.59500000000014"/>
    <n v="1634.86"/>
    <s v="Medium"/>
    <n v="0.56499999999999995"/>
    <n v="0.1"/>
    <s v="&gt;0.3"/>
    <n v="24"/>
    <n v="28.799999999999997"/>
    <n v="15874.800000000001"/>
    <n v="1331102.9440700002"/>
    <n v="1135255.6523599999"/>
    <n v="0.8528684106796619"/>
    <s v="B"/>
    <n v="20954.736000000001"/>
    <n v="42375.571199999998"/>
    <n v="17067.938400000003"/>
    <n v="1193.1384000000016"/>
    <n v="21420.835199999998"/>
    <n v="6.9905244092045793E-2"/>
  </r>
  <r>
    <s v="ORD-2023-660608"/>
    <s v="660608"/>
    <n v="2023"/>
    <d v="2023-01-15T00:00:00"/>
    <x v="25"/>
    <d v="2023-07-25T00:00:00"/>
    <s v="Jul-2023"/>
    <x v="7"/>
    <s v="Q3-2023"/>
    <n v="16"/>
    <n v="16"/>
    <n v="0"/>
    <d v="2023-08-10T00:00:00"/>
    <d v="2023-08-10T00:00:00"/>
    <x v="0"/>
    <x v="0"/>
    <s v="Port Harcourt"/>
    <s v="Corporate"/>
    <x v="2"/>
    <s v="I. Johnson"/>
    <s v="Accessories"/>
    <x v="71"/>
    <n v="506.83"/>
    <n v="557.51300000000003"/>
    <n v="441.74"/>
    <s v="Low"/>
    <n v="0.24"/>
    <n v="0.1"/>
    <s v=""/>
    <n v="9"/>
    <n v="10.799999999999999"/>
    <n v="4561.47"/>
    <n v="1331102.9440700002"/>
    <n v="1138277.15396"/>
    <n v="0.85513833398909544"/>
    <s v="B"/>
    <n v="6021.1403999999993"/>
    <n v="4293.7127999999993"/>
    <n v="3021.5016000000001"/>
    <n v="-1539.9684000000002"/>
    <n v="-1727.4276"/>
    <n v="-0.50966989393618067"/>
  </r>
  <r>
    <s v="ORD-2023-621393"/>
    <s v="621393"/>
    <n v="2023"/>
    <d v="2023-01-07T00:00:00"/>
    <x v="25"/>
    <d v="2023-07-07T00:00:00"/>
    <s v="Jul-2023"/>
    <x v="7"/>
    <s v="Q3-2023"/>
    <n v="6"/>
    <n v="6"/>
    <n v="1"/>
    <d v="2023-07-13T00:00:00"/>
    <d v="2023-07-13T00:00:00"/>
    <x v="0"/>
    <x v="6"/>
    <s v="Cape Town"/>
    <s v="Small Business"/>
    <x v="3"/>
    <s v="B. Chen"/>
    <s v="Accessories"/>
    <x v="72"/>
    <n v="612.59"/>
    <n v="673.84900000000005"/>
    <n v="1424.74"/>
    <s v="Medium"/>
    <n v="4.3999999999999997E-2"/>
    <n v="4.3999999999999997E-2"/>
    <s v=""/>
    <n v="15"/>
    <n v="18"/>
    <n v="9188.85"/>
    <n v="1331102.9440700002"/>
    <n v="1158707.9255600001"/>
    <n v="0.87048708796114405"/>
    <s v="B"/>
    <n v="12129.282000000001"/>
    <n v="24516.925919999998"/>
    <n v="20430.771599999996"/>
    <n v="11241.921599999996"/>
    <n v="12387.643919999997"/>
    <n v="0.55024459281802152"/>
  </r>
  <r>
    <s v="ORD-2023-253245"/>
    <s v="253245"/>
    <n v="2023"/>
    <d v="2023-01-29T00:00:00"/>
    <x v="25"/>
    <d v="2023-08-03T00:00:00"/>
    <s v="Aug-2023"/>
    <x v="8"/>
    <s v="Q3-2023"/>
    <n v="11"/>
    <n v="11"/>
    <n v="0"/>
    <d v="2023-08-14T00:00:00"/>
    <d v="2023-08-14T00:00:00"/>
    <x v="3"/>
    <x v="9"/>
    <s v="Brasília"/>
    <s v="Corporate"/>
    <x v="0"/>
    <s v="J. Njeri"/>
    <s v="Accessories"/>
    <x v="73"/>
    <n v="232.73"/>
    <n v="256.00299999999999"/>
    <n v="334.19"/>
    <s v="Low"/>
    <n v="0.13400000000000001"/>
    <n v="0.1"/>
    <s v=""/>
    <n v="25"/>
    <n v="30"/>
    <n v="5818.25"/>
    <n v="1331102.9440700002"/>
    <n v="1165943.1390600002"/>
    <n v="0.87592259055110722"/>
    <s v="B"/>
    <n v="7680.0899999999992"/>
    <n v="9023.130000000001"/>
    <n v="7235.2134999999998"/>
    <n v="1416.9634999999998"/>
    <n v="1343.0400000000018"/>
    <n v="0.1958426658729559"/>
  </r>
  <r>
    <s v="ORD-2023-912395"/>
    <s v="912395"/>
    <n v="2023"/>
    <d v="2023-01-13T00:00:00"/>
    <x v="25"/>
    <d v="2023-07-26T00:00:00"/>
    <s v="Jul-2023"/>
    <x v="7"/>
    <s v="Q3-2023"/>
    <n v="30"/>
    <n v="30"/>
    <n v="0"/>
    <d v="2023-08-25T00:00:00"/>
    <d v="2023-08-25T00:00:00"/>
    <x v="3"/>
    <x v="11"/>
    <s v="New York"/>
    <s v="Consumer"/>
    <x v="1"/>
    <s v="M. Rossi"/>
    <s v="Accessories"/>
    <x v="74"/>
    <n v="1261.48"/>
    <n v="1387.6280000000002"/>
    <n v="1643.18"/>
    <s v="High"/>
    <n v="0.151"/>
    <n v="0.1"/>
    <s v=""/>
    <n v="23"/>
    <n v="27.599999999999998"/>
    <n v="29014.04"/>
    <n v="1331102.9440700002"/>
    <n v="1198029.5149200002"/>
    <n v="0.90002769527117665"/>
    <s v="B"/>
    <n v="38298.532800000001"/>
    <n v="40816.591199999995"/>
    <n v="32086.37586"/>
    <n v="3072.3358599999992"/>
    <n v="2518.0583999999944"/>
    <n v="9.5752037357079045E-2"/>
  </r>
  <r>
    <s v="ORD-2023-755337"/>
    <s v="755337"/>
    <n v="2023"/>
    <d v="2023-01-20T00:00:00"/>
    <x v="26"/>
    <d v="2023-09-08T00:00:00"/>
    <s v="Sept-2023"/>
    <x v="11"/>
    <s v="Q3-2023"/>
    <n v="6"/>
    <n v="6"/>
    <n v="1"/>
    <d v="2023-09-14T00:00:00"/>
    <d v="2023-09-14T00:00:00"/>
    <x v="0"/>
    <x v="8"/>
    <s v="Nakuru"/>
    <s v="Education"/>
    <x v="0"/>
    <s v="I. Johnson"/>
    <s v="Accessories"/>
    <x v="75"/>
    <n v="251.03"/>
    <n v="276.13300000000004"/>
    <n v="411.48"/>
    <s v="Low"/>
    <n v="0.16500000000000001"/>
    <n v="0.1"/>
    <s v=""/>
    <n v="3"/>
    <n v="3.5999999999999996"/>
    <n v="753.09"/>
    <n v="1331102.9440700002"/>
    <n v="1199060.2723200002"/>
    <n v="0.90080205867003471"/>
    <s v="B"/>
    <n v="994.0788"/>
    <n v="1333.1952000000001"/>
    <n v="1030.7574"/>
    <n v="277.66739999999993"/>
    <n v="339.11640000000011"/>
    <n v="0.26938191275658069"/>
  </r>
  <r>
    <s v="ORD-2023-944052"/>
    <s v="944052"/>
    <n v="2023"/>
    <d v="2023-01-29T00:00:00"/>
    <x v="26"/>
    <d v="2023-08-30T00:00:00"/>
    <s v="Aug-2023"/>
    <x v="8"/>
    <s v="Q3-2023"/>
    <n v="4"/>
    <n v="4"/>
    <n v="1"/>
    <d v="2023-09-03T00:00:00"/>
    <d v="2023-09-03T00:00:00"/>
    <x v="1"/>
    <x v="1"/>
    <s v="Delhi"/>
    <s v="Small Business"/>
    <x v="3"/>
    <s v="L. Okafor"/>
    <s v="Accessories"/>
    <x v="76"/>
    <n v="1082.25"/>
    <n v="1190.4750000000001"/>
    <n v="2433.34"/>
    <s v="High"/>
    <n v="0.27"/>
    <n v="0.1"/>
    <s v=""/>
    <n v="4"/>
    <n v="4.8"/>
    <n v="4329"/>
    <n v="1331102.9440700002"/>
    <n v="1206165.6251200002"/>
    <n v="0.90614000253955584"/>
    <s v="B"/>
    <n v="5714.2800000000007"/>
    <n v="10512.028800000002"/>
    <n v="7105.3528000000006"/>
    <n v="2776.3528000000006"/>
    <n v="4797.7488000000012"/>
    <n v="0.3907410199251472"/>
  </r>
  <r>
    <s v="ORD-2023-842820"/>
    <s v="842820"/>
    <n v="2023"/>
    <d v="2023-01-29T00:00:00"/>
    <x v="26"/>
    <d v="2023-09-20T00:00:00"/>
    <s v="Sept-2023"/>
    <x v="11"/>
    <s v="Q3-2023"/>
    <n v="8"/>
    <n v="8"/>
    <n v="0"/>
    <d v="2023-09-28T00:00:00"/>
    <d v="2023-09-28T00:00:00"/>
    <x v="1"/>
    <x v="1"/>
    <s v="Delhi"/>
    <s v="Corporate"/>
    <x v="3"/>
    <s v="B. Chen"/>
    <s v="Accessories"/>
    <x v="77"/>
    <n v="1362.06"/>
    <n v="1498.2660000000001"/>
    <n v="3398.37"/>
    <s v="High"/>
    <n v="0.157"/>
    <n v="0.1"/>
    <s v=""/>
    <n v="11"/>
    <n v="13.2"/>
    <n v="14982.66"/>
    <n v="1331102.9440700002"/>
    <n v="1237678.7101300003"/>
    <n v="0.92981441866972014"/>
    <s v="B"/>
    <n v="19777.111199999999"/>
    <n v="40372.635600000001"/>
    <n v="31513.085009999999"/>
    <n v="16530.425009999999"/>
    <n v="20595.524400000002"/>
    <n v="0.52455749745714919"/>
  </r>
  <r>
    <s v="ORD-2023-375011"/>
    <s v="375011"/>
    <n v="2023"/>
    <d v="2023-01-19T00:00:00"/>
    <x v="26"/>
    <d v="2023-08-23T00:00:00"/>
    <s v="Aug-2023"/>
    <x v="8"/>
    <s v="Q3-2023"/>
    <n v="30"/>
    <n v="30"/>
    <n v="0"/>
    <d v="2023-09-22T00:00:00"/>
    <d v="2023-09-22T00:00:00"/>
    <x v="2"/>
    <x v="2"/>
    <s v="London"/>
    <s v="Consumer"/>
    <x v="2"/>
    <s v="O. Wang"/>
    <s v="Accessories"/>
    <x v="78"/>
    <n v="209.81"/>
    <n v="230.79100000000003"/>
    <n v="523"/>
    <s v="Low"/>
    <n v="5.8999999999999997E-2"/>
    <n v="5.8999999999999997E-2"/>
    <s v=""/>
    <n v="15"/>
    <n v="18"/>
    <n v="3147.15"/>
    <n v="1331102.9440700002"/>
    <n v="1245060.8551300003"/>
    <n v="0.93536030453293395"/>
    <s v="B"/>
    <n v="4154.2380000000003"/>
    <n v="8858.5740000000005"/>
    <n v="7382.1450000000004"/>
    <n v="4234.9950000000008"/>
    <n v="4704.3360000000002"/>
    <n v="0.57368082041195356"/>
  </r>
  <r>
    <s v="ORD-2023-888140"/>
    <s v="888140"/>
    <n v="2023"/>
    <d v="2023-01-29T00:00:00"/>
    <x v="27"/>
    <d v="2023-10-11T00:00:00"/>
    <s v="Oct-2023"/>
    <x v="9"/>
    <s v="Q4-2023"/>
    <n v="2"/>
    <n v="2"/>
    <n v="1"/>
    <d v="2023-10-13T00:00:00"/>
    <d v="2023-10-13T00:00:00"/>
    <x v="3"/>
    <x v="9"/>
    <s v="Brasília"/>
    <s v="Consumer"/>
    <x v="2"/>
    <s v="L. Okafor"/>
    <s v="Accessories"/>
    <x v="79"/>
    <n v="715.94"/>
    <n v="787.53400000000011"/>
    <n v="550.07000000000005"/>
    <s v="Low"/>
    <n v="0.14000000000000001"/>
    <n v="0.1"/>
    <s v=""/>
    <n v="16"/>
    <n v="19.2"/>
    <n v="11455.04"/>
    <n v="1331102.9440700002"/>
    <n v="1252629.8183300004"/>
    <n v="0.94104653881986078"/>
    <s v="B"/>
    <n v="15120.652800000002"/>
    <n v="9505.209600000002"/>
    <n v="7568.9632000000001"/>
    <n v="-3886.0768000000007"/>
    <n v="-5615.4431999999997"/>
    <n v="-0.51342260456491595"/>
  </r>
  <r>
    <s v="ORD-2023-406606"/>
    <s v="406606"/>
    <n v="2023"/>
    <d v="2023-01-29T00:00:00"/>
    <x v="27"/>
    <d v="2023-10-25T00:00:00"/>
    <s v="Oct-2023"/>
    <x v="9"/>
    <s v="Q4-2023"/>
    <n v="3"/>
    <n v="3"/>
    <n v="1"/>
    <d v="2023-10-28T00:00:00"/>
    <d v="2023-10-28T00:00:00"/>
    <x v="3"/>
    <x v="9"/>
    <s v="Brasília"/>
    <s v="Corporate"/>
    <x v="2"/>
    <s v="L. Okafor"/>
    <s v="Accessories"/>
    <x v="80"/>
    <n v="509.31"/>
    <n v="560.2410000000001"/>
    <n v="1145.9000000000001"/>
    <s v="Medium"/>
    <n v="5.7000000000000002E-2"/>
    <n v="5.7000000000000002E-2"/>
    <s v=""/>
    <n v="8"/>
    <n v="9.6"/>
    <n v="4074.48"/>
    <n v="1331102.9440700002"/>
    <n v="1261274.4879300003"/>
    <n v="0.94754090474288089"/>
    <s v="B"/>
    <n v="5378.3136000000004"/>
    <n v="10373.603520000001"/>
    <n v="8644.6696000000011"/>
    <n v="4570.1896000000015"/>
    <n v="4995.2899200000002"/>
    <n v="0.52867140231709964"/>
  </r>
  <r>
    <s v="ORD-2023-488227"/>
    <s v="488227"/>
    <n v="2023"/>
    <d v="2023-01-02T00:00:00"/>
    <x v="27"/>
    <d v="2023-09-08T00:00:00"/>
    <s v="Sept-2023"/>
    <x v="11"/>
    <s v="Q3-2023"/>
    <n v="24"/>
    <n v="24"/>
    <n v="0"/>
    <d v="2023-10-02T00:00:00"/>
    <d v="2023-10-02T00:00:00"/>
    <x v="3"/>
    <x v="10"/>
    <s v="Toronto"/>
    <s v="Education"/>
    <x v="0"/>
    <s v="A. Patel"/>
    <s v="Accessories"/>
    <x v="81"/>
    <n v="1299.03"/>
    <n v="1428.933"/>
    <n v="2451.2199999999998"/>
    <s v="High"/>
    <n v="0.20799999999999999"/>
    <n v="0.1"/>
    <s v=""/>
    <n v="8"/>
    <n v="9.6"/>
    <n v="10392.24"/>
    <n v="1331102.9440700002"/>
    <n v="1276805.4178500003"/>
    <n v="0.95920861984274564"/>
    <s v="C"/>
    <n v="13717.756799999999"/>
    <n v="21178.540799999995"/>
    <n v="15530.929919999999"/>
    <n v="5138.6899199999989"/>
    <n v="7460.783999999996"/>
    <n v="0.3308681416032041"/>
  </r>
  <r>
    <s v="ORD-2023-271918"/>
    <s v="271918"/>
    <n v="2023"/>
    <d v="2023-01-13T00:00:00"/>
    <x v="27"/>
    <d v="2023-09-25T00:00:00"/>
    <s v="Sept-2023"/>
    <x v="11"/>
    <s v="Q3-2023"/>
    <n v="7"/>
    <n v="7"/>
    <n v="1"/>
    <d v="2023-10-02T00:00:00"/>
    <d v="2023-10-02T00:00:00"/>
    <x v="3"/>
    <x v="11"/>
    <s v="New York"/>
    <s v="Education"/>
    <x v="3"/>
    <s v="I. Johnson"/>
    <s v="Accessories"/>
    <x v="82"/>
    <n v="145.58000000000001"/>
    <n v="160.13800000000003"/>
    <n v="228.15"/>
    <s v="Low"/>
    <n v="0.20399999999999999"/>
    <n v="0.1"/>
    <s v=""/>
    <n v="5"/>
    <n v="6"/>
    <n v="727.90000000000009"/>
    <n v="1331102.9440700002"/>
    <n v="1277713.4548500003"/>
    <n v="0.9598907887193493"/>
    <s v="C"/>
    <n v="960.8280000000002"/>
    <n v="1232.0100000000002"/>
    <n v="908.03700000000003"/>
    <n v="180.13699999999994"/>
    <n v="271.18200000000002"/>
    <n v="0.19838068272548359"/>
  </r>
  <r>
    <s v="ORD-2023-302041"/>
    <s v="302041"/>
    <n v="2023"/>
    <d v="2023-01-13T00:00:00"/>
    <x v="27"/>
    <d v="2023-10-04T00:00:00"/>
    <s v="Oct-2023"/>
    <x v="9"/>
    <s v="Q4-2023"/>
    <n v="25"/>
    <n v="25"/>
    <n v="0"/>
    <d v="2023-10-29T00:00:00"/>
    <d v="2023-10-29T00:00:00"/>
    <x v="3"/>
    <x v="11"/>
    <s v="San Francisco"/>
    <s v="Small Business"/>
    <x v="2"/>
    <s v="O. Wang"/>
    <s v="Accessories"/>
    <x v="83"/>
    <n v="1239.8399999999999"/>
    <n v="1363.8240000000001"/>
    <n v="1482.75"/>
    <s v="Medium"/>
    <n v="6.7000000000000004E-2"/>
    <n v="6.7000000000000004E-2"/>
    <s v=""/>
    <n v="4"/>
    <n v="4.8"/>
    <n v="4959.3599999999997"/>
    <n v="1331102.9440700002"/>
    <n v="1283247.0778500002"/>
    <n v="0.96404796005207893"/>
    <s v="C"/>
    <n v="6546.3552"/>
    <n v="6640.3476000000001"/>
    <n v="5533.6230000000005"/>
    <n v="574.26300000000083"/>
    <n v="93.992400000000089"/>
    <n v="0.10377703721413634"/>
  </r>
  <r>
    <s v="ORD-2023-842488"/>
    <s v="842488"/>
    <n v="2023"/>
    <d v="2023-01-20T00:00:00"/>
    <x v="28"/>
    <d v="2023-10-31T00:00:00"/>
    <s v="Oct-2023"/>
    <x v="9"/>
    <s v="Q4-2023"/>
    <n v="2"/>
    <n v="2"/>
    <n v="1"/>
    <d v="2023-11-02T00:00:00"/>
    <d v="2023-11-02T00:00:00"/>
    <x v="0"/>
    <x v="8"/>
    <s v="Kisumu"/>
    <s v="Education"/>
    <x v="1"/>
    <s v="O. Wang"/>
    <s v="Accessories"/>
    <x v="84"/>
    <n v="867.89"/>
    <n v="954.67900000000009"/>
    <n v="1349.94"/>
    <s v="Medium"/>
    <n v="0.184"/>
    <n v="0.1"/>
    <s v=""/>
    <n v="10"/>
    <n v="12"/>
    <n v="8678.9"/>
    <n v="1331102.9440700002"/>
    <n v="1294262.5882500003"/>
    <n v="0.97232343600160909"/>
    <s v="C"/>
    <n v="11456.148000000001"/>
    <n v="14579.352000000001"/>
    <n v="11015.510400000003"/>
    <n v="2336.6104000000032"/>
    <n v="3123.2039999999997"/>
    <n v="0.21212003031652557"/>
  </r>
  <r>
    <s v="ORD-2023-653343"/>
    <s v="653343"/>
    <n v="2023"/>
    <d v="2023-01-29T00:00:00"/>
    <x v="28"/>
    <d v="2023-11-10T00:00:00"/>
    <s v="Nov-2023"/>
    <x v="10"/>
    <s v="Q4-2023"/>
    <n v="18"/>
    <n v="18"/>
    <n v="0"/>
    <d v="2023-11-28T00:00:00"/>
    <d v="2023-11-28T00:00:00"/>
    <x v="3"/>
    <x v="9"/>
    <s v="Brasília"/>
    <s v="Education"/>
    <x v="3"/>
    <s v="L. Okafor"/>
    <s v="Accessories"/>
    <x v="85"/>
    <n v="388.51"/>
    <n v="427.36100000000005"/>
    <n v="776.46"/>
    <s v="Low"/>
    <n v="0.157"/>
    <n v="0.1"/>
    <s v=""/>
    <n v="12"/>
    <n v="14.399999999999999"/>
    <n v="4662.12"/>
    <n v="1331102.9440700002"/>
    <n v="1302117.2576100002"/>
    <n v="0.97822430895436763"/>
    <s v="C"/>
    <n v="6153.9984000000004"/>
    <n v="10062.9216"/>
    <n v="7854.6693599999999"/>
    <n v="3192.54936"/>
    <n v="3908.9231999999993"/>
    <n v="0.40645241876864946"/>
  </r>
  <r>
    <s v="ORD-2023-667815"/>
    <s v="667815"/>
    <n v="2023"/>
    <d v="2023-01-19T00:00:00"/>
    <x v="28"/>
    <d v="2023-10-21T00:00:00"/>
    <s v="Oct-2023"/>
    <x v="9"/>
    <s v="Q4-2023"/>
    <n v="19"/>
    <n v="19"/>
    <n v="0"/>
    <d v="2023-11-09T00:00:00"/>
    <d v="2023-11-09T00:00:00"/>
    <x v="2"/>
    <x v="2"/>
    <s v="London"/>
    <s v="Non-Profit"/>
    <x v="0"/>
    <s v="A. Patel"/>
    <s v="Accessories"/>
    <x v="86"/>
    <n v="1142.48"/>
    <n v="1256.7280000000001"/>
    <n v="2105.5300000000002"/>
    <s v="High"/>
    <n v="0.20699999999999999"/>
    <n v="0.1"/>
    <s v=""/>
    <n v="14"/>
    <n v="16.8"/>
    <n v="15994.720000000001"/>
    <n v="1331102.9440700002"/>
    <n v="1325492.8516700002"/>
    <n v="0.99578538051846954"/>
    <s v="C"/>
    <n v="21113.030400000003"/>
    <n v="31835.613600000004"/>
    <n v="23375.594060000003"/>
    <n v="7380.8740600000019"/>
    <n v="10722.583200000001"/>
    <n v="0.31575129346680658"/>
  </r>
  <r>
    <s v="ORD-2023-181257"/>
    <s v="181257"/>
    <n v="2023"/>
    <d v="2023-01-19T00:00:00"/>
    <x v="28"/>
    <d v="2023-11-15T00:00:00"/>
    <s v="Nov-2023"/>
    <x v="10"/>
    <s v="Q4-2023"/>
    <n v="21"/>
    <n v="21"/>
    <n v="0"/>
    <d v="2023-12-06T00:00:00"/>
    <d v="2023-12-06T00:00:00"/>
    <x v="2"/>
    <x v="2"/>
    <s v="Manchester"/>
    <s v="Education"/>
    <x v="0"/>
    <s v="H. Kim"/>
    <s v="Accessories"/>
    <x v="87"/>
    <n v="1184.99"/>
    <n v="1303.489"/>
    <n v="1154.3399999999999"/>
    <s v="Medium"/>
    <n v="2.8000000000000001E-2"/>
    <n v="2.8000000000000001E-2"/>
    <s v=""/>
    <n v="5"/>
    <n v="6"/>
    <n v="5924.95"/>
    <n v="1331102.9440700002"/>
    <n v="1331102.9440700002"/>
    <n v="1"/>
    <s v="C"/>
    <n v="7820.9340000000002"/>
    <n v="6732.1108799999993"/>
    <n v="5610.0923999999995"/>
    <n v="-314.85760000000028"/>
    <n v="-1088.8231200000009"/>
    <n v="-5.6123424990290764E-2"/>
  </r>
  <r>
    <s v="ORD-2023-271836"/>
    <s v="271836"/>
    <n v="2023"/>
    <d v="2023-01-29T00:00:00"/>
    <x v="0"/>
    <d v="2023-02-07T00:00:00"/>
    <s v="Feb-2023"/>
    <x v="0"/>
    <s v="Q1-2023"/>
    <n v="5"/>
    <n v="5"/>
    <n v="1"/>
    <d v="2023-02-12T00:00:00"/>
    <d v="2023-02-12T00:00:00"/>
    <x v="3"/>
    <x v="9"/>
    <s v="São Paulo"/>
    <s v="Education"/>
    <x v="4"/>
    <s v="N. Brown"/>
    <s v="Components"/>
    <x v="88"/>
    <n v="948.55"/>
    <n v="1043.405"/>
    <n v="2089.16"/>
    <s v="High"/>
    <n v="7.0000000000000001E-3"/>
    <n v="7.0000000000000001E-3"/>
    <s v=""/>
    <n v="12"/>
    <n v="14.399999999999999"/>
    <n v="11382.599999999999"/>
    <n v="1545646.9975799995"/>
    <n v="24894.430559999997"/>
    <n v="1.6106155285765054E-2"/>
    <s v="A"/>
    <n v="15025.031999999997"/>
    <n v="29873.316671999994"/>
    <n v="24894.430559999997"/>
    <n v="13511.830559999999"/>
    <n v="14848.284671999996"/>
    <n v="0.54276519912492427"/>
  </r>
  <r>
    <s v="ORD-2023-286994"/>
    <s v="286994"/>
    <n v="2023"/>
    <d v="2023-01-13T00:00:00"/>
    <x v="1"/>
    <d v="2023-02-24T00:00:00"/>
    <s v="Feb-2023"/>
    <x v="0"/>
    <s v="Q1-2023"/>
    <n v="13"/>
    <n v="13"/>
    <n v="0"/>
    <d v="2023-03-09T00:00:00"/>
    <d v="2023-03-09T00:00:00"/>
    <x v="3"/>
    <x v="11"/>
    <s v="New York"/>
    <s v="Enterprise"/>
    <x v="4"/>
    <s v="M. Rossi"/>
    <s v="Components"/>
    <x v="89"/>
    <n v="6.85"/>
    <n v="7.5350000000000001"/>
    <n v="10.18"/>
    <s v="Low"/>
    <n v="4.7E-2"/>
    <n v="4.7E-2"/>
    <s v=""/>
    <n v="10"/>
    <n v="12"/>
    <n v="68.5"/>
    <n v="1545646.9975799995"/>
    <n v="24991.445959999997"/>
    <n v="1.6168922140132123E-2"/>
    <s v="A"/>
    <n v="90.42"/>
    <n v="116.41847999999999"/>
    <n v="97.0154"/>
    <n v="28.5154"/>
    <n v="25.998479999999986"/>
    <n v="0.2939265312517394"/>
  </r>
  <r>
    <s v="ORD-2023-752962"/>
    <s v="752962"/>
    <n v="2023"/>
    <d v="2023-03-03T00:00:00"/>
    <x v="1"/>
    <d v="2023-04-21T00:00:00"/>
    <s v="Apr-2023"/>
    <x v="2"/>
    <s v="Q2-2023"/>
    <n v="-2"/>
    <n v="15"/>
    <n v="0"/>
    <d v="2023-04-19T00:00:00"/>
    <d v="2023-05-06T00:00:00"/>
    <x v="1"/>
    <x v="3"/>
    <s v="Nagoya"/>
    <s v="Small Business"/>
    <x v="0"/>
    <s v="M. Rossi"/>
    <s v="Components"/>
    <x v="90"/>
    <n v="607.04"/>
    <n v="667.74400000000003"/>
    <n v="1229.3399999999999"/>
    <s v="Medium"/>
    <n v="0.14699999999999999"/>
    <n v="0.1"/>
    <s v=""/>
    <n v="7"/>
    <n v="8.4"/>
    <n v="4249.28"/>
    <n v="1545646.9975799995"/>
    <n v="32331.835099999997"/>
    <n v="2.0917994309581394E-2"/>
    <s v="A"/>
    <n v="5609.0496000000003"/>
    <n v="9293.8104000000003"/>
    <n v="7340.3891399999993"/>
    <n v="3091.1091399999996"/>
    <n v="3684.7608"/>
    <n v="0.42110970972310058"/>
  </r>
  <r>
    <s v="ORD-2023-799597"/>
    <s v="799597"/>
    <n v="2023"/>
    <d v="2023-01-22T00:00:00"/>
    <x v="1"/>
    <d v="2023-03-14T00:00:00"/>
    <s v="Mar-2023"/>
    <x v="4"/>
    <s v="Q1-2023"/>
    <n v="4"/>
    <n v="4"/>
    <n v="1"/>
    <d v="2023-03-18T00:00:00"/>
    <d v="2023-03-18T00:00:00"/>
    <x v="2"/>
    <x v="7"/>
    <s v="Frankfurt"/>
    <s v="Enterprise"/>
    <x v="0"/>
    <s v="A. Patel"/>
    <s v="Components"/>
    <x v="91"/>
    <n v="472.33"/>
    <n v="519.56299999999999"/>
    <n v="360.34"/>
    <s v="Low"/>
    <n v="0.16500000000000001"/>
    <n v="0.1"/>
    <s v=""/>
    <n v="14"/>
    <n v="16.8"/>
    <n v="6612.62"/>
    <n v="1545646.9975799995"/>
    <n v="36544.209699999992"/>
    <n v="2.364330908494424E-2"/>
    <s v="A"/>
    <n v="8728.6584000000003"/>
    <n v="5448.3407999999999"/>
    <n v="4212.3745999999992"/>
    <n v="-2400.2454000000007"/>
    <n v="-3280.3176000000003"/>
    <n v="-0.56980815523861561"/>
  </r>
  <r>
    <s v="ORD-2023-249805"/>
    <s v="249805"/>
    <n v="2023"/>
    <d v="2023-01-29T00:00:00"/>
    <x v="29"/>
    <d v="2023-12-22T00:00:00"/>
    <s v="Dec-2023"/>
    <x v="3"/>
    <s v="Q4-2023"/>
    <n v="25"/>
    <n v="25"/>
    <n v="0"/>
    <d v="2024-01-16T00:00:00"/>
    <d v="2024-01-16T00:00:00"/>
    <x v="1"/>
    <x v="1"/>
    <s v="Hyderabad"/>
    <s v="Small Business"/>
    <x v="1"/>
    <s v="A. Patel"/>
    <s v="Components"/>
    <x v="92"/>
    <n v="1346.81"/>
    <n v="1481.491"/>
    <n v="978.09"/>
    <s v="Medium"/>
    <n v="0.159"/>
    <n v="0.1"/>
    <s v=""/>
    <n v="17"/>
    <n v="20.399999999999999"/>
    <n v="22895.77"/>
    <n v="1545646.9975799995"/>
    <n v="50527.962429999992"/>
    <n v="3.2690493048613947E-2"/>
    <s v="A"/>
    <n v="30222.416399999998"/>
    <n v="17957.732400000001"/>
    <n v="13983.752729999998"/>
    <n v="-8912.0172700000021"/>
    <n v="-12264.683999999997"/>
    <n v="-0.6373122753293996"/>
  </r>
  <r>
    <s v="ORD-2023-961864"/>
    <s v="961864"/>
    <n v="2023"/>
    <d v="2023-01-22T00:00:00"/>
    <x v="29"/>
    <d v="2023-12-07T00:00:00"/>
    <s v="Dec-2023"/>
    <x v="3"/>
    <s v="Q4-2023"/>
    <n v="26"/>
    <n v="26"/>
    <n v="0"/>
    <d v="2024-01-02T00:00:00"/>
    <d v="2024-01-02T00:00:00"/>
    <x v="2"/>
    <x v="7"/>
    <s v="Frankfurt"/>
    <s v="Enterprise"/>
    <x v="2"/>
    <s v="E. Garcia"/>
    <s v="Components"/>
    <x v="93"/>
    <n v="1071.99"/>
    <n v="1179.1890000000001"/>
    <n v="2397.3000000000002"/>
    <s v="High"/>
    <n v="6.2E-2"/>
    <n v="6.2E-2"/>
    <s v=""/>
    <n v="18"/>
    <n v="21.599999999999998"/>
    <n v="19295.82"/>
    <n v="1545646.9975799995"/>
    <n v="91003.975630000001"/>
    <n v="5.8877593507756822E-2"/>
    <s v="A"/>
    <n v="25470.482400000001"/>
    <n v="48571.215839999997"/>
    <n v="40476.013200000001"/>
    <n v="21180.193200000002"/>
    <n v="23100.733439999996"/>
    <n v="0.52327765324476183"/>
  </r>
  <r>
    <s v="ORD-2023-208944"/>
    <s v="208944"/>
    <n v="2023"/>
    <d v="2023-01-15T00:00:00"/>
    <x v="2"/>
    <d v="2023-12-21T00:00:00"/>
    <s v="Dec-2023"/>
    <x v="3"/>
    <s v="Q4-2023"/>
    <n v="16"/>
    <n v="16"/>
    <n v="0"/>
    <d v="2024-01-06T00:00:00"/>
    <d v="2024-01-06T00:00:00"/>
    <x v="0"/>
    <x v="0"/>
    <s v="Port Harcourt"/>
    <s v="Corporate"/>
    <x v="3"/>
    <s v="K. Singh"/>
    <s v="Components"/>
    <x v="94"/>
    <n v="932.61"/>
    <n v="1025.8710000000001"/>
    <n v="1982.98"/>
    <s v="High"/>
    <n v="0.14399999999999999"/>
    <n v="0.1"/>
    <s v=""/>
    <n v="16"/>
    <n v="19.2"/>
    <n v="14921.76"/>
    <n v="1545646.9975799995"/>
    <n v="118162.86971"/>
    <n v="7.6448807454099252E-2"/>
    <s v="A"/>
    <n v="19696.7232"/>
    <n v="34265.894400000005"/>
    <n v="27158.894079999998"/>
    <n v="12237.134079999998"/>
    <n v="14569.171200000004"/>
    <n v="0.45057556629345635"/>
  </r>
  <r>
    <s v="ORD-2023-841426"/>
    <s v="841426"/>
    <n v="2023"/>
    <d v="2023-01-07T00:00:00"/>
    <x v="2"/>
    <d v="2023-12-22T00:00:00"/>
    <s v="Dec-2023"/>
    <x v="3"/>
    <s v="Q4-2023"/>
    <n v="1"/>
    <n v="1"/>
    <n v="1"/>
    <d v="2023-12-23T00:00:00"/>
    <d v="2023-12-23T00:00:00"/>
    <x v="0"/>
    <x v="6"/>
    <s v="Cape Town"/>
    <s v="Non-Profit"/>
    <x v="3"/>
    <s v="D. Smith"/>
    <s v="Components"/>
    <x v="95"/>
    <n v="1186.18"/>
    <n v="1304.7980000000002"/>
    <n v="1285.0899999999999"/>
    <s v="Medium"/>
    <n v="7.0000000000000007E-2"/>
    <n v="7.0000000000000007E-2"/>
    <s v=""/>
    <n v="11"/>
    <n v="13.2"/>
    <n v="13047.980000000001"/>
    <n v="1545646.9975799995"/>
    <n v="131309.34041"/>
    <n v="8.4954288149615934E-2"/>
    <s v="A"/>
    <n v="17223.333600000002"/>
    <n v="15775.764839999998"/>
    <n v="13146.470699999998"/>
    <n v="98.49069999999665"/>
    <n v="-1447.5687600000037"/>
    <n v="7.4917977796121861E-3"/>
  </r>
  <r>
    <s v="ORD-2024-153053"/>
    <s v="153053"/>
    <n v="2024"/>
    <d v="2023-01-29T00:00:00"/>
    <x v="2"/>
    <d v="2024-01-12T00:00:00"/>
    <s v="Jan-2024"/>
    <x v="1"/>
    <s v="Q1-2024"/>
    <n v="17"/>
    <n v="17"/>
    <n v="0"/>
    <d v="2024-01-29T00:00:00"/>
    <d v="2024-01-29T00:00:00"/>
    <x v="1"/>
    <x v="1"/>
    <s v="Hyderabad"/>
    <s v="Small Business"/>
    <x v="0"/>
    <s v="B. Chen"/>
    <s v="Components"/>
    <x v="96"/>
    <n v="310.02"/>
    <n v="341.02199999999999"/>
    <n v="619.51"/>
    <s v="Low"/>
    <n v="4.2000000000000003E-2"/>
    <n v="4.2000000000000003E-2"/>
    <s v=""/>
    <n v="4"/>
    <n v="4.8"/>
    <n v="1240.08"/>
    <n v="1545646.9975799995"/>
    <n v="133683.30273"/>
    <n v="8.649019015293033E-2"/>
    <s v="A"/>
    <n v="1636.9055999999998"/>
    <n v="2848.7547839999997"/>
    <n v="2373.9623200000001"/>
    <n v="1133.8823200000002"/>
    <n v="1211.8491839999999"/>
    <n v="0.47763282106347843"/>
  </r>
  <r>
    <s v="ORD-2024-851883"/>
    <s v="851883"/>
    <n v="2024"/>
    <d v="2023-01-29T00:00:00"/>
    <x v="2"/>
    <d v="2024-01-13T00:00:00"/>
    <s v="Jan-2024"/>
    <x v="1"/>
    <s v="Q1-2024"/>
    <n v="9"/>
    <n v="9"/>
    <n v="0"/>
    <d v="2024-01-22T00:00:00"/>
    <d v="2024-01-22T00:00:00"/>
    <x v="1"/>
    <x v="1"/>
    <s v="Mumbai"/>
    <s v="Enterprise"/>
    <x v="3"/>
    <s v="J. Njeri"/>
    <s v="Components"/>
    <x v="97"/>
    <n v="313.60000000000002"/>
    <n v="344.96000000000004"/>
    <n v="334.28"/>
    <s v="Low"/>
    <n v="0.14000000000000001"/>
    <n v="0.1"/>
    <s v=""/>
    <n v="22"/>
    <n v="26.4"/>
    <n v="6899.2000000000007"/>
    <n v="1545646.9975799995"/>
    <n v="140007.88032999999"/>
    <n v="9.0582054343073551E-2"/>
    <s v="A"/>
    <n v="9106.9440000000013"/>
    <n v="7942.4927999999991"/>
    <n v="6324.5775999999996"/>
    <n v="-574.62240000000111"/>
    <n v="-1164.4512000000022"/>
    <n v="-9.0855458868905517E-2"/>
  </r>
  <r>
    <s v="ORD-2024-979401"/>
    <s v="979401"/>
    <n v="2024"/>
    <d v="2023-01-20T00:00:00"/>
    <x v="3"/>
    <d v="2024-02-08T00:00:00"/>
    <s v="Feb-2024"/>
    <x v="0"/>
    <s v="Q1-2024"/>
    <n v="1"/>
    <n v="1"/>
    <n v="1"/>
    <d v="2024-02-09T00:00:00"/>
    <d v="2024-02-09T00:00:00"/>
    <x v="0"/>
    <x v="8"/>
    <s v="Mombasa"/>
    <s v="Corporate"/>
    <x v="0"/>
    <s v="F. Müller"/>
    <s v="Components"/>
    <x v="98"/>
    <n v="1233.52"/>
    <n v="1356.8720000000001"/>
    <n v="1543.76"/>
    <s v="Medium"/>
    <n v="0.126"/>
    <n v="0.1"/>
    <s v=""/>
    <n v="13"/>
    <n v="15.6"/>
    <n v="16035.76"/>
    <n v="1545646.9975799995"/>
    <n v="157548.08145"/>
    <n v="0.10193018308622286"/>
    <s v="A"/>
    <n v="21167.2032"/>
    <n v="21674.3904"/>
    <n v="17540.201120000002"/>
    <n v="1504.4411200000013"/>
    <n v="507.1872000000003"/>
    <n v="8.5771030201277493E-2"/>
  </r>
  <r>
    <s v="ORD-2024-838925"/>
    <s v="838925"/>
    <n v="2024"/>
    <d v="2023-01-07T00:00:00"/>
    <x v="3"/>
    <d v="2024-01-28T00:00:00"/>
    <s v="Jan-2024"/>
    <x v="1"/>
    <s v="Q1-2024"/>
    <n v="-1"/>
    <n v="15"/>
    <n v="0"/>
    <d v="2024-01-27T00:00:00"/>
    <d v="2024-02-12T00:00:00"/>
    <x v="0"/>
    <x v="6"/>
    <s v="Cape Town"/>
    <s v="Enterprise"/>
    <x v="0"/>
    <s v="O. Wang"/>
    <s v="Components"/>
    <x v="99"/>
    <n v="109.75"/>
    <n v="120.72500000000001"/>
    <n v="124.25"/>
    <s v="Low"/>
    <n v="0.12"/>
    <n v="0.1"/>
    <s v=""/>
    <n v="19"/>
    <n v="22.8"/>
    <n v="2085.25"/>
    <n v="1545646.9975799995"/>
    <n v="159625.54144999999"/>
    <n v="0.10327425453542997"/>
    <s v="A"/>
    <n v="2752.53"/>
    <n v="2549.61"/>
    <n v="2077.46"/>
    <n v="-7.7899999999999636"/>
    <n v="-202.92000000000007"/>
    <n v="-3.7497713554051405E-3"/>
  </r>
  <r>
    <s v="ORD-2024-206121"/>
    <s v="206121"/>
    <n v="2024"/>
    <d v="2023-01-29T00:00:00"/>
    <x v="3"/>
    <d v="2024-02-18T00:00:00"/>
    <s v="Feb-2024"/>
    <x v="0"/>
    <s v="Q1-2024"/>
    <n v="22"/>
    <n v="22"/>
    <n v="0"/>
    <d v="2024-03-11T00:00:00"/>
    <d v="2024-03-11T00:00:00"/>
    <x v="3"/>
    <x v="9"/>
    <s v="São Paulo"/>
    <s v="Consumer"/>
    <x v="4"/>
    <s v="A. Patel"/>
    <s v="Components"/>
    <x v="100"/>
    <n v="80.48"/>
    <n v="88.528000000000006"/>
    <n v="65.650000000000006"/>
    <s v="Low"/>
    <n v="0.17599999999999999"/>
    <n v="0.1"/>
    <s v=""/>
    <n v="13"/>
    <n v="15.6"/>
    <n v="1046.24"/>
    <n v="1545646.9975799995"/>
    <n v="160328.78425"/>
    <n v="0.10372923733622541"/>
    <s v="A"/>
    <n v="1381.0368000000001"/>
    <n v="921.72600000000011"/>
    <n v="703.2428000000001"/>
    <n v="-342.99719999999991"/>
    <n v="-459.31079999999997"/>
    <n v="-0.48773652570634191"/>
  </r>
  <r>
    <s v="ORD-2024-206311"/>
    <s v="206311"/>
    <n v="2024"/>
    <d v="2023-01-13T00:00:00"/>
    <x v="3"/>
    <d v="2024-01-13T00:00:00"/>
    <s v="Jan-2024"/>
    <x v="1"/>
    <s v="Q1-2024"/>
    <n v="2"/>
    <n v="2"/>
    <n v="1"/>
    <d v="2024-01-15T00:00:00"/>
    <d v="2024-01-15T00:00:00"/>
    <x v="3"/>
    <x v="11"/>
    <s v="San Francisco"/>
    <s v="Non-Profit"/>
    <x v="0"/>
    <s v="E. Garcia"/>
    <s v="Components"/>
    <x v="101"/>
    <n v="1061.3699999999999"/>
    <n v="1167.5070000000001"/>
    <n v="1938.33"/>
    <s v="High"/>
    <n v="0.17"/>
    <n v="0.1"/>
    <s v=""/>
    <n v="4"/>
    <n v="4.8"/>
    <n v="4245.4799999999996"/>
    <n v="1545646.9975799995"/>
    <n v="166764.03985"/>
    <n v="0.10789270778586599"/>
    <s v="A"/>
    <n v="5604.0335999999998"/>
    <n v="8373.5855999999985"/>
    <n v="6435.2555999999995"/>
    <n v="2189.7755999999999"/>
    <n v="2769.5519999999988"/>
    <n v="0.34027795259600879"/>
  </r>
  <r>
    <s v="ORD-2024-960952"/>
    <s v="960952"/>
    <n v="2024"/>
    <d v="2023-01-22T00:00:00"/>
    <x v="3"/>
    <d v="2024-02-03T00:00:00"/>
    <s v="Feb-2024"/>
    <x v="0"/>
    <s v="Q1-2024"/>
    <n v="18"/>
    <n v="18"/>
    <n v="0"/>
    <d v="2024-02-21T00:00:00"/>
    <d v="2024-02-21T00:00:00"/>
    <x v="2"/>
    <x v="7"/>
    <s v="Frankfurt"/>
    <s v="Corporate"/>
    <x v="1"/>
    <s v="H. Kim"/>
    <s v="Components"/>
    <x v="102"/>
    <n v="39.229999999999997"/>
    <n v="43.152999999999999"/>
    <n v="30.09"/>
    <s v="Low"/>
    <n v="0.17699999999999999"/>
    <n v="0.1"/>
    <s v=""/>
    <n v="13"/>
    <n v="15.6"/>
    <n v="509.98999999999995"/>
    <n v="1545646.9975799995"/>
    <n v="167085.97276"/>
    <n v="0.10810099137875884"/>
    <s v="A"/>
    <n v="673.18679999999995"/>
    <n v="422.46359999999999"/>
    <n v="321.93290999999999"/>
    <n v="-188.05708999999996"/>
    <n v="-250.72319999999996"/>
    <n v="-0.58414993981199359"/>
  </r>
  <r>
    <s v="ORD-2024-275203"/>
    <s v="275203"/>
    <n v="2024"/>
    <d v="2023-01-20T00:00:00"/>
    <x v="4"/>
    <d v="2024-03-11T00:00:00"/>
    <s v="Mar-2024"/>
    <x v="4"/>
    <s v="Q1-2024"/>
    <n v="26"/>
    <n v="26"/>
    <n v="0"/>
    <d v="2024-04-06T00:00:00"/>
    <d v="2024-04-06T00:00:00"/>
    <x v="0"/>
    <x v="8"/>
    <s v="Kisumu"/>
    <s v="Corporate"/>
    <x v="1"/>
    <s v="C. Otieno"/>
    <s v="Components"/>
    <x v="103"/>
    <n v="279.24"/>
    <n v="307.16400000000004"/>
    <n v="608.9"/>
    <s v="Low"/>
    <n v="0.112"/>
    <n v="0.1"/>
    <s v=""/>
    <n v="9"/>
    <n v="10.799999999999999"/>
    <n v="2513.16"/>
    <n v="1545646.9975799995"/>
    <n v="171952.30155999999"/>
    <n v="0.1112494003024129"/>
    <s v="A"/>
    <n v="3317.3712"/>
    <n v="5918.5079999999989"/>
    <n v="4866.3287999999993"/>
    <n v="2353.1687999999995"/>
    <n v="2601.1367999999989"/>
    <n v="0.48356140670149533"/>
  </r>
  <r>
    <s v="ORD-2024-243988"/>
    <s v="243988"/>
    <n v="2024"/>
    <d v="2023-01-15T00:00:00"/>
    <x v="4"/>
    <d v="2024-03-13T00:00:00"/>
    <s v="Mar-2024"/>
    <x v="4"/>
    <s v="Q1-2024"/>
    <n v="24"/>
    <n v="24"/>
    <n v="0"/>
    <d v="2024-04-06T00:00:00"/>
    <d v="2024-04-06T00:00:00"/>
    <x v="0"/>
    <x v="0"/>
    <s v="Abuja"/>
    <s v="Consumer"/>
    <x v="2"/>
    <s v="L. Okafor"/>
    <s v="Components"/>
    <x v="104"/>
    <n v="1232.78"/>
    <n v="1356.058"/>
    <n v="1731.75"/>
    <s v="High"/>
    <n v="9.2999999999999999E-2"/>
    <n v="9.2999999999999999E-2"/>
    <s v=""/>
    <n v="16"/>
    <n v="19.2"/>
    <n v="19724.48"/>
    <n v="1545646.9975799995"/>
    <n v="197083.45755999998"/>
    <n v="0.12750871180067061"/>
    <s v="A"/>
    <n v="26036.313599999998"/>
    <n v="30157.387200000001"/>
    <n v="25131.155999999999"/>
    <n v="5406.6759999999995"/>
    <n v="4121.0736000000034"/>
    <n v="0.21513837246484005"/>
  </r>
  <r>
    <s v="ORD-2024-961501"/>
    <s v="961501"/>
    <n v="2024"/>
    <d v="2023-01-13T00:00:00"/>
    <x v="4"/>
    <d v="2024-03-02T00:00:00"/>
    <s v="Mar-2024"/>
    <x v="4"/>
    <s v="Q1-2024"/>
    <n v="21"/>
    <n v="21"/>
    <n v="0"/>
    <d v="2024-03-23T00:00:00"/>
    <d v="2024-03-23T00:00:00"/>
    <x v="3"/>
    <x v="11"/>
    <s v="Chicago"/>
    <s v="Small Business"/>
    <x v="4"/>
    <s v="F. Müller"/>
    <s v="Components"/>
    <x v="105"/>
    <n v="225.01"/>
    <n v="247.51100000000002"/>
    <n v="333.48"/>
    <s v="Low"/>
    <n v="0.11899999999999999"/>
    <n v="0.1"/>
    <s v=""/>
    <n v="12"/>
    <n v="14.399999999999999"/>
    <n v="2700.12"/>
    <n v="1545646.9975799995"/>
    <n v="200609.00811999998"/>
    <n v="0.12978966635596034"/>
    <s v="A"/>
    <n v="3564.1583999999998"/>
    <n v="4321.9008000000003"/>
    <n v="3525.5505600000001"/>
    <n v="825.43056000000024"/>
    <n v="757.74240000000054"/>
    <n v="0.23412813004729685"/>
  </r>
  <r>
    <s v="ORD-2024-692673"/>
    <s v="692673"/>
    <n v="2024"/>
    <d v="2023-01-22T00:00:00"/>
    <x v="4"/>
    <d v="2024-03-07T00:00:00"/>
    <s v="Mar-2024"/>
    <x v="4"/>
    <s v="Q1-2024"/>
    <n v="18"/>
    <n v="18"/>
    <n v="0"/>
    <d v="2024-03-25T00:00:00"/>
    <d v="2024-03-25T00:00:00"/>
    <x v="2"/>
    <x v="7"/>
    <s v="Munich"/>
    <s v="Corporate"/>
    <x v="4"/>
    <s v="B. Chen"/>
    <s v="Components"/>
    <x v="106"/>
    <n v="712.84"/>
    <n v="784.12400000000014"/>
    <n v="927.51"/>
    <s v="Medium"/>
    <n v="0.24299999999999999"/>
    <n v="0.1"/>
    <s v=""/>
    <n v="27"/>
    <n v="32.4"/>
    <n v="19246.68"/>
    <n v="1545646.9975799995"/>
    <n v="219566.38500999997"/>
    <n v="0.14205467700825114"/>
    <s v="A"/>
    <n v="25405.617600000005"/>
    <n v="27046.191599999998"/>
    <n v="18957.37689"/>
    <n v="-289.30311000000074"/>
    <n v="1640.5739999999932"/>
    <n v="-1.5260714163076427E-2"/>
  </r>
  <r>
    <s v="ORD-2024-310809"/>
    <s v="310809"/>
    <n v="2024"/>
    <d v="2023-01-15T00:00:00"/>
    <x v="5"/>
    <d v="2024-04-05T00:00:00"/>
    <s v="Apr-2024"/>
    <x v="2"/>
    <s v="Q2-2024"/>
    <n v="4"/>
    <n v="4"/>
    <n v="1"/>
    <d v="2024-04-09T00:00:00"/>
    <d v="2024-04-09T00:00:00"/>
    <x v="0"/>
    <x v="0"/>
    <s v="Lagos"/>
    <s v="Non-Profit"/>
    <x v="0"/>
    <s v="K. Singh"/>
    <s v="Components"/>
    <x v="107"/>
    <n v="395.07"/>
    <n v="434.57700000000006"/>
    <n v="970.27"/>
    <s v="Medium"/>
    <n v="0.123"/>
    <n v="0.1"/>
    <s v=""/>
    <n v="38"/>
    <n v="45.6"/>
    <n v="15012.66"/>
    <n v="1545646.9975799995"/>
    <n v="251901.60302999997"/>
    <n v="0.16297485999351677"/>
    <s v="A"/>
    <n v="19816.711200000002"/>
    <n v="39819.880799999999"/>
    <n v="32335.21802"/>
    <n v="17322.55802"/>
    <n v="20003.169599999997"/>
    <n v="0.53571799049833657"/>
  </r>
  <r>
    <s v="ORD-2024-594592"/>
    <s v="594592"/>
    <n v="2024"/>
    <d v="2023-01-12T00:00:00"/>
    <x v="5"/>
    <d v="2024-04-06T00:00:00"/>
    <s v="Apr-2024"/>
    <x v="2"/>
    <s v="Q2-2024"/>
    <n v="19"/>
    <n v="19"/>
    <n v="0"/>
    <d v="2024-04-25T00:00:00"/>
    <d v="2024-04-25T00:00:00"/>
    <x v="1"/>
    <x v="4"/>
    <s v="Shanghai"/>
    <s v="Corporate"/>
    <x v="1"/>
    <s v="K. Singh"/>
    <s v="Components"/>
    <x v="108"/>
    <n v="1366.48"/>
    <n v="1503.1280000000002"/>
    <n v="1678.14"/>
    <s v="High"/>
    <n v="0.154"/>
    <n v="0.1"/>
    <s v=""/>
    <n v="10"/>
    <n v="12"/>
    <n v="13664.8"/>
    <n v="1545646.9975799995"/>
    <n v="266098.66742999997"/>
    <n v="0.17216005196958128"/>
    <s v="A"/>
    <n v="18037.536"/>
    <n v="18123.912"/>
    <n v="14197.064400000001"/>
    <n v="532.26440000000184"/>
    <n v="86.376000000000204"/>
    <n v="3.7491159087790132E-2"/>
  </r>
  <r>
    <s v="ORD-2024-906395"/>
    <s v="906395"/>
    <n v="2024"/>
    <d v="2023-01-10T00:00:00"/>
    <x v="5"/>
    <d v="2024-03-10T00:00:00"/>
    <s v="Mar-2024"/>
    <x v="4"/>
    <s v="Q1-2024"/>
    <n v="30"/>
    <n v="30"/>
    <n v="0"/>
    <d v="2024-04-09T00:00:00"/>
    <d v="2024-04-09T00:00:00"/>
    <x v="2"/>
    <x v="5"/>
    <s v="Lyon"/>
    <s v="Corporate"/>
    <x v="0"/>
    <s v="I. Johnson"/>
    <s v="Components"/>
    <x v="109"/>
    <n v="1176.56"/>
    <n v="1294.2160000000001"/>
    <n v="1911.89"/>
    <s v="High"/>
    <n v="0.11899999999999999"/>
    <n v="0.1"/>
    <s v=""/>
    <n v="20"/>
    <n v="24"/>
    <n v="23531.199999999997"/>
    <n v="1545646.9975799995"/>
    <n v="299786.16923"/>
    <n v="0.19395513315742308"/>
    <s v="A"/>
    <n v="31061.184000000001"/>
    <n v="41296.824000000001"/>
    <n v="33687.501800000005"/>
    <n v="10156.301800000008"/>
    <n v="10235.64"/>
    <n v="0.30148575160892477"/>
  </r>
  <r>
    <s v="ORD-2024-851993"/>
    <s v="851993"/>
    <n v="2024"/>
    <d v="2023-01-29T00:00:00"/>
    <x v="6"/>
    <d v="2024-05-01T00:00:00"/>
    <s v="May-2024"/>
    <x v="5"/>
    <s v="Q2-2024"/>
    <n v="15"/>
    <n v="15"/>
    <n v="0"/>
    <d v="2024-05-16T00:00:00"/>
    <d v="2024-05-16T00:00:00"/>
    <x v="1"/>
    <x v="1"/>
    <s v="Bengaluru"/>
    <s v="Small Business"/>
    <x v="1"/>
    <s v="L. Okafor"/>
    <s v="Components"/>
    <x v="110"/>
    <n v="901.19"/>
    <n v="991.3090000000002"/>
    <n v="2125.44"/>
    <s v="High"/>
    <n v="7.0999999999999994E-2"/>
    <n v="7.0999999999999994E-2"/>
    <s v=""/>
    <n v="12"/>
    <n v="14.399999999999999"/>
    <n v="10814.28"/>
    <n v="1545646.9975799995"/>
    <n v="323480.57435000001"/>
    <n v="0.20928489807599637"/>
    <s v="A"/>
    <n v="14274.849600000001"/>
    <n v="28433.286144000002"/>
    <n v="23694.405119999999"/>
    <n v="12880.125119999999"/>
    <n v="14158.436544"/>
    <n v="0.54359352154100415"/>
  </r>
  <r>
    <s v="ORD-2024-202166"/>
    <s v="202166"/>
    <n v="2024"/>
    <d v="2023-01-10T00:00:00"/>
    <x v="6"/>
    <d v="2024-05-05T00:00:00"/>
    <s v="May-2024"/>
    <x v="5"/>
    <s v="Q2-2024"/>
    <n v="13"/>
    <n v="13"/>
    <n v="0"/>
    <d v="2024-05-18T00:00:00"/>
    <d v="2024-05-18T00:00:00"/>
    <x v="2"/>
    <x v="5"/>
    <s v="Marseille"/>
    <s v="Corporate"/>
    <x v="3"/>
    <s v="A. Patel"/>
    <s v="Components"/>
    <x v="111"/>
    <n v="1264.04"/>
    <n v="1390.444"/>
    <n v="1870.89"/>
    <s v="High"/>
    <n v="0"/>
    <n v="0"/>
    <s v=""/>
    <n v="13"/>
    <n v="15.6"/>
    <n v="16432.52"/>
    <n v="1545646.9975799995"/>
    <n v="347802.14435000002"/>
    <n v="0.22502042503530856"/>
    <s v="A"/>
    <n v="21690.9264"/>
    <n v="29185.884000000002"/>
    <n v="24321.57"/>
    <n v="7889.0499999999993"/>
    <n v="7494.9576000000015"/>
    <n v="0.32436433996653996"/>
  </r>
  <r>
    <s v="ORD-2024-155337"/>
    <s v="155337"/>
    <n v="2024"/>
    <d v="2023-01-07T00:00:00"/>
    <x v="7"/>
    <d v="2024-05-21T00:00:00"/>
    <s v="May-2024"/>
    <x v="5"/>
    <s v="Q2-2024"/>
    <n v="6"/>
    <n v="6"/>
    <n v="1"/>
    <d v="2024-05-27T00:00:00"/>
    <d v="2024-05-27T00:00:00"/>
    <x v="0"/>
    <x v="6"/>
    <s v="Johannesburg"/>
    <s v="Non-Profit"/>
    <x v="4"/>
    <s v="M. Rossi"/>
    <s v="Components"/>
    <x v="112"/>
    <n v="1157.51"/>
    <n v="1273.2610000000002"/>
    <n v="1394.3"/>
    <s v="Medium"/>
    <n v="0.27800000000000002"/>
    <n v="0.1"/>
    <s v=""/>
    <n v="12"/>
    <n v="14.399999999999999"/>
    <n v="13890.119999999999"/>
    <n v="1545646.9975799995"/>
    <n v="359882.35954999999"/>
    <n v="0.23283606160621628"/>
    <s v="A"/>
    <n v="18334.9584"/>
    <n v="18070.128000000001"/>
    <n v="12080.215199999999"/>
    <n v="-1809.9048000000003"/>
    <n v="-264.83039999999892"/>
    <n v="-0.14982388724333326"/>
  </r>
  <r>
    <s v="ORD-2024-389336"/>
    <s v="389336"/>
    <n v="2024"/>
    <d v="2023-01-02T00:00:00"/>
    <x v="7"/>
    <d v="2024-05-20T00:00:00"/>
    <s v="May-2024"/>
    <x v="5"/>
    <s v="Q2-2024"/>
    <n v="13"/>
    <n v="13"/>
    <n v="0"/>
    <d v="2024-06-02T00:00:00"/>
    <d v="2024-06-02T00:00:00"/>
    <x v="3"/>
    <x v="10"/>
    <s v="Vancouver"/>
    <s v="Enterprise"/>
    <x v="3"/>
    <s v="K. Singh"/>
    <s v="Components"/>
    <x v="113"/>
    <n v="675.43"/>
    <n v="742.97299999999996"/>
    <n v="996.36"/>
    <s v="Medium"/>
    <n v="0.182"/>
    <n v="0.1"/>
    <s v=""/>
    <n v="22"/>
    <n v="26.4"/>
    <n v="14859.46"/>
    <n v="1545646.9975799995"/>
    <n v="377812.85411000001"/>
    <n v="0.24443670171878634"/>
    <s v="A"/>
    <n v="19614.4872"/>
    <n v="23673.513599999998"/>
    <n v="17930.494560000003"/>
    <n v="3071.0345600000037"/>
    <n v="4059.0263999999988"/>
    <n v="0.17127439233332575"/>
  </r>
  <r>
    <s v="ORD-2024-909942"/>
    <s v="909942"/>
    <n v="2024"/>
    <d v="2023-01-12T00:00:00"/>
    <x v="7"/>
    <d v="2024-06-09T00:00:00"/>
    <s v="Jun-2024"/>
    <x v="6"/>
    <s v="Q2-2024"/>
    <n v="28"/>
    <n v="28"/>
    <n v="0"/>
    <d v="2024-07-07T00:00:00"/>
    <d v="2024-07-07T00:00:00"/>
    <x v="1"/>
    <x v="4"/>
    <s v="Shenzhen"/>
    <s v="Corporate"/>
    <x v="4"/>
    <s v="J. Njeri"/>
    <s v="Components"/>
    <x v="114"/>
    <n v="550.22"/>
    <n v="605.24200000000008"/>
    <n v="1025.05"/>
    <s v="Medium"/>
    <n v="0"/>
    <n v="0"/>
    <s v=""/>
    <n v="27"/>
    <n v="32.4"/>
    <n v="14855.94"/>
    <n v="1545646.9975799995"/>
    <n v="405489.20410999999"/>
    <n v="0.26234269839418023"/>
    <s v="A"/>
    <n v="19609.840800000002"/>
    <n v="33211.619999999995"/>
    <n v="27676.35"/>
    <n v="12820.409999999998"/>
    <n v="13601.779199999994"/>
    <n v="0.46322618408858102"/>
  </r>
  <r>
    <s v="ORD-2024-584090"/>
    <s v="584090"/>
    <n v="2024"/>
    <d v="2023-01-22T00:00:00"/>
    <x v="7"/>
    <d v="2024-06-07T00:00:00"/>
    <s v="Jun-2024"/>
    <x v="6"/>
    <s v="Q2-2024"/>
    <n v="19"/>
    <n v="19"/>
    <n v="0"/>
    <d v="2024-06-26T00:00:00"/>
    <d v="2024-06-26T00:00:00"/>
    <x v="2"/>
    <x v="7"/>
    <s v="Berlin"/>
    <s v="Non-Profit"/>
    <x v="3"/>
    <s v="M. Rossi"/>
    <s v="Components"/>
    <x v="115"/>
    <n v="1064.32"/>
    <n v="1170.752"/>
    <n v="1848.39"/>
    <s v="High"/>
    <n v="7.2999999999999995E-2"/>
    <n v="7.2999999999999995E-2"/>
    <s v=""/>
    <n v="38"/>
    <n v="45.6"/>
    <n v="40444.159999999996"/>
    <n v="1545646.9975799995"/>
    <n v="470600.59025000001"/>
    <n v="0.30446834949171031"/>
    <s v="A"/>
    <n v="53386.2912"/>
    <n v="78133.663368000009"/>
    <n v="65111.38614000001"/>
    <n v="24667.226140000013"/>
    <n v="24747.372168000009"/>
    <n v="0.3788465827921631"/>
  </r>
  <r>
    <s v="ORD-2024-892879"/>
    <s v="892879"/>
    <n v="2024"/>
    <d v="2023-01-10T00:00:00"/>
    <x v="8"/>
    <d v="2024-07-09T00:00:00"/>
    <s v="Jul-2024"/>
    <x v="7"/>
    <s v="Q3-2024"/>
    <n v="30"/>
    <n v="30"/>
    <n v="0"/>
    <d v="2024-08-08T00:00:00"/>
    <d v="2024-08-08T00:00:00"/>
    <x v="2"/>
    <x v="5"/>
    <s v="Marseille"/>
    <s v="Corporate"/>
    <x v="0"/>
    <s v="J. Njeri"/>
    <s v="Components"/>
    <x v="116"/>
    <n v="1062.3800000000001"/>
    <n v="1168.6180000000002"/>
    <n v="1503.96"/>
    <s v="Medium"/>
    <n v="0.18"/>
    <n v="0.1"/>
    <s v=""/>
    <n v="6"/>
    <n v="7.1999999999999993"/>
    <n v="6374.2800000000007"/>
    <n v="1545646.9975799995"/>
    <n v="478000.07345000003"/>
    <n v="0.30925565423308093"/>
    <s v="A"/>
    <n v="8414.0496000000003"/>
    <n v="9745.6607999999997"/>
    <n v="7399.4832000000006"/>
    <n v="1025.2031999999999"/>
    <n v="1331.6111999999994"/>
    <n v="0.13855064905073369"/>
  </r>
  <r>
    <s v="ORD-2024-553449"/>
    <s v="553449"/>
    <n v="2024"/>
    <d v="2023-01-29T00:00:00"/>
    <x v="9"/>
    <d v="2024-08-27T00:00:00"/>
    <s v="Aug-2024"/>
    <x v="8"/>
    <s v="Q3-2024"/>
    <n v="22"/>
    <n v="22"/>
    <n v="0"/>
    <d v="2024-09-18T00:00:00"/>
    <d v="2024-09-18T00:00:00"/>
    <x v="1"/>
    <x v="1"/>
    <s v="Delhi"/>
    <s v="Consumer"/>
    <x v="0"/>
    <s v="B. Chen"/>
    <s v="Components"/>
    <x v="117"/>
    <n v="896.75"/>
    <n v="986.42500000000007"/>
    <n v="1651.14"/>
    <s v="High"/>
    <n v="2.5000000000000001E-2"/>
    <n v="2.5000000000000001E-2"/>
    <s v=""/>
    <n v="15"/>
    <n v="18"/>
    <n v="13451.25"/>
    <n v="1545646.9975799995"/>
    <n v="502147.99595000001"/>
    <n v="0.3248788350355592"/>
    <s v="A"/>
    <n v="17755.650000000001"/>
    <n v="28977.507000000001"/>
    <n v="24147.922500000001"/>
    <n v="10696.672500000001"/>
    <n v="11221.857"/>
    <n v="0.44296450346815552"/>
  </r>
  <r>
    <s v="ORD-2024-167215"/>
    <s v="167215"/>
    <n v="2024"/>
    <d v="2023-01-07T00:00:00"/>
    <x v="30"/>
    <d v="2024-08-23T00:00:00"/>
    <s v="Aug-2024"/>
    <x v="8"/>
    <s v="Q3-2024"/>
    <n v="-2"/>
    <n v="15"/>
    <n v="0"/>
    <d v="2024-08-21T00:00:00"/>
    <d v="2024-09-07T00:00:00"/>
    <x v="0"/>
    <x v="6"/>
    <s v="Johannesburg"/>
    <s v="Education"/>
    <x v="1"/>
    <s v="E. Garcia"/>
    <s v="Components"/>
    <x v="118"/>
    <n v="1432.52"/>
    <n v="1575.7720000000002"/>
    <n v="3036.87"/>
    <s v="High"/>
    <n v="0"/>
    <n v="0"/>
    <s v=""/>
    <n v="9"/>
    <n v="10.799999999999999"/>
    <n v="12892.68"/>
    <n v="1545646.9975799995"/>
    <n v="529479.82594999997"/>
    <n v="0.34256193476194757"/>
    <s v="A"/>
    <n v="17018.337599999999"/>
    <n v="32798.195999999996"/>
    <n v="27331.829999999998"/>
    <n v="14439.149999999998"/>
    <n v="15779.858399999997"/>
    <n v="0.52829064135112791"/>
  </r>
  <r>
    <s v="ORD-2024-500890"/>
    <s v="500890"/>
    <n v="2024"/>
    <d v="2023-01-29T00:00:00"/>
    <x v="30"/>
    <d v="2024-09-09T00:00:00"/>
    <s v="Sept-2024"/>
    <x v="11"/>
    <s v="Q3-2024"/>
    <n v="29"/>
    <n v="29"/>
    <n v="0"/>
    <d v="2024-10-08T00:00:00"/>
    <d v="2024-10-08T00:00:00"/>
    <x v="3"/>
    <x v="9"/>
    <s v="São Paulo"/>
    <s v="Education"/>
    <x v="0"/>
    <s v="J. Njeri"/>
    <s v="Components"/>
    <x v="119"/>
    <n v="1010.33"/>
    <n v="1111.3630000000001"/>
    <n v="2492.14"/>
    <s v="High"/>
    <n v="5.0999999999999997E-2"/>
    <n v="5.0999999999999997E-2"/>
    <s v=""/>
    <n v="11"/>
    <n v="13.2"/>
    <n v="11113.630000000001"/>
    <n v="1545646.9975799995"/>
    <n v="555495.27541"/>
    <n v="0.35939336490138574"/>
    <s v="A"/>
    <n v="14669.991599999999"/>
    <n v="31218.539352"/>
    <n v="26015.449459999996"/>
    <n v="14901.819459999995"/>
    <n v="16548.547751999999"/>
    <n v="0.57280653493656752"/>
  </r>
  <r>
    <s v="ORD-2024-664046"/>
    <s v="664046"/>
    <n v="2024"/>
    <d v="2023-01-13T00:00:00"/>
    <x v="30"/>
    <d v="2024-09-02T00:00:00"/>
    <s v="Sept-2024"/>
    <x v="11"/>
    <s v="Q3-2024"/>
    <n v="6"/>
    <n v="6"/>
    <n v="1"/>
    <d v="2024-09-08T00:00:00"/>
    <d v="2024-09-08T00:00:00"/>
    <x v="3"/>
    <x v="11"/>
    <s v="Austin"/>
    <s v="Consumer"/>
    <x v="0"/>
    <s v="H. Kim"/>
    <s v="Components"/>
    <x v="120"/>
    <n v="462.94"/>
    <n v="509.23400000000004"/>
    <n v="1015.7"/>
    <s v="Medium"/>
    <n v="0.14299999999999999"/>
    <n v="0.1"/>
    <s v=""/>
    <n v="14"/>
    <n v="16.8"/>
    <n v="6481.16"/>
    <n v="1545646.9975799995"/>
    <n v="567681.64401000005"/>
    <n v="0.36727768041397046"/>
    <s v="A"/>
    <n v="8555.1312000000016"/>
    <n v="15357.384000000002"/>
    <n v="12186.368600000002"/>
    <n v="5705.2086000000018"/>
    <n v="6802.2528000000002"/>
    <n v="0.46816314090483041"/>
  </r>
  <r>
    <s v="ORD-2024-792353"/>
    <s v="792353"/>
    <n v="2024"/>
    <d v="2023-01-10T00:00:00"/>
    <x v="30"/>
    <d v="2024-08-19T00:00:00"/>
    <s v="Aug-2024"/>
    <x v="8"/>
    <s v="Q3-2024"/>
    <n v="19"/>
    <n v="19"/>
    <n v="0"/>
    <d v="2024-09-07T00:00:00"/>
    <d v="2024-09-07T00:00:00"/>
    <x v="2"/>
    <x v="5"/>
    <s v="Lyon"/>
    <s v="Corporate"/>
    <x v="0"/>
    <s v="J. Njeri"/>
    <s v="Components"/>
    <x v="121"/>
    <n v="297.58999999999997"/>
    <n v="327.34899999999999"/>
    <n v="666.41"/>
    <s v="Low"/>
    <n v="0"/>
    <n v="0"/>
    <s v=""/>
    <n v="10"/>
    <n v="12"/>
    <n v="2975.8999999999996"/>
    <n v="1545646.9975799995"/>
    <n v="574345.74401000002"/>
    <n v="0.37158920821458336"/>
    <s v="A"/>
    <n v="3928.1880000000001"/>
    <n v="7996.92"/>
    <n v="6664.0999999999995"/>
    <n v="3688.2"/>
    <n v="4068.732"/>
    <n v="0.55344307558409989"/>
  </r>
  <r>
    <s v="ORD-2023-946143"/>
    <s v="946143"/>
    <n v="2023"/>
    <d v="2023-01-07T00:00:00"/>
    <x v="10"/>
    <d v="2023-03-14T00:00:00"/>
    <s v="Mar-2023"/>
    <x v="4"/>
    <s v="Q1-2023"/>
    <n v="16"/>
    <n v="16"/>
    <n v="0"/>
    <d v="2023-03-30T00:00:00"/>
    <d v="2023-03-30T00:00:00"/>
    <x v="0"/>
    <x v="6"/>
    <s v="Cape Town"/>
    <s v="Consumer"/>
    <x v="2"/>
    <s v="K. Singh"/>
    <s v="Components"/>
    <x v="122"/>
    <n v="1309.77"/>
    <n v="1440.7470000000001"/>
    <n v="1589.07"/>
    <s v="Medium"/>
    <n v="0.10199999999999999"/>
    <n v="0.1"/>
    <s v=""/>
    <n v="10"/>
    <n v="12"/>
    <n v="13097.7"/>
    <n v="1545646.9975799995"/>
    <n v="588615.59261000005"/>
    <n v="0.38082148998548065"/>
    <s v="A"/>
    <n v="17288.964"/>
    <n v="17161.956000000002"/>
    <n v="14269.848599999999"/>
    <n v="1172.1485999999986"/>
    <n v="-127.00799999999799"/>
    <n v="8.2141628328137886E-2"/>
  </r>
  <r>
    <s v="ORD-2023-281890"/>
    <s v="281890"/>
    <n v="2023"/>
    <d v="2023-01-07T00:00:00"/>
    <x v="10"/>
    <d v="2023-03-13T00:00:00"/>
    <s v="Mar-2023"/>
    <x v="4"/>
    <s v="Q1-2023"/>
    <n v="22"/>
    <n v="22"/>
    <n v="0"/>
    <d v="2023-04-04T00:00:00"/>
    <d v="2023-04-04T00:00:00"/>
    <x v="0"/>
    <x v="6"/>
    <s v="Durban"/>
    <s v="Small Business"/>
    <x v="1"/>
    <s v="A. Patel"/>
    <s v="Components"/>
    <x v="123"/>
    <n v="1113.7"/>
    <n v="1225.0700000000002"/>
    <n v="1620.6"/>
    <s v="Medium"/>
    <n v="0.13900000000000001"/>
    <n v="0.1"/>
    <s v=""/>
    <n v="11"/>
    <n v="13.2"/>
    <n v="12250.7"/>
    <n v="1545646.9975799995"/>
    <n v="603964.29521000001"/>
    <n v="0.39075176683655422"/>
    <s v="A"/>
    <n v="16170.924000000001"/>
    <n v="19252.727999999999"/>
    <n v="15348.702599999999"/>
    <n v="3098.002599999998"/>
    <n v="3081.8039999999983"/>
    <n v="0.20184133348182787"/>
  </r>
  <r>
    <s v="ORD-2024-686712"/>
    <s v="686712"/>
    <n v="2024"/>
    <d v="2023-01-07T00:00:00"/>
    <x v="11"/>
    <d v="2024-10-02T00:00:00"/>
    <s v="Oct-2024"/>
    <x v="9"/>
    <s v="Q4-2024"/>
    <n v="21"/>
    <n v="21"/>
    <n v="0"/>
    <d v="2024-10-23T00:00:00"/>
    <d v="2024-10-23T00:00:00"/>
    <x v="0"/>
    <x v="6"/>
    <s v="Durban"/>
    <s v="Corporate"/>
    <x v="3"/>
    <s v="A. Patel"/>
    <s v="Components"/>
    <x v="124"/>
    <n v="1095.6099999999999"/>
    <n v="1205.171"/>
    <n v="2366.5100000000002"/>
    <s v="High"/>
    <n v="0.152"/>
    <n v="0.1"/>
    <s v=""/>
    <n v="9"/>
    <n v="10.799999999999999"/>
    <n v="9860.49"/>
    <n v="1545646.9975799995"/>
    <n v="622025.49953000003"/>
    <n v="0.40243697332178546"/>
    <s v="A"/>
    <n v="13015.846799999999"/>
    <n v="23002.477200000001"/>
    <n v="18061.204320000004"/>
    <n v="8200.7143200000046"/>
    <n v="9986.6304000000018"/>
    <n v="0.4540513564158607"/>
  </r>
  <r>
    <s v="ORD-2024-942981"/>
    <s v="942981"/>
    <n v="2024"/>
    <d v="2023-01-19T00:00:00"/>
    <x v="11"/>
    <d v="2024-10-09T00:00:00"/>
    <s v="Oct-2024"/>
    <x v="9"/>
    <s v="Q4-2024"/>
    <n v="30"/>
    <n v="30"/>
    <n v="0"/>
    <d v="2024-11-08T00:00:00"/>
    <d v="2024-11-08T00:00:00"/>
    <x v="2"/>
    <x v="2"/>
    <s v="Manchester"/>
    <s v="Small Business"/>
    <x v="2"/>
    <s v="J. Njeri"/>
    <s v="Components"/>
    <x v="125"/>
    <n v="343.85"/>
    <n v="378.23500000000007"/>
    <n v="538.04"/>
    <s v="Low"/>
    <n v="0.13900000000000001"/>
    <n v="0.1"/>
    <s v=""/>
    <n v="5"/>
    <n v="6"/>
    <n v="1719.25"/>
    <n v="1545646.9975799995"/>
    <n v="624341.76173000003"/>
    <n v="0.40393554460204967"/>
    <s v="A"/>
    <n v="2269.4100000000003"/>
    <n v="2905.4159999999997"/>
    <n v="2316.2621999999997"/>
    <n v="597.01219999999967"/>
    <n v="636.0059999999994"/>
    <n v="0.25774810813732563"/>
  </r>
  <r>
    <s v="ORD-2024-964950"/>
    <s v="964950"/>
    <n v="2024"/>
    <d v="2023-01-19T00:00:00"/>
    <x v="11"/>
    <d v="2024-10-10T00:00:00"/>
    <s v="Oct-2024"/>
    <x v="9"/>
    <s v="Q4-2024"/>
    <n v="1"/>
    <n v="1"/>
    <n v="1"/>
    <d v="2024-10-11T00:00:00"/>
    <d v="2024-10-11T00:00:00"/>
    <x v="2"/>
    <x v="2"/>
    <s v="Manchester"/>
    <s v="Non-Profit"/>
    <x v="2"/>
    <s v="L. Okafor"/>
    <s v="Components"/>
    <x v="126"/>
    <n v="1389.46"/>
    <n v="1528.4060000000002"/>
    <n v="1784.7"/>
    <s v="High"/>
    <n v="0.14599999999999999"/>
    <n v="0.1"/>
    <s v=""/>
    <n v="33"/>
    <n v="39.6"/>
    <n v="45852.18"/>
    <n v="1545646.9975799995"/>
    <n v="674638.17712999997"/>
    <n v="0.4364762317568453"/>
    <s v="A"/>
    <n v="60524.877600000007"/>
    <n v="63606.708000000013"/>
    <n v="50296.415399999998"/>
    <n v="4444.2353999999978"/>
    <n v="3081.8304000000062"/>
    <n v="8.8360877503011831E-2"/>
  </r>
  <r>
    <s v="ORD-2024-250862"/>
    <s v="250862"/>
    <n v="2024"/>
    <d v="2023-01-13T00:00:00"/>
    <x v="31"/>
    <d v="2024-10-25T00:00:00"/>
    <s v="Oct-2024"/>
    <x v="9"/>
    <s v="Q4-2024"/>
    <n v="11"/>
    <n v="11"/>
    <n v="0"/>
    <d v="2024-11-05T00:00:00"/>
    <d v="2024-11-05T00:00:00"/>
    <x v="3"/>
    <x v="11"/>
    <s v="New York"/>
    <s v="Corporate"/>
    <x v="2"/>
    <s v="N. Brown"/>
    <s v="Components"/>
    <x v="127"/>
    <n v="446.66"/>
    <n v="491.32600000000008"/>
    <n v="527.64"/>
    <s v="Low"/>
    <n v="0.14499999999999999"/>
    <n v="0.1"/>
    <s v=""/>
    <n v="15"/>
    <n v="18"/>
    <n v="6699.9000000000005"/>
    <n v="1545646.9975799995"/>
    <n v="681405.16012999997"/>
    <n v="0.44085432262144442"/>
    <s v="A"/>
    <n v="8843.8680000000022"/>
    <n v="8547.768"/>
    <n v="6766.9829999999993"/>
    <n v="67.082999999998719"/>
    <n v="-296.10000000000218"/>
    <n v="9.9132804087137105E-3"/>
  </r>
  <r>
    <s v="ORD-2024-357368"/>
    <s v="357368"/>
    <n v="2024"/>
    <d v="2023-01-12T00:00:00"/>
    <x v="31"/>
    <d v="2024-10-30T00:00:00"/>
    <s v="Oct-2024"/>
    <x v="9"/>
    <s v="Q4-2024"/>
    <n v="25"/>
    <n v="25"/>
    <n v="0"/>
    <d v="2024-11-24T00:00:00"/>
    <d v="2024-11-24T00:00:00"/>
    <x v="1"/>
    <x v="4"/>
    <s v="Shenzhen"/>
    <s v="Small Business"/>
    <x v="4"/>
    <s v="E. Garcia"/>
    <s v="Components"/>
    <x v="128"/>
    <n v="811.05"/>
    <n v="892.15499999999997"/>
    <n v="1217.71"/>
    <s v="Medium"/>
    <n v="7.1999999999999995E-2"/>
    <n v="7.1999999999999995E-2"/>
    <s v=""/>
    <n v="5"/>
    <n v="6"/>
    <n v="4055.25"/>
    <n v="1545646.9975799995"/>
    <n v="687055.33452999999"/>
    <n v="0.4445098626049247"/>
    <s v="A"/>
    <n v="5352.93"/>
    <n v="6780.2092800000009"/>
    <n v="5650.1744000000008"/>
    <n v="1594.9244000000008"/>
    <n v="1427.2792800000007"/>
    <n v="0.28227879125288602"/>
  </r>
  <r>
    <s v="ORD-2024-756884"/>
    <s v="756884"/>
    <n v="2024"/>
    <d v="2023-01-10T00:00:00"/>
    <x v="31"/>
    <d v="2024-10-13T00:00:00"/>
    <s v="Oct-2024"/>
    <x v="9"/>
    <s v="Q4-2024"/>
    <n v="11"/>
    <n v="11"/>
    <n v="0"/>
    <d v="2024-10-24T00:00:00"/>
    <d v="2024-10-24T00:00:00"/>
    <x v="2"/>
    <x v="5"/>
    <s v="Paris"/>
    <s v="Education"/>
    <x v="2"/>
    <s v="F. Müller"/>
    <s v="Components"/>
    <x v="129"/>
    <n v="816.7"/>
    <n v="898.37000000000012"/>
    <n v="1010.75"/>
    <s v="Medium"/>
    <n v="4.7E-2"/>
    <n v="4.7E-2"/>
    <s v=""/>
    <n v="43"/>
    <n v="51.6"/>
    <n v="35118.1"/>
    <n v="1545646.9975799995"/>
    <n v="728474.85878000001"/>
    <n v="0.4713073941983934"/>
    <s v="A"/>
    <n v="46355.892000000007"/>
    <n v="49703.429100000001"/>
    <n v="41419.524249999995"/>
    <n v="6301.4242499999964"/>
    <n v="3347.5370999999941"/>
    <n v="0.15213656757537472"/>
  </r>
  <r>
    <s v="ORD-2024-508213"/>
    <s v="508213"/>
    <n v="2024"/>
    <d v="2023-01-20T00:00:00"/>
    <x v="12"/>
    <d v="2024-11-22T00:00:00"/>
    <s v="Nov-2024"/>
    <x v="10"/>
    <s v="Q4-2024"/>
    <n v="23"/>
    <n v="23"/>
    <n v="0"/>
    <d v="2024-12-15T00:00:00"/>
    <d v="2024-12-15T00:00:00"/>
    <x v="0"/>
    <x v="8"/>
    <s v="Mombasa"/>
    <s v="Non-Profit"/>
    <x v="2"/>
    <s v="C. Otieno"/>
    <s v="Components"/>
    <x v="130"/>
    <n v="1335.76"/>
    <n v="1469.336"/>
    <n v="2665.91"/>
    <s v="High"/>
    <n v="0.21099999999999999"/>
    <n v="0.1"/>
    <s v=""/>
    <n v="40"/>
    <n v="48"/>
    <n v="53430.400000000001"/>
    <n v="1545646.9975799995"/>
    <n v="812610.97837999999"/>
    <n v="0.52574163418445152"/>
    <s v="A"/>
    <n v="70528.127999999997"/>
    <n v="115167.31199999999"/>
    <n v="84136.119600000005"/>
    <n v="30705.719600000004"/>
    <n v="44639.183999999994"/>
    <n v="0.36495288522909253"/>
  </r>
  <r>
    <s v="ORD-2024-170021"/>
    <s v="170021"/>
    <n v="2024"/>
    <d v="2023-01-02T00:00:00"/>
    <x v="12"/>
    <d v="2024-11-05T00:00:00"/>
    <s v="Nov-2024"/>
    <x v="10"/>
    <s v="Q4-2024"/>
    <n v="3"/>
    <n v="3"/>
    <n v="1"/>
    <d v="2024-11-08T00:00:00"/>
    <d v="2024-11-08T00:00:00"/>
    <x v="3"/>
    <x v="10"/>
    <s v="Toronto"/>
    <s v="Education"/>
    <x v="3"/>
    <s v="O. Wang"/>
    <s v="Components"/>
    <x v="131"/>
    <n v="1020.4"/>
    <n v="1122.44"/>
    <n v="1184.71"/>
    <s v="Medium"/>
    <n v="0.106"/>
    <n v="0.1"/>
    <s v=""/>
    <n v="16"/>
    <n v="19.2"/>
    <n v="16326.4"/>
    <n v="1545646.9975799995"/>
    <n v="829557.07021999999"/>
    <n v="0.53670538714132487"/>
    <s v="A"/>
    <n v="21550.848000000002"/>
    <n v="20471.788800000002"/>
    <n v="16946.091840000001"/>
    <n v="619.69184000000132"/>
    <n v="-1079.0591999999997"/>
    <n v="3.6568422138328345E-2"/>
  </r>
  <r>
    <s v="ORD-2024-170313"/>
    <s v="170313"/>
    <n v="2024"/>
    <d v="2023-01-29T00:00:00"/>
    <x v="12"/>
    <d v="2024-12-27T00:00:00"/>
    <s v="Dec-2024"/>
    <x v="3"/>
    <s v="Q4-2024"/>
    <n v="19"/>
    <n v="19"/>
    <n v="0"/>
    <d v="2025-01-15T00:00:00"/>
    <d v="2025-01-15T00:00:00"/>
    <x v="1"/>
    <x v="1"/>
    <s v="Delhi"/>
    <s v="Non-Profit"/>
    <x v="2"/>
    <s v="G. Dubois"/>
    <s v="Components"/>
    <x v="132"/>
    <n v="495.59"/>
    <n v="545.149"/>
    <n v="631.78"/>
    <s v="Low"/>
    <n v="8.6999999999999994E-2"/>
    <n v="8.6999999999999994E-2"/>
    <s v=""/>
    <n v="17"/>
    <n v="20.399999999999999"/>
    <n v="8425.0299999999988"/>
    <n v="1545646.9975799995"/>
    <n v="839362.92760000005"/>
    <n v="0.54304956365468982"/>
    <s v="A"/>
    <n v="11121.0396"/>
    <n v="11767.028855999999"/>
    <n v="9805.8573800000013"/>
    <n v="1380.8273800000024"/>
    <n v="645.98925599999893"/>
    <n v="0.14081658813601899"/>
  </r>
  <r>
    <s v="ORD-2024-382152"/>
    <s v="382152"/>
    <n v="2024"/>
    <d v="2023-01-10T00:00:00"/>
    <x v="12"/>
    <d v="2024-12-08T00:00:00"/>
    <s v="Dec-2024"/>
    <x v="3"/>
    <s v="Q4-2024"/>
    <n v="0"/>
    <n v="0"/>
    <n v="1"/>
    <d v="2024-12-08T00:00:00"/>
    <d v="2024-12-08T00:00:00"/>
    <x v="2"/>
    <x v="5"/>
    <s v="Lyon"/>
    <s v="Enterprise"/>
    <x v="1"/>
    <s v="H. Kim"/>
    <s v="Components"/>
    <x v="133"/>
    <n v="257.44"/>
    <n v="283.18400000000003"/>
    <n v="290.33"/>
    <s v="Low"/>
    <n v="9.1999999999999998E-2"/>
    <n v="9.1999999999999998E-2"/>
    <s v=""/>
    <n v="23"/>
    <n v="27.599999999999998"/>
    <n v="5921.12"/>
    <n v="1545646.9975799995"/>
    <n v="845426.17932"/>
    <n v="0.54697235568255453"/>
    <s v="A"/>
    <n v="7815.8784000000005"/>
    <n v="7275.9020639999999"/>
    <n v="6063.2517199999993"/>
    <n v="142.1317199999994"/>
    <n v="-539.97633600000063"/>
    <n v="2.3441500792581216E-2"/>
  </r>
  <r>
    <s v="ORD-2025-909340"/>
    <s v="909340"/>
    <n v="2025"/>
    <d v="2023-01-29T00:00:00"/>
    <x v="13"/>
    <d v="2025-01-20T00:00:00"/>
    <s v="Jan-2025"/>
    <x v="1"/>
    <s v="Q1-2025"/>
    <n v="14"/>
    <n v="14"/>
    <n v="0"/>
    <d v="2025-02-03T00:00:00"/>
    <d v="2025-02-03T00:00:00"/>
    <x v="3"/>
    <x v="9"/>
    <s v="Brasília"/>
    <s v="Enterprise"/>
    <x v="3"/>
    <s v="F. Müller"/>
    <s v="Components"/>
    <x v="134"/>
    <n v="974.11"/>
    <n v="1071.5210000000002"/>
    <n v="880.99"/>
    <s v="Medium"/>
    <n v="0.111"/>
    <n v="0.1"/>
    <s v=""/>
    <n v="10"/>
    <n v="12"/>
    <n v="9741.1"/>
    <n v="1545646.9975799995"/>
    <n v="853258.18041999999"/>
    <n v="0.55203949010086772"/>
    <s v="A"/>
    <n v="12858.252000000002"/>
    <n v="9514.6920000000009"/>
    <n v="7832.0010999999995"/>
    <n v="-1909.0989000000009"/>
    <n v="-3343.5600000000013"/>
    <n v="-0.2437562093805121"/>
  </r>
  <r>
    <s v="ORD-2024-836421"/>
    <s v="836421"/>
    <n v="2024"/>
    <d v="2023-01-12T00:00:00"/>
    <x v="13"/>
    <d v="2024-12-14T00:00:00"/>
    <s v="Dec-2024"/>
    <x v="3"/>
    <s v="Q4-2024"/>
    <n v="29"/>
    <n v="29"/>
    <n v="0"/>
    <d v="2025-01-12T00:00:00"/>
    <d v="2025-01-12T00:00:00"/>
    <x v="1"/>
    <x v="4"/>
    <s v="Shenzhen"/>
    <s v="Education"/>
    <x v="4"/>
    <s v="J. Njeri"/>
    <s v="Components"/>
    <x v="135"/>
    <n v="1412.15"/>
    <n v="1553.3650000000002"/>
    <n v="1631.04"/>
    <s v="Medium"/>
    <n v="8.9999999999999993E-3"/>
    <n v="8.9999999999999993E-3"/>
    <s v=""/>
    <n v="6"/>
    <n v="7.1999999999999993"/>
    <n v="8472.9000000000015"/>
    <n v="1545646.9975799995"/>
    <n v="862956.34426000004"/>
    <n v="0.55831399123546332"/>
    <s v="A"/>
    <n v="11184.228000000001"/>
    <n v="11637.796607999999"/>
    <n v="9698.1638399999993"/>
    <n v="1225.2638399999978"/>
    <n v="453.56860799999777"/>
    <n v="0.12633977526203535"/>
  </r>
  <r>
    <s v="ORD-2025-137394"/>
    <s v="137394"/>
    <n v="2025"/>
    <d v="2023-01-29T00:00:00"/>
    <x v="13"/>
    <d v="2025-01-04T00:00:00"/>
    <s v="Jan-2025"/>
    <x v="1"/>
    <s v="Q1-2025"/>
    <n v="1"/>
    <n v="1"/>
    <n v="1"/>
    <d v="2025-01-05T00:00:00"/>
    <d v="2025-01-05T00:00:00"/>
    <x v="1"/>
    <x v="1"/>
    <s v="Delhi"/>
    <s v="Education"/>
    <x v="1"/>
    <s v="I. Johnson"/>
    <s v="Components"/>
    <x v="136"/>
    <n v="1428.33"/>
    <n v="1571.163"/>
    <n v="3028.05"/>
    <s v="High"/>
    <n v="0"/>
    <n v="0"/>
    <s v=""/>
    <n v="11"/>
    <n v="13.2"/>
    <n v="15711.63"/>
    <n v="1545646.9975799995"/>
    <n v="896264.89426000009"/>
    <n v="0.57986389884835998"/>
    <s v="A"/>
    <n v="20739.351599999998"/>
    <n v="39970.26"/>
    <n v="33308.550000000003"/>
    <n v="17596.920000000006"/>
    <n v="19230.908400000004"/>
    <n v="0.52830039134096207"/>
  </r>
  <r>
    <s v="ORD-2025-125517"/>
    <s v="125517"/>
    <n v="2025"/>
    <d v="2023-03-03T00:00:00"/>
    <x v="14"/>
    <d v="2025-03-21T00:00:00"/>
    <s v="Mar-2025"/>
    <x v="4"/>
    <s v="Q1-2025"/>
    <n v="19"/>
    <n v="19"/>
    <n v="0"/>
    <d v="2025-04-09T00:00:00"/>
    <d v="2025-04-09T00:00:00"/>
    <x v="1"/>
    <x v="3"/>
    <s v="Tokyo"/>
    <s v="Small Business"/>
    <x v="2"/>
    <s v="E. Garcia"/>
    <s v="Components"/>
    <x v="137"/>
    <n v="1055.45"/>
    <n v="1160.9950000000001"/>
    <n v="1210.04"/>
    <s v="Medium"/>
    <n v="8.9999999999999993E-3"/>
    <n v="8.9999999999999993E-3"/>
    <s v=""/>
    <n v="18"/>
    <n v="21.599999999999998"/>
    <n v="18998.100000000002"/>
    <n v="1545646.9975799995"/>
    <n v="917849.58778000006"/>
    <n v="0.59382872623378158"/>
    <s v="A"/>
    <n v="25077.491999999998"/>
    <n v="25901.632223999997"/>
    <n v="21584.693520000001"/>
    <n v="2586.5935199999985"/>
    <n v="824.14022399999885"/>
    <n v="0.1198346188053727"/>
  </r>
  <r>
    <s v="ORD-2025-192876"/>
    <s v="192876"/>
    <n v="2025"/>
    <d v="2023-01-19T00:00:00"/>
    <x v="14"/>
    <d v="2025-01-31T00:00:00"/>
    <s v="Jan-2025"/>
    <x v="1"/>
    <s v="Q1-2025"/>
    <n v="17"/>
    <n v="17"/>
    <n v="0"/>
    <d v="2025-02-17T00:00:00"/>
    <d v="2025-02-17T00:00:00"/>
    <x v="2"/>
    <x v="2"/>
    <s v="London"/>
    <s v="Enterprise"/>
    <x v="1"/>
    <s v="H. Kim"/>
    <s v="Components"/>
    <x v="138"/>
    <n v="378.26"/>
    <n v="416.08600000000001"/>
    <n v="541.55999999999995"/>
    <s v="Low"/>
    <n v="0.16300000000000001"/>
    <n v="0.1"/>
    <s v=""/>
    <n v="25"/>
    <n v="30"/>
    <n v="9456.5"/>
    <n v="1545646.9975799995"/>
    <n v="929181.7307800001"/>
    <n v="0.60116037635683217"/>
    <s v="A"/>
    <n v="12482.58"/>
    <n v="14622.119999999999"/>
    <n v="11332.142999999998"/>
    <n v="1875.6429999999982"/>
    <n v="2139.5399999999991"/>
    <n v="0.16551529573885526"/>
  </r>
  <r>
    <s v="ORD-2025-487261"/>
    <s v="487261"/>
    <n v="2025"/>
    <d v="2023-01-29T00:00:00"/>
    <x v="15"/>
    <d v="2025-03-06T00:00:00"/>
    <s v="Mar-2025"/>
    <x v="4"/>
    <s v="Q1-2025"/>
    <n v="25"/>
    <n v="25"/>
    <n v="0"/>
    <d v="2025-03-31T00:00:00"/>
    <d v="2025-03-31T00:00:00"/>
    <x v="3"/>
    <x v="9"/>
    <s v="Brasília"/>
    <s v="Non-Profit"/>
    <x v="4"/>
    <s v="J. Njeri"/>
    <s v="Components"/>
    <x v="139"/>
    <n v="331.57"/>
    <n v="364.72700000000003"/>
    <n v="548.4"/>
    <s v="Low"/>
    <n v="9.4E-2"/>
    <n v="9.4E-2"/>
    <s v=""/>
    <n v="10"/>
    <n v="12"/>
    <n v="3315.7"/>
    <n v="1545646.9975799995"/>
    <n v="934150.23478000006"/>
    <n v="0.60437489041326231"/>
    <s v="A"/>
    <n v="4376.7240000000002"/>
    <n v="5962.2047999999995"/>
    <n v="4968.5039999999999"/>
    <n v="1652.8040000000001"/>
    <n v="1585.4807999999994"/>
    <n v="0.33265626836568918"/>
  </r>
  <r>
    <s v="ORD-2025-705398"/>
    <s v="705398"/>
    <n v="2025"/>
    <d v="2023-01-02T00:00:00"/>
    <x v="15"/>
    <d v="2025-02-17T00:00:00"/>
    <s v="Feb-2025"/>
    <x v="0"/>
    <s v="Q1-2025"/>
    <n v="-2"/>
    <n v="15"/>
    <n v="0"/>
    <d v="2025-02-15T00:00:00"/>
    <d v="2025-03-04T00:00:00"/>
    <x v="3"/>
    <x v="10"/>
    <s v="Toronto"/>
    <s v="Small Business"/>
    <x v="1"/>
    <s v="D. Smith"/>
    <s v="Components"/>
    <x v="140"/>
    <n v="1133.47"/>
    <n v="1246.8170000000002"/>
    <n v="1698.75"/>
    <s v="High"/>
    <n v="4.2999999999999997E-2"/>
    <n v="4.2999999999999997E-2"/>
    <s v=""/>
    <n v="5"/>
    <n v="6"/>
    <n v="5667.35"/>
    <n v="1545646.9975799995"/>
    <n v="942278.7535300001"/>
    <n v="0.60963386530385943"/>
    <s v="A"/>
    <n v="7480.9020000000019"/>
    <n v="9754.2224999999999"/>
    <n v="8128.5187499999993"/>
    <n v="2461.1687499999989"/>
    <n v="2273.320499999998"/>
    <n v="0.30278194904821976"/>
  </r>
  <r>
    <s v="ORD-2025-624006"/>
    <s v="624006"/>
    <n v="2025"/>
    <d v="2023-01-29T00:00:00"/>
    <x v="15"/>
    <d v="2025-03-15T00:00:00"/>
    <s v="Mar-2025"/>
    <x v="4"/>
    <s v="Q1-2025"/>
    <n v="14"/>
    <n v="14"/>
    <n v="0"/>
    <d v="2025-03-29T00:00:00"/>
    <d v="2025-03-29T00:00:00"/>
    <x v="1"/>
    <x v="1"/>
    <s v="Mumbai"/>
    <s v="Enterprise"/>
    <x v="0"/>
    <s v="C. Otieno"/>
    <s v="Components"/>
    <x v="141"/>
    <n v="935.83"/>
    <n v="1029.4130000000002"/>
    <n v="2303.46"/>
    <s v="High"/>
    <n v="0.105"/>
    <n v="0.1"/>
    <s v=""/>
    <n v="9"/>
    <n v="10.799999999999999"/>
    <n v="8422.4700000000012"/>
    <n v="1545646.9975799995"/>
    <n v="960833.12383000006"/>
    <n v="0.62163813945510504"/>
    <s v="A"/>
    <n v="11117.660400000001"/>
    <n v="22389.6312"/>
    <n v="18554.370299999999"/>
    <n v="10131.900299999998"/>
    <n v="11271.970799999999"/>
    <n v="0.54606543559174292"/>
  </r>
  <r>
    <s v="ORD-2025-487025"/>
    <s v="487025"/>
    <n v="2025"/>
    <d v="2023-03-03T00:00:00"/>
    <x v="15"/>
    <d v="2025-04-11T00:00:00"/>
    <s v="Apr-2025"/>
    <x v="2"/>
    <s v="Q2-2025"/>
    <n v="23"/>
    <n v="23"/>
    <n v="0"/>
    <d v="2025-05-04T00:00:00"/>
    <d v="2025-05-04T00:00:00"/>
    <x v="1"/>
    <x v="3"/>
    <s v="Osaka"/>
    <s v="Small Business"/>
    <x v="4"/>
    <s v="M. Rossi"/>
    <s v="Components"/>
    <x v="142"/>
    <n v="786.2"/>
    <n v="864.82000000000016"/>
    <n v="1075.3"/>
    <s v="Medium"/>
    <n v="0.08"/>
    <n v="0.08"/>
    <s v=""/>
    <n v="9"/>
    <n v="10.799999999999999"/>
    <n v="7075.8"/>
    <n v="1545646.9975799995"/>
    <n v="969736.60783000011"/>
    <n v="0.62739850001216624"/>
    <s v="A"/>
    <n v="9340.0560000000005"/>
    <n v="10684.180799999998"/>
    <n v="8903.4839999999986"/>
    <n v="1827.6839999999984"/>
    <n v="1344.1247999999978"/>
    <n v="0.20527739478163815"/>
  </r>
  <r>
    <s v="ORD-2025-169093"/>
    <s v="169093"/>
    <n v="2025"/>
    <d v="2023-03-03T00:00:00"/>
    <x v="15"/>
    <d v="2025-04-13T00:00:00"/>
    <s v="Apr-2025"/>
    <x v="2"/>
    <s v="Q2-2025"/>
    <n v="1"/>
    <n v="1"/>
    <n v="1"/>
    <d v="2025-04-14T00:00:00"/>
    <d v="2025-04-14T00:00:00"/>
    <x v="1"/>
    <x v="3"/>
    <s v="Osaka"/>
    <s v="Enterprise"/>
    <x v="4"/>
    <s v="G. Dubois"/>
    <s v="Components"/>
    <x v="143"/>
    <n v="138.9"/>
    <n v="152.79000000000002"/>
    <n v="289.92"/>
    <s v="Low"/>
    <n v="2.9000000000000001E-2"/>
    <n v="2.9000000000000001E-2"/>
    <s v=""/>
    <n v="12"/>
    <n v="14.399999999999999"/>
    <n v="1666.8000000000002"/>
    <n v="1545646.9975799995"/>
    <n v="973114.7556700001"/>
    <n v="0.62958408821263456"/>
    <s v="A"/>
    <n v="2200.1759999999999"/>
    <n v="4053.7774079999999"/>
    <n v="3378.1478400000001"/>
    <n v="1711.3478399999999"/>
    <n v="1853.601408"/>
    <n v="0.50659353025828491"/>
  </r>
  <r>
    <s v="ORD-2025-997421"/>
    <s v="997421"/>
    <n v="2025"/>
    <d v="2023-01-29T00:00:00"/>
    <x v="17"/>
    <d v="2025-05-21T00:00:00"/>
    <s v="May-2025"/>
    <x v="5"/>
    <s v="Q2-2025"/>
    <n v="19"/>
    <n v="19"/>
    <n v="0"/>
    <d v="2025-06-09T00:00:00"/>
    <d v="2025-06-09T00:00:00"/>
    <x v="3"/>
    <x v="9"/>
    <s v="São Paulo"/>
    <s v="Non-Profit"/>
    <x v="4"/>
    <s v="A. Patel"/>
    <s v="Components"/>
    <x v="144"/>
    <n v="1331.38"/>
    <n v="1464.5180000000003"/>
    <n v="2309.56"/>
    <s v="High"/>
    <n v="0.14899999999999999"/>
    <n v="0.1"/>
    <s v=""/>
    <n v="31"/>
    <n v="37.199999999999996"/>
    <n v="41272.780000000006"/>
    <n v="1545646.9975799995"/>
    <n v="1034043.2580300001"/>
    <n v="0.66900350445411461"/>
    <s v="A"/>
    <n v="54480.069600000003"/>
    <n v="77324.068799999994"/>
    <n v="60928.502359999999"/>
    <n v="19655.722359999992"/>
    <n v="22843.999199999991"/>
    <n v="0.32260307735553528"/>
  </r>
  <r>
    <s v="ORD-2025-191328"/>
    <s v="191328"/>
    <n v="2025"/>
    <d v="2023-01-02T00:00:00"/>
    <x v="18"/>
    <d v="2025-05-10T00:00:00"/>
    <s v="May-2025"/>
    <x v="5"/>
    <s v="Q2-2025"/>
    <n v="17"/>
    <n v="17"/>
    <n v="0"/>
    <d v="2025-05-27T00:00:00"/>
    <d v="2025-05-27T00:00:00"/>
    <x v="3"/>
    <x v="10"/>
    <s v="Vancouver"/>
    <s v="Education"/>
    <x v="0"/>
    <s v="C. Otieno"/>
    <s v="Components"/>
    <x v="145"/>
    <n v="862.89"/>
    <n v="949.17900000000009"/>
    <n v="1426.03"/>
    <s v="Medium"/>
    <n v="5.6000000000000001E-2"/>
    <n v="5.6000000000000001E-2"/>
    <s v=""/>
    <n v="19"/>
    <n v="22.8"/>
    <n v="16394.91"/>
    <n v="1545646.9975799995"/>
    <n v="1059620.53211"/>
    <n v="0.68555144465006235"/>
    <s v="A"/>
    <n v="21641.281200000001"/>
    <n v="30692.728896000001"/>
    <n v="25577.274079999999"/>
    <n v="9182.3640799999994"/>
    <n v="9051.4476959999993"/>
    <n v="0.35900479665188778"/>
  </r>
  <r>
    <s v="ORD-2025-496178"/>
    <s v="496178"/>
    <n v="2025"/>
    <d v="2023-03-03T00:00:00"/>
    <x v="18"/>
    <d v="2025-07-27T00:00:00"/>
    <s v="Jul-2025"/>
    <x v="7"/>
    <s v="Q3-2025"/>
    <n v="19"/>
    <n v="19"/>
    <n v="0"/>
    <d v="2025-08-15T00:00:00"/>
    <d v="2025-08-15T00:00:00"/>
    <x v="1"/>
    <x v="3"/>
    <s v="Tokyo"/>
    <s v="Small Business"/>
    <x v="3"/>
    <s v="J. Njeri"/>
    <s v="Components"/>
    <x v="146"/>
    <n v="275.43"/>
    <n v="302.97300000000001"/>
    <n v="608.36"/>
    <s v="Low"/>
    <n v="0.25700000000000001"/>
    <n v="0.1"/>
    <s v=""/>
    <n v="4"/>
    <n v="4.8"/>
    <n v="1101.72"/>
    <n v="1545646.9975799995"/>
    <n v="1061428.57803"/>
    <n v="0.68672121104745498"/>
    <s v="A"/>
    <n v="1454.2704000000001"/>
    <n v="2628.1152000000002"/>
    <n v="1808.04592"/>
    <n v="706.32592"/>
    <n v="1173.8448000000001"/>
    <n v="0.39065706915231446"/>
  </r>
  <r>
    <s v="ORD-2025-114382"/>
    <s v="114382"/>
    <n v="2025"/>
    <d v="2023-01-10T00:00:00"/>
    <x v="18"/>
    <d v="2025-05-14T00:00:00"/>
    <s v="May-2025"/>
    <x v="5"/>
    <s v="Q2-2025"/>
    <n v="10"/>
    <n v="10"/>
    <n v="0"/>
    <d v="2025-05-24T00:00:00"/>
    <d v="2025-05-24T00:00:00"/>
    <x v="2"/>
    <x v="5"/>
    <s v="Paris"/>
    <s v="Small Business"/>
    <x v="3"/>
    <s v="K. Singh"/>
    <s v="Components"/>
    <x v="147"/>
    <n v="170.39"/>
    <n v="187.429"/>
    <n v="388.04"/>
    <s v="Low"/>
    <n v="8.4000000000000005E-2"/>
    <n v="8.4000000000000005E-2"/>
    <s v=""/>
    <n v="15"/>
    <n v="18"/>
    <n v="2555.85"/>
    <n v="1545646.9975799995"/>
    <n v="1066760.2476299999"/>
    <n v="0.69017068535067405"/>
    <s v="A"/>
    <n v="3373.7220000000002"/>
    <n v="6398.0035200000002"/>
    <n v="5331.6696000000002"/>
    <n v="2775.8196000000003"/>
    <n v="3024.28152"/>
    <n v="0.52062858508711796"/>
  </r>
  <r>
    <s v="ORD-2025-231184"/>
    <s v="231184"/>
    <n v="2025"/>
    <d v="2023-01-10T00:00:00"/>
    <x v="18"/>
    <d v="2025-06-01T00:00:00"/>
    <s v="Jun-2025"/>
    <x v="6"/>
    <s v="Q2-2025"/>
    <n v="5"/>
    <n v="5"/>
    <n v="1"/>
    <d v="2025-06-06T00:00:00"/>
    <d v="2025-06-06T00:00:00"/>
    <x v="2"/>
    <x v="5"/>
    <s v="Paris"/>
    <s v="Consumer"/>
    <x v="2"/>
    <s v="G. Dubois"/>
    <s v="Components"/>
    <x v="148"/>
    <n v="379.45"/>
    <n v="417.39500000000004"/>
    <n v="742.23"/>
    <s v="Low"/>
    <n v="0.09"/>
    <n v="0.09"/>
    <s v=""/>
    <n v="13"/>
    <n v="15.6"/>
    <n v="4932.8499999999995"/>
    <n v="1545646.9975799995"/>
    <n v="1075540.8285299998"/>
    <n v="0.69585153027435165"/>
    <s v="A"/>
    <n v="6511.3620000000001"/>
    <n v="10536.69708"/>
    <n v="8780.5809000000008"/>
    <n v="3847.7309000000014"/>
    <n v="4025.3350799999998"/>
    <n v="0.43820915083192286"/>
  </r>
  <r>
    <s v="ORD-2025-795385"/>
    <s v="795385"/>
    <n v="2025"/>
    <d v="2023-01-22T00:00:00"/>
    <x v="18"/>
    <d v="2025-06-01T00:00:00"/>
    <s v="Jun-2025"/>
    <x v="6"/>
    <s v="Q2-2025"/>
    <n v="4"/>
    <n v="4"/>
    <n v="1"/>
    <d v="2025-06-05T00:00:00"/>
    <d v="2025-06-05T00:00:00"/>
    <x v="2"/>
    <x v="7"/>
    <s v="Munich"/>
    <s v="Enterprise"/>
    <x v="0"/>
    <s v="M. Rossi"/>
    <s v="Components"/>
    <x v="149"/>
    <n v="1171.42"/>
    <n v="1288.5620000000001"/>
    <n v="2187.8000000000002"/>
    <s v="High"/>
    <n v="0.23"/>
    <n v="0.1"/>
    <s v=""/>
    <n v="15"/>
    <n v="18"/>
    <n v="17571.300000000003"/>
    <n v="1545646.9975799995"/>
    <n v="1100809.9185299999"/>
    <n v="0.71220008207147201"/>
    <s v="A"/>
    <n v="23194.116000000002"/>
    <n v="35442.36"/>
    <n v="25269.09"/>
    <n v="7697.7899999999972"/>
    <n v="12248.243999999999"/>
    <n v="0.30463265594447592"/>
  </r>
  <r>
    <s v="ORD-2025-779659"/>
    <s v="779659"/>
    <n v="2025"/>
    <d v="2023-01-12T00:00:00"/>
    <x v="19"/>
    <d v="2025-07-03T00:00:00"/>
    <s v="Jul-2025"/>
    <x v="7"/>
    <s v="Q3-2025"/>
    <n v="20"/>
    <n v="20"/>
    <n v="0"/>
    <d v="2025-07-23T00:00:00"/>
    <d v="2025-07-23T00:00:00"/>
    <x v="1"/>
    <x v="4"/>
    <s v="Beijing"/>
    <s v="Small Business"/>
    <x v="4"/>
    <s v="M. Rossi"/>
    <s v="Components"/>
    <x v="150"/>
    <n v="647.36"/>
    <n v="712.09600000000012"/>
    <n v="1383.6"/>
    <s v="Medium"/>
    <n v="7.3999999999999996E-2"/>
    <n v="7.3999999999999996E-2"/>
    <s v=""/>
    <n v="12"/>
    <n v="14.399999999999999"/>
    <n v="7768.32"/>
    <n v="1545646.9975799995"/>
    <n v="1116184.4817299999"/>
    <n v="0.72214709016845124"/>
    <s v="A"/>
    <n v="10254.182400000002"/>
    <n v="18449.475839999999"/>
    <n v="15374.563199999999"/>
    <n v="7606.243199999999"/>
    <n v="8195.2934399999976"/>
    <n v="0.49472906000997802"/>
  </r>
  <r>
    <s v="ORD-2025-718992"/>
    <s v="718992"/>
    <n v="2025"/>
    <d v="2023-01-12T00:00:00"/>
    <x v="19"/>
    <d v="2025-06-24T00:00:00"/>
    <s v="Jun-2025"/>
    <x v="6"/>
    <s v="Q2-2025"/>
    <n v="16"/>
    <n v="16"/>
    <n v="0"/>
    <d v="2025-07-10T00:00:00"/>
    <d v="2025-07-10T00:00:00"/>
    <x v="1"/>
    <x v="4"/>
    <s v="Shanghai"/>
    <s v="Enterprise"/>
    <x v="0"/>
    <s v="N. Brown"/>
    <s v="Components"/>
    <x v="151"/>
    <n v="757.19"/>
    <n v="832.90900000000011"/>
    <n v="1735.41"/>
    <s v="High"/>
    <n v="0.13600000000000001"/>
    <n v="0.1"/>
    <s v=""/>
    <n v="8"/>
    <n v="9.6"/>
    <n v="6057.52"/>
    <n v="1545646.9975799995"/>
    <n v="1128179.6356499998"/>
    <n v="0.7299076939407102"/>
    <s v="A"/>
    <n v="7995.9264000000003"/>
    <n v="14993.942400000002"/>
    <n v="11995.153920000001"/>
    <n v="5937.6339200000002"/>
    <n v="6998.0160000000014"/>
    <n v="0.4950027285685718"/>
  </r>
  <r>
    <s v="ORD-2023-632893"/>
    <s v="632893"/>
    <n v="2023"/>
    <d v="2023-01-15T00:00:00"/>
    <x v="20"/>
    <d v="2023-05-07T00:00:00"/>
    <s v="May-2023"/>
    <x v="5"/>
    <s v="Q2-2023"/>
    <n v="-2"/>
    <n v="15"/>
    <n v="0"/>
    <d v="2023-05-05T00:00:00"/>
    <d v="2023-05-22T00:00:00"/>
    <x v="0"/>
    <x v="0"/>
    <s v="Port Harcourt"/>
    <s v="Non-Profit"/>
    <x v="3"/>
    <s v="A. Patel"/>
    <s v="Components"/>
    <x v="152"/>
    <n v="1269.6500000000001"/>
    <n v="1396.6150000000002"/>
    <n v="2462.77"/>
    <s v="High"/>
    <n v="0.107"/>
    <n v="0.1"/>
    <s v=""/>
    <n v="8"/>
    <n v="9.6"/>
    <n v="10157.200000000001"/>
    <n v="1545646.9975799995"/>
    <n v="1145773.66453"/>
    <n v="0.74129064807418754"/>
    <s v="A"/>
    <n v="13407.504000000003"/>
    <n v="21278.3328"/>
    <n v="17594.028880000002"/>
    <n v="7436.8288800000009"/>
    <n v="7870.8287999999975"/>
    <n v="0.42269050089225502"/>
  </r>
  <r>
    <s v="ORD-2023-125739"/>
    <s v="125739"/>
    <n v="2023"/>
    <d v="2023-01-15T00:00:00"/>
    <x v="20"/>
    <d v="2023-05-01T00:00:00"/>
    <s v="May-2023"/>
    <x v="5"/>
    <s v="Q2-2023"/>
    <n v="17"/>
    <n v="17"/>
    <n v="0"/>
    <d v="2023-05-18T00:00:00"/>
    <d v="2023-05-18T00:00:00"/>
    <x v="0"/>
    <x v="0"/>
    <s v="Port Harcourt"/>
    <s v="Corporate"/>
    <x v="0"/>
    <s v="F. Müller"/>
    <s v="Components"/>
    <x v="153"/>
    <n v="327.97"/>
    <n v="360.76700000000005"/>
    <n v="299.94"/>
    <s v="Low"/>
    <n v="4.9000000000000002E-2"/>
    <n v="4.9000000000000002E-2"/>
    <s v=""/>
    <n v="3"/>
    <n v="3.5999999999999996"/>
    <n v="983.91000000000008"/>
    <n v="1545646.9975799995"/>
    <n v="1146629.39335"/>
    <n v="0.74184428601437691"/>
    <s v="A"/>
    <n v="1298.7612000000001"/>
    <n v="1026.8745839999999"/>
    <n v="855.72881999999993"/>
    <n v="-128.18118000000015"/>
    <n v="-271.88661600000023"/>
    <n v="-0.14979182306843442"/>
  </r>
  <r>
    <s v="ORD-2023-809913"/>
    <s v="809913"/>
    <n v="2023"/>
    <d v="2023-01-12T00:00:00"/>
    <x v="20"/>
    <d v="2023-04-21T00:00:00"/>
    <s v="Apr-2023"/>
    <x v="2"/>
    <s v="Q2-2023"/>
    <n v="19"/>
    <n v="19"/>
    <n v="0"/>
    <d v="2023-05-10T00:00:00"/>
    <d v="2023-05-10T00:00:00"/>
    <x v="1"/>
    <x v="4"/>
    <s v="Shanghai"/>
    <s v="Corporate"/>
    <x v="1"/>
    <s v="A. Patel"/>
    <s v="Components"/>
    <x v="154"/>
    <n v="882.33"/>
    <n v="970.5630000000001"/>
    <n v="1880.15"/>
    <s v="High"/>
    <n v="0.05"/>
    <n v="0.05"/>
    <s v=""/>
    <n v="5"/>
    <n v="6"/>
    <n v="4411.6500000000005"/>
    <n v="1545646.9975799995"/>
    <n v="1155560.1058499999"/>
    <n v="0.74762226281890121"/>
    <s v="A"/>
    <n v="5823.3780000000006"/>
    <n v="10716.855000000001"/>
    <n v="8930.7124999999996"/>
    <n v="4519.0624999999991"/>
    <n v="4893.4770000000008"/>
    <n v="0.50601365792482955"/>
  </r>
  <r>
    <s v="ORD-2023-340056"/>
    <s v="340056"/>
    <n v="2023"/>
    <d v="2023-01-10T00:00:00"/>
    <x v="20"/>
    <d v="2023-04-26T00:00:00"/>
    <s v="Apr-2023"/>
    <x v="2"/>
    <s v="Q2-2023"/>
    <n v="0"/>
    <n v="0"/>
    <n v="1"/>
    <d v="2023-04-26T00:00:00"/>
    <d v="2023-04-26T00:00:00"/>
    <x v="2"/>
    <x v="5"/>
    <s v="Marseille"/>
    <s v="Consumer"/>
    <x v="0"/>
    <s v="M. Rossi"/>
    <s v="Components"/>
    <x v="155"/>
    <n v="81.489999999999995"/>
    <n v="89.638999999999996"/>
    <n v="113.08"/>
    <s v="Low"/>
    <n v="0.121"/>
    <n v="0.1"/>
    <s v=""/>
    <n v="5"/>
    <n v="6"/>
    <n v="407.45"/>
    <n v="1545646.9975799995"/>
    <n v="1156057.0924499999"/>
    <n v="0.74794380234298274"/>
    <s v="A"/>
    <n v="537.83399999999995"/>
    <n v="610.63200000000006"/>
    <n v="496.98660000000001"/>
    <n v="89.536600000000021"/>
    <n v="72.798000000000116"/>
    <n v="0.18015898215364362"/>
  </r>
  <r>
    <s v="ORD-2025-863978"/>
    <s v="863978"/>
    <n v="2025"/>
    <d v="2023-01-20T00:00:00"/>
    <x v="21"/>
    <d v="2025-08-07T00:00:00"/>
    <s v="Aug-2025"/>
    <x v="8"/>
    <s v="Q3-2025"/>
    <n v="12"/>
    <n v="12"/>
    <n v="0"/>
    <d v="2025-08-19T00:00:00"/>
    <d v="2025-08-19T00:00:00"/>
    <x v="0"/>
    <x v="8"/>
    <s v="Nakuru"/>
    <s v="Corporate"/>
    <x v="0"/>
    <s v="M. Rossi"/>
    <s v="Components"/>
    <x v="156"/>
    <n v="601.51"/>
    <n v="661.66100000000006"/>
    <n v="679.35"/>
    <s v="Low"/>
    <n v="0.188"/>
    <n v="0.1"/>
    <s v=""/>
    <n v="3"/>
    <n v="3.5999999999999996"/>
    <n v="1804.53"/>
    <n v="1545646.9975799995"/>
    <n v="1157711.98905"/>
    <n v="0.74901448446030394"/>
    <s v="A"/>
    <n v="2381.9796000000001"/>
    <n v="2201.0940000000001"/>
    <n v="1654.8966000000003"/>
    <n v="-149.63339999999971"/>
    <n v="-180.88560000000007"/>
    <n v="-9.0418579626062243E-2"/>
  </r>
  <r>
    <s v="ORD-2025-132174"/>
    <s v="132174"/>
    <n v="2025"/>
    <d v="2023-01-02T00:00:00"/>
    <x v="21"/>
    <d v="2025-07-17T00:00:00"/>
    <s v="Jul-2025"/>
    <x v="7"/>
    <s v="Q3-2025"/>
    <n v="6"/>
    <n v="6"/>
    <n v="1"/>
    <d v="2025-07-23T00:00:00"/>
    <d v="2025-07-23T00:00:00"/>
    <x v="3"/>
    <x v="10"/>
    <s v="Vancouver"/>
    <s v="Consumer"/>
    <x v="4"/>
    <s v="H. Kim"/>
    <s v="Components"/>
    <x v="157"/>
    <n v="1364.89"/>
    <n v="1501.3790000000001"/>
    <n v="2757.54"/>
    <s v="High"/>
    <n v="0.17199999999999999"/>
    <n v="0.1"/>
    <s v=""/>
    <n v="61"/>
    <n v="73.2"/>
    <n v="83258.290000000008"/>
    <n v="1545646.9975799995"/>
    <n v="1296989.8193699999"/>
    <n v="0.83912421232058865"/>
    <s v="B"/>
    <n v="109900.94280000002"/>
    <n v="181666.73520000002"/>
    <n v="139277.83032000001"/>
    <n v="56019.54032"/>
    <n v="71765.792400000006"/>
    <n v="0.4022143379983118"/>
  </r>
  <r>
    <s v="ORD-2025-779574"/>
    <s v="779574"/>
    <n v="2025"/>
    <d v="2023-03-03T00:00:00"/>
    <x v="21"/>
    <d v="2025-09-10T00:00:00"/>
    <s v="Sept-2025"/>
    <x v="11"/>
    <s v="Q3-2025"/>
    <n v="2"/>
    <n v="2"/>
    <n v="1"/>
    <d v="2025-09-12T00:00:00"/>
    <d v="2025-09-12T00:00:00"/>
    <x v="1"/>
    <x v="3"/>
    <s v="Tokyo"/>
    <s v="Consumer"/>
    <x v="4"/>
    <s v="O. Wang"/>
    <s v="Components"/>
    <x v="158"/>
    <n v="1470.15"/>
    <n v="1617.1650000000002"/>
    <n v="2593.7800000000002"/>
    <s v="High"/>
    <n v="0.11"/>
    <n v="0.1"/>
    <s v=""/>
    <n v="12"/>
    <n v="14.399999999999999"/>
    <n v="17641.800000000003"/>
    <n v="1545646.9975799995"/>
    <n v="1324691.38977"/>
    <n v="0.85704652604640841"/>
    <s v="B"/>
    <n v="23287.175999999999"/>
    <n v="33615.388800000001"/>
    <n v="27701.570400000001"/>
    <n v="10059.770399999998"/>
    <n v="10328.212800000001"/>
    <n v="0.36314801849645306"/>
  </r>
  <r>
    <s v="ORD-2025-537785"/>
    <s v="537785"/>
    <n v="2025"/>
    <d v="2023-01-19T00:00:00"/>
    <x v="21"/>
    <d v="2025-08-05T00:00:00"/>
    <s v="Aug-2025"/>
    <x v="8"/>
    <s v="Q3-2025"/>
    <n v="9"/>
    <n v="9"/>
    <n v="0"/>
    <d v="2025-08-14T00:00:00"/>
    <d v="2025-08-14T00:00:00"/>
    <x v="2"/>
    <x v="2"/>
    <s v="London"/>
    <s v="Non-Profit"/>
    <x v="0"/>
    <s v="E. Garcia"/>
    <s v="Components"/>
    <x v="159"/>
    <n v="41.76"/>
    <n v="45.936"/>
    <n v="45.19"/>
    <s v="Low"/>
    <n v="0.17899999999999999"/>
    <n v="0.1"/>
    <s v=""/>
    <n v="23"/>
    <n v="27.599999999999998"/>
    <n v="960.4799999999999"/>
    <n v="1545646.9975799995"/>
    <n v="1325544.71254"/>
    <n v="0.85759860732456317"/>
    <s v="B"/>
    <n v="1267.8335999999999"/>
    <n v="1122.5195999999999"/>
    <n v="853.32276999999988"/>
    <n v="-107.15723000000003"/>
    <n v="-145.31400000000008"/>
    <n v="-0.12557643340514638"/>
  </r>
  <r>
    <s v="ORD-2025-762212"/>
    <s v="762212"/>
    <n v="2025"/>
    <d v="2023-01-20T00:00:00"/>
    <x v="22"/>
    <d v="2025-08-25T00:00:00"/>
    <s v="Aug-2025"/>
    <x v="8"/>
    <s v="Q3-2025"/>
    <n v="30"/>
    <n v="30"/>
    <n v="0"/>
    <d v="2025-09-24T00:00:00"/>
    <d v="2025-09-24T00:00:00"/>
    <x v="0"/>
    <x v="8"/>
    <s v="Nairobi"/>
    <s v="Consumer"/>
    <x v="0"/>
    <s v="B. Chen"/>
    <s v="Components"/>
    <x v="160"/>
    <n v="589.14"/>
    <n v="648.05400000000009"/>
    <n v="1300.58"/>
    <s v="Medium"/>
    <n v="5.5E-2"/>
    <n v="5.5E-2"/>
    <s v=""/>
    <n v="11"/>
    <n v="13.2"/>
    <n v="6480.54"/>
    <n v="1545646.9975799995"/>
    <n v="1339064.2416399999"/>
    <n v="0.86634544869336683"/>
    <s v="B"/>
    <n v="8554.3128000000015"/>
    <n v="16223.434919999998"/>
    <n v="13519.529099999998"/>
    <n v="7038.989099999998"/>
    <n v="7669.1221199999964"/>
    <n v="0.52065342275863724"/>
  </r>
  <r>
    <s v="ORD-2025-993993"/>
    <s v="993993"/>
    <n v="2025"/>
    <d v="2023-01-10T00:00:00"/>
    <x v="22"/>
    <d v="2025-08-30T00:00:00"/>
    <s v="Aug-2025"/>
    <x v="8"/>
    <s v="Q3-2025"/>
    <n v="23"/>
    <n v="23"/>
    <n v="0"/>
    <d v="2025-09-22T00:00:00"/>
    <d v="2025-09-22T00:00:00"/>
    <x v="2"/>
    <x v="5"/>
    <s v="Marseille"/>
    <s v="Corporate"/>
    <x v="0"/>
    <s v="E. Garcia"/>
    <s v="Components"/>
    <x v="161"/>
    <n v="663.9"/>
    <n v="730.29000000000008"/>
    <n v="947.77"/>
    <s v="Medium"/>
    <n v="0.17399999999999999"/>
    <n v="0.1"/>
    <s v=""/>
    <n v="15"/>
    <n v="18"/>
    <n v="9958.5"/>
    <n v="1545646.9975799995"/>
    <n v="1350807.11194"/>
    <n v="0.87394283044895893"/>
    <s v="B"/>
    <n v="13145.220000000001"/>
    <n v="15353.874000000002"/>
    <n v="11742.8703"/>
    <n v="1784.3703000000005"/>
    <n v="2208.6540000000005"/>
    <n v="0.1519535049280073"/>
  </r>
  <r>
    <s v="ORD-2025-588029"/>
    <s v="588029"/>
    <n v="2025"/>
    <d v="2023-01-07T00:00:00"/>
    <x v="32"/>
    <d v="2025-09-14T00:00:00"/>
    <s v="Sept-2025"/>
    <x v="11"/>
    <s v="Q3-2025"/>
    <n v="9"/>
    <n v="9"/>
    <n v="0"/>
    <d v="2025-09-23T00:00:00"/>
    <d v="2025-09-23T00:00:00"/>
    <x v="0"/>
    <x v="6"/>
    <s v="Durban"/>
    <s v="Non-Profit"/>
    <x v="4"/>
    <s v="D. Smith"/>
    <s v="Components"/>
    <x v="162"/>
    <n v="1310.3"/>
    <n v="1441.3300000000002"/>
    <n v="2875.8"/>
    <s v="High"/>
    <n v="8.3000000000000004E-2"/>
    <n v="8.3000000000000004E-2"/>
    <s v=""/>
    <n v="5"/>
    <n v="6"/>
    <n v="6551.5"/>
    <n v="1545646.9975799995"/>
    <n v="1363992.65494"/>
    <n v="0.88247359007301573"/>
    <s v="B"/>
    <n v="8647.9800000000014"/>
    <n v="15822.651600000003"/>
    <n v="13185.543"/>
    <n v="6634.0429999999997"/>
    <n v="7174.6716000000015"/>
    <n v="0.50313005691157353"/>
  </r>
  <r>
    <s v="ORD-2023-638181"/>
    <s v="638181"/>
    <n v="2023"/>
    <d v="2023-01-15T00:00:00"/>
    <x v="23"/>
    <d v="2023-05-20T00:00:00"/>
    <s v="May-2023"/>
    <x v="5"/>
    <s v="Q2-2023"/>
    <n v="18"/>
    <n v="18"/>
    <n v="0"/>
    <d v="2023-06-07T00:00:00"/>
    <d v="2023-06-07T00:00:00"/>
    <x v="0"/>
    <x v="0"/>
    <s v="Port Harcourt"/>
    <s v="Enterprise"/>
    <x v="2"/>
    <s v="E. Garcia"/>
    <s v="Components"/>
    <x v="163"/>
    <n v="1120.06"/>
    <n v="1232.066"/>
    <n v="2068.21"/>
    <s v="High"/>
    <n v="7.8E-2"/>
    <n v="7.8E-2"/>
    <s v=""/>
    <n v="12"/>
    <n v="14.399999999999999"/>
    <n v="13440.72"/>
    <n v="1545646.9975799995"/>
    <n v="1386875.3303799999"/>
    <n v="0.89727818353829403"/>
    <s v="B"/>
    <n v="17741.750399999997"/>
    <n v="27459.210528"/>
    <n v="22882.675440000003"/>
    <n v="9441.9554400000034"/>
    <n v="9717.4601280000024"/>
    <n v="0.41262462795303284"/>
  </r>
  <r>
    <s v="ORD-2023-382272"/>
    <s v="382272"/>
    <n v="2023"/>
    <d v="2023-01-07T00:00:00"/>
    <x v="23"/>
    <d v="2023-05-20T00:00:00"/>
    <s v="May-2023"/>
    <x v="5"/>
    <s v="Q2-2023"/>
    <n v="-2"/>
    <n v="15"/>
    <n v="0"/>
    <d v="2023-05-18T00:00:00"/>
    <d v="2023-06-04T00:00:00"/>
    <x v="0"/>
    <x v="6"/>
    <s v="Durban"/>
    <s v="Corporate"/>
    <x v="2"/>
    <s v="A. Patel"/>
    <s v="Components"/>
    <x v="164"/>
    <n v="917.88"/>
    <n v="1009.6680000000001"/>
    <n v="1347.92"/>
    <s v="Medium"/>
    <n v="0.34300000000000003"/>
    <n v="0.1"/>
    <s v="&gt;0.3"/>
    <n v="5"/>
    <n v="6"/>
    <n v="4589.3999999999996"/>
    <n v="1545646.9975799995"/>
    <n v="1391303.24758"/>
    <n v="0.90014294968925401"/>
    <s v="B"/>
    <n v="6058.0080000000007"/>
    <n v="7278.7680000000009"/>
    <n v="4427.9172000000008"/>
    <n v="-161.48279999999886"/>
    <n v="1220.7600000000002"/>
    <n v="-3.6469245630880096E-2"/>
  </r>
  <r>
    <s v="ORD-2023-244375"/>
    <s v="244375"/>
    <n v="2023"/>
    <d v="2023-01-29T00:00:00"/>
    <x v="23"/>
    <d v="2023-06-03T00:00:00"/>
    <s v="Jun-2023"/>
    <x v="6"/>
    <s v="Q2-2023"/>
    <n v="28"/>
    <n v="28"/>
    <n v="0"/>
    <d v="2023-07-01T00:00:00"/>
    <d v="2023-07-01T00:00:00"/>
    <x v="3"/>
    <x v="9"/>
    <s v="Brasília"/>
    <s v="Small Business"/>
    <x v="3"/>
    <s v="A. Patel"/>
    <s v="Components"/>
    <x v="165"/>
    <n v="860.4"/>
    <n v="946.44"/>
    <n v="2066.6"/>
    <s v="High"/>
    <n v="0.01"/>
    <n v="0.01"/>
    <s v=""/>
    <n v="3"/>
    <n v="3.5999999999999996"/>
    <n v="2581.1999999999998"/>
    <n v="1545646.9975799995"/>
    <n v="1397441.0495799999"/>
    <n v="0.9041139741273112"/>
    <s v="B"/>
    <n v="3407.1839999999997"/>
    <n v="7365.3623999999991"/>
    <n v="6137.8019999999988"/>
    <n v="3556.601999999999"/>
    <n v="3958.1783999999993"/>
    <n v="0.57945857491004105"/>
  </r>
  <r>
    <s v="ORD-2023-603650"/>
    <s v="603650"/>
    <n v="2023"/>
    <d v="2023-01-12T00:00:00"/>
    <x v="23"/>
    <d v="2023-05-23T00:00:00"/>
    <s v="May-2023"/>
    <x v="5"/>
    <s v="Q2-2023"/>
    <n v="18"/>
    <n v="18"/>
    <n v="0"/>
    <d v="2023-06-10T00:00:00"/>
    <d v="2023-06-10T00:00:00"/>
    <x v="1"/>
    <x v="4"/>
    <s v="Shanghai"/>
    <s v="Corporate"/>
    <x v="2"/>
    <s v="E. Garcia"/>
    <s v="Components"/>
    <x v="166"/>
    <n v="54.62"/>
    <n v="60.082000000000001"/>
    <n v="48.94"/>
    <s v="Low"/>
    <n v="0.14799999999999999"/>
    <n v="0.1"/>
    <s v=""/>
    <n v="16"/>
    <n v="19.2"/>
    <n v="873.92"/>
    <n v="1545646.9975799995"/>
    <n v="1398108.1996599999"/>
    <n v="0.90454560572304077"/>
    <s v="B"/>
    <n v="1153.5744"/>
    <n v="845.68319999999994"/>
    <n v="667.15008"/>
    <n v="-206.76991999999996"/>
    <n v="-307.89120000000003"/>
    <n v="-0.3099301434543783"/>
  </r>
  <r>
    <s v="ORD-2023-539967"/>
    <s v="539967"/>
    <n v="2023"/>
    <d v="2023-03-03T00:00:00"/>
    <x v="23"/>
    <d v="2023-07-09T00:00:00"/>
    <s v="Jul-2023"/>
    <x v="7"/>
    <s v="Q3-2023"/>
    <n v="10"/>
    <n v="10"/>
    <n v="0"/>
    <d v="2023-07-19T00:00:00"/>
    <d v="2023-07-19T00:00:00"/>
    <x v="1"/>
    <x v="3"/>
    <s v="Tokyo"/>
    <s v="Enterprise"/>
    <x v="2"/>
    <s v="N. Brown"/>
    <s v="Components"/>
    <x v="167"/>
    <n v="141.26"/>
    <n v="155.386"/>
    <n v="206.88"/>
    <s v="Low"/>
    <n v="0.107"/>
    <n v="0.1"/>
    <s v=""/>
    <n v="9"/>
    <n v="10.799999999999999"/>
    <n v="1271.3399999999999"/>
    <n v="1545646.9975799995"/>
    <n v="1399770.8942199999"/>
    <n v="0.90562133295092861"/>
    <s v="B"/>
    <n v="1678.1687999999997"/>
    <n v="2010.8735999999997"/>
    <n v="1662.6945600000001"/>
    <n v="391.35456000000022"/>
    <n v="332.70479999999998"/>
    <n v="0.23537369365062469"/>
  </r>
  <r>
    <s v="ORD-2023-927385"/>
    <s v="927385"/>
    <n v="2023"/>
    <d v="2023-01-19T00:00:00"/>
    <x v="23"/>
    <d v="2023-05-29T00:00:00"/>
    <s v="May-2023"/>
    <x v="5"/>
    <s v="Q2-2023"/>
    <n v="22"/>
    <n v="22"/>
    <n v="0"/>
    <d v="2023-06-20T00:00:00"/>
    <d v="2023-06-20T00:00:00"/>
    <x v="2"/>
    <x v="2"/>
    <s v="London"/>
    <s v="Small Business"/>
    <x v="0"/>
    <s v="K. Singh"/>
    <s v="Components"/>
    <x v="168"/>
    <n v="1295.3900000000001"/>
    <n v="1424.9290000000003"/>
    <n v="2905.06"/>
    <s v="High"/>
    <n v="0.14799999999999999"/>
    <n v="0.1"/>
    <s v=""/>
    <n v="8"/>
    <n v="9.6"/>
    <n v="10363.120000000001"/>
    <n v="1545646.9975799995"/>
    <n v="1419571.7831799998"/>
    <n v="0.91843207757179091"/>
    <s v="B"/>
    <n v="13679.318400000002"/>
    <n v="25099.718399999998"/>
    <n v="19800.88896"/>
    <n v="9437.7689599999994"/>
    <n v="11420.399999999996"/>
    <n v="0.47663359857556614"/>
  </r>
  <r>
    <s v="ORD-2023-290279"/>
    <s v="290279"/>
    <n v="2023"/>
    <d v="2023-01-19T00:00:00"/>
    <x v="23"/>
    <d v="2023-06-14T00:00:00"/>
    <s v="Jun-2023"/>
    <x v="6"/>
    <s v="Q2-2023"/>
    <n v="2"/>
    <n v="2"/>
    <n v="1"/>
    <d v="2023-06-16T00:00:00"/>
    <d v="2023-06-16T00:00:00"/>
    <x v="2"/>
    <x v="2"/>
    <s v="Manchester"/>
    <s v="Non-Profit"/>
    <x v="0"/>
    <s v="K. Singh"/>
    <s v="Components"/>
    <x v="138"/>
    <n v="357.36"/>
    <n v="393.09600000000006"/>
    <n v="703.62"/>
    <s v="Low"/>
    <n v="0.25700000000000001"/>
    <n v="0.1"/>
    <s v=""/>
    <n v="20"/>
    <n v="24"/>
    <n v="7147.2000000000007"/>
    <n v="1545646.9975799995"/>
    <n v="1430027.5763799998"/>
    <n v="0.92519674842895971"/>
    <s v="B"/>
    <n v="9434.3040000000019"/>
    <n v="15198.192000000001"/>
    <n v="10455.7932"/>
    <n v="3308.5931999999993"/>
    <n v="5763.887999999999"/>
    <n v="0.31643636563125593"/>
  </r>
  <r>
    <s v="ORD-2023-920483"/>
    <s v="920483"/>
    <n v="2023"/>
    <d v="2023-01-19T00:00:00"/>
    <x v="24"/>
    <d v="2023-07-02T00:00:00"/>
    <s v="Jul-2023"/>
    <x v="7"/>
    <s v="Q3-2023"/>
    <n v="30"/>
    <n v="30"/>
    <n v="0"/>
    <d v="2023-08-01T00:00:00"/>
    <d v="2023-08-01T00:00:00"/>
    <x v="2"/>
    <x v="2"/>
    <s v="Birmingham"/>
    <s v="Small Business"/>
    <x v="1"/>
    <s v="B. Chen"/>
    <s v="Components"/>
    <x v="169"/>
    <n v="137.46"/>
    <n v="151.20600000000002"/>
    <n v="188.3"/>
    <s v="Low"/>
    <n v="3.7999999999999999E-2"/>
    <n v="3.7999999999999999E-2"/>
    <s v=""/>
    <n v="37"/>
    <n v="44.4"/>
    <n v="5086.0200000000004"/>
    <n v="1545646.9975799995"/>
    <n v="1436729.9265799997"/>
    <n v="0.92953302327728782"/>
    <s v="B"/>
    <n v="6713.5464000000002"/>
    <n v="8042.82024"/>
    <n v="6702.3501999999999"/>
    <n v="1616.3301999999994"/>
    <n v="1329.2738399999998"/>
    <n v="0.24115872071262398"/>
  </r>
  <r>
    <s v="ORD-2023-369150"/>
    <s v="369150"/>
    <n v="2023"/>
    <d v="2023-01-07T00:00:00"/>
    <x v="25"/>
    <d v="2023-07-18T00:00:00"/>
    <s v="Jul-2023"/>
    <x v="7"/>
    <s v="Q3-2023"/>
    <n v="23"/>
    <n v="23"/>
    <n v="0"/>
    <d v="2023-08-10T00:00:00"/>
    <d v="2023-08-10T00:00:00"/>
    <x v="0"/>
    <x v="6"/>
    <s v="Johannesburg"/>
    <s v="Small Business"/>
    <x v="1"/>
    <s v="L. Okafor"/>
    <s v="Components"/>
    <x v="170"/>
    <n v="1271.56"/>
    <n v="1398.7160000000001"/>
    <n v="995.47"/>
    <s v="Medium"/>
    <n v="0.192"/>
    <n v="0.1"/>
    <s v=""/>
    <n v="13"/>
    <n v="15.6"/>
    <n v="16530.28"/>
    <n v="1545646.9975799995"/>
    <n v="1447186.3434599997"/>
    <n v="0.93629809764185579"/>
    <s v="B"/>
    <n v="21819.9696"/>
    <n v="13976.398800000001"/>
    <n v="10456.416880000001"/>
    <n v="-6073.8631199999982"/>
    <n v="-7843.5707999999995"/>
    <n v="-0.58087423155607754"/>
  </r>
  <r>
    <s v="ORD-2023-450877"/>
    <s v="450877"/>
    <n v="2023"/>
    <d v="2023-03-03T00:00:00"/>
    <x v="25"/>
    <d v="2023-09-21T00:00:00"/>
    <s v="Sept-2023"/>
    <x v="11"/>
    <s v="Q3-2023"/>
    <n v="19"/>
    <n v="19"/>
    <n v="0"/>
    <d v="2023-10-10T00:00:00"/>
    <d v="2023-10-10T00:00:00"/>
    <x v="1"/>
    <x v="3"/>
    <s v="Tokyo"/>
    <s v="Education"/>
    <x v="4"/>
    <s v="D. Smith"/>
    <s v="Components"/>
    <x v="171"/>
    <n v="845.63"/>
    <n v="930.1930000000001"/>
    <n v="2062.12"/>
    <s v="High"/>
    <n v="0.13400000000000001"/>
    <n v="0.1"/>
    <s v=""/>
    <n v="5"/>
    <n v="6"/>
    <n v="4228.1499999999996"/>
    <n v="1545646.9975799995"/>
    <n v="1456115.3230599996"/>
    <n v="0.94207495329775914"/>
    <s v="B"/>
    <n v="5581.1580000000004"/>
    <n v="11135.448"/>
    <n v="8928.9795999999988"/>
    <n v="4700.8295999999991"/>
    <n v="5554.29"/>
    <n v="0.52646884757133949"/>
  </r>
  <r>
    <s v="ORD-2023-713375"/>
    <s v="713375"/>
    <n v="2023"/>
    <d v="2023-01-07T00:00:00"/>
    <x v="26"/>
    <d v="2023-08-26T00:00:00"/>
    <s v="Aug-2023"/>
    <x v="8"/>
    <s v="Q3-2023"/>
    <n v="15"/>
    <n v="15"/>
    <n v="0"/>
    <d v="2023-09-10T00:00:00"/>
    <d v="2023-09-10T00:00:00"/>
    <x v="0"/>
    <x v="6"/>
    <s v="Cape Town"/>
    <s v="Non-Profit"/>
    <x v="0"/>
    <s v="N. Brown"/>
    <s v="Components"/>
    <x v="172"/>
    <n v="241.14"/>
    <n v="265.25400000000002"/>
    <n v="496.52"/>
    <s v="Low"/>
    <n v="9.2999999999999999E-2"/>
    <n v="9.2999999999999999E-2"/>
    <s v=""/>
    <n v="10"/>
    <n v="12"/>
    <n v="2411.3999999999996"/>
    <n v="1545646.9975799995"/>
    <n v="1460618.7594599996"/>
    <n v="0.94498857872908393"/>
    <s v="B"/>
    <n v="3183.0480000000002"/>
    <n v="5404.1236799999997"/>
    <n v="4503.4363999999996"/>
    <n v="2092.0364"/>
    <n v="2221.0756799999995"/>
    <n v="0.46454223268257994"/>
  </r>
  <r>
    <s v="ORD-2023-603238"/>
    <s v="603238"/>
    <n v="2023"/>
    <d v="2023-01-02T00:00:00"/>
    <x v="26"/>
    <d v="2023-08-21T00:00:00"/>
    <s v="Aug-2023"/>
    <x v="8"/>
    <s v="Q3-2023"/>
    <n v="14"/>
    <n v="14"/>
    <n v="0"/>
    <d v="2023-09-04T00:00:00"/>
    <d v="2023-09-04T00:00:00"/>
    <x v="3"/>
    <x v="10"/>
    <s v="Montreal"/>
    <s v="Education"/>
    <x v="2"/>
    <s v="F. Müller"/>
    <s v="Components"/>
    <x v="173"/>
    <n v="178.19"/>
    <n v="196.00900000000001"/>
    <n v="284.43"/>
    <s v="Low"/>
    <n v="8.8999999999999996E-2"/>
    <n v="8.8999999999999996E-2"/>
    <s v=""/>
    <n v="8"/>
    <n v="9.6"/>
    <n v="1425.52"/>
    <n v="1545646.9975799995"/>
    <n v="1462691.6852999995"/>
    <n v="0.94632971667535859"/>
    <s v="B"/>
    <n v="1881.6864"/>
    <n v="2487.5110079999999"/>
    <n v="2072.9258400000003"/>
    <n v="647.40584000000035"/>
    <n v="605.8246079999999"/>
    <n v="0.31231500302972742"/>
  </r>
  <r>
    <s v="ORD-2023-883066"/>
    <s v="883066"/>
    <n v="2023"/>
    <d v="2023-01-12T00:00:00"/>
    <x v="26"/>
    <d v="2023-08-12T00:00:00"/>
    <s v="Aug-2023"/>
    <x v="8"/>
    <s v="Q3-2023"/>
    <n v="25"/>
    <n v="25"/>
    <n v="0"/>
    <d v="2023-09-06T00:00:00"/>
    <d v="2023-09-06T00:00:00"/>
    <x v="1"/>
    <x v="4"/>
    <s v="Shanghai"/>
    <s v="Small Business"/>
    <x v="1"/>
    <s v="B. Chen"/>
    <s v="Components"/>
    <x v="174"/>
    <n v="950.77"/>
    <n v="1045.847"/>
    <n v="694.78"/>
    <s v="Low"/>
    <n v="8.4000000000000005E-2"/>
    <n v="8.4000000000000005E-2"/>
    <s v=""/>
    <n v="14"/>
    <n v="16.8"/>
    <n v="13310.779999999999"/>
    <n v="1545646.9975799995"/>
    <n v="1471601.5440199994"/>
    <n v="0.95209420153765245"/>
    <s v="C"/>
    <n v="17570.229599999999"/>
    <n v="10691.830464000001"/>
    <n v="8909.8587200000002"/>
    <n v="-4400.9212799999987"/>
    <n v="-6878.3991359999982"/>
    <n v="-0.49393839097821279"/>
  </r>
  <r>
    <s v="ORD-2023-722117"/>
    <s v="722117"/>
    <n v="2023"/>
    <d v="2023-01-29T00:00:00"/>
    <x v="26"/>
    <d v="2023-09-18T00:00:00"/>
    <s v="Sept-2023"/>
    <x v="11"/>
    <s v="Q3-2023"/>
    <n v="20"/>
    <n v="20"/>
    <n v="0"/>
    <d v="2023-10-08T00:00:00"/>
    <d v="2023-10-08T00:00:00"/>
    <x v="1"/>
    <x v="1"/>
    <s v="Delhi"/>
    <s v="Small Business"/>
    <x v="0"/>
    <s v="B. Chen"/>
    <s v="Components"/>
    <x v="175"/>
    <n v="825.64"/>
    <n v="908.20400000000006"/>
    <n v="1108.43"/>
    <s v="Medium"/>
    <n v="0.114"/>
    <n v="0.1"/>
    <s v=""/>
    <n v="7"/>
    <n v="8.4"/>
    <n v="5779.48"/>
    <n v="1545646.9975799995"/>
    <n v="1478476.0268799996"/>
    <n v="0.9565418424742721"/>
    <s v="C"/>
    <n v="7628.9136000000008"/>
    <n v="8379.7308000000012"/>
    <n v="6874.4828600000001"/>
    <n v="1095.0028600000005"/>
    <n v="750.81720000000041"/>
    <n v="0.15928512475773349"/>
  </r>
  <r>
    <s v="ORD-2023-368449"/>
    <s v="368449"/>
    <n v="2023"/>
    <d v="2023-01-12T00:00:00"/>
    <x v="27"/>
    <d v="2023-10-09T00:00:00"/>
    <s v="Oct-2023"/>
    <x v="9"/>
    <s v="Q4-2023"/>
    <n v="17"/>
    <n v="17"/>
    <n v="0"/>
    <d v="2023-10-26T00:00:00"/>
    <d v="2023-10-26T00:00:00"/>
    <x v="1"/>
    <x v="4"/>
    <s v="Shanghai"/>
    <s v="Consumer"/>
    <x v="3"/>
    <s v="C. Otieno"/>
    <s v="Components"/>
    <x v="176"/>
    <n v="1132.03"/>
    <n v="1245.2330000000002"/>
    <n v="2137.21"/>
    <s v="High"/>
    <n v="0.35699999999999998"/>
    <n v="0.1"/>
    <s v="&gt;0.3"/>
    <n v="35"/>
    <n v="42"/>
    <n v="39621.049999999996"/>
    <n v="1545646.9975799995"/>
    <n v="1526573.9379299995"/>
    <n v="0.98766014511731182"/>
    <s v="C"/>
    <n v="52299.786000000007"/>
    <n v="80786.538000000015"/>
    <n v="48097.911050000002"/>
    <n v="8476.8610500000068"/>
    <n v="28486.752000000008"/>
    <n v="0.17624177152284051"/>
  </r>
  <r>
    <s v="ORD-2023-474313"/>
    <s v="474313"/>
    <n v="2023"/>
    <d v="2023-01-29T00:00:00"/>
    <x v="27"/>
    <d v="2023-10-05T00:00:00"/>
    <s v="Oct-2023"/>
    <x v="9"/>
    <s v="Q4-2023"/>
    <n v="1"/>
    <n v="1"/>
    <n v="1"/>
    <d v="2023-10-06T00:00:00"/>
    <d v="2023-10-06T00:00:00"/>
    <x v="1"/>
    <x v="1"/>
    <s v="Bengaluru"/>
    <s v="Non-Profit"/>
    <x v="4"/>
    <s v="I. Johnson"/>
    <s v="Components"/>
    <x v="177"/>
    <n v="1470.26"/>
    <n v="1617.2860000000001"/>
    <n v="2562.5500000000002"/>
    <s v="High"/>
    <n v="0.17299999999999999"/>
    <n v="0.1"/>
    <s v=""/>
    <n v="9"/>
    <n v="10.799999999999999"/>
    <n v="13232.34"/>
    <n v="1545646.9975799995"/>
    <n v="1545646.9975799995"/>
    <n v="1"/>
    <s v="C"/>
    <n v="17466.6888"/>
    <n v="24907.986000000001"/>
    <n v="19073.059649999999"/>
    <n v="5840.7196499999991"/>
    <n v="7441.2972000000009"/>
    <n v="0.30622877279157462"/>
  </r>
  <r>
    <s v="ORD-2023-723587"/>
    <s v="723587"/>
    <n v="2023"/>
    <d v="2023-01-02T00:00:00"/>
    <x v="0"/>
    <d v="2023-01-02T00:00:00"/>
    <s v="Jan-2023"/>
    <x v="1"/>
    <s v="Q1-2023"/>
    <n v="3"/>
    <n v="3"/>
    <n v="1"/>
    <d v="2023-01-05T00:00:00"/>
    <d v="2023-01-05T00:00:00"/>
    <x v="3"/>
    <x v="10"/>
    <s v="Toronto"/>
    <s v="Corporate"/>
    <x v="2"/>
    <s v="B. Chen"/>
    <s v="Laptops"/>
    <x v="178"/>
    <n v="315.87"/>
    <n v="347.45700000000005"/>
    <n v="591.67999999999995"/>
    <s v="Low"/>
    <n v="0"/>
    <n v="0"/>
    <s v=""/>
    <n v="7"/>
    <n v="8.4"/>
    <n v="2211.09"/>
    <n v="1711094.3776"/>
    <n v="4141.7599999999993"/>
    <n v="2.4205327620848583E-3"/>
    <s v="A"/>
    <n v="2918.6388000000006"/>
    <n v="4970.1120000000001"/>
    <n v="4141.7599999999993"/>
    <n v="1930.6699999999992"/>
    <n v="2051.4731999999995"/>
    <n v="0.46614724175229844"/>
  </r>
  <r>
    <s v="ORD-2023-884192"/>
    <s v="884192"/>
    <n v="2023"/>
    <d v="2023-01-10T00:00:00"/>
    <x v="0"/>
    <d v="2023-01-10T00:00:00"/>
    <s v="Jan-2023"/>
    <x v="1"/>
    <s v="Q1-2023"/>
    <n v="19"/>
    <n v="19"/>
    <n v="0"/>
    <d v="2023-01-29T00:00:00"/>
    <d v="2023-01-29T00:00:00"/>
    <x v="2"/>
    <x v="5"/>
    <s v="Lyon"/>
    <s v="Non-Profit"/>
    <x v="0"/>
    <s v="D. Smith"/>
    <s v="Laptops"/>
    <x v="179"/>
    <n v="401.66"/>
    <n v="441.82600000000008"/>
    <n v="772.09"/>
    <s v="Low"/>
    <n v="8.8999999999999996E-2"/>
    <n v="8.8999999999999996E-2"/>
    <s v=""/>
    <n v="14"/>
    <n v="16.8"/>
    <n v="5623.2400000000007"/>
    <n v="1711094.3776"/>
    <n v="13988.995859999999"/>
    <n v="8.1754671414566386E-3"/>
    <s v="A"/>
    <n v="7422.676800000002"/>
    <n v="11816.683032000001"/>
    <n v="9847.2358600000007"/>
    <n v="4223.99586"/>
    <n v="4394.0062319999988"/>
    <n v="0.42895244107619046"/>
  </r>
  <r>
    <s v="ORD-2023-430904"/>
    <s v="430904"/>
    <n v="2023"/>
    <d v="2023-01-19T00:00:00"/>
    <x v="0"/>
    <d v="2023-01-27T00:00:00"/>
    <s v="Jan-2023"/>
    <x v="1"/>
    <s v="Q1-2023"/>
    <n v="4"/>
    <n v="4"/>
    <n v="1"/>
    <d v="2023-01-31T00:00:00"/>
    <d v="2023-01-31T00:00:00"/>
    <x v="2"/>
    <x v="2"/>
    <s v="Manchester"/>
    <s v="Enterprise"/>
    <x v="4"/>
    <s v="N. Brown"/>
    <s v="Laptops"/>
    <x v="180"/>
    <n v="941.2"/>
    <n v="1035.3200000000002"/>
    <n v="668.02"/>
    <s v="Low"/>
    <n v="0.22"/>
    <n v="0.1"/>
    <s v=""/>
    <n v="16"/>
    <n v="19.2"/>
    <n v="15059.2"/>
    <n v="1711094.3776"/>
    <n v="22325.885459999998"/>
    <n v="1.3047722996620754E-2"/>
    <s v="A"/>
    <n v="19878.144000000004"/>
    <n v="11543.3856"/>
    <n v="8336.8896000000004"/>
    <n v="-6722.3104000000003"/>
    <n v="-8334.7584000000043"/>
    <n v="-0.80633314371825193"/>
  </r>
  <r>
    <s v="ORD-2023-480975"/>
    <s v="480975"/>
    <n v="2023"/>
    <d v="2023-01-07T00:00:00"/>
    <x v="1"/>
    <d v="2023-02-15T00:00:00"/>
    <s v="Feb-2023"/>
    <x v="0"/>
    <s v="Q1-2023"/>
    <n v="11"/>
    <n v="11"/>
    <n v="0"/>
    <d v="2023-02-26T00:00:00"/>
    <d v="2023-02-26T00:00:00"/>
    <x v="0"/>
    <x v="6"/>
    <s v="Johannesburg"/>
    <s v="Non-Profit"/>
    <x v="1"/>
    <s v="K. Singh"/>
    <s v="Laptops"/>
    <x v="181"/>
    <n v="498.5"/>
    <n v="548.35"/>
    <n v="755.87"/>
    <s v="Low"/>
    <n v="0.13"/>
    <n v="0.1"/>
    <s v=""/>
    <n v="40"/>
    <n v="48"/>
    <n v="19940"/>
    <n v="1711094.3776"/>
    <n v="48630.161459999996"/>
    <n v="2.8420502163188217E-2"/>
    <s v="A"/>
    <n v="26320.800000000003"/>
    <n v="32653.584000000003"/>
    <n v="26304.275999999998"/>
    <n v="6364.275999999998"/>
    <n v="6332.7839999999997"/>
    <n v="0.24194834330357537"/>
  </r>
  <r>
    <s v="ORD-2023-422918"/>
    <s v="422918"/>
    <n v="2023"/>
    <d v="2023-01-22T00:00:00"/>
    <x v="1"/>
    <d v="2023-02-28T00:00:00"/>
    <s v="Feb-2023"/>
    <x v="0"/>
    <s v="Q1-2023"/>
    <n v="20"/>
    <n v="20"/>
    <n v="0"/>
    <d v="2023-03-20T00:00:00"/>
    <d v="2023-03-20T00:00:00"/>
    <x v="2"/>
    <x v="7"/>
    <s v="Berlin"/>
    <s v="Small Business"/>
    <x v="0"/>
    <s v="H. Kim"/>
    <s v="Laptops"/>
    <x v="182"/>
    <n v="1200.78"/>
    <n v="1320.8580000000002"/>
    <n v="2001.17"/>
    <s v="High"/>
    <n v="0.29199999999999998"/>
    <n v="0.1"/>
    <s v=""/>
    <n v="18"/>
    <n v="21.599999999999998"/>
    <n v="21614.04"/>
    <n v="1711094.3776"/>
    <n v="74133.071939999994"/>
    <n v="4.3324946251053591E-2"/>
    <s v="A"/>
    <n v="28530.532800000001"/>
    <n v="38902.7448"/>
    <n v="25502.910479999999"/>
    <n v="3888.8704799999978"/>
    <n v="10372.212"/>
    <n v="0.15248732034132906"/>
  </r>
  <r>
    <s v="ORD-2023-825495"/>
    <s v="825495"/>
    <n v="2023"/>
    <d v="2023-01-07T00:00:00"/>
    <x v="29"/>
    <d v="2023-11-30T00:00:00"/>
    <s v="Nov-2023"/>
    <x v="10"/>
    <s v="Q4-2023"/>
    <n v="-1"/>
    <n v="15"/>
    <n v="0"/>
    <d v="2023-11-29T00:00:00"/>
    <d v="2023-12-15T00:00:00"/>
    <x v="0"/>
    <x v="6"/>
    <s v="Durban"/>
    <s v="Small Business"/>
    <x v="3"/>
    <s v="E. Garcia"/>
    <s v="Laptops"/>
    <x v="183"/>
    <n v="275.56"/>
    <n v="303.11600000000004"/>
    <n v="630.72"/>
    <s v="Low"/>
    <n v="0.107"/>
    <n v="0.1"/>
    <s v=""/>
    <n v="23"/>
    <n v="27.599999999999998"/>
    <n v="6337.88"/>
    <n v="1711094.3776"/>
    <n v="87087.43002"/>
    <n v="5.0895749036444032E-2"/>
    <s v="A"/>
    <n v="8366.0016000000014"/>
    <n v="15667.084800000001"/>
    <n v="12954.358080000002"/>
    <n v="6616.4780800000017"/>
    <n v="7301.0831999999991"/>
    <n v="0.5107530638831933"/>
  </r>
  <r>
    <s v="ORD-2023-191563"/>
    <s v="191563"/>
    <n v="2023"/>
    <d v="2023-01-22T00:00:00"/>
    <x v="29"/>
    <d v="2023-11-30T00:00:00"/>
    <s v="Nov-2023"/>
    <x v="10"/>
    <s v="Q4-2023"/>
    <n v="10"/>
    <n v="10"/>
    <n v="0"/>
    <d v="2023-12-10T00:00:00"/>
    <d v="2023-12-10T00:00:00"/>
    <x v="2"/>
    <x v="7"/>
    <s v="Munich"/>
    <s v="Small Business"/>
    <x v="0"/>
    <s v="F. Müller"/>
    <s v="Laptops"/>
    <x v="184"/>
    <n v="174.74"/>
    <n v="192.21400000000003"/>
    <n v="415.96"/>
    <s v="Low"/>
    <n v="0.125"/>
    <n v="0.1"/>
    <s v=""/>
    <n v="21"/>
    <n v="25.2"/>
    <n v="3669.54"/>
    <n v="1711094.3776"/>
    <n v="94730.695019999999"/>
    <n v="5.536263590139915E-2"/>
    <s v="A"/>
    <n v="4843.7928000000002"/>
    <n v="9433.9727999999996"/>
    <n v="7643.2649999999994"/>
    <n v="3973.7249999999995"/>
    <n v="4590.1799999999994"/>
    <n v="0.51989889137691803"/>
  </r>
  <r>
    <s v="ORD-2024-499009"/>
    <s v="499009"/>
    <n v="2024"/>
    <d v="2023-01-29T00:00:00"/>
    <x v="2"/>
    <d v="2024-01-25T00:00:00"/>
    <s v="Jan-2024"/>
    <x v="1"/>
    <s v="Q1-2024"/>
    <n v="2"/>
    <n v="2"/>
    <n v="1"/>
    <d v="2024-01-27T00:00:00"/>
    <d v="2024-01-27T00:00:00"/>
    <x v="3"/>
    <x v="9"/>
    <s v="São Paulo"/>
    <s v="Non-Profit"/>
    <x v="3"/>
    <s v="N. Brown"/>
    <s v="Laptops"/>
    <x v="185"/>
    <n v="1410.97"/>
    <n v="1552.0670000000002"/>
    <n v="1650.75"/>
    <s v="High"/>
    <n v="0.13500000000000001"/>
    <n v="0.1"/>
    <s v=""/>
    <n v="6"/>
    <n v="7.1999999999999993"/>
    <n v="8465.82"/>
    <n v="1711094.3776"/>
    <n v="103298.08752"/>
    <n v="6.0369602560956949E-2"/>
    <s v="A"/>
    <n v="11174.8824"/>
    <n v="10696.86"/>
    <n v="8567.3924999999999"/>
    <n v="101.57250000000022"/>
    <n v="-478.02239999999983"/>
    <n v="1.1855707556295596E-2"/>
  </r>
  <r>
    <s v="ORD-2023-813340"/>
    <s v="813340"/>
    <n v="2023"/>
    <d v="2023-01-10T00:00:00"/>
    <x v="2"/>
    <d v="2023-12-26T00:00:00"/>
    <s v="Dec-2023"/>
    <x v="3"/>
    <s v="Q4-2023"/>
    <n v="8"/>
    <n v="8"/>
    <n v="0"/>
    <d v="2024-01-03T00:00:00"/>
    <d v="2024-01-03T00:00:00"/>
    <x v="2"/>
    <x v="5"/>
    <s v="Lyon"/>
    <s v="Small Business"/>
    <x v="1"/>
    <s v="M. Rossi"/>
    <s v="Laptops"/>
    <x v="186"/>
    <n v="492.75"/>
    <n v="542.02500000000009"/>
    <n v="731.29"/>
    <s v="Low"/>
    <n v="5.8000000000000003E-2"/>
    <n v="5.8000000000000003E-2"/>
    <s v=""/>
    <n v="6"/>
    <n v="7.1999999999999993"/>
    <n v="2956.5"/>
    <n v="1711094.3776"/>
    <n v="107431.3386"/>
    <n v="6.2785162528956703E-2"/>
    <s v="A"/>
    <n v="3902.5800000000004"/>
    <n v="4959.9012959999991"/>
    <n v="4133.25108"/>
    <n v="1176.75108"/>
    <n v="1057.3212959999987"/>
    <n v="0.28470350753528384"/>
  </r>
  <r>
    <s v="ORD-2024-366010"/>
    <s v="366010"/>
    <n v="2024"/>
    <d v="2023-01-22T00:00:00"/>
    <x v="2"/>
    <d v="2024-01-13T00:00:00"/>
    <s v="Jan-2024"/>
    <x v="1"/>
    <s v="Q1-2024"/>
    <n v="23"/>
    <n v="23"/>
    <n v="0"/>
    <d v="2024-02-05T00:00:00"/>
    <d v="2024-02-05T00:00:00"/>
    <x v="2"/>
    <x v="7"/>
    <s v="Frankfurt"/>
    <s v="Education"/>
    <x v="0"/>
    <s v="B. Chen"/>
    <s v="Laptops"/>
    <x v="187"/>
    <n v="1017.93"/>
    <n v="1119.723"/>
    <n v="1529.14"/>
    <s v="Medium"/>
    <n v="0.155"/>
    <n v="0.1"/>
    <s v=""/>
    <n v="12"/>
    <n v="14.399999999999999"/>
    <n v="12215.16"/>
    <n v="1711094.3776"/>
    <n v="122936.81820000001"/>
    <n v="7.1846895068659253E-2"/>
    <s v="A"/>
    <n v="16124.011199999997"/>
    <n v="19817.654399999999"/>
    <n v="15505.479600000001"/>
    <n v="3290.3196000000007"/>
    <n v="3693.6432000000023"/>
    <n v="0.21220366508366503"/>
  </r>
  <r>
    <s v="ORD-2024-355095"/>
    <s v="355095"/>
    <n v="2024"/>
    <d v="2023-01-02T00:00:00"/>
    <x v="3"/>
    <d v="2024-01-02T00:00:00"/>
    <s v="Jan-2024"/>
    <x v="1"/>
    <s v="Q1-2024"/>
    <n v="0"/>
    <n v="0"/>
    <n v="1"/>
    <d v="2024-01-02T00:00:00"/>
    <d v="2024-01-02T00:00:00"/>
    <x v="3"/>
    <x v="10"/>
    <s v="Vancouver"/>
    <s v="Education"/>
    <x v="0"/>
    <s v="A. Patel"/>
    <s v="Laptops"/>
    <x v="188"/>
    <n v="444.41"/>
    <n v="488.85100000000006"/>
    <n v="754.24"/>
    <s v="Low"/>
    <n v="0.20699999999999999"/>
    <n v="0.1"/>
    <s v=""/>
    <n v="32"/>
    <n v="38.4"/>
    <n v="14221.12"/>
    <n v="1711094.3776"/>
    <n v="142076.41244000001"/>
    <n v="8.3032481609388475E-2"/>
    <s v="A"/>
    <n v="18771.878400000001"/>
    <n v="26066.5344"/>
    <n v="19139.594240000002"/>
    <n v="4918.4742400000014"/>
    <n v="7294.655999999999"/>
    <n v="0.25697902360546598"/>
  </r>
  <r>
    <s v="ORD-2024-760799"/>
    <s v="760799"/>
    <n v="2024"/>
    <d v="2023-01-12T00:00:00"/>
    <x v="3"/>
    <d v="2024-02-03T00:00:00"/>
    <s v="Feb-2024"/>
    <x v="0"/>
    <s v="Q1-2024"/>
    <n v="16"/>
    <n v="16"/>
    <n v="0"/>
    <d v="2024-02-19T00:00:00"/>
    <d v="2024-02-19T00:00:00"/>
    <x v="1"/>
    <x v="4"/>
    <s v="Shenzhen"/>
    <s v="Small Business"/>
    <x v="4"/>
    <s v="H. Kim"/>
    <s v="Laptops"/>
    <x v="189"/>
    <n v="993.75"/>
    <n v="1093.125"/>
    <n v="1310.29"/>
    <s v="Medium"/>
    <n v="0.215"/>
    <n v="0.1"/>
    <s v=""/>
    <n v="19"/>
    <n v="22.8"/>
    <n v="18881.25"/>
    <n v="1711094.3776"/>
    <n v="161619.38779000001"/>
    <n v="9.4453812662682671E-2"/>
    <s v="A"/>
    <n v="24923.25"/>
    <n v="26887.150800000003"/>
    <n v="19542.975350000001"/>
    <n v="661.72535000000062"/>
    <n v="1963.9008000000031"/>
    <n v="3.3860010471742245E-2"/>
  </r>
  <r>
    <s v="ORD-2024-515105"/>
    <s v="515105"/>
    <n v="2024"/>
    <d v="2023-01-29T00:00:00"/>
    <x v="3"/>
    <d v="2024-02-27T00:00:00"/>
    <s v="Feb-2024"/>
    <x v="0"/>
    <s v="Q1-2024"/>
    <n v="28"/>
    <n v="28"/>
    <n v="0"/>
    <d v="2024-03-26T00:00:00"/>
    <d v="2024-03-26T00:00:00"/>
    <x v="1"/>
    <x v="1"/>
    <s v="Mumbai"/>
    <s v="Education"/>
    <x v="3"/>
    <s v="G. Dubois"/>
    <s v="Laptops"/>
    <x v="190"/>
    <n v="1035.19"/>
    <n v="1138.7090000000001"/>
    <n v="2322.6999999999998"/>
    <s v="High"/>
    <n v="0.17299999999999999"/>
    <n v="0.1"/>
    <s v=""/>
    <n v="8"/>
    <n v="9.6"/>
    <n v="8281.52"/>
    <n v="1711094.3776"/>
    <n v="176986.37099"/>
    <n v="0.10343460495629882"/>
    <s v="A"/>
    <n v="10931.606400000001"/>
    <n v="20068.128000000001"/>
    <n v="15366.983199999999"/>
    <n v="7085.4631999999983"/>
    <n v="9136.5216"/>
    <n v="0.46108355217047409"/>
  </r>
  <r>
    <s v="ORD-2024-207669"/>
    <s v="207669"/>
    <n v="2024"/>
    <d v="2023-01-19T00:00:00"/>
    <x v="3"/>
    <d v="2024-01-24T00:00:00"/>
    <s v="Jan-2024"/>
    <x v="1"/>
    <s v="Q1-2024"/>
    <n v="11"/>
    <n v="11"/>
    <n v="0"/>
    <d v="2024-02-04T00:00:00"/>
    <d v="2024-02-04T00:00:00"/>
    <x v="2"/>
    <x v="2"/>
    <s v="Manchester"/>
    <s v="Consumer"/>
    <x v="1"/>
    <s v="B. Chen"/>
    <s v="Laptops"/>
    <x v="191"/>
    <n v="525.34"/>
    <n v="577.87400000000014"/>
    <n v="1233.79"/>
    <s v="Medium"/>
    <n v="0.14299999999999999"/>
    <n v="0.1"/>
    <s v=""/>
    <n v="4"/>
    <n v="4.8"/>
    <n v="2101.36"/>
    <n v="1711094.3776"/>
    <n v="181215.80311000001"/>
    <n v="0.10590637517269813"/>
    <s v="A"/>
    <n v="2773.7952000000005"/>
    <n v="5329.9728000000005"/>
    <n v="4229.4321199999995"/>
    <n v="2128.0721199999994"/>
    <n v="2556.1776"/>
    <n v="0.50315788494082736"/>
  </r>
  <r>
    <s v="ORD-2024-544865"/>
    <s v="544865"/>
    <n v="2024"/>
    <d v="2023-01-02T00:00:00"/>
    <x v="4"/>
    <d v="2024-02-16T00:00:00"/>
    <s v="Feb-2024"/>
    <x v="0"/>
    <s v="Q1-2024"/>
    <n v="17"/>
    <n v="17"/>
    <n v="0"/>
    <d v="2024-03-04T00:00:00"/>
    <d v="2024-03-04T00:00:00"/>
    <x v="3"/>
    <x v="10"/>
    <s v="Montreal"/>
    <s v="Non-Profit"/>
    <x v="1"/>
    <s v="D. Smith"/>
    <s v="Laptops"/>
    <x v="192"/>
    <n v="1350.98"/>
    <n v="1486.0780000000002"/>
    <n v="2210.4"/>
    <s v="High"/>
    <n v="0.26300000000000001"/>
    <n v="0.1"/>
    <s v=""/>
    <n v="6"/>
    <n v="7.1999999999999993"/>
    <n v="8105.88"/>
    <n v="1711094.3776"/>
    <n v="190990.19190999999"/>
    <n v="0.11161873617858821"/>
    <s v="A"/>
    <n v="10699.7616"/>
    <n v="14323.392"/>
    <n v="9774.3888000000006"/>
    <n v="1668.5088000000005"/>
    <n v="3623.6304"/>
    <n v="0.17070211080615091"/>
  </r>
  <r>
    <s v="ORD-2024-907733"/>
    <s v="907733"/>
    <n v="2024"/>
    <d v="2023-01-19T00:00:00"/>
    <x v="4"/>
    <d v="2024-03-09T00:00:00"/>
    <s v="Mar-2024"/>
    <x v="4"/>
    <s v="Q1-2024"/>
    <n v="13"/>
    <n v="13"/>
    <n v="0"/>
    <d v="2024-03-22T00:00:00"/>
    <d v="2024-03-22T00:00:00"/>
    <x v="2"/>
    <x v="2"/>
    <s v="Manchester"/>
    <s v="Consumer"/>
    <x v="4"/>
    <s v="E. Garcia"/>
    <s v="Laptops"/>
    <x v="193"/>
    <n v="985.45"/>
    <n v="1083.9950000000001"/>
    <n v="1802.44"/>
    <s v="High"/>
    <n v="8.9999999999999993E-3"/>
    <n v="8.9999999999999993E-3"/>
    <s v=""/>
    <n v="19"/>
    <n v="22.8"/>
    <n v="18723.55"/>
    <n v="1711094.3776"/>
    <n v="224928.33467000001"/>
    <n v="0.13145290967847548"/>
    <s v="A"/>
    <n v="24715.086000000003"/>
    <n v="40725.771312000004"/>
    <n v="33938.142760000002"/>
    <n v="15214.592760000003"/>
    <n v="16010.685312000001"/>
    <n v="0.44830363486867486"/>
  </r>
  <r>
    <s v="ORD-2024-897622"/>
    <s v="897622"/>
    <n v="2024"/>
    <d v="2023-01-13T00:00:00"/>
    <x v="5"/>
    <d v="2024-03-30T00:00:00"/>
    <s v="Mar-2024"/>
    <x v="4"/>
    <s v="Q1-2024"/>
    <n v="25"/>
    <n v="25"/>
    <n v="0"/>
    <d v="2024-04-24T00:00:00"/>
    <d v="2024-04-24T00:00:00"/>
    <x v="3"/>
    <x v="11"/>
    <s v="Austin"/>
    <s v="Non-Profit"/>
    <x v="4"/>
    <s v="G. Dubois"/>
    <s v="Laptops"/>
    <x v="194"/>
    <n v="160.82"/>
    <n v="176.90200000000002"/>
    <n v="258.52"/>
    <s v="Low"/>
    <n v="0.13"/>
    <n v="0.1"/>
    <s v=""/>
    <n v="17"/>
    <n v="20.399999999999999"/>
    <n v="2733.94"/>
    <n v="1711094.3776"/>
    <n v="228751.84547"/>
    <n v="0.13368745082948019"/>
    <s v="A"/>
    <n v="3608.8008"/>
    <n v="4746.4271999999992"/>
    <n v="3823.5108"/>
    <n v="1089.5708"/>
    <n v="1137.6263999999992"/>
    <n v="0.28496605789631874"/>
  </r>
  <r>
    <s v="ORD-2024-629525"/>
    <s v="629525"/>
    <n v="2024"/>
    <d v="2023-01-19T00:00:00"/>
    <x v="5"/>
    <d v="2024-04-18T00:00:00"/>
    <s v="Apr-2024"/>
    <x v="2"/>
    <s v="Q2-2024"/>
    <n v="20"/>
    <n v="20"/>
    <n v="0"/>
    <d v="2024-05-08T00:00:00"/>
    <d v="2024-05-08T00:00:00"/>
    <x v="2"/>
    <x v="2"/>
    <s v="London"/>
    <s v="Non-Profit"/>
    <x v="0"/>
    <s v="D. Smith"/>
    <s v="Laptops"/>
    <x v="195"/>
    <n v="645.33000000000004"/>
    <n v="709.86300000000006"/>
    <n v="1321.85"/>
    <s v="Medium"/>
    <n v="0"/>
    <n v="0"/>
    <s v=""/>
    <n v="10"/>
    <n v="12"/>
    <n v="6453.3"/>
    <n v="1711094.3776"/>
    <n v="241970.34547"/>
    <n v="0.14141262377905203"/>
    <s v="A"/>
    <n v="8518.3559999999998"/>
    <n v="15862.199999999999"/>
    <n v="13218.5"/>
    <n v="6765.2"/>
    <n v="7343.8439999999991"/>
    <n v="0.51179785906116426"/>
  </r>
  <r>
    <s v="ORD-2024-527858"/>
    <s v="527858"/>
    <n v="2024"/>
    <d v="2023-01-15T00:00:00"/>
    <x v="6"/>
    <d v="2024-05-07T00:00:00"/>
    <s v="May-2024"/>
    <x v="5"/>
    <s v="Q2-2024"/>
    <n v="5"/>
    <n v="5"/>
    <n v="1"/>
    <d v="2024-05-12T00:00:00"/>
    <d v="2024-05-12T00:00:00"/>
    <x v="0"/>
    <x v="0"/>
    <s v="Abuja"/>
    <s v="Non-Profit"/>
    <x v="2"/>
    <s v="L. Okafor"/>
    <s v="Laptops"/>
    <x v="196"/>
    <n v="1163.99"/>
    <n v="1280.3890000000001"/>
    <n v="1617.85"/>
    <s v="Medium"/>
    <n v="0.127"/>
    <n v="0.1"/>
    <s v=""/>
    <n v="14"/>
    <n v="16.8"/>
    <n v="16295.86"/>
    <n v="1711094.3776"/>
    <n v="261743.70817"/>
    <n v="0.15296859810685876"/>
    <s v="A"/>
    <n v="21510.535200000002"/>
    <n v="24461.892"/>
    <n v="19773.362699999998"/>
    <n v="3477.5026999999973"/>
    <n v="2951.3567999999977"/>
    <n v="0.17586804797749436"/>
  </r>
  <r>
    <s v="ORD-2024-939873"/>
    <s v="939873"/>
    <n v="2024"/>
    <d v="2023-01-07T00:00:00"/>
    <x v="6"/>
    <d v="2024-04-12T00:00:00"/>
    <s v="Apr-2024"/>
    <x v="2"/>
    <s v="Q2-2024"/>
    <n v="25"/>
    <n v="25"/>
    <n v="0"/>
    <d v="2024-05-07T00:00:00"/>
    <d v="2024-05-07T00:00:00"/>
    <x v="0"/>
    <x v="6"/>
    <s v="Johannesburg"/>
    <s v="Education"/>
    <x v="2"/>
    <s v="A. Patel"/>
    <s v="Laptops"/>
    <x v="197"/>
    <n v="1376.51"/>
    <n v="1514.1610000000001"/>
    <n v="1455.91"/>
    <s v="Medium"/>
    <n v="0.185"/>
    <n v="0.1"/>
    <s v=""/>
    <n v="17"/>
    <n v="20.399999999999999"/>
    <n v="23400.67"/>
    <n v="1711094.3776"/>
    <n v="281915.34122"/>
    <n v="0.16475733011022897"/>
    <s v="A"/>
    <n v="30888.884399999999"/>
    <n v="26730.507600000001"/>
    <n v="20171.63305"/>
    <n v="-3229.0369499999979"/>
    <n v="-4158.3767999999982"/>
    <n v="-0.1600781127634085"/>
  </r>
  <r>
    <s v="ORD-2024-855600"/>
    <s v="855600"/>
    <n v="2024"/>
    <d v="2023-01-22T00:00:00"/>
    <x v="6"/>
    <d v="2024-04-29T00:00:00"/>
    <s v="Apr-2024"/>
    <x v="2"/>
    <s v="Q2-2024"/>
    <n v="20"/>
    <n v="20"/>
    <n v="0"/>
    <d v="2024-05-19T00:00:00"/>
    <d v="2024-05-19T00:00:00"/>
    <x v="2"/>
    <x v="7"/>
    <s v="Frankfurt"/>
    <s v="Enterprise"/>
    <x v="3"/>
    <s v="C. Otieno"/>
    <s v="Laptops"/>
    <x v="198"/>
    <n v="668.97"/>
    <n v="735.86700000000008"/>
    <n v="1667.44"/>
    <s v="High"/>
    <n v="3.4000000000000002E-2"/>
    <n v="3.4000000000000002E-2"/>
    <s v=""/>
    <n v="15"/>
    <n v="18"/>
    <n v="10034.550000000001"/>
    <n v="1711094.3776"/>
    <n v="306076.54681999999"/>
    <n v="0.17887765328836294"/>
    <s v="A"/>
    <n v="13245.606000000002"/>
    <n v="28993.44672"/>
    <n v="24161.205600000001"/>
    <n v="14126.6556"/>
    <n v="15747.840719999998"/>
    <n v="0.58468339013679016"/>
  </r>
  <r>
    <s v="ORD-2024-641220"/>
    <s v="641220"/>
    <n v="2024"/>
    <d v="2023-01-19T00:00:00"/>
    <x v="6"/>
    <d v="2024-05-10T00:00:00"/>
    <s v="May-2024"/>
    <x v="5"/>
    <s v="Q2-2024"/>
    <n v="6"/>
    <n v="6"/>
    <n v="1"/>
    <d v="2024-05-16T00:00:00"/>
    <d v="2024-05-16T00:00:00"/>
    <x v="2"/>
    <x v="2"/>
    <s v="Birmingham"/>
    <s v="Non-Profit"/>
    <x v="0"/>
    <s v="G. Dubois"/>
    <s v="Laptops"/>
    <x v="199"/>
    <n v="210.76"/>
    <n v="231.83600000000001"/>
    <n v="221.58"/>
    <s v="Low"/>
    <n v="8.8999999999999996E-2"/>
    <n v="8.8999999999999996E-2"/>
    <s v=""/>
    <n v="5"/>
    <n v="6"/>
    <n v="1053.8"/>
    <n v="1711094.3776"/>
    <n v="307085.84372"/>
    <n v="0.17946750789440499"/>
    <s v="A"/>
    <n v="1391.0160000000001"/>
    <n v="1211.1562800000002"/>
    <n v="1009.2969000000002"/>
    <n v="-44.50309999999979"/>
    <n v="-179.85971999999992"/>
    <n v="-4.4093170205912434E-2"/>
  </r>
  <r>
    <s v="ORD-2024-878493"/>
    <s v="878493"/>
    <n v="2024"/>
    <d v="2023-01-20T00:00:00"/>
    <x v="7"/>
    <d v="2024-06-19T00:00:00"/>
    <s v="Jun-2024"/>
    <x v="6"/>
    <s v="Q2-2024"/>
    <n v="1"/>
    <n v="1"/>
    <n v="1"/>
    <d v="2024-06-20T00:00:00"/>
    <d v="2024-06-20T00:00:00"/>
    <x v="0"/>
    <x v="8"/>
    <s v="Kisumu"/>
    <s v="Small Business"/>
    <x v="0"/>
    <s v="J. Njeri"/>
    <s v="Laptops"/>
    <x v="200"/>
    <n v="231.63"/>
    <n v="254.79300000000001"/>
    <n v="537.39"/>
    <s v="Low"/>
    <n v="0.08"/>
    <n v="0.08"/>
    <s v=""/>
    <n v="12"/>
    <n v="14.399999999999999"/>
    <n v="2779.56"/>
    <n v="1711094.3776"/>
    <n v="313018.62932000001"/>
    <n v="0.18293475416536836"/>
    <s v="A"/>
    <n v="3669.0191999999997"/>
    <n v="7119.3427199999996"/>
    <n v="5932.7856000000002"/>
    <n v="3153.2256000000002"/>
    <n v="3450.3235199999999"/>
    <n v="0.53149158129024587"/>
  </r>
  <r>
    <s v="ORD-2024-713332"/>
    <s v="713332"/>
    <n v="2024"/>
    <d v="2023-01-20T00:00:00"/>
    <x v="7"/>
    <d v="2024-06-05T00:00:00"/>
    <s v="Jun-2024"/>
    <x v="6"/>
    <s v="Q2-2024"/>
    <n v="18"/>
    <n v="18"/>
    <n v="0"/>
    <d v="2024-06-23T00:00:00"/>
    <d v="2024-06-23T00:00:00"/>
    <x v="0"/>
    <x v="8"/>
    <s v="Nairobi"/>
    <s v="Consumer"/>
    <x v="2"/>
    <s v="D. Smith"/>
    <s v="Laptops"/>
    <x v="201"/>
    <n v="1208.74"/>
    <n v="1329.614"/>
    <n v="1594.78"/>
    <s v="Medium"/>
    <n v="5.8999999999999997E-2"/>
    <n v="5.8999999999999997E-2"/>
    <s v=""/>
    <n v="39"/>
    <n v="46.8"/>
    <n v="47140.86"/>
    <n v="1711094.3776"/>
    <n v="371545.46054"/>
    <n v="0.2171390809320137"/>
    <s v="A"/>
    <n v="62225.9352"/>
    <n v="70232.197463999997"/>
    <n v="58526.83122"/>
    <n v="11385.971219999999"/>
    <n v="8006.2622639999972"/>
    <n v="0.1945427589817838"/>
  </r>
  <r>
    <s v="ORD-2024-500109"/>
    <s v="500109"/>
    <n v="2024"/>
    <d v="2023-01-13T00:00:00"/>
    <x v="7"/>
    <d v="2024-05-18T00:00:00"/>
    <s v="May-2024"/>
    <x v="5"/>
    <s v="Q2-2024"/>
    <n v="5"/>
    <n v="5"/>
    <n v="1"/>
    <d v="2024-05-23T00:00:00"/>
    <d v="2024-05-23T00:00:00"/>
    <x v="3"/>
    <x v="11"/>
    <s v="Chicago"/>
    <s v="Enterprise"/>
    <x v="1"/>
    <s v="H. Kim"/>
    <s v="Laptops"/>
    <x v="202"/>
    <n v="1274.5899999999999"/>
    <n v="1402.049"/>
    <n v="2553.69"/>
    <s v="High"/>
    <n v="0.01"/>
    <n v="0.01"/>
    <s v=""/>
    <n v="8"/>
    <n v="9.6"/>
    <n v="10196.719999999999"/>
    <n v="1711094.3776"/>
    <n v="391770.68534000003"/>
    <n v="0.22895913309557006"/>
    <s v="A"/>
    <n v="13459.670399999999"/>
    <n v="24270.269759999999"/>
    <n v="20225.2248"/>
    <n v="10028.504800000001"/>
    <n v="10810.59936"/>
    <n v="0.49584145042481803"/>
  </r>
  <r>
    <s v="ORD-2024-223618"/>
    <s v="223618"/>
    <n v="2024"/>
    <d v="2023-01-19T00:00:00"/>
    <x v="7"/>
    <d v="2024-06-10T00:00:00"/>
    <s v="Jun-2024"/>
    <x v="6"/>
    <s v="Q2-2024"/>
    <n v="1"/>
    <n v="1"/>
    <n v="1"/>
    <d v="2024-06-11T00:00:00"/>
    <d v="2024-06-11T00:00:00"/>
    <x v="2"/>
    <x v="2"/>
    <s v="Birmingham"/>
    <s v="Small Business"/>
    <x v="3"/>
    <s v="M. Rossi"/>
    <s v="Laptops"/>
    <x v="203"/>
    <n v="1187.1300000000001"/>
    <n v="1305.8430000000003"/>
    <n v="1795.17"/>
    <s v="High"/>
    <n v="1.2E-2"/>
    <n v="1.2E-2"/>
    <s v=""/>
    <n v="17"/>
    <n v="20.399999999999999"/>
    <n v="20181.210000000003"/>
    <n v="1711094.3776"/>
    <n v="421922.36066000001"/>
    <n v="0.24658041437304762"/>
    <s v="A"/>
    <n v="26639.197200000006"/>
    <n v="36182.010384000001"/>
    <n v="30151.675319999998"/>
    <n v="9970.4653199999957"/>
    <n v="9542.8131839999951"/>
    <n v="0.33067699271046663"/>
  </r>
  <r>
    <s v="ORD-2024-442776"/>
    <s v="442776"/>
    <n v="2024"/>
    <d v="2023-01-20T00:00:00"/>
    <x v="8"/>
    <d v="2024-06-30T00:00:00"/>
    <s v="Jun-2024"/>
    <x v="6"/>
    <s v="Q2-2024"/>
    <n v="21"/>
    <n v="21"/>
    <n v="0"/>
    <d v="2024-07-21T00:00:00"/>
    <d v="2024-07-21T00:00:00"/>
    <x v="0"/>
    <x v="8"/>
    <s v="Kisumu"/>
    <s v="Small Business"/>
    <x v="1"/>
    <s v="K. Singh"/>
    <s v="Laptops"/>
    <x v="204"/>
    <n v="753.43"/>
    <n v="828.77300000000002"/>
    <n v="1787.2"/>
    <s v="High"/>
    <n v="7.2999999999999995E-2"/>
    <n v="7.2999999999999995E-2"/>
    <s v=""/>
    <n v="9"/>
    <n v="10.799999999999999"/>
    <n v="6780.87"/>
    <n v="1711094.3776"/>
    <n v="436832.97026000003"/>
    <n v="0.25529449221422074"/>
    <s v="A"/>
    <n v="8950.7483999999986"/>
    <n v="17892.731520000001"/>
    <n v="14910.609600000002"/>
    <n v="8129.7396000000017"/>
    <n v="8941.9831200000026"/>
    <n v="0.54523187301476939"/>
  </r>
  <r>
    <s v="ORD-2024-542244"/>
    <s v="542244"/>
    <n v="2024"/>
    <d v="2023-03-03T00:00:00"/>
    <x v="8"/>
    <d v="2024-08-30T00:00:00"/>
    <s v="Aug-2024"/>
    <x v="8"/>
    <s v="Q3-2024"/>
    <n v="6"/>
    <n v="6"/>
    <n v="1"/>
    <d v="2024-09-05T00:00:00"/>
    <d v="2024-09-05T00:00:00"/>
    <x v="1"/>
    <x v="3"/>
    <s v="Nagoya"/>
    <s v="Education"/>
    <x v="4"/>
    <s v="N. Brown"/>
    <s v="Laptops"/>
    <x v="205"/>
    <n v="466.16"/>
    <n v="512.77600000000007"/>
    <n v="876.81"/>
    <s v="Medium"/>
    <n v="0.24099999999999999"/>
    <n v="0.1"/>
    <s v=""/>
    <n v="8"/>
    <n v="9.6"/>
    <n v="3729.28"/>
    <n v="1711094.3776"/>
    <n v="442156.96058000001"/>
    <n v="0.25840594555641888"/>
    <s v="A"/>
    <n v="4922.6496000000006"/>
    <n v="7575.6383999999989"/>
    <n v="5323.9903199999999"/>
    <n v="1594.7103199999997"/>
    <n v="2652.9887999999983"/>
    <n v="0.29953291124691594"/>
  </r>
  <r>
    <s v="ORD-2024-798002"/>
    <s v="798002"/>
    <n v="2024"/>
    <d v="2023-01-20T00:00:00"/>
    <x v="9"/>
    <d v="2024-07-25T00:00:00"/>
    <s v="Jul-2024"/>
    <x v="7"/>
    <s v="Q3-2024"/>
    <n v="-1"/>
    <n v="15"/>
    <n v="0"/>
    <d v="2024-07-24T00:00:00"/>
    <d v="2024-08-09T00:00:00"/>
    <x v="0"/>
    <x v="8"/>
    <s v="Mombasa"/>
    <s v="Non-Profit"/>
    <x v="0"/>
    <s v="J. Njeri"/>
    <s v="Laptops"/>
    <x v="206"/>
    <n v="1494.4"/>
    <n v="1643.8400000000001"/>
    <n v="3661.07"/>
    <s v="High"/>
    <n v="7.1999999999999995E-2"/>
    <n v="7.1999999999999995E-2"/>
    <s v=""/>
    <n v="7"/>
    <n v="8.4"/>
    <n v="10460.800000000001"/>
    <n v="1711094.3776"/>
    <n v="465939.27130000002"/>
    <n v="0.27230483449634824"/>
    <s v="A"/>
    <n v="13808.256000000001"/>
    <n v="28538.772864000002"/>
    <n v="23782.310720000001"/>
    <n v="13321.51072"/>
    <n v="14730.516864000001"/>
    <n v="0.56014366630897339"/>
  </r>
  <r>
    <s v="ORD-2024-689872"/>
    <s v="689872"/>
    <n v="2024"/>
    <d v="2023-01-20T00:00:00"/>
    <x v="9"/>
    <d v="2024-08-03T00:00:00"/>
    <s v="Aug-2024"/>
    <x v="8"/>
    <s v="Q3-2024"/>
    <n v="6"/>
    <n v="6"/>
    <n v="1"/>
    <d v="2024-08-09T00:00:00"/>
    <d v="2024-08-09T00:00:00"/>
    <x v="0"/>
    <x v="8"/>
    <s v="Mombasa"/>
    <s v="Consumer"/>
    <x v="3"/>
    <s v="H. Kim"/>
    <s v="Laptops"/>
    <x v="207"/>
    <n v="643.21"/>
    <n v="707.53100000000006"/>
    <n v="1112.81"/>
    <s v="Medium"/>
    <n v="0.14099999999999999"/>
    <n v="0.1"/>
    <s v=""/>
    <n v="4"/>
    <n v="4.8"/>
    <n v="2572.84"/>
    <n v="1711094.3776"/>
    <n v="469762.88646000001"/>
    <n v="0.27453943663755981"/>
    <s v="A"/>
    <n v="3396.1488000000004"/>
    <n v="4807.3391999999994"/>
    <n v="3823.6151599999998"/>
    <n v="1250.7751599999997"/>
    <n v="1411.190399999999"/>
    <n v="0.32711847496702562"/>
  </r>
  <r>
    <s v="ORD-2024-212990"/>
    <s v="212990"/>
    <n v="2024"/>
    <d v="2023-01-13T00:00:00"/>
    <x v="9"/>
    <d v="2024-08-12T00:00:00"/>
    <s v="Aug-2024"/>
    <x v="8"/>
    <s v="Q3-2024"/>
    <n v="22"/>
    <n v="22"/>
    <n v="0"/>
    <d v="2024-09-03T00:00:00"/>
    <d v="2024-09-03T00:00:00"/>
    <x v="3"/>
    <x v="11"/>
    <s v="Austin"/>
    <s v="Consumer"/>
    <x v="2"/>
    <s v="I. Johnson"/>
    <s v="Laptops"/>
    <x v="208"/>
    <n v="797.8"/>
    <n v="877.58"/>
    <n v="886.22"/>
    <s v="Medium"/>
    <n v="0.23599999999999999"/>
    <n v="0.1"/>
    <s v=""/>
    <n v="36"/>
    <n v="43.199999999999996"/>
    <n v="28720.799999999999"/>
    <n v="1711094.3776"/>
    <n v="494137.48134"/>
    <n v="0.2887844690560451"/>
    <s v="A"/>
    <n v="37911.455999999998"/>
    <n v="34456.2336"/>
    <n v="24374.594880000001"/>
    <n v="-4346.2051199999987"/>
    <n v="-3455.2223999999987"/>
    <n v="-0.17830881462428633"/>
  </r>
  <r>
    <s v="ORD-2024-594527"/>
    <s v="594527"/>
    <n v="2024"/>
    <d v="2023-03-03T00:00:00"/>
    <x v="9"/>
    <d v="2024-09-06T00:00:00"/>
    <s v="Sept-2024"/>
    <x v="11"/>
    <s v="Q3-2024"/>
    <n v="-2"/>
    <n v="15"/>
    <n v="0"/>
    <d v="2024-09-04T00:00:00"/>
    <d v="2024-09-21T00:00:00"/>
    <x v="1"/>
    <x v="3"/>
    <s v="Osaka"/>
    <s v="Corporate"/>
    <x v="0"/>
    <s v="A. Patel"/>
    <s v="Laptops"/>
    <x v="209"/>
    <n v="1368.17"/>
    <n v="1504.9870000000003"/>
    <n v="2307.75"/>
    <s v="High"/>
    <n v="0.16300000000000001"/>
    <n v="0.1"/>
    <s v=""/>
    <n v="21"/>
    <n v="25.2"/>
    <n v="28731.57"/>
    <n v="1711094.3776"/>
    <n v="534700.80308999994"/>
    <n v="0.31249053827175638"/>
    <s v="A"/>
    <n v="37925.672400000003"/>
    <n v="52339.77"/>
    <n v="40563.321749999996"/>
    <n v="11831.751749999996"/>
    <n v="14414.097599999994"/>
    <n v="0.29168596750831921"/>
  </r>
  <r>
    <s v="ORD-2024-678110"/>
    <s v="678110"/>
    <n v="2024"/>
    <d v="2023-01-10T00:00:00"/>
    <x v="9"/>
    <d v="2024-07-24T00:00:00"/>
    <s v="Jul-2024"/>
    <x v="7"/>
    <s v="Q3-2024"/>
    <n v="15"/>
    <n v="15"/>
    <n v="0"/>
    <d v="2024-08-08T00:00:00"/>
    <d v="2024-08-08T00:00:00"/>
    <x v="2"/>
    <x v="5"/>
    <s v="Marseille"/>
    <s v="Enterprise"/>
    <x v="3"/>
    <s v="H. Kim"/>
    <s v="Laptops"/>
    <x v="210"/>
    <n v="501.5"/>
    <n v="551.65000000000009"/>
    <n v="1201.47"/>
    <s v="Medium"/>
    <n v="0.126"/>
    <n v="0.1"/>
    <s v=""/>
    <n v="5"/>
    <n v="6"/>
    <n v="2507.5"/>
    <n v="1711094.3776"/>
    <n v="539951.22699"/>
    <n v="0.31555899783116675"/>
    <s v="A"/>
    <n v="3309.9000000000005"/>
    <n v="6487.9380000000001"/>
    <n v="5250.4239000000007"/>
    <n v="2742.9239000000007"/>
    <n v="3178.0379999999996"/>
    <n v="0.52241951359394057"/>
  </r>
  <r>
    <s v="ORD-2024-353078"/>
    <s v="353078"/>
    <n v="2024"/>
    <d v="2023-01-13T00:00:00"/>
    <x v="30"/>
    <d v="2024-08-16T00:00:00"/>
    <s v="Aug-2024"/>
    <x v="8"/>
    <s v="Q3-2024"/>
    <n v="10"/>
    <n v="10"/>
    <n v="0"/>
    <d v="2024-08-26T00:00:00"/>
    <d v="2024-08-26T00:00:00"/>
    <x v="3"/>
    <x v="11"/>
    <s v="Chicago"/>
    <s v="Corporate"/>
    <x v="2"/>
    <s v="L. Okafor"/>
    <s v="Laptops"/>
    <x v="211"/>
    <n v="1291.7"/>
    <n v="1420.8700000000001"/>
    <n v="2657.84"/>
    <s v="High"/>
    <n v="8.6999999999999994E-2"/>
    <n v="8.6999999999999994E-2"/>
    <s v=""/>
    <n v="21"/>
    <n v="25.2"/>
    <n v="27125.7"/>
    <n v="1711094.3776"/>
    <n v="590909.99331000005"/>
    <n v="0.34534038627303359"/>
    <s v="A"/>
    <n v="35805.923999999999"/>
    <n v="61150.519584000001"/>
    <n v="50958.766320000002"/>
    <n v="23833.066320000002"/>
    <n v="25344.595584000002"/>
    <n v="0.46769315745083367"/>
  </r>
  <r>
    <s v="ORD-2023-419187"/>
    <s v="419187"/>
    <n v="2023"/>
    <d v="2023-01-20T00:00:00"/>
    <x v="10"/>
    <d v="2023-03-31T00:00:00"/>
    <s v="Mar-2023"/>
    <x v="4"/>
    <s v="Q1-2023"/>
    <n v="5"/>
    <n v="5"/>
    <n v="1"/>
    <d v="2023-04-05T00:00:00"/>
    <d v="2023-04-05T00:00:00"/>
    <x v="0"/>
    <x v="8"/>
    <s v="Nakuru"/>
    <s v="Education"/>
    <x v="3"/>
    <s v="B. Chen"/>
    <s v="Laptops"/>
    <x v="212"/>
    <n v="533.26"/>
    <n v="586.58600000000001"/>
    <n v="385.72"/>
    <s v="Low"/>
    <n v="0"/>
    <n v="0"/>
    <s v=""/>
    <n v="15"/>
    <n v="18"/>
    <n v="7998.9"/>
    <n v="1711094.3776"/>
    <n v="596695.7933100001"/>
    <n v="0.34872173102861354"/>
    <s v="A"/>
    <n v="10558.548000000001"/>
    <n v="6942.9600000000009"/>
    <n v="5785.8"/>
    <n v="-2213.0999999999995"/>
    <n v="-3615.5879999999997"/>
    <n v="-0.38250544436378708"/>
  </r>
  <r>
    <s v="ORD-2023-276806"/>
    <s v="276806"/>
    <n v="2023"/>
    <d v="2023-01-02T00:00:00"/>
    <x v="10"/>
    <d v="2023-03-04T00:00:00"/>
    <s v="Mar-2023"/>
    <x v="4"/>
    <s v="Q1-2023"/>
    <n v="20"/>
    <n v="20"/>
    <n v="0"/>
    <d v="2023-03-24T00:00:00"/>
    <d v="2023-03-24T00:00:00"/>
    <x v="3"/>
    <x v="10"/>
    <s v="Montreal"/>
    <s v="Consumer"/>
    <x v="2"/>
    <s v="I. Johnson"/>
    <s v="Laptops"/>
    <x v="213"/>
    <n v="481.71"/>
    <n v="529.88099999999997"/>
    <n v="912.45"/>
    <s v="Medium"/>
    <n v="0.20300000000000001"/>
    <n v="0.1"/>
    <s v=""/>
    <n v="24"/>
    <n v="28.799999999999997"/>
    <n v="11561.039999999999"/>
    <n v="1711094.3776"/>
    <n v="614149.13691000012"/>
    <n v="0.35892183677875938"/>
    <s v="A"/>
    <n v="15260.572799999998"/>
    <n v="23650.703999999998"/>
    <n v="17453.3436"/>
    <n v="5892.3036000000011"/>
    <n v="8390.1311999999998"/>
    <n v="0.33760313983619739"/>
  </r>
  <r>
    <s v="ORD-2024-771210"/>
    <s v="771210"/>
    <n v="2024"/>
    <d v="2023-01-12T00:00:00"/>
    <x v="11"/>
    <d v="2024-09-14T00:00:00"/>
    <s v="Sept-2024"/>
    <x v="11"/>
    <s v="Q3-2024"/>
    <n v="21"/>
    <n v="21"/>
    <n v="0"/>
    <d v="2024-10-05T00:00:00"/>
    <d v="2024-10-05T00:00:00"/>
    <x v="1"/>
    <x v="4"/>
    <s v="Shanghai"/>
    <s v="Small Business"/>
    <x v="4"/>
    <s v="H. Kim"/>
    <s v="Laptops"/>
    <x v="214"/>
    <n v="1405.56"/>
    <n v="1546.116"/>
    <n v="2968.87"/>
    <s v="High"/>
    <n v="0.16900000000000001"/>
    <n v="0.1"/>
    <s v=""/>
    <n v="5"/>
    <n v="6"/>
    <n v="7027.7999999999993"/>
    <n v="1711094.3776"/>
    <n v="626484.79176000017"/>
    <n v="0.36613105621836867"/>
    <s v="A"/>
    <n v="9276.6959999999999"/>
    <n v="16031.898000000001"/>
    <n v="12335.654849999999"/>
    <n v="5307.8548499999997"/>
    <n v="6755.2020000000011"/>
    <n v="0.4302856163327235"/>
  </r>
  <r>
    <s v="ORD-2024-776337"/>
    <s v="776337"/>
    <n v="2024"/>
    <d v="2023-01-29T00:00:00"/>
    <x v="31"/>
    <d v="2024-11-12T00:00:00"/>
    <s v="Nov-2024"/>
    <x v="10"/>
    <s v="Q4-2024"/>
    <n v="9"/>
    <n v="9"/>
    <n v="0"/>
    <d v="2024-11-21T00:00:00"/>
    <d v="2024-11-21T00:00:00"/>
    <x v="1"/>
    <x v="1"/>
    <s v="Mumbai"/>
    <s v="Corporate"/>
    <x v="0"/>
    <s v="H. Kim"/>
    <s v="Laptops"/>
    <x v="215"/>
    <n v="903.41"/>
    <n v="993.75100000000009"/>
    <n v="1860.41"/>
    <s v="High"/>
    <n v="0.108"/>
    <n v="0.1"/>
    <s v=""/>
    <n v="5"/>
    <n v="6"/>
    <n v="4517.05"/>
    <n v="1711094.3776"/>
    <n v="634782.22036000015"/>
    <n v="0.37098025022462683"/>
    <s v="A"/>
    <n v="5962.5060000000003"/>
    <n v="10046.214000000002"/>
    <n v="8297.4286000000011"/>
    <n v="3780.3786000000009"/>
    <n v="4083.7080000000014"/>
    <n v="0.455608451996803"/>
  </r>
  <r>
    <s v="ORD-2024-102866"/>
    <s v="102866"/>
    <n v="2024"/>
    <d v="2023-03-03T00:00:00"/>
    <x v="31"/>
    <d v="2024-12-12T00:00:00"/>
    <s v="Dec-2024"/>
    <x v="3"/>
    <s v="Q4-2024"/>
    <n v="8"/>
    <n v="8"/>
    <n v="0"/>
    <d v="2024-12-20T00:00:00"/>
    <d v="2024-12-20T00:00:00"/>
    <x v="1"/>
    <x v="3"/>
    <s v="Tokyo"/>
    <s v="Corporate"/>
    <x v="1"/>
    <s v="B. Chen"/>
    <s v="Laptops"/>
    <x v="216"/>
    <n v="1202.47"/>
    <n v="1322.7170000000001"/>
    <n v="1444.72"/>
    <s v="Medium"/>
    <n v="0.24099999999999999"/>
    <n v="0.1"/>
    <s v=""/>
    <n v="17"/>
    <n v="20.399999999999999"/>
    <n v="20441.990000000002"/>
    <n v="1711094.3776"/>
    <n v="653423.44252000016"/>
    <n v="0.38187457750664761"/>
    <s v="A"/>
    <n v="26983.426800000001"/>
    <n v="26525.059199999996"/>
    <n v="18641.222160000001"/>
    <n v="-1800.7678400000004"/>
    <n v="-458.36760000000504"/>
    <n v="-9.6601382921343834E-2"/>
  </r>
  <r>
    <s v="ORD-2025-149156"/>
    <s v="149156"/>
    <n v="2025"/>
    <d v="2023-01-29T00:00:00"/>
    <x v="13"/>
    <d v="2025-01-10T00:00:00"/>
    <s v="Jan-2025"/>
    <x v="1"/>
    <s v="Q1-2025"/>
    <n v="27"/>
    <n v="27"/>
    <n v="0"/>
    <d v="2025-02-06T00:00:00"/>
    <d v="2025-02-06T00:00:00"/>
    <x v="3"/>
    <x v="9"/>
    <s v="Brasília"/>
    <s v="Non-Profit"/>
    <x v="1"/>
    <s v="B. Chen"/>
    <s v="Laptops"/>
    <x v="217"/>
    <n v="725.62"/>
    <n v="798.18200000000002"/>
    <n v="1559.19"/>
    <s v="Medium"/>
    <n v="0.19"/>
    <n v="0.1"/>
    <s v=""/>
    <n v="12"/>
    <n v="14.399999999999999"/>
    <n v="8707.44"/>
    <n v="1711094.3776"/>
    <n v="668578.7693200002"/>
    <n v="0.39073167329189418"/>
    <s v="A"/>
    <n v="11493.8208"/>
    <n v="20207.1024"/>
    <n v="15155.326800000001"/>
    <n v="6447.8868000000002"/>
    <n v="8713.2816000000003"/>
    <n v="0.42545349797405885"/>
  </r>
  <r>
    <s v="ORD-2024-651852"/>
    <s v="651852"/>
    <n v="2024"/>
    <d v="2023-01-12T00:00:00"/>
    <x v="13"/>
    <d v="2024-12-28T00:00:00"/>
    <s v="Dec-2024"/>
    <x v="3"/>
    <s v="Q4-2024"/>
    <n v="11"/>
    <n v="11"/>
    <n v="0"/>
    <d v="2025-01-08T00:00:00"/>
    <d v="2025-01-08T00:00:00"/>
    <x v="1"/>
    <x v="4"/>
    <s v="Shenzhen"/>
    <s v="Enterprise"/>
    <x v="4"/>
    <s v="K. Singh"/>
    <s v="Laptops"/>
    <x v="218"/>
    <n v="1201.31"/>
    <n v="1321.441"/>
    <n v="2764.65"/>
    <s v="High"/>
    <n v="0"/>
    <n v="0"/>
    <s v=""/>
    <n v="21"/>
    <n v="25.2"/>
    <n v="25227.51"/>
    <n v="1711094.3776"/>
    <n v="726636.41932000022"/>
    <n v="0.42466180056017044"/>
    <s v="A"/>
    <n v="33300.313199999997"/>
    <n v="69669.180000000008"/>
    <n v="58057.65"/>
    <n v="32830.14"/>
    <n v="36368.866800000011"/>
    <n v="0.56547483406579491"/>
  </r>
  <r>
    <s v="ORD-2025-728935"/>
    <s v="728935"/>
    <n v="2025"/>
    <d v="2023-03-03T00:00:00"/>
    <x v="13"/>
    <d v="2025-02-28T00:00:00"/>
    <s v="Feb-2025"/>
    <x v="0"/>
    <s v="Q1-2025"/>
    <n v="10"/>
    <n v="10"/>
    <n v="0"/>
    <d v="2025-03-10T00:00:00"/>
    <d v="2025-03-10T00:00:00"/>
    <x v="1"/>
    <x v="3"/>
    <s v="Osaka"/>
    <s v="Education"/>
    <x v="2"/>
    <s v="N. Brown"/>
    <s v="Laptops"/>
    <x v="219"/>
    <n v="51.86"/>
    <n v="57.046000000000006"/>
    <n v="45.98"/>
    <s v="Low"/>
    <n v="0.17299999999999999"/>
    <n v="0.1"/>
    <s v=""/>
    <n v="7"/>
    <n v="8.4"/>
    <n v="363.02"/>
    <n v="1711094.3776"/>
    <n v="726902.59754000022"/>
    <n v="0.42481736078144439"/>
    <s v="A"/>
    <n v="479.18640000000005"/>
    <n v="347.60879999999997"/>
    <n v="266.17821999999995"/>
    <n v="-96.841780000000028"/>
    <n v="-131.57760000000007"/>
    <n v="-0.3638230806412337"/>
  </r>
  <r>
    <s v="ORD-2024-474999"/>
    <s v="474999"/>
    <n v="2024"/>
    <d v="2023-01-22T00:00:00"/>
    <x v="13"/>
    <d v="2024-12-27T00:00:00"/>
    <s v="Dec-2024"/>
    <x v="3"/>
    <s v="Q4-2024"/>
    <n v="6"/>
    <n v="6"/>
    <n v="1"/>
    <d v="2025-01-02T00:00:00"/>
    <d v="2025-01-02T00:00:00"/>
    <x v="2"/>
    <x v="7"/>
    <s v="Frankfurt"/>
    <s v="Education"/>
    <x v="0"/>
    <s v="F. Müller"/>
    <s v="Laptops"/>
    <x v="220"/>
    <n v="1391.99"/>
    <n v="1531.1890000000001"/>
    <n v="3469.7"/>
    <s v="High"/>
    <n v="0.184"/>
    <n v="0.1"/>
    <s v=""/>
    <n v="23"/>
    <n v="27.599999999999998"/>
    <n v="32015.77"/>
    <n v="1711094.3776"/>
    <n v="792021.92714000028"/>
    <n v="0.46287448401934383"/>
    <s v="A"/>
    <n v="42260.816399999996"/>
    <n v="86187.347999999984"/>
    <n v="65119.329599999997"/>
    <n v="33103.559599999993"/>
    <n v="43926.531599999988"/>
    <n v="0.50835227886006973"/>
  </r>
  <r>
    <s v="ORD-2025-931538"/>
    <s v="931538"/>
    <n v="2025"/>
    <d v="2023-01-29T00:00:00"/>
    <x v="14"/>
    <d v="2025-02-09T00:00:00"/>
    <s v="Feb-2025"/>
    <x v="0"/>
    <s v="Q1-2025"/>
    <n v="20"/>
    <n v="20"/>
    <n v="0"/>
    <d v="2025-03-01T00:00:00"/>
    <d v="2025-03-01T00:00:00"/>
    <x v="3"/>
    <x v="9"/>
    <s v="São Paulo"/>
    <s v="Corporate"/>
    <x v="2"/>
    <s v="B. Chen"/>
    <s v="Laptops"/>
    <x v="221"/>
    <n v="1154.6400000000001"/>
    <n v="1270.1040000000003"/>
    <n v="2794.13"/>
    <s v="High"/>
    <n v="3.5000000000000003E-2"/>
    <n v="3.5000000000000003E-2"/>
    <s v=""/>
    <n v="11"/>
    <n v="13.2"/>
    <n v="12701.04"/>
    <n v="1711094.3776"/>
    <n v="821681.61709000031"/>
    <n v="0.48020823856747169"/>
    <s v="A"/>
    <n v="16765.372800000001"/>
    <n v="35591.627939999998"/>
    <n v="29659.68995"/>
    <n v="16958.649949999999"/>
    <n v="18826.255139999997"/>
    <n v="0.57177435025749479"/>
  </r>
  <r>
    <s v="ORD-2025-578007"/>
    <s v="578007"/>
    <n v="2025"/>
    <d v="2023-01-10T00:00:00"/>
    <x v="14"/>
    <d v="2025-01-21T00:00:00"/>
    <s v="Jan-2025"/>
    <x v="1"/>
    <s v="Q1-2025"/>
    <n v="26"/>
    <n v="26"/>
    <n v="0"/>
    <d v="2025-02-16T00:00:00"/>
    <d v="2025-02-16T00:00:00"/>
    <x v="2"/>
    <x v="5"/>
    <s v="Lyon"/>
    <s v="Corporate"/>
    <x v="2"/>
    <s v="O. Wang"/>
    <s v="Laptops"/>
    <x v="222"/>
    <n v="204.11"/>
    <n v="224.52100000000004"/>
    <n v="236.87"/>
    <s v="Low"/>
    <n v="0.182"/>
    <n v="0.1"/>
    <s v=""/>
    <n v="13"/>
    <n v="15.6"/>
    <n v="2653.4300000000003"/>
    <n v="1711094.3776"/>
    <n v="824200.4926700003"/>
    <n v="0.48168032310762021"/>
    <s v="A"/>
    <n v="3502.5276000000008"/>
    <n v="3325.6548000000003"/>
    <n v="2518.8755800000004"/>
    <n v="-134.55441999999994"/>
    <n v="-176.87280000000055"/>
    <n v="-5.3418446337075494E-2"/>
  </r>
  <r>
    <s v="ORD-2025-512310"/>
    <s v="512310"/>
    <n v="2025"/>
    <d v="2023-01-29T00:00:00"/>
    <x v="15"/>
    <d v="2025-03-08T00:00:00"/>
    <s v="Mar-2025"/>
    <x v="4"/>
    <s v="Q1-2025"/>
    <n v="7"/>
    <n v="7"/>
    <n v="1"/>
    <d v="2025-03-15T00:00:00"/>
    <d v="2025-03-15T00:00:00"/>
    <x v="1"/>
    <x v="1"/>
    <s v="Bengaluru"/>
    <s v="Corporate"/>
    <x v="2"/>
    <s v="K. Singh"/>
    <s v="Laptops"/>
    <x v="223"/>
    <n v="475.66"/>
    <n v="523.22600000000011"/>
    <n v="529.14"/>
    <s v="Low"/>
    <n v="0.19600000000000001"/>
    <n v="0.1"/>
    <s v=""/>
    <n v="11"/>
    <n v="13.2"/>
    <n v="5232.26"/>
    <n v="1711094.3776"/>
    <n v="828880.20683000027"/>
    <n v="0.48441524773905043"/>
    <s v="A"/>
    <n v="6906.5832000000009"/>
    <n v="6286.1831999999995"/>
    <n v="4679.7141600000004"/>
    <n v="-552.54583999999977"/>
    <n v="-620.40000000000146"/>
    <n v="-0.11807256193613323"/>
  </r>
  <r>
    <s v="ORD-2025-662997"/>
    <s v="662997"/>
    <n v="2025"/>
    <d v="2023-01-20T00:00:00"/>
    <x v="16"/>
    <d v="2025-03-31T00:00:00"/>
    <s v="Mar-2025"/>
    <x v="4"/>
    <s v="Q1-2025"/>
    <n v="4"/>
    <n v="4"/>
    <n v="1"/>
    <d v="2025-04-04T00:00:00"/>
    <d v="2025-04-04T00:00:00"/>
    <x v="0"/>
    <x v="8"/>
    <s v="Nakuru"/>
    <s v="Corporate"/>
    <x v="0"/>
    <s v="C. Otieno"/>
    <s v="Laptops"/>
    <x v="224"/>
    <n v="862.08"/>
    <n v="948.28800000000012"/>
    <n v="1952.83"/>
    <s v="High"/>
    <n v="0"/>
    <n v="0"/>
    <s v=""/>
    <n v="7"/>
    <n v="8.4"/>
    <n v="6034.56"/>
    <n v="1711094.3776"/>
    <n v="842550.01683000033"/>
    <n v="0.49240417586537238"/>
    <s v="A"/>
    <n v="7965.619200000001"/>
    <n v="16403.772000000001"/>
    <n v="13669.81"/>
    <n v="7635.2499999999991"/>
    <n v="8438.1527999999998"/>
    <n v="0.5585483631447693"/>
  </r>
  <r>
    <s v="ORD-2025-640677"/>
    <s v="640677"/>
    <n v="2025"/>
    <d v="2023-01-29T00:00:00"/>
    <x v="16"/>
    <d v="2025-04-09T00:00:00"/>
    <s v="Apr-2025"/>
    <x v="2"/>
    <s v="Q2-2025"/>
    <n v="27"/>
    <n v="27"/>
    <n v="0"/>
    <d v="2025-05-06T00:00:00"/>
    <d v="2025-05-06T00:00:00"/>
    <x v="3"/>
    <x v="9"/>
    <s v="Brasília"/>
    <s v="Enterprise"/>
    <x v="3"/>
    <s v="F. Müller"/>
    <s v="Laptops"/>
    <x v="225"/>
    <n v="264.19"/>
    <n v="290.60900000000004"/>
    <n v="620.92999999999995"/>
    <s v="Low"/>
    <n v="0.14199999999999999"/>
    <n v="0.1"/>
    <s v=""/>
    <n v="12"/>
    <n v="14.399999999999999"/>
    <n v="3170.2799999999997"/>
    <n v="1711094.3776"/>
    <n v="848943.11211000034"/>
    <n v="0.49614043691776805"/>
    <s v="A"/>
    <n v="4184.7696000000005"/>
    <n v="8047.2527999999984"/>
    <n v="6393.0952799999995"/>
    <n v="3222.8152799999998"/>
    <n v="3862.4831999999979"/>
    <n v="0.50410875152794532"/>
  </r>
  <r>
    <s v="ORD-2025-440093"/>
    <s v="440093"/>
    <n v="2025"/>
    <d v="2023-01-15T00:00:00"/>
    <x v="17"/>
    <d v="2025-04-16T00:00:00"/>
    <s v="Apr-2025"/>
    <x v="2"/>
    <s v="Q2-2025"/>
    <n v="10"/>
    <n v="10"/>
    <n v="0"/>
    <d v="2025-04-26T00:00:00"/>
    <d v="2025-04-26T00:00:00"/>
    <x v="0"/>
    <x v="0"/>
    <s v="Port Harcourt"/>
    <s v="Enterprise"/>
    <x v="3"/>
    <s v="F. Müller"/>
    <s v="Laptops"/>
    <x v="226"/>
    <n v="1457.44"/>
    <n v="1603.1840000000002"/>
    <n v="1996.81"/>
    <s v="High"/>
    <n v="0.126"/>
    <n v="0.1"/>
    <s v=""/>
    <n v="23"/>
    <n v="27.599999999999998"/>
    <n v="33521.120000000003"/>
    <n v="1711094.3776"/>
    <n v="889082.98673000035"/>
    <n v="0.51959903461142687"/>
    <s v="A"/>
    <n v="44247.878400000001"/>
    <n v="49600.760399999992"/>
    <n v="40139.874619999995"/>
    <n v="6618.7546199999924"/>
    <n v="5352.8819999999905"/>
    <n v="0.16489225944672353"/>
  </r>
  <r>
    <s v="ORD-2025-983096"/>
    <s v="983096"/>
    <n v="2025"/>
    <d v="2023-01-29T00:00:00"/>
    <x v="17"/>
    <d v="2025-05-17T00:00:00"/>
    <s v="May-2025"/>
    <x v="5"/>
    <s v="Q2-2025"/>
    <n v="11"/>
    <n v="11"/>
    <n v="0"/>
    <d v="2025-05-28T00:00:00"/>
    <d v="2025-05-28T00:00:00"/>
    <x v="1"/>
    <x v="1"/>
    <s v="Bengaluru"/>
    <s v="Corporate"/>
    <x v="2"/>
    <s v="B. Chen"/>
    <s v="Laptops"/>
    <x v="227"/>
    <n v="623.4"/>
    <n v="685.74"/>
    <n v="1100.0899999999999"/>
    <s v="Medium"/>
    <n v="0.114"/>
    <n v="0.1"/>
    <s v=""/>
    <n v="12"/>
    <n v="14.399999999999999"/>
    <n v="7480.7999999999993"/>
    <n v="1711094.3776"/>
    <n v="900779.14361000038"/>
    <n v="0.52643451781627804"/>
    <s v="A"/>
    <n v="9874.655999999999"/>
    <n v="14257.166399999996"/>
    <n v="11696.156879999999"/>
    <n v="4215.3568799999994"/>
    <n v="4382.5103999999974"/>
    <n v="0.36040529579490388"/>
  </r>
  <r>
    <s v="ORD-2025-700847"/>
    <s v="700847"/>
    <n v="2025"/>
    <d v="2023-01-07T00:00:00"/>
    <x v="18"/>
    <d v="2025-05-21T00:00:00"/>
    <s v="May-2025"/>
    <x v="5"/>
    <s v="Q2-2025"/>
    <n v="-2"/>
    <n v="15"/>
    <n v="0"/>
    <d v="2025-05-19T00:00:00"/>
    <d v="2025-06-05T00:00:00"/>
    <x v="0"/>
    <x v="6"/>
    <s v="Johannesburg"/>
    <s v="Non-Profit"/>
    <x v="2"/>
    <s v="O. Wang"/>
    <s v="Laptops"/>
    <x v="228"/>
    <n v="1263.8399999999999"/>
    <n v="1390.2239999999999"/>
    <n v="2281.7199999999998"/>
    <s v="High"/>
    <n v="7.8E-2"/>
    <n v="7.8E-2"/>
    <s v=""/>
    <n v="15"/>
    <n v="18"/>
    <n v="18957.599999999999"/>
    <n v="1711094.3776"/>
    <n v="932335.33121000032"/>
    <n v="0.54487662598582332"/>
    <s v="A"/>
    <n v="25024.031999999999"/>
    <n v="37867.42512"/>
    <n v="31556.187599999997"/>
    <n v="12598.587599999999"/>
    <n v="12843.393120000001"/>
    <n v="0.39924301882398494"/>
  </r>
  <r>
    <s v="ORD-2025-480172"/>
    <s v="480172"/>
    <n v="2025"/>
    <d v="2023-01-29T00:00:00"/>
    <x v="18"/>
    <d v="2025-06-17T00:00:00"/>
    <s v="Jun-2025"/>
    <x v="6"/>
    <s v="Q2-2025"/>
    <n v="18"/>
    <n v="18"/>
    <n v="0"/>
    <d v="2025-07-05T00:00:00"/>
    <d v="2025-07-05T00:00:00"/>
    <x v="1"/>
    <x v="1"/>
    <s v="Delhi"/>
    <s v="Consumer"/>
    <x v="3"/>
    <s v="L. Okafor"/>
    <s v="Laptops"/>
    <x v="229"/>
    <n v="982.93"/>
    <n v="1081.223"/>
    <n v="2299.3000000000002"/>
    <s v="High"/>
    <n v="0.113"/>
    <n v="0.1"/>
    <s v=""/>
    <n v="6"/>
    <n v="7.1999999999999993"/>
    <n v="5897.58"/>
    <n v="1711094.3776"/>
    <n v="944572.20581000031"/>
    <n v="0.55202811614334668"/>
    <s v="A"/>
    <n v="7784.8055999999988"/>
    <n v="14899.464"/>
    <n v="12236.874600000001"/>
    <n v="6339.2946000000011"/>
    <n v="7114.6584000000012"/>
    <n v="0.51804850562087157"/>
  </r>
  <r>
    <s v="ORD-2025-646342"/>
    <s v="646342"/>
    <n v="2025"/>
    <d v="2023-03-03T00:00:00"/>
    <x v="18"/>
    <d v="2025-08-02T00:00:00"/>
    <s v="Aug-2025"/>
    <x v="8"/>
    <s v="Q3-2025"/>
    <n v="6"/>
    <n v="6"/>
    <n v="1"/>
    <d v="2025-08-08T00:00:00"/>
    <d v="2025-08-08T00:00:00"/>
    <x v="1"/>
    <x v="3"/>
    <s v="Osaka"/>
    <s v="Consumer"/>
    <x v="0"/>
    <s v="N. Brown"/>
    <s v="Laptops"/>
    <x v="230"/>
    <n v="1225.94"/>
    <n v="1348.5340000000001"/>
    <n v="1793.08"/>
    <s v="High"/>
    <n v="0.13600000000000001"/>
    <n v="0.1"/>
    <s v=""/>
    <n v="22"/>
    <n v="26.4"/>
    <n v="26970.68"/>
    <n v="1711094.3776"/>
    <n v="978655.07045000035"/>
    <n v="0.57194686819243301"/>
    <s v="A"/>
    <n v="35601.297599999998"/>
    <n v="42603.580799999996"/>
    <n v="34082.864639999993"/>
    <n v="7112.1846399999922"/>
    <n v="7002.283199999998"/>
    <n v="0.20867332353434462"/>
  </r>
  <r>
    <s v="ORD-2025-398335"/>
    <s v="398335"/>
    <n v="2025"/>
    <d v="2023-01-22T00:00:00"/>
    <x v="18"/>
    <d v="2025-06-01T00:00:00"/>
    <s v="Jun-2025"/>
    <x v="6"/>
    <s v="Q2-2025"/>
    <n v="26"/>
    <n v="26"/>
    <n v="0"/>
    <d v="2025-06-27T00:00:00"/>
    <d v="2025-06-27T00:00:00"/>
    <x v="2"/>
    <x v="7"/>
    <s v="Munich"/>
    <s v="Consumer"/>
    <x v="2"/>
    <s v="E. Garcia"/>
    <s v="Laptops"/>
    <x v="231"/>
    <n v="1362.31"/>
    <n v="1498.5410000000002"/>
    <n v="3294.57"/>
    <s v="High"/>
    <n v="0.113"/>
    <n v="0.1"/>
    <s v=""/>
    <n v="7"/>
    <n v="8.4"/>
    <n v="9536.17"/>
    <n v="1711094.3776"/>
    <n v="999111.05558000039"/>
    <n v="0.58390178160795825"/>
    <s v="A"/>
    <n v="12587.744400000001"/>
    <n v="24906.949200000003"/>
    <n v="20455.985130000001"/>
    <n v="10919.815130000001"/>
    <n v="12319.204800000001"/>
    <n v="0.5338200561157721"/>
  </r>
  <r>
    <s v="ORD-2025-745263"/>
    <s v="745263"/>
    <n v="2025"/>
    <d v="2023-01-19T00:00:00"/>
    <x v="18"/>
    <d v="2025-05-21T00:00:00"/>
    <s v="May-2025"/>
    <x v="5"/>
    <s v="Q2-2025"/>
    <n v="-2"/>
    <n v="15"/>
    <n v="0"/>
    <d v="2025-05-19T00:00:00"/>
    <d v="2025-06-05T00:00:00"/>
    <x v="2"/>
    <x v="2"/>
    <s v="Birmingham"/>
    <s v="Enterprise"/>
    <x v="4"/>
    <s v="M. Rossi"/>
    <s v="Laptops"/>
    <x v="232"/>
    <n v="1015.16"/>
    <n v="1116.6760000000002"/>
    <n v="2148.14"/>
    <s v="High"/>
    <n v="3.7999999999999999E-2"/>
    <n v="3.7999999999999999E-2"/>
    <s v=""/>
    <n v="19"/>
    <n v="22.8"/>
    <n v="19288.04"/>
    <n v="1711094.3776"/>
    <n v="1038374.7585000003"/>
    <n v="0.60684832589797666"/>
    <s v="A"/>
    <n v="25460.212800000005"/>
    <n v="47116.443503999995"/>
    <n v="39263.702919999996"/>
    <n v="19975.662919999995"/>
    <n v="21656.230703999991"/>
    <n v="0.50875647059322227"/>
  </r>
  <r>
    <s v="ORD-2025-650841"/>
    <s v="650841"/>
    <n v="2025"/>
    <d v="2023-01-15T00:00:00"/>
    <x v="19"/>
    <d v="2025-07-03T00:00:00"/>
    <s v="Jul-2025"/>
    <x v="7"/>
    <s v="Q3-2025"/>
    <n v="3"/>
    <n v="3"/>
    <n v="1"/>
    <d v="2025-07-06T00:00:00"/>
    <d v="2025-07-06T00:00:00"/>
    <x v="0"/>
    <x v="0"/>
    <s v="Lagos"/>
    <s v="Consumer"/>
    <x v="4"/>
    <s v="A. Patel"/>
    <s v="Laptops"/>
    <x v="233"/>
    <n v="1313.3"/>
    <n v="1444.63"/>
    <n v="2884.34"/>
    <s v="High"/>
    <n v="0.157"/>
    <n v="0.1"/>
    <s v=""/>
    <n v="42"/>
    <n v="50.4"/>
    <n v="55158.6"/>
    <n v="1711094.3776"/>
    <n v="1140497.7005400003"/>
    <n v="0.66653114841022099"/>
    <s v="A"/>
    <n v="72809.351999999999"/>
    <n v="130833.6624"/>
    <n v="102122.94203999999"/>
    <n v="46964.342039999996"/>
    <n v="58024.310400000002"/>
    <n v="0.45988042551305253"/>
  </r>
  <r>
    <s v="ORD-2025-929414"/>
    <s v="929414"/>
    <n v="2025"/>
    <d v="2023-01-15T00:00:00"/>
    <x v="19"/>
    <d v="2025-06-26T00:00:00"/>
    <s v="Jun-2025"/>
    <x v="6"/>
    <s v="Q2-2025"/>
    <n v="15"/>
    <n v="15"/>
    <n v="0"/>
    <d v="2025-07-11T00:00:00"/>
    <d v="2025-07-11T00:00:00"/>
    <x v="0"/>
    <x v="0"/>
    <s v="Port Harcourt"/>
    <s v="Small Business"/>
    <x v="4"/>
    <s v="A. Patel"/>
    <s v="Laptops"/>
    <x v="234"/>
    <n v="1170.1500000000001"/>
    <n v="1287.1650000000002"/>
    <n v="2115.19"/>
    <s v="High"/>
    <n v="9.1999999999999998E-2"/>
    <n v="9.1999999999999998E-2"/>
    <s v=""/>
    <n v="23"/>
    <n v="27.599999999999998"/>
    <n v="26913.45"/>
    <n v="1711094.3776"/>
    <n v="1184671.3285000003"/>
    <n v="0.6923471574733554"/>
    <s v="A"/>
    <n v="35525.754000000001"/>
    <n v="53008.353552"/>
    <n v="44173.627960000005"/>
    <n v="17260.177960000005"/>
    <n v="17482.599552"/>
    <n v="0.39073489674946776"/>
  </r>
  <r>
    <s v="ORD-2025-312803"/>
    <s v="312803"/>
    <n v="2025"/>
    <d v="2023-01-07T00:00:00"/>
    <x v="19"/>
    <d v="2025-06-24T00:00:00"/>
    <s v="Jun-2025"/>
    <x v="6"/>
    <s v="Q2-2025"/>
    <n v="20"/>
    <n v="20"/>
    <n v="0"/>
    <d v="2025-07-14T00:00:00"/>
    <d v="2025-07-14T00:00:00"/>
    <x v="0"/>
    <x v="6"/>
    <s v="Johannesburg"/>
    <s v="Enterprise"/>
    <x v="3"/>
    <s v="J. Njeri"/>
    <s v="Laptops"/>
    <x v="235"/>
    <n v="1151.06"/>
    <n v="1266.1659999999999"/>
    <n v="2821.36"/>
    <s v="High"/>
    <n v="0.248"/>
    <n v="0.1"/>
    <s v=""/>
    <n v="20"/>
    <n v="24"/>
    <n v="23021.199999999997"/>
    <n v="1711094.3776"/>
    <n v="1227104.5829000003"/>
    <n v="0.71714605515865859"/>
    <s v="A"/>
    <n v="30387.983999999997"/>
    <n v="60941.376000000004"/>
    <n v="42433.254400000005"/>
    <n v="19412.054400000008"/>
    <n v="30553.392000000007"/>
    <n v="0.45747267501594235"/>
  </r>
  <r>
    <s v="ORD-2023-937291"/>
    <s v="937291"/>
    <n v="2023"/>
    <d v="2023-01-20T00:00:00"/>
    <x v="20"/>
    <d v="2023-04-23T00:00:00"/>
    <s v="Apr-2023"/>
    <x v="2"/>
    <s v="Q2-2023"/>
    <n v="-1"/>
    <n v="15"/>
    <n v="0"/>
    <d v="2023-04-22T00:00:00"/>
    <d v="2023-05-08T00:00:00"/>
    <x v="0"/>
    <x v="8"/>
    <s v="Nairobi"/>
    <s v="Small Business"/>
    <x v="0"/>
    <s v="E. Garcia"/>
    <s v="Laptops"/>
    <x v="236"/>
    <n v="756.51"/>
    <n v="832.16100000000006"/>
    <n v="850.8"/>
    <s v="Medium"/>
    <n v="7.3999999999999996E-2"/>
    <n v="7.3999999999999996E-2"/>
    <s v=""/>
    <n v="9"/>
    <n v="10.799999999999999"/>
    <n v="6808.59"/>
    <n v="1711094.3776"/>
    <n v="1234195.1501000002"/>
    <n v="0.72128993365701777"/>
    <s v="A"/>
    <n v="8987.3387999999995"/>
    <n v="8508.6806400000005"/>
    <n v="7090.5672000000004"/>
    <n v="281.97720000000027"/>
    <n v="-478.65815999999904"/>
    <n v="3.9767932810791252E-2"/>
  </r>
  <r>
    <s v="ORD-2023-157993"/>
    <s v="157993"/>
    <n v="2023"/>
    <d v="2023-01-12T00:00:00"/>
    <x v="20"/>
    <d v="2023-04-18T00:00:00"/>
    <s v="Apr-2023"/>
    <x v="2"/>
    <s v="Q2-2023"/>
    <n v="30"/>
    <n v="30"/>
    <n v="0"/>
    <d v="2023-05-18T00:00:00"/>
    <d v="2023-05-18T00:00:00"/>
    <x v="1"/>
    <x v="4"/>
    <s v="Shenzhen"/>
    <s v="Non-Profit"/>
    <x v="1"/>
    <s v="H. Kim"/>
    <s v="Laptops"/>
    <x v="237"/>
    <n v="329.03"/>
    <n v="361.93299999999999"/>
    <n v="391.15"/>
    <s v="Low"/>
    <n v="0.19700000000000001"/>
    <n v="0.1"/>
    <s v=""/>
    <n v="46"/>
    <n v="55.199999999999996"/>
    <n v="15135.38"/>
    <n v="1711094.3776"/>
    <n v="1248643.4488000001"/>
    <n v="0.7297338271611653"/>
    <s v="A"/>
    <n v="19978.701599999997"/>
    <n v="19432.331999999999"/>
    <n v="14448.298699999998"/>
    <n v="-687.08130000000165"/>
    <n v="-546.36959999999817"/>
    <n v="-4.7554477815440081E-2"/>
  </r>
  <r>
    <s v="ORD-2023-676553"/>
    <s v="676553"/>
    <n v="2023"/>
    <d v="2023-01-29T00:00:00"/>
    <x v="20"/>
    <d v="2023-05-20T00:00:00"/>
    <s v="May-2023"/>
    <x v="5"/>
    <s v="Q2-2023"/>
    <n v="30"/>
    <n v="30"/>
    <n v="0"/>
    <d v="2023-06-19T00:00:00"/>
    <d v="2023-06-19T00:00:00"/>
    <x v="1"/>
    <x v="1"/>
    <s v="Delhi"/>
    <s v="Non-Profit"/>
    <x v="3"/>
    <s v="H. Kim"/>
    <s v="Laptops"/>
    <x v="238"/>
    <n v="1161.2"/>
    <n v="1277.3200000000002"/>
    <n v="878.73"/>
    <s v="Medium"/>
    <n v="0.19"/>
    <n v="0.1"/>
    <s v=""/>
    <n v="31"/>
    <n v="37.199999999999996"/>
    <n v="35997.200000000004"/>
    <n v="1711094.3776"/>
    <n v="1270708.3591000002"/>
    <n v="0.7426290307155996"/>
    <s v="A"/>
    <n v="47516.304000000004"/>
    <n v="29419.880399999998"/>
    <n v="22064.910300000003"/>
    <n v="-13932.289700000001"/>
    <n v="-18096.423600000006"/>
    <n v="-0.63142290227212028"/>
  </r>
  <r>
    <s v="ORD-2023-472050"/>
    <s v="472050"/>
    <n v="2023"/>
    <d v="2023-01-29T00:00:00"/>
    <x v="20"/>
    <d v="2023-05-10T00:00:00"/>
    <s v="May-2023"/>
    <x v="5"/>
    <s v="Q2-2023"/>
    <n v="17"/>
    <n v="17"/>
    <n v="0"/>
    <d v="2023-05-27T00:00:00"/>
    <d v="2023-05-27T00:00:00"/>
    <x v="1"/>
    <x v="1"/>
    <s v="Mumbai"/>
    <s v="Consumer"/>
    <x v="1"/>
    <s v="M. Rossi"/>
    <s v="Laptops"/>
    <x v="239"/>
    <n v="1286.1600000000001"/>
    <n v="1414.7760000000003"/>
    <n v="3101.11"/>
    <s v="High"/>
    <n v="0.1"/>
    <n v="0.1"/>
    <s v=""/>
    <n v="23"/>
    <n v="27.599999999999998"/>
    <n v="29581.68"/>
    <n v="1711094.3776"/>
    <n v="1334901.3361000002"/>
    <n v="0.78014477376306246"/>
    <s v="A"/>
    <n v="39047.817600000002"/>
    <n v="77031.572400000005"/>
    <n v="64192.976999999999"/>
    <n v="34611.296999999999"/>
    <n v="37983.754800000002"/>
    <n v="0.53917575749758417"/>
  </r>
  <r>
    <s v="ORD-2023-867166"/>
    <s v="867166"/>
    <n v="2023"/>
    <d v="2023-01-10T00:00:00"/>
    <x v="20"/>
    <d v="2023-04-13T00:00:00"/>
    <s v="Apr-2023"/>
    <x v="2"/>
    <s v="Q2-2023"/>
    <n v="7"/>
    <n v="7"/>
    <n v="1"/>
    <d v="2023-04-20T00:00:00"/>
    <d v="2023-04-20T00:00:00"/>
    <x v="2"/>
    <x v="5"/>
    <s v="Lyon"/>
    <s v="Small Business"/>
    <x v="4"/>
    <s v="A. Patel"/>
    <s v="Laptops"/>
    <x v="240"/>
    <n v="227.02"/>
    <n v="249.72200000000004"/>
    <n v="434.72"/>
    <s v="Low"/>
    <n v="9.8000000000000004E-2"/>
    <n v="9.8000000000000004E-2"/>
    <s v=""/>
    <n v="10"/>
    <n v="12"/>
    <n v="2270.2000000000003"/>
    <n v="1711094.3776"/>
    <n v="1338822.5105000001"/>
    <n v="0.78243639160210876"/>
    <s v="A"/>
    <n v="2996.6640000000007"/>
    <n v="4705.4092800000008"/>
    <n v="3921.1744000000008"/>
    <n v="1650.9744000000005"/>
    <n v="1708.7452800000001"/>
    <n v="0.42104079838938052"/>
  </r>
  <r>
    <s v="ORD-2023-501220"/>
    <s v="501220"/>
    <n v="2023"/>
    <d v="2023-01-19T00:00:00"/>
    <x v="20"/>
    <d v="2023-04-19T00:00:00"/>
    <s v="Apr-2023"/>
    <x v="2"/>
    <s v="Q2-2023"/>
    <n v="18"/>
    <n v="18"/>
    <n v="0"/>
    <d v="2023-05-07T00:00:00"/>
    <d v="2023-05-07T00:00:00"/>
    <x v="2"/>
    <x v="2"/>
    <s v="Birmingham"/>
    <s v="Enterprise"/>
    <x v="1"/>
    <s v="N. Brown"/>
    <s v="Laptops"/>
    <x v="241"/>
    <n v="1089.1500000000001"/>
    <n v="1198.0650000000003"/>
    <n v="1088.2"/>
    <s v="Medium"/>
    <n v="5.0999999999999997E-2"/>
    <n v="5.0999999999999997E-2"/>
    <s v=""/>
    <n v="15"/>
    <n v="18"/>
    <n v="16337.250000000002"/>
    <n v="1711094.3776"/>
    <n v="1354313.0375000001"/>
    <n v="0.79148938552388592"/>
    <s v="A"/>
    <n v="21565.170000000006"/>
    <n v="18588.632400000002"/>
    <n v="15490.527"/>
    <n v="-846.72300000000178"/>
    <n v="-2976.5376000000033"/>
    <n v="-5.4660696824582002E-2"/>
  </r>
  <r>
    <s v="ORD-2025-956101"/>
    <s v="956101"/>
    <n v="2025"/>
    <d v="2023-01-02T00:00:00"/>
    <x v="21"/>
    <d v="2025-07-09T00:00:00"/>
    <s v="Jul-2025"/>
    <x v="7"/>
    <s v="Q3-2025"/>
    <n v="9"/>
    <n v="9"/>
    <n v="0"/>
    <d v="2025-07-18T00:00:00"/>
    <d v="2025-07-18T00:00:00"/>
    <x v="3"/>
    <x v="10"/>
    <s v="Vancouver"/>
    <s v="Education"/>
    <x v="2"/>
    <s v="I. Johnson"/>
    <s v="Laptops"/>
    <x v="242"/>
    <n v="57.96"/>
    <n v="63.756000000000007"/>
    <n v="88.51"/>
    <s v="Low"/>
    <n v="4.2999999999999997E-2"/>
    <n v="4.2999999999999997E-2"/>
    <s v=""/>
    <n v="7"/>
    <n v="8.4"/>
    <n v="405.72"/>
    <n v="1711094.3776"/>
    <n v="1354905.9659900002"/>
    <n v="0.79183590556261796"/>
    <s v="A"/>
    <n v="535.55040000000008"/>
    <n v="711.51418799999999"/>
    <n v="592.92849000000001"/>
    <n v="187.20848999999998"/>
    <n v="175.96378799999991"/>
    <n v="0.3157353595877978"/>
  </r>
  <r>
    <s v="ORD-2025-635337"/>
    <s v="635337"/>
    <n v="2025"/>
    <d v="2023-01-29T00:00:00"/>
    <x v="21"/>
    <d v="2025-08-05T00:00:00"/>
    <s v="Aug-2025"/>
    <x v="8"/>
    <s v="Q3-2025"/>
    <n v="23"/>
    <n v="23"/>
    <n v="0"/>
    <d v="2025-08-28T00:00:00"/>
    <d v="2025-08-28T00:00:00"/>
    <x v="1"/>
    <x v="1"/>
    <s v="Mumbai"/>
    <s v="Non-Profit"/>
    <x v="2"/>
    <s v="N. Brown"/>
    <s v="Laptops"/>
    <x v="243"/>
    <n v="638.54"/>
    <n v="702.39400000000001"/>
    <n v="987.24"/>
    <s v="Medium"/>
    <n v="0"/>
    <n v="0"/>
    <s v=""/>
    <n v="11"/>
    <n v="13.2"/>
    <n v="7023.94"/>
    <n v="1711094.3776"/>
    <n v="1365765.6059900001"/>
    <n v="0.79818251048527089"/>
    <s v="A"/>
    <n v="9271.6008000000002"/>
    <n v="13031.567999999999"/>
    <n v="10859.64"/>
    <n v="3835.7"/>
    <n v="3759.9671999999991"/>
    <n v="0.35320692030306716"/>
  </r>
  <r>
    <s v="ORD-2025-244832"/>
    <s v="244832"/>
    <n v="2025"/>
    <d v="2023-01-20T00:00:00"/>
    <x v="22"/>
    <d v="2025-09-11T00:00:00"/>
    <s v="Sept-2025"/>
    <x v="11"/>
    <s v="Q3-2025"/>
    <n v="17"/>
    <n v="17"/>
    <n v="0"/>
    <d v="2025-09-28T00:00:00"/>
    <d v="2025-09-28T00:00:00"/>
    <x v="0"/>
    <x v="8"/>
    <s v="Nairobi"/>
    <s v="Non-Profit"/>
    <x v="2"/>
    <s v="J. Njeri"/>
    <s v="Laptops"/>
    <x v="244"/>
    <n v="891.46"/>
    <n v="980.60600000000011"/>
    <n v="728.61"/>
    <s v="Low"/>
    <n v="0.185"/>
    <n v="0.1"/>
    <s v=""/>
    <n v="6"/>
    <n v="7.1999999999999993"/>
    <n v="5348.76"/>
    <n v="1711094.3776"/>
    <n v="1369328.5088900002"/>
    <n v="0.80026474682865567"/>
    <s v="B"/>
    <n v="7060.3631999999998"/>
    <n v="4721.3927999999996"/>
    <n v="3562.9028999999996"/>
    <n v="-1785.8571000000006"/>
    <n v="-2338.9704000000002"/>
    <n v="-0.50123653383874167"/>
  </r>
  <r>
    <s v="ORD-2025-803803"/>
    <s v="803803"/>
    <n v="2025"/>
    <d v="2023-01-15T00:00:00"/>
    <x v="22"/>
    <d v="2025-08-28T00:00:00"/>
    <s v="Aug-2025"/>
    <x v="8"/>
    <s v="Q3-2025"/>
    <n v="8"/>
    <n v="8"/>
    <n v="0"/>
    <d v="2025-09-05T00:00:00"/>
    <d v="2025-09-05T00:00:00"/>
    <x v="0"/>
    <x v="0"/>
    <s v="Port Harcourt"/>
    <s v="Small Business"/>
    <x v="3"/>
    <s v="E. Garcia"/>
    <s v="Laptops"/>
    <x v="245"/>
    <n v="1271.0999999999999"/>
    <n v="1398.21"/>
    <n v="1932.42"/>
    <s v="High"/>
    <n v="0.25"/>
    <n v="0.1"/>
    <s v=""/>
    <n v="21"/>
    <n v="25.2"/>
    <n v="26693.1"/>
    <n v="1711094.3776"/>
    <n v="1399764.1238900002"/>
    <n v="0.81805196850294426"/>
    <s v="B"/>
    <n v="35234.892"/>
    <n v="43827.285600000003"/>
    <n v="30435.614999999998"/>
    <n v="3742.5149999999994"/>
    <n v="8592.3936000000031"/>
    <n v="0.12296498690760807"/>
  </r>
  <r>
    <s v="ORD-2025-417336"/>
    <s v="417336"/>
    <n v="2025"/>
    <d v="2023-01-10T00:00:00"/>
    <x v="22"/>
    <d v="2025-08-30T00:00:00"/>
    <s v="Aug-2025"/>
    <x v="8"/>
    <s v="Q3-2025"/>
    <n v="4"/>
    <n v="4"/>
    <n v="1"/>
    <d v="2025-09-03T00:00:00"/>
    <d v="2025-09-03T00:00:00"/>
    <x v="2"/>
    <x v="5"/>
    <s v="Marseille"/>
    <s v="Small Business"/>
    <x v="3"/>
    <s v="J. Njeri"/>
    <s v="Laptops"/>
    <x v="246"/>
    <n v="1286.56"/>
    <n v="1415.2160000000001"/>
    <n v="2777.35"/>
    <s v="High"/>
    <n v="0.13200000000000001"/>
    <n v="0.1"/>
    <s v=""/>
    <n v="15"/>
    <n v="18"/>
    <n v="19298.399999999998"/>
    <n v="1711094.3776"/>
    <n v="1435925.2208900002"/>
    <n v="0.83918528380885971"/>
    <s v="B"/>
    <n v="25473.888000000003"/>
    <n v="44993.07"/>
    <n v="36161.097000000002"/>
    <n v="16862.697000000004"/>
    <n v="19519.181999999997"/>
    <n v="0.46632150014696744"/>
  </r>
  <r>
    <s v="ORD-2023-286720"/>
    <s v="286720"/>
    <n v="2023"/>
    <d v="2023-01-20T00:00:00"/>
    <x v="24"/>
    <d v="2023-07-08T00:00:00"/>
    <s v="Jul-2023"/>
    <x v="7"/>
    <s v="Q3-2023"/>
    <n v="1"/>
    <n v="1"/>
    <n v="1"/>
    <d v="2023-07-09T00:00:00"/>
    <d v="2023-07-09T00:00:00"/>
    <x v="0"/>
    <x v="8"/>
    <s v="Nairobi"/>
    <s v="Consumer"/>
    <x v="4"/>
    <s v="D. Smith"/>
    <s v="Laptops"/>
    <x v="247"/>
    <n v="1258.72"/>
    <n v="1384.5920000000001"/>
    <n v="2797.41"/>
    <s v="High"/>
    <n v="0"/>
    <n v="0"/>
    <s v=""/>
    <n v="7"/>
    <n v="8.4"/>
    <n v="8811.0400000000009"/>
    <n v="1711094.3776"/>
    <n v="1455507.0908900003"/>
    <n v="0.85062934572405691"/>
    <s v="B"/>
    <n v="11630.572800000002"/>
    <n v="23498.243999999999"/>
    <n v="19581.87"/>
    <n v="10770.829999999998"/>
    <n v="11867.671199999997"/>
    <n v="0.55004093071805704"/>
  </r>
  <r>
    <s v="ORD-2023-159821"/>
    <s v="159821"/>
    <n v="2023"/>
    <d v="2023-01-15T00:00:00"/>
    <x v="24"/>
    <d v="2023-07-01T00:00:00"/>
    <s v="Jul-2023"/>
    <x v="7"/>
    <s v="Q3-2023"/>
    <n v="7"/>
    <n v="7"/>
    <n v="1"/>
    <d v="2023-07-08T00:00:00"/>
    <d v="2023-07-08T00:00:00"/>
    <x v="0"/>
    <x v="0"/>
    <s v="Port Harcourt"/>
    <s v="Corporate"/>
    <x v="1"/>
    <s v="A. Patel"/>
    <s v="Laptops"/>
    <x v="248"/>
    <n v="834.26"/>
    <n v="917.68600000000004"/>
    <n v="1780.56"/>
    <s v="High"/>
    <n v="1.4E-2"/>
    <n v="1.4E-2"/>
    <s v=""/>
    <n v="47"/>
    <n v="56.4"/>
    <n v="39210.22"/>
    <n v="1711094.3776"/>
    <n v="1538021.8024100002"/>
    <n v="0.89885270067174594"/>
    <s v="B"/>
    <n v="51757.490400000002"/>
    <n v="99017.653823999994"/>
    <n v="82514.711519999997"/>
    <n v="43304.491519999996"/>
    <n v="47260.163423999991"/>
    <n v="0.5248093427497933"/>
  </r>
  <r>
    <s v="ORD-2023-497686"/>
    <s v="497686"/>
    <n v="2023"/>
    <d v="2023-01-07T00:00:00"/>
    <x v="24"/>
    <d v="2023-07-03T00:00:00"/>
    <s v="Jul-2023"/>
    <x v="7"/>
    <s v="Q3-2023"/>
    <n v="20"/>
    <n v="20"/>
    <n v="0"/>
    <d v="2023-07-23T00:00:00"/>
    <d v="2023-07-23T00:00:00"/>
    <x v="0"/>
    <x v="6"/>
    <s v="Johannesburg"/>
    <s v="Small Business"/>
    <x v="2"/>
    <s v="F. Müller"/>
    <s v="Laptops"/>
    <x v="249"/>
    <n v="1001.96"/>
    <n v="1102.1560000000002"/>
    <n v="1254.95"/>
    <s v="Medium"/>
    <n v="4.4999999999999998E-2"/>
    <n v="4.4999999999999998E-2"/>
    <s v=""/>
    <n v="18"/>
    <n v="21.599999999999998"/>
    <n v="18035.28"/>
    <n v="1711094.3776"/>
    <n v="1559594.3929100002"/>
    <n v="0.91146018204881518"/>
    <s v="B"/>
    <n v="23806.569600000003"/>
    <n v="25887.108599999996"/>
    <n v="21572.590500000002"/>
    <n v="3537.3105000000032"/>
    <n v="2080.5389999999934"/>
    <n v="0.16397244920585699"/>
  </r>
  <r>
    <s v="ORD-2023-453699"/>
    <s v="453699"/>
    <n v="2023"/>
    <d v="2023-01-22T00:00:00"/>
    <x v="24"/>
    <d v="2023-07-01T00:00:00"/>
    <s v="Jul-2023"/>
    <x v="7"/>
    <s v="Q3-2023"/>
    <n v="7"/>
    <n v="7"/>
    <n v="1"/>
    <d v="2023-07-08T00:00:00"/>
    <d v="2023-07-08T00:00:00"/>
    <x v="2"/>
    <x v="7"/>
    <s v="Frankfurt"/>
    <s v="Small Business"/>
    <x v="2"/>
    <s v="N. Brown"/>
    <s v="Laptops"/>
    <x v="250"/>
    <n v="460.21"/>
    <n v="506.23099999999999"/>
    <n v="1139.1500000000001"/>
    <s v="Medium"/>
    <n v="0.115"/>
    <n v="0.1"/>
    <s v=""/>
    <n v="14"/>
    <n v="16.8"/>
    <n v="6442.94"/>
    <n v="1711094.3776"/>
    <n v="1573708.4614100002"/>
    <n v="0.91970874430509275"/>
    <s v="B"/>
    <n v="8504.6808000000001"/>
    <n v="17223.948"/>
    <n v="14114.068500000001"/>
    <n v="7671.1285000000016"/>
    <n v="8719.2672000000002"/>
    <n v="0.54350937151821255"/>
  </r>
  <r>
    <s v="ORD-2023-569862"/>
    <s v="569862"/>
    <n v="2023"/>
    <d v="2023-01-19T00:00:00"/>
    <x v="24"/>
    <d v="2023-07-16T00:00:00"/>
    <s v="Jul-2023"/>
    <x v="7"/>
    <s v="Q3-2023"/>
    <n v="28"/>
    <n v="28"/>
    <n v="0"/>
    <d v="2023-08-13T00:00:00"/>
    <d v="2023-08-13T00:00:00"/>
    <x v="2"/>
    <x v="2"/>
    <s v="Manchester"/>
    <s v="Non-Profit"/>
    <x v="4"/>
    <s v="J. Njeri"/>
    <s v="Laptops"/>
    <x v="251"/>
    <n v="1039.03"/>
    <n v="1142.933"/>
    <n v="2545.81"/>
    <s v="High"/>
    <n v="0.216"/>
    <n v="0.1"/>
    <s v=""/>
    <n v="21"/>
    <n v="25.2"/>
    <n v="21819.63"/>
    <n v="1711094.3776"/>
    <n v="1615622.6772500002"/>
    <n v="0.94420430480058648"/>
    <s v="B"/>
    <n v="28801.911599999999"/>
    <n v="57738.970799999996"/>
    <n v="41914.215840000004"/>
    <n v="20094.585840000003"/>
    <n v="28937.059199999996"/>
    <n v="0.47942172929364774"/>
  </r>
  <r>
    <s v="ORD-2023-552115"/>
    <s v="552115"/>
    <n v="2023"/>
    <d v="2023-01-29T00:00:00"/>
    <x v="26"/>
    <d v="2023-09-17T00:00:00"/>
    <s v="Sept-2023"/>
    <x v="11"/>
    <s v="Q3-2023"/>
    <n v="15"/>
    <n v="15"/>
    <n v="0"/>
    <d v="2023-10-02T00:00:00"/>
    <d v="2023-10-02T00:00:00"/>
    <x v="3"/>
    <x v="9"/>
    <s v="Rio de Janeiro"/>
    <s v="Small Business"/>
    <x v="1"/>
    <s v="B. Chen"/>
    <s v="Laptops"/>
    <x v="252"/>
    <n v="689.33"/>
    <n v="758.26300000000015"/>
    <n v="668.27"/>
    <s v="Low"/>
    <n v="0.186"/>
    <n v="0.1"/>
    <s v=""/>
    <n v="13"/>
    <n v="15.6"/>
    <n v="8961.2900000000009"/>
    <n v="1711094.3776"/>
    <n v="1622694.3103900002"/>
    <n v="0.94833711783099262"/>
    <s v="B"/>
    <n v="11828.902800000002"/>
    <n v="9382.5108"/>
    <n v="7071.6331400000008"/>
    <n v="-1889.6568600000001"/>
    <n v="-2446.3920000000016"/>
    <n v="-0.26721647214861033"/>
  </r>
  <r>
    <s v="ORD-2023-132101"/>
    <s v="132101"/>
    <n v="2023"/>
    <d v="2023-01-13T00:00:00"/>
    <x v="27"/>
    <d v="2023-09-25T00:00:00"/>
    <s v="Sept-2023"/>
    <x v="11"/>
    <s v="Q3-2023"/>
    <n v="14"/>
    <n v="14"/>
    <n v="0"/>
    <d v="2023-10-09T00:00:00"/>
    <d v="2023-10-09T00:00:00"/>
    <x v="3"/>
    <x v="11"/>
    <s v="New York"/>
    <s v="Small Business"/>
    <x v="3"/>
    <s v="J. Njeri"/>
    <s v="Laptops"/>
    <x v="253"/>
    <n v="1279.56"/>
    <n v="1407.5160000000001"/>
    <n v="3083.8"/>
    <s v="High"/>
    <n v="0.106"/>
    <n v="0.1"/>
    <s v=""/>
    <n v="5"/>
    <n v="6"/>
    <n v="6397.7999999999993"/>
    <n v="1711094.3776"/>
    <n v="1636478.8963900001"/>
    <n v="0.95639312349640448"/>
    <s v="C"/>
    <n v="8445.0960000000014"/>
    <n v="16652.520000000004"/>
    <n v="13784.586000000001"/>
    <n v="7386.7860000000019"/>
    <n v="8207.4240000000027"/>
    <n v="0.53587289455047848"/>
  </r>
  <r>
    <s v="ORD-2023-619385"/>
    <s v="619385"/>
    <n v="2023"/>
    <d v="2023-01-12T00:00:00"/>
    <x v="27"/>
    <d v="2023-09-30T00:00:00"/>
    <s v="Sept-2023"/>
    <x v="11"/>
    <s v="Q3-2023"/>
    <n v="3"/>
    <n v="3"/>
    <n v="1"/>
    <d v="2023-10-03T00:00:00"/>
    <d v="2023-10-03T00:00:00"/>
    <x v="1"/>
    <x v="4"/>
    <s v="Beijing"/>
    <s v="Non-Profit"/>
    <x v="1"/>
    <s v="J. Njeri"/>
    <s v="Laptops"/>
    <x v="211"/>
    <n v="1019.36"/>
    <n v="1121.296"/>
    <n v="972.91"/>
    <s v="Medium"/>
    <n v="0.14699999999999999"/>
    <n v="0.1"/>
    <s v=""/>
    <n v="17"/>
    <n v="20.399999999999999"/>
    <n v="17329.12"/>
    <n v="1711094.3776"/>
    <n v="1650587.0643000002"/>
    <n v="0.96463823732220544"/>
    <s v="C"/>
    <n v="22874.438399999999"/>
    <n v="17862.6276"/>
    <n v="14108.16791"/>
    <n v="-3220.9520899999989"/>
    <n v="-5011.8107999999993"/>
    <n v="-0.22830406545678819"/>
  </r>
  <r>
    <s v="ORD-2023-573146"/>
    <s v="573146"/>
    <n v="2023"/>
    <d v="2023-03-03T00:00:00"/>
    <x v="27"/>
    <d v="2023-12-01T00:00:00"/>
    <s v="Dec-2023"/>
    <x v="3"/>
    <s v="Q4-2023"/>
    <n v="17"/>
    <n v="17"/>
    <n v="0"/>
    <d v="2023-12-18T00:00:00"/>
    <d v="2023-12-18T00:00:00"/>
    <x v="1"/>
    <x v="3"/>
    <s v="Nagoya"/>
    <s v="Small Business"/>
    <x v="0"/>
    <s v="N. Brown"/>
    <s v="Laptops"/>
    <x v="254"/>
    <n v="1495.79"/>
    <n v="1645.3690000000001"/>
    <n v="2783.12"/>
    <s v="High"/>
    <n v="0.02"/>
    <n v="0.02"/>
    <s v=""/>
    <n v="5"/>
    <n v="6"/>
    <n v="7478.95"/>
    <n v="1711094.3776"/>
    <n v="1664224.3523000001"/>
    <n v="0.97260815889901975"/>
    <s v="C"/>
    <n v="9872.2139999999999"/>
    <n v="16364.7456"/>
    <n v="13637.287999999999"/>
    <n v="6158.3379999999988"/>
    <n v="6492.5316000000003"/>
    <n v="0.45158084217331185"/>
  </r>
  <r>
    <s v="ORD-2023-835226"/>
    <s v="835226"/>
    <n v="2023"/>
    <d v="2023-01-07T00:00:00"/>
    <x v="28"/>
    <d v="2023-10-26T00:00:00"/>
    <s v="Oct-2023"/>
    <x v="9"/>
    <s v="Q4-2023"/>
    <n v="10"/>
    <n v="10"/>
    <n v="0"/>
    <d v="2023-11-05T00:00:00"/>
    <d v="2023-11-05T00:00:00"/>
    <x v="0"/>
    <x v="6"/>
    <s v="Cape Town"/>
    <s v="Non-Profit"/>
    <x v="4"/>
    <s v="I. Johnson"/>
    <s v="Laptops"/>
    <x v="255"/>
    <n v="20.38"/>
    <n v="22.417999999999999"/>
    <n v="42.56"/>
    <s v="Low"/>
    <n v="7.1999999999999995E-2"/>
    <n v="7.1999999999999995E-2"/>
    <s v=""/>
    <n v="11"/>
    <n v="13.2"/>
    <n v="224.17999999999998"/>
    <n v="1711094.3776"/>
    <n v="1664658.8047800001"/>
    <n v="0.97286206218202242"/>
    <s v="C"/>
    <n v="295.91759999999999"/>
    <n v="521.34297600000002"/>
    <n v="434.45248000000004"/>
    <n v="210.27248000000006"/>
    <n v="225.42537600000003"/>
    <n v="0.48399419885921713"/>
  </r>
  <r>
    <s v="ORD-2023-163610"/>
    <s v="163610"/>
    <n v="2023"/>
    <d v="2023-01-02T00:00:00"/>
    <x v="28"/>
    <d v="2023-10-22T00:00:00"/>
    <s v="Oct-2023"/>
    <x v="9"/>
    <s v="Q4-2023"/>
    <n v="25"/>
    <n v="25"/>
    <n v="0"/>
    <d v="2023-11-16T00:00:00"/>
    <d v="2023-11-16T00:00:00"/>
    <x v="3"/>
    <x v="10"/>
    <s v="Toronto"/>
    <s v="Small Business"/>
    <x v="3"/>
    <s v="I. Johnson"/>
    <s v="Laptops"/>
    <x v="256"/>
    <n v="1373.31"/>
    <n v="1510.6410000000001"/>
    <n v="3154.14"/>
    <s v="High"/>
    <n v="0.2"/>
    <n v="0.1"/>
    <s v=""/>
    <n v="11"/>
    <n v="13.2"/>
    <n v="15106.41"/>
    <n v="1711094.3776"/>
    <n v="1692415.2367800002"/>
    <n v="0.98908351224542068"/>
    <s v="C"/>
    <n v="19940.461200000002"/>
    <n v="37471.183199999992"/>
    <n v="27756.432000000001"/>
    <n v="12650.022000000001"/>
    <n v="17530.721999999991"/>
    <n v="0.45575101295440279"/>
  </r>
  <r>
    <s v="ORD-2023-211715"/>
    <s v="211715"/>
    <n v="2023"/>
    <d v="2023-01-29T00:00:00"/>
    <x v="28"/>
    <d v="2023-10-30T00:00:00"/>
    <s v="Oct-2023"/>
    <x v="9"/>
    <s v="Q4-2023"/>
    <n v="15"/>
    <n v="15"/>
    <n v="0"/>
    <d v="2023-11-14T00:00:00"/>
    <d v="2023-11-14T00:00:00"/>
    <x v="1"/>
    <x v="1"/>
    <s v="Bengaluru"/>
    <s v="Corporate"/>
    <x v="4"/>
    <s v="F. Müller"/>
    <s v="Laptops"/>
    <x v="257"/>
    <n v="953.46"/>
    <n v="1048.806"/>
    <n v="2066.75"/>
    <s v="High"/>
    <n v="0.13800000000000001"/>
    <n v="0.1"/>
    <s v=""/>
    <n v="5"/>
    <n v="6"/>
    <n v="4767.3"/>
    <n v="1711094.3776"/>
    <n v="1701322.92928"/>
    <n v="0.9942893574732532"/>
    <s v="C"/>
    <n v="6292.8360000000002"/>
    <n v="11160.45"/>
    <n v="8907.6924999999992"/>
    <n v="4140.392499999999"/>
    <n v="4867.6140000000005"/>
    <n v="0.46481089238318446"/>
  </r>
  <r>
    <s v="ORD-2023-580751"/>
    <s v="580751"/>
    <n v="2023"/>
    <d v="2023-03-03T00:00:00"/>
    <x v="28"/>
    <d v="2023-12-24T00:00:00"/>
    <s v="Dec-2023"/>
    <x v="3"/>
    <s v="Q4-2023"/>
    <n v="20"/>
    <n v="20"/>
    <n v="0"/>
    <d v="2024-01-13T00:00:00"/>
    <d v="2024-01-13T00:00:00"/>
    <x v="1"/>
    <x v="3"/>
    <s v="Nagoya"/>
    <s v="Education"/>
    <x v="0"/>
    <s v="B. Chen"/>
    <s v="Laptops"/>
    <x v="258"/>
    <n v="625.37"/>
    <n v="687.90700000000004"/>
    <n v="1319.04"/>
    <s v="Medium"/>
    <n v="7.3999999999999996E-2"/>
    <n v="7.3999999999999996E-2"/>
    <s v=""/>
    <n v="8"/>
    <n v="9.6"/>
    <n v="5002.96"/>
    <n v="1711094.3776"/>
    <n v="1711094.3776"/>
    <n v="1"/>
    <s v="C"/>
    <n v="6603.9072000000006"/>
    <n v="11725.737983999999"/>
    <n v="9771.4483199999995"/>
    <n v="4768.4883199999995"/>
    <n v="5121.8307839999989"/>
    <n v="0.48800220436513547"/>
  </r>
  <r>
    <s v="ORD-2023-856322"/>
    <s v="856322"/>
    <n v="2023"/>
    <d v="2023-01-29T00:00:00"/>
    <x v="0"/>
    <d v="2023-01-29T00:00:00"/>
    <s v="Jan-2023"/>
    <x v="1"/>
    <s v="Q1-2023"/>
    <n v="8"/>
    <n v="8"/>
    <n v="0"/>
    <d v="2023-02-06T00:00:00"/>
    <d v="2023-02-06T00:00:00"/>
    <x v="3"/>
    <x v="9"/>
    <s v="Brasília"/>
    <s v="Corporate"/>
    <x v="3"/>
    <s v="D. Smith"/>
    <s v="Monitors"/>
    <x v="259"/>
    <n v="41.84"/>
    <n v="46.024000000000008"/>
    <n v="86.2"/>
    <s v="Low"/>
    <n v="0.22600000000000001"/>
    <n v="0.1"/>
    <s v=""/>
    <n v="27"/>
    <n v="32.4"/>
    <n v="1129.68"/>
    <n v="1549460.0077899997"/>
    <n v="1801.4076000000002"/>
    <n v="1.1626034818216148E-3"/>
    <s v="A"/>
    <n v="1491.1776000000002"/>
    <n v="2513.5920000000001"/>
    <n v="1801.4076000000002"/>
    <n v="671.72760000000017"/>
    <n v="1022.4143999999999"/>
    <n v="0.37289039970742882"/>
  </r>
  <r>
    <s v="ORD-2023-848013"/>
    <s v="848013"/>
    <n v="2023"/>
    <d v="2023-01-29T00:00:00"/>
    <x v="0"/>
    <d v="2023-02-20T00:00:00"/>
    <s v="Feb-2023"/>
    <x v="0"/>
    <s v="Q1-2023"/>
    <n v="12"/>
    <n v="12"/>
    <n v="0"/>
    <d v="2023-03-04T00:00:00"/>
    <d v="2023-03-04T00:00:00"/>
    <x v="1"/>
    <x v="1"/>
    <s v="Delhi"/>
    <s v="Consumer"/>
    <x v="2"/>
    <s v="M. Rossi"/>
    <s v="Monitors"/>
    <x v="260"/>
    <n v="299.75"/>
    <n v="329.72500000000002"/>
    <n v="523.01"/>
    <s v="Low"/>
    <n v="0.157"/>
    <n v="0.1"/>
    <s v=""/>
    <n v="50"/>
    <n v="60"/>
    <n v="14987.5"/>
    <n v="1549460.0077899997"/>
    <n v="23846.279099999996"/>
    <n v="1.5390057813761859E-2"/>
    <s v="A"/>
    <n v="19783.5"/>
    <n v="28242.54"/>
    <n v="22044.871499999997"/>
    <n v="7057.3714999999975"/>
    <n v="8459.0400000000009"/>
    <n v="0.32013665854210122"/>
  </r>
  <r>
    <s v="ORD-2023-240507"/>
    <s v="240507"/>
    <n v="2023"/>
    <d v="2023-03-03T00:00:00"/>
    <x v="0"/>
    <d v="2023-03-25T00:00:00"/>
    <s v="Mar-2023"/>
    <x v="4"/>
    <s v="Q1-2023"/>
    <n v="1"/>
    <n v="1"/>
    <n v="1"/>
    <d v="2023-03-26T00:00:00"/>
    <d v="2023-03-26T00:00:00"/>
    <x v="1"/>
    <x v="3"/>
    <s v="Osaka"/>
    <s v="Small Business"/>
    <x v="2"/>
    <s v="I. Johnson"/>
    <s v="Monitors"/>
    <x v="261"/>
    <n v="135.12"/>
    <n v="148.63200000000001"/>
    <n v="301.7"/>
    <s v="Low"/>
    <n v="0.14000000000000001"/>
    <n v="0.1"/>
    <s v=""/>
    <n v="47"/>
    <n v="56.4"/>
    <n v="6350.64"/>
    <n v="1549460.0077899997"/>
    <n v="36040.993099999992"/>
    <n v="2.3260357104282665E-2"/>
    <s v="A"/>
    <n v="8382.8448000000008"/>
    <n v="15314.291999999998"/>
    <n v="12194.714"/>
    <n v="5844.0739999999996"/>
    <n v="6931.4471999999969"/>
    <n v="0.47923009920527859"/>
  </r>
  <r>
    <s v="ORD-2023-884625"/>
    <s v="884625"/>
    <n v="2023"/>
    <d v="2023-01-22T00:00:00"/>
    <x v="0"/>
    <d v="2023-02-19T00:00:00"/>
    <s v="Feb-2023"/>
    <x v="0"/>
    <s v="Q1-2023"/>
    <n v="21"/>
    <n v="21"/>
    <n v="0"/>
    <d v="2023-03-12T00:00:00"/>
    <d v="2023-03-12T00:00:00"/>
    <x v="2"/>
    <x v="7"/>
    <s v="Berlin"/>
    <s v="Small Business"/>
    <x v="0"/>
    <s v="L. Okafor"/>
    <s v="Monitors"/>
    <x v="262"/>
    <n v="1234.81"/>
    <n v="1358.2909999999999"/>
    <n v="2055.2399999999998"/>
    <s v="High"/>
    <n v="5.2999999999999999E-2"/>
    <n v="5.2999999999999999E-2"/>
    <s v=""/>
    <n v="44"/>
    <n v="52.8"/>
    <n v="54331.64"/>
    <n v="1549460.0077899997"/>
    <n v="121678.73341999999"/>
    <n v="7.8529767020931895E-2"/>
    <s v="A"/>
    <n v="71717.76479999999"/>
    <n v="102765.28838399997"/>
    <n v="85637.740319999997"/>
    <n v="31306.100319999998"/>
    <n v="31047.52358399998"/>
    <n v="0.36556429680441616"/>
  </r>
  <r>
    <s v="ORD-2023-613317"/>
    <s v="613317"/>
    <n v="2023"/>
    <d v="2023-01-22T00:00:00"/>
    <x v="0"/>
    <d v="2023-01-22T00:00:00"/>
    <s v="Jan-2023"/>
    <x v="1"/>
    <s v="Q1-2023"/>
    <n v="-1"/>
    <n v="15"/>
    <n v="0"/>
    <d v="2023-01-21T00:00:00"/>
    <d v="2023-02-06T00:00:00"/>
    <x v="2"/>
    <x v="7"/>
    <s v="Munich"/>
    <s v="Corporate"/>
    <x v="0"/>
    <s v="F. Müller"/>
    <s v="Monitors"/>
    <x v="263"/>
    <n v="150.86000000000001"/>
    <n v="165.94600000000003"/>
    <n v="346.96"/>
    <s v="Low"/>
    <n v="0.19600000000000001"/>
    <n v="0.1"/>
    <s v=""/>
    <n v="8"/>
    <n v="9.6"/>
    <n v="1206.8800000000001"/>
    <n v="1549460.0077899997"/>
    <n v="123910.38013999999"/>
    <n v="7.9970040863935429E-2"/>
    <s v="A"/>
    <n v="1593.0816000000002"/>
    <n v="2997.7343999999998"/>
    <n v="2231.6467200000002"/>
    <n v="1024.7667200000001"/>
    <n v="1404.6527999999996"/>
    <n v="0.45919755614365343"/>
  </r>
  <r>
    <s v="ORD-2023-869884"/>
    <s v="869884"/>
    <n v="2023"/>
    <d v="2023-01-29T00:00:00"/>
    <x v="1"/>
    <d v="2023-03-02T00:00:00"/>
    <s v="Mar-2023"/>
    <x v="4"/>
    <s v="Q1-2023"/>
    <n v="3"/>
    <n v="3"/>
    <n v="1"/>
    <d v="2023-03-05T00:00:00"/>
    <d v="2023-03-05T00:00:00"/>
    <x v="3"/>
    <x v="9"/>
    <s v="Brasília"/>
    <s v="Enterprise"/>
    <x v="0"/>
    <s v="G. Dubois"/>
    <s v="Monitors"/>
    <x v="264"/>
    <n v="1473.58"/>
    <n v="1620.9380000000001"/>
    <n v="3436.52"/>
    <s v="High"/>
    <n v="0.108"/>
    <n v="0.1"/>
    <s v=""/>
    <n v="8"/>
    <n v="9.6"/>
    <n v="11788.64"/>
    <n v="1549460.0077899997"/>
    <n v="148433.38686"/>
    <n v="9.5796849298299125E-2"/>
    <s v="A"/>
    <n v="15561.004800000001"/>
    <n v="29691.532799999997"/>
    <n v="24523.006720000001"/>
    <n v="12734.366720000002"/>
    <n v="14130.527999999997"/>
    <n v="0.51928243813652564"/>
  </r>
  <r>
    <s v="ORD-2023-854471"/>
    <s v="854471"/>
    <n v="2023"/>
    <d v="2023-01-12T00:00:00"/>
    <x v="1"/>
    <d v="2023-03-06T00:00:00"/>
    <s v="Mar-2023"/>
    <x v="4"/>
    <s v="Q1-2023"/>
    <n v="29"/>
    <n v="29"/>
    <n v="0"/>
    <d v="2023-04-04T00:00:00"/>
    <d v="2023-04-04T00:00:00"/>
    <x v="1"/>
    <x v="4"/>
    <s v="Beijing"/>
    <s v="Small Business"/>
    <x v="0"/>
    <s v="C. Otieno"/>
    <s v="Monitors"/>
    <x v="265"/>
    <n v="1126.29"/>
    <n v="1238.9190000000001"/>
    <n v="2050.87"/>
    <s v="High"/>
    <n v="6.4000000000000001E-2"/>
    <n v="6.4000000000000001E-2"/>
    <s v=""/>
    <n v="7"/>
    <n v="8.4"/>
    <n v="7884.03"/>
    <n v="1549460.0077899997"/>
    <n v="161870.68710000001"/>
    <n v="0.10446909651503478"/>
    <s v="A"/>
    <n v="10406.919600000001"/>
    <n v="16124.760287999999"/>
    <n v="13437.300239999999"/>
    <n v="5553.2702399999989"/>
    <n v="5717.8406879999984"/>
    <n v="0.41327276616690373"/>
  </r>
  <r>
    <s v="ORD-2023-431328"/>
    <s v="431328"/>
    <n v="2023"/>
    <d v="2023-01-29T00:00:00"/>
    <x v="29"/>
    <d v="2023-12-20T00:00:00"/>
    <s v="Dec-2023"/>
    <x v="3"/>
    <s v="Q4-2023"/>
    <n v="25"/>
    <n v="25"/>
    <n v="0"/>
    <d v="2024-01-14T00:00:00"/>
    <d v="2024-01-14T00:00:00"/>
    <x v="1"/>
    <x v="1"/>
    <s v="Mumbai"/>
    <s v="Non-Profit"/>
    <x v="3"/>
    <s v="L. Okafor"/>
    <s v="Monitors"/>
    <x v="266"/>
    <n v="1085.6099999999999"/>
    <n v="1194.171"/>
    <n v="1246.4100000000001"/>
    <s v="Medium"/>
    <n v="0.113"/>
    <n v="0.1"/>
    <s v=""/>
    <n v="7"/>
    <n v="8.4"/>
    <n v="7599.2699999999995"/>
    <n v="1549460.0077899997"/>
    <n v="169609.64679"/>
    <n v="0.1094637137694924"/>
    <s v="A"/>
    <n v="10031.036400000001"/>
    <n v="9422.8596000000016"/>
    <n v="7738.9596900000006"/>
    <n v="139.68969000000106"/>
    <n v="-608.17679999999928"/>
    <n v="1.8050189637310417E-2"/>
  </r>
  <r>
    <s v="ORD-2023-576840"/>
    <s v="576840"/>
    <n v="2023"/>
    <d v="2023-01-10T00:00:00"/>
    <x v="29"/>
    <d v="2023-11-19T00:00:00"/>
    <s v="Nov-2023"/>
    <x v="10"/>
    <s v="Q4-2023"/>
    <n v="24"/>
    <n v="24"/>
    <n v="0"/>
    <d v="2023-12-13T00:00:00"/>
    <d v="2023-12-13T00:00:00"/>
    <x v="2"/>
    <x v="5"/>
    <s v="Lyon"/>
    <s v="Non-Profit"/>
    <x v="0"/>
    <s v="H. Kim"/>
    <s v="Monitors"/>
    <x v="267"/>
    <n v="1297.42"/>
    <n v="1427.1620000000003"/>
    <n v="2742.97"/>
    <s v="High"/>
    <n v="6.9000000000000006E-2"/>
    <n v="6.9000000000000006E-2"/>
    <s v=""/>
    <n v="9"/>
    <n v="10.799999999999999"/>
    <n v="11676.78"/>
    <n v="1549460.0077899997"/>
    <n v="192592.99242"/>
    <n v="0.1242968462894993"/>
    <s v="A"/>
    <n v="15413.349600000001"/>
    <n v="27580.014755999997"/>
    <n v="22983.34563"/>
    <n v="11306.565629999999"/>
    <n v="12166.665155999995"/>
    <n v="0.49194602961727291"/>
  </r>
  <r>
    <s v="ORD-2023-212701"/>
    <s v="212701"/>
    <n v="2023"/>
    <d v="2023-01-22T00:00:00"/>
    <x v="29"/>
    <d v="2023-12-02T00:00:00"/>
    <s v="Dec-2023"/>
    <x v="3"/>
    <s v="Q4-2023"/>
    <n v="14"/>
    <n v="14"/>
    <n v="0"/>
    <d v="2023-12-16T00:00:00"/>
    <d v="2023-12-16T00:00:00"/>
    <x v="2"/>
    <x v="7"/>
    <s v="Frankfurt"/>
    <s v="Education"/>
    <x v="0"/>
    <s v="N. Brown"/>
    <s v="Monitors"/>
    <x v="268"/>
    <n v="879.08"/>
    <n v="966.98800000000017"/>
    <n v="1093.3900000000001"/>
    <s v="Medium"/>
    <n v="0.113"/>
    <n v="0.1"/>
    <s v=""/>
    <n v="17"/>
    <n v="20.399999999999999"/>
    <n v="14944.36"/>
    <n v="1549460.0077899997"/>
    <n v="209080.22023000001"/>
    <n v="0.13493747446132015"/>
    <s v="A"/>
    <n v="19726.555200000003"/>
    <n v="20074.6404"/>
    <n v="16487.22781"/>
    <n v="1542.8678099999997"/>
    <n v="348.08519999999771"/>
    <n v="9.3579577341935186E-2"/>
  </r>
  <r>
    <s v="ORD-2023-126505"/>
    <s v="126505"/>
    <n v="2023"/>
    <d v="2023-01-02T00:00:00"/>
    <x v="2"/>
    <d v="2023-12-19T00:00:00"/>
    <s v="Dec-2023"/>
    <x v="3"/>
    <s v="Q4-2023"/>
    <n v="13"/>
    <n v="13"/>
    <n v="0"/>
    <d v="2024-01-01T00:00:00"/>
    <d v="2024-01-01T00:00:00"/>
    <x v="3"/>
    <x v="10"/>
    <s v="Toronto"/>
    <s v="Enterprise"/>
    <x v="1"/>
    <s v="K. Singh"/>
    <s v="Monitors"/>
    <x v="269"/>
    <n v="856.1"/>
    <n v="941.71000000000015"/>
    <n v="901.48"/>
    <s v="Medium"/>
    <n v="5.6000000000000001E-2"/>
    <n v="5.6000000000000001E-2"/>
    <s v=""/>
    <n v="17"/>
    <n v="20.399999999999999"/>
    <n v="14553.7"/>
    <n v="1549460.0077899997"/>
    <n v="223547.17126999999"/>
    <n v="0.1442742440244367"/>
    <s v="A"/>
    <n v="19210.884000000002"/>
    <n v="17360.341247999997"/>
    <n v="14466.95104"/>
    <n v="-86.748960000000807"/>
    <n v="-1850.5427520000048"/>
    <n v="-5.9963540182134192E-3"/>
  </r>
  <r>
    <s v="ORD-2024-604471"/>
    <s v="604471"/>
    <n v="2024"/>
    <d v="2023-01-29T00:00:00"/>
    <x v="2"/>
    <d v="2024-01-21T00:00:00"/>
    <s v="Jan-2024"/>
    <x v="1"/>
    <s v="Q1-2024"/>
    <n v="4"/>
    <n v="4"/>
    <n v="1"/>
    <d v="2024-01-25T00:00:00"/>
    <d v="2024-01-25T00:00:00"/>
    <x v="1"/>
    <x v="1"/>
    <s v="Delhi"/>
    <s v="Consumer"/>
    <x v="0"/>
    <s v="C. Otieno"/>
    <s v="Monitors"/>
    <x v="270"/>
    <n v="523.70000000000005"/>
    <n v="576.07000000000005"/>
    <n v="1109.92"/>
    <s v="Medium"/>
    <n v="0.03"/>
    <n v="0.03"/>
    <s v=""/>
    <n v="11"/>
    <n v="13.2"/>
    <n v="5760.7000000000007"/>
    <n v="1549460.0077899997"/>
    <n v="235390.01767"/>
    <n v="0.15191745284587088"/>
    <s v="A"/>
    <n v="7604.1239999999998"/>
    <n v="14211.415679999998"/>
    <n v="11842.8464"/>
    <n v="6082.1463999999996"/>
    <n v="6607.2916799999985"/>
    <n v="0.51357133197302973"/>
  </r>
  <r>
    <s v="ORD-2024-749242"/>
    <s v="749242"/>
    <n v="2024"/>
    <d v="2023-01-22T00:00:00"/>
    <x v="2"/>
    <d v="2024-01-16T00:00:00"/>
    <s v="Jan-2024"/>
    <x v="1"/>
    <s v="Q1-2024"/>
    <n v="26"/>
    <n v="26"/>
    <n v="0"/>
    <d v="2024-02-11T00:00:00"/>
    <d v="2024-02-11T00:00:00"/>
    <x v="2"/>
    <x v="7"/>
    <s v="Frankfurt"/>
    <s v="Non-Profit"/>
    <x v="2"/>
    <s v="E. Garcia"/>
    <s v="Monitors"/>
    <x v="271"/>
    <n v="504.93"/>
    <n v="555.423"/>
    <n v="819.06"/>
    <s v="Medium"/>
    <n v="0.22600000000000001"/>
    <n v="0.1"/>
    <s v=""/>
    <n v="15"/>
    <n v="18"/>
    <n v="7573.95"/>
    <n v="1549460.0077899997"/>
    <n v="244899.30426999999"/>
    <n v="0.15805461453587352"/>
    <s v="A"/>
    <n v="9997.6139999999996"/>
    <n v="13268.771999999999"/>
    <n v="9509.2865999999995"/>
    <n v="1935.3365999999996"/>
    <n v="3271.1579999999994"/>
    <n v="0.20352069312959814"/>
  </r>
  <r>
    <s v="ORD-2024-647571"/>
    <s v="647571"/>
    <n v="2024"/>
    <d v="2023-01-20T00:00:00"/>
    <x v="3"/>
    <d v="2024-02-06T00:00:00"/>
    <s v="Feb-2024"/>
    <x v="0"/>
    <s v="Q1-2024"/>
    <n v="22"/>
    <n v="22"/>
    <n v="0"/>
    <d v="2024-02-28T00:00:00"/>
    <d v="2024-02-28T00:00:00"/>
    <x v="0"/>
    <x v="8"/>
    <s v="Kisumu"/>
    <s v="Non-Profit"/>
    <x v="4"/>
    <s v="K. Singh"/>
    <s v="Monitors"/>
    <x v="272"/>
    <n v="834.93"/>
    <n v="918.423"/>
    <n v="1588.53"/>
    <s v="Medium"/>
    <n v="0.126"/>
    <n v="0.1"/>
    <s v=""/>
    <n v="6"/>
    <n v="7.1999999999999993"/>
    <n v="5009.58"/>
    <n v="1549460.0077899997"/>
    <n v="253229.55559"/>
    <n v="0.16343084320787485"/>
    <s v="A"/>
    <n v="6612.6455999999989"/>
    <n v="10293.6744"/>
    <n v="8330.2513199999994"/>
    <n v="3320.6713199999995"/>
    <n v="3681.028800000001"/>
    <n v="0.39862798761274343"/>
  </r>
  <r>
    <s v="ORD-2024-419248"/>
    <s v="419248"/>
    <n v="2024"/>
    <d v="2023-01-07T00:00:00"/>
    <x v="4"/>
    <d v="2024-03-04T00:00:00"/>
    <s v="Mar-2024"/>
    <x v="4"/>
    <s v="Q1-2024"/>
    <n v="12"/>
    <n v="12"/>
    <n v="0"/>
    <d v="2024-03-16T00:00:00"/>
    <d v="2024-03-16T00:00:00"/>
    <x v="0"/>
    <x v="6"/>
    <s v="Johannesburg"/>
    <s v="Enterprise"/>
    <x v="2"/>
    <s v="M. Rossi"/>
    <s v="Monitors"/>
    <x v="273"/>
    <n v="441.08"/>
    <n v="485.18800000000005"/>
    <n v="1054.29"/>
    <s v="Medium"/>
    <n v="0.23699999999999999"/>
    <n v="0.1"/>
    <s v=""/>
    <n v="6"/>
    <n v="7.1999999999999993"/>
    <n v="2646.48"/>
    <n v="1549460.0077899997"/>
    <n v="258056.09521"/>
    <n v="0.16654582494069423"/>
    <s v="A"/>
    <n v="3493.3535999999999"/>
    <n v="6831.7991999999995"/>
    <n v="4826.5396199999996"/>
    <n v="2180.0596199999995"/>
    <n v="3338.4455999999996"/>
    <n v="0.45168169985932899"/>
  </r>
  <r>
    <s v="ORD-2024-687073"/>
    <s v="687073"/>
    <n v="2024"/>
    <d v="2023-01-13T00:00:00"/>
    <x v="4"/>
    <d v="2024-03-11T00:00:00"/>
    <s v="Mar-2024"/>
    <x v="4"/>
    <s v="Q1-2024"/>
    <n v="18"/>
    <n v="18"/>
    <n v="0"/>
    <d v="2024-03-29T00:00:00"/>
    <d v="2024-03-29T00:00:00"/>
    <x v="3"/>
    <x v="11"/>
    <s v="New York"/>
    <s v="Corporate"/>
    <x v="1"/>
    <s v="M. Rossi"/>
    <s v="Monitors"/>
    <x v="274"/>
    <n v="710.98"/>
    <n v="782.07800000000009"/>
    <n v="1481.45"/>
    <s v="Medium"/>
    <n v="0.21099999999999999"/>
    <n v="0.1"/>
    <s v=""/>
    <n v="9"/>
    <n v="10.799999999999999"/>
    <n v="6398.82"/>
    <n v="1549460.0077899997"/>
    <n v="268575.87166"/>
    <n v="0.17333514276568565"/>
    <s v="A"/>
    <n v="8446.4423999999999"/>
    <n v="14399.693999999998"/>
    <n v="10519.776450000001"/>
    <n v="4120.9564500000015"/>
    <n v="5953.2515999999978"/>
    <n v="0.39173422264120461"/>
  </r>
  <r>
    <s v="ORD-2024-343877"/>
    <s v="343877"/>
    <n v="2024"/>
    <d v="2023-01-12T00:00:00"/>
    <x v="4"/>
    <d v="2024-03-09T00:00:00"/>
    <s v="Mar-2024"/>
    <x v="4"/>
    <s v="Q1-2024"/>
    <n v="17"/>
    <n v="17"/>
    <n v="0"/>
    <d v="2024-03-26T00:00:00"/>
    <d v="2024-03-26T00:00:00"/>
    <x v="1"/>
    <x v="4"/>
    <s v="Shenzhen"/>
    <s v="Enterprise"/>
    <x v="4"/>
    <s v="K. Singh"/>
    <s v="Monitors"/>
    <x v="275"/>
    <n v="1029.67"/>
    <n v="1132.6370000000002"/>
    <n v="1118.43"/>
    <s v="Medium"/>
    <n v="0.27200000000000002"/>
    <n v="0.1"/>
    <s v=""/>
    <n v="9"/>
    <n v="10.799999999999999"/>
    <n v="9267.0300000000007"/>
    <n v="1549460.0077899997"/>
    <n v="275903.82501999999"/>
    <n v="0.17806450223489317"/>
    <s v="A"/>
    <n v="12232.479600000001"/>
    <n v="10871.1396"/>
    <n v="7327.9533600000004"/>
    <n v="-1939.0766400000002"/>
    <n v="-1361.3400000000001"/>
    <n v="-0.26461367106736061"/>
  </r>
  <r>
    <s v="ORD-2024-811752"/>
    <s v="811752"/>
    <n v="2024"/>
    <d v="2023-01-10T00:00:00"/>
    <x v="4"/>
    <d v="2024-02-25T00:00:00"/>
    <s v="Feb-2024"/>
    <x v="0"/>
    <s v="Q1-2024"/>
    <n v="13"/>
    <n v="13"/>
    <n v="0"/>
    <d v="2024-03-09T00:00:00"/>
    <d v="2024-03-09T00:00:00"/>
    <x v="2"/>
    <x v="5"/>
    <s v="Marseille"/>
    <s v="Small Business"/>
    <x v="2"/>
    <s v="E. Garcia"/>
    <s v="Monitors"/>
    <x v="276"/>
    <n v="322.44"/>
    <n v="354.68400000000003"/>
    <n v="395.61"/>
    <s v="Low"/>
    <n v="0"/>
    <n v="0"/>
    <s v=""/>
    <n v="34"/>
    <n v="40.799999999999997"/>
    <n v="10962.96"/>
    <n v="1549460.0077899997"/>
    <n v="289354.56501999998"/>
    <n v="0.18674542328634053"/>
    <s v="A"/>
    <n v="14471.1072"/>
    <n v="16140.887999999999"/>
    <n v="13450.74"/>
    <n v="2487.7800000000007"/>
    <n v="1669.7807999999986"/>
    <n v="0.18495487980586947"/>
  </r>
  <r>
    <s v="ORD-2024-220234"/>
    <s v="220234"/>
    <n v="2024"/>
    <d v="2023-01-02T00:00:00"/>
    <x v="5"/>
    <d v="2024-03-15T00:00:00"/>
    <s v="Mar-2024"/>
    <x v="4"/>
    <s v="Q1-2024"/>
    <n v="25"/>
    <n v="25"/>
    <n v="0"/>
    <d v="2024-04-09T00:00:00"/>
    <d v="2024-04-09T00:00:00"/>
    <x v="3"/>
    <x v="10"/>
    <s v="Vancouver"/>
    <s v="Consumer"/>
    <x v="4"/>
    <s v="F. Müller"/>
    <s v="Monitors"/>
    <x v="277"/>
    <n v="648.64"/>
    <n v="713.50400000000002"/>
    <n v="815.19"/>
    <s v="Low"/>
    <n v="0.22500000000000001"/>
    <n v="0.1"/>
    <s v=""/>
    <n v="28"/>
    <n v="33.6"/>
    <n v="18161.919999999998"/>
    <n v="1549460.0077899997"/>
    <n v="307044.18802"/>
    <n v="0.19816206063810463"/>
    <s v="A"/>
    <n v="23973.734400000001"/>
    <n v="24651.345600000001"/>
    <n v="17689.623"/>
    <n v="-472.29699999999866"/>
    <n v="677.61119999999937"/>
    <n v="-2.6699099240272032E-2"/>
  </r>
  <r>
    <s v="ORD-2024-207096"/>
    <s v="207096"/>
    <n v="2024"/>
    <d v="2023-01-13T00:00:00"/>
    <x v="5"/>
    <d v="2024-03-26T00:00:00"/>
    <s v="Mar-2024"/>
    <x v="4"/>
    <s v="Q1-2024"/>
    <n v="10"/>
    <n v="10"/>
    <n v="0"/>
    <d v="2024-04-05T00:00:00"/>
    <d v="2024-04-05T00:00:00"/>
    <x v="3"/>
    <x v="11"/>
    <s v="Austin"/>
    <s v="Consumer"/>
    <x v="0"/>
    <s v="J. Njeri"/>
    <s v="Monitors"/>
    <x v="278"/>
    <n v="5.66"/>
    <n v="6.2260000000000009"/>
    <n v="4.22"/>
    <s v="Low"/>
    <n v="0.11899999999999999"/>
    <n v="0.1"/>
    <s v=""/>
    <n v="18"/>
    <n v="21.599999999999998"/>
    <n v="101.88"/>
    <n v="1549460.0077899997"/>
    <n v="307111.10878000001"/>
    <n v="0.19820525036850334"/>
    <s v="A"/>
    <n v="134.48160000000001"/>
    <n v="82.036799999999985"/>
    <n v="66.920760000000001"/>
    <n v="-34.959239999999994"/>
    <n v="-52.444800000000029"/>
    <n v="-0.52239753403876454"/>
  </r>
  <r>
    <s v="ORD-2024-347736"/>
    <s v="347736"/>
    <n v="2024"/>
    <d v="2023-03-03T00:00:00"/>
    <x v="5"/>
    <d v="2024-05-22T00:00:00"/>
    <s v="May-2024"/>
    <x v="5"/>
    <s v="Q2-2024"/>
    <n v="15"/>
    <n v="15"/>
    <n v="0"/>
    <d v="2024-06-06T00:00:00"/>
    <d v="2024-06-06T00:00:00"/>
    <x v="1"/>
    <x v="3"/>
    <s v="Nagoya"/>
    <s v="Corporate"/>
    <x v="2"/>
    <s v="C. Otieno"/>
    <s v="Monitors"/>
    <x v="279"/>
    <n v="673.88"/>
    <n v="741.26800000000003"/>
    <n v="1228.01"/>
    <s v="Medium"/>
    <n v="0.105"/>
    <n v="0.1"/>
    <s v=""/>
    <n v="13"/>
    <n v="15.6"/>
    <n v="8760.44"/>
    <n v="1549460.0077899997"/>
    <n v="321399.00513000001"/>
    <n v="0.2074264605179533"/>
    <s v="A"/>
    <n v="11563.7808"/>
    <n v="17241.260399999999"/>
    <n v="14287.896349999999"/>
    <n v="5527.4563499999986"/>
    <n v="5677.4795999999988"/>
    <n v="0.38686285332689996"/>
  </r>
  <r>
    <s v="ORD-2024-745822"/>
    <s v="745822"/>
    <n v="2024"/>
    <d v="2023-01-22T00:00:00"/>
    <x v="5"/>
    <d v="2024-03-31T00:00:00"/>
    <s v="Mar-2024"/>
    <x v="4"/>
    <s v="Q1-2024"/>
    <n v="17"/>
    <n v="17"/>
    <n v="0"/>
    <d v="2024-04-17T00:00:00"/>
    <d v="2024-04-17T00:00:00"/>
    <x v="2"/>
    <x v="7"/>
    <s v="Frankfurt"/>
    <s v="Education"/>
    <x v="0"/>
    <s v="H. Kim"/>
    <s v="Monitors"/>
    <x v="280"/>
    <n v="1025.51"/>
    <n v="1128.0610000000001"/>
    <n v="1436.54"/>
    <s v="Medium"/>
    <n v="0.13900000000000001"/>
    <n v="0.1"/>
    <s v=""/>
    <n v="28"/>
    <n v="33.6"/>
    <n v="28714.28"/>
    <n v="1549460.0077899997"/>
    <n v="356031.11145000003"/>
    <n v="0.22977754163388087"/>
    <s v="A"/>
    <n v="37902.849600000009"/>
    <n v="43440.969599999997"/>
    <n v="34632.106319999999"/>
    <n v="5917.8263200000001"/>
    <n v="5538.1199999999881"/>
    <n v="0.17087688127656453"/>
  </r>
  <r>
    <s v="ORD-2024-833375"/>
    <s v="833375"/>
    <n v="2024"/>
    <d v="2023-01-20T00:00:00"/>
    <x v="6"/>
    <d v="2024-04-24T00:00:00"/>
    <s v="Apr-2024"/>
    <x v="2"/>
    <s v="Q2-2024"/>
    <n v="16"/>
    <n v="16"/>
    <n v="0"/>
    <d v="2024-05-10T00:00:00"/>
    <d v="2024-05-10T00:00:00"/>
    <x v="0"/>
    <x v="8"/>
    <s v="Kisumu"/>
    <s v="Non-Profit"/>
    <x v="4"/>
    <s v="N. Brown"/>
    <s v="Monitors"/>
    <x v="281"/>
    <n v="513.30999999999995"/>
    <n v="564.64099999999996"/>
    <n v="1186.26"/>
    <s v="Medium"/>
    <n v="9.4E-2"/>
    <n v="9.4E-2"/>
    <s v=""/>
    <n v="15"/>
    <n v="18"/>
    <n v="7699.65"/>
    <n v="1549460.0077899997"/>
    <n v="372152.38485000003"/>
    <n v="0.2401819879048071"/>
    <s v="A"/>
    <n v="10163.537999999999"/>
    <n v="19345.52808"/>
    <n v="16121.273400000002"/>
    <n v="8421.6234000000022"/>
    <n v="9181.9900800000014"/>
    <n v="0.52239194702820446"/>
  </r>
  <r>
    <s v="ORD-2024-589570"/>
    <s v="589570"/>
    <n v="2024"/>
    <d v="2023-01-15T00:00:00"/>
    <x v="6"/>
    <d v="2024-05-04T00:00:00"/>
    <s v="May-2024"/>
    <x v="5"/>
    <s v="Q2-2024"/>
    <n v="25"/>
    <n v="25"/>
    <n v="0"/>
    <d v="2024-05-29T00:00:00"/>
    <d v="2024-05-29T00:00:00"/>
    <x v="0"/>
    <x v="0"/>
    <s v="Abuja"/>
    <s v="Non-Profit"/>
    <x v="3"/>
    <s v="O. Wang"/>
    <s v="Monitors"/>
    <x v="282"/>
    <n v="1295.3399999999999"/>
    <n v="1424.874"/>
    <n v="2530.81"/>
    <s v="High"/>
    <n v="3.1E-2"/>
    <n v="3.1E-2"/>
    <s v=""/>
    <n v="6"/>
    <n v="7.1999999999999993"/>
    <n v="7772.0399999999991"/>
    <n v="1549460.0077899997"/>
    <n v="386866.51419000002"/>
    <n v="0.2496782829146969"/>
    <s v="A"/>
    <n v="10259.092799999999"/>
    <n v="17656.955207999999"/>
    <n v="14714.12934"/>
    <n v="6942.0893400000004"/>
    <n v="7397.8624080000009"/>
    <n v="0.4717974933880798"/>
  </r>
  <r>
    <s v="ORD-2024-503082"/>
    <s v="503082"/>
    <n v="2024"/>
    <d v="2023-01-29T00:00:00"/>
    <x v="6"/>
    <d v="2024-05-19T00:00:00"/>
    <s v="May-2024"/>
    <x v="5"/>
    <s v="Q2-2024"/>
    <n v="20"/>
    <n v="20"/>
    <n v="0"/>
    <d v="2024-06-08T00:00:00"/>
    <d v="2024-06-08T00:00:00"/>
    <x v="3"/>
    <x v="9"/>
    <s v="Brasília"/>
    <s v="Small Business"/>
    <x v="1"/>
    <s v="E. Garcia"/>
    <s v="Monitors"/>
    <x v="283"/>
    <n v="1075.9000000000001"/>
    <n v="1183.4900000000002"/>
    <n v="1242.1500000000001"/>
    <s v="Medium"/>
    <n v="1.2E-2"/>
    <n v="1.2E-2"/>
    <s v=""/>
    <n v="7"/>
    <n v="8.4"/>
    <n v="7531.3000000000011"/>
    <n v="1549460.0077899997"/>
    <n v="395457.22359000001"/>
    <n v="0.25522260761930993"/>
    <s v="A"/>
    <n v="9941.3160000000025"/>
    <n v="10308.851280000001"/>
    <n v="8590.7094000000016"/>
    <n v="1059.4094000000005"/>
    <n v="367.53527999999824"/>
    <n v="0.12332036280961853"/>
  </r>
  <r>
    <s v="ORD-2024-626925"/>
    <s v="626925"/>
    <n v="2024"/>
    <d v="2023-01-12T00:00:00"/>
    <x v="7"/>
    <d v="2024-06-07T00:00:00"/>
    <s v="Jun-2024"/>
    <x v="6"/>
    <s v="Q2-2024"/>
    <n v="2"/>
    <n v="2"/>
    <n v="1"/>
    <d v="2024-06-09T00:00:00"/>
    <d v="2024-06-09T00:00:00"/>
    <x v="1"/>
    <x v="4"/>
    <s v="Shanghai"/>
    <s v="Corporate"/>
    <x v="1"/>
    <s v="O. Wang"/>
    <s v="Monitors"/>
    <x v="284"/>
    <n v="1370.28"/>
    <n v="1507.308"/>
    <n v="2209.66"/>
    <s v="High"/>
    <n v="0.13300000000000001"/>
    <n v="0.1"/>
    <s v=""/>
    <n v="16"/>
    <n v="19.2"/>
    <n v="21924.48"/>
    <n v="1549460.0077899997"/>
    <n v="426109.62711"/>
    <n v="0.27500524374150298"/>
    <s v="A"/>
    <n v="28940.313599999998"/>
    <n v="38182.924799999993"/>
    <n v="30652.403519999996"/>
    <n v="8727.9235199999966"/>
    <n v="9242.6111999999957"/>
    <n v="0.28473863442079589"/>
  </r>
  <r>
    <s v="ORD-2024-947056"/>
    <s v="947056"/>
    <n v="2024"/>
    <d v="2023-03-03T00:00:00"/>
    <x v="7"/>
    <d v="2024-07-31T00:00:00"/>
    <s v="Jul-2024"/>
    <x v="7"/>
    <s v="Q3-2024"/>
    <n v="15"/>
    <n v="15"/>
    <n v="0"/>
    <d v="2024-08-15T00:00:00"/>
    <d v="2024-08-15T00:00:00"/>
    <x v="1"/>
    <x v="3"/>
    <s v="Tokyo"/>
    <s v="Corporate"/>
    <x v="3"/>
    <s v="F. Müller"/>
    <s v="Monitors"/>
    <x v="285"/>
    <n v="1252.52"/>
    <n v="1377.7720000000002"/>
    <n v="1417.24"/>
    <s v="Medium"/>
    <n v="0.192"/>
    <n v="0.1"/>
    <s v=""/>
    <n v="5"/>
    <n v="6"/>
    <n v="6262.6"/>
    <n v="1549460.0077899997"/>
    <n v="431835.27671000001"/>
    <n v="0.2787004985859094"/>
    <s v="A"/>
    <n v="8266.6320000000014"/>
    <n v="7653.0960000000005"/>
    <n v="5725.6496000000006"/>
    <n v="-536.95039999999972"/>
    <n v="-613.53600000000097"/>
    <n v="-9.3779821943696953E-2"/>
  </r>
  <r>
    <s v="ORD-2024-329104"/>
    <s v="329104"/>
    <n v="2024"/>
    <d v="2023-01-10T00:00:00"/>
    <x v="7"/>
    <d v="2024-05-23T00:00:00"/>
    <s v="May-2024"/>
    <x v="5"/>
    <s v="Q2-2024"/>
    <n v="22"/>
    <n v="22"/>
    <n v="0"/>
    <d v="2024-06-14T00:00:00"/>
    <d v="2024-06-14T00:00:00"/>
    <x v="2"/>
    <x v="5"/>
    <s v="Marseille"/>
    <s v="Small Business"/>
    <x v="4"/>
    <s v="N. Brown"/>
    <s v="Monitors"/>
    <x v="286"/>
    <n v="1481.74"/>
    <n v="1629.9140000000002"/>
    <n v="1848.97"/>
    <s v="High"/>
    <n v="0.254"/>
    <n v="0.1"/>
    <s v=""/>
    <n v="9"/>
    <n v="10.799999999999999"/>
    <n v="13335.66"/>
    <n v="1549460.0077899997"/>
    <n v="444249.26128999999"/>
    <n v="0.28671231206775982"/>
    <s v="A"/>
    <n v="17603.071200000002"/>
    <n v="17971.988399999998"/>
    <n v="12413.98458"/>
    <n v="-921.67541999999958"/>
    <n v="368.91719999999623"/>
    <n v="-7.4244930309072407E-2"/>
  </r>
  <r>
    <s v="ORD-2024-427031"/>
    <s v="427031"/>
    <n v="2024"/>
    <d v="2023-01-07T00:00:00"/>
    <x v="8"/>
    <d v="2024-06-08T00:00:00"/>
    <s v="Jun-2024"/>
    <x v="6"/>
    <s v="Q2-2024"/>
    <n v="16"/>
    <n v="16"/>
    <n v="0"/>
    <d v="2024-06-24T00:00:00"/>
    <d v="2024-06-24T00:00:00"/>
    <x v="0"/>
    <x v="6"/>
    <s v="Durban"/>
    <s v="Education"/>
    <x v="2"/>
    <s v="H. Kim"/>
    <s v="Monitors"/>
    <x v="287"/>
    <n v="597.85"/>
    <n v="657.6350000000001"/>
    <n v="741.92"/>
    <s v="Low"/>
    <n v="3.1E-2"/>
    <n v="3.1E-2"/>
    <s v=""/>
    <n v="7"/>
    <n v="8.4"/>
    <n v="4184.95"/>
    <n v="1549460.0077899997"/>
    <n v="449281.70464999997"/>
    <n v="0.28996018121875378"/>
    <s v="A"/>
    <n v="5524.1340000000009"/>
    <n v="6038.9320319999997"/>
    <n v="5032.4433599999993"/>
    <n v="847.49335999999948"/>
    <n v="514.79803199999878"/>
    <n v="0.16840594108544515"/>
  </r>
  <r>
    <s v="ORD-2024-202877"/>
    <s v="202877"/>
    <n v="2024"/>
    <d v="2023-01-29T00:00:00"/>
    <x v="8"/>
    <d v="2024-07-13T00:00:00"/>
    <s v="Jul-2024"/>
    <x v="7"/>
    <s v="Q3-2024"/>
    <n v="21"/>
    <n v="21"/>
    <n v="0"/>
    <d v="2024-08-03T00:00:00"/>
    <d v="2024-08-03T00:00:00"/>
    <x v="3"/>
    <x v="9"/>
    <s v="Rio de Janeiro"/>
    <s v="Corporate"/>
    <x v="3"/>
    <s v="M. Rossi"/>
    <s v="Monitors"/>
    <x v="288"/>
    <n v="702.98"/>
    <n v="773.27800000000013"/>
    <n v="1104.8"/>
    <s v="Medium"/>
    <n v="0.17499999999999999"/>
    <n v="0.1"/>
    <s v=""/>
    <n v="12"/>
    <n v="14.399999999999999"/>
    <n v="8435.76"/>
    <n v="1549460.0077899997"/>
    <n v="460219.22464999999"/>
    <n v="0.29701910493734673"/>
    <s v="A"/>
    <n v="11135.2032"/>
    <n v="14318.207999999997"/>
    <n v="10937.519999999999"/>
    <n v="2501.7599999999984"/>
    <n v="3183.004799999997"/>
    <n v="0.22873192460448061"/>
  </r>
  <r>
    <s v="ORD-2024-886939"/>
    <s v="886939"/>
    <n v="2024"/>
    <d v="2023-01-02T00:00:00"/>
    <x v="8"/>
    <d v="2024-06-03T00:00:00"/>
    <s v="Jun-2024"/>
    <x v="6"/>
    <s v="Q2-2024"/>
    <n v="21"/>
    <n v="21"/>
    <n v="0"/>
    <d v="2024-06-24T00:00:00"/>
    <d v="2024-06-24T00:00:00"/>
    <x v="3"/>
    <x v="10"/>
    <s v="Toronto"/>
    <s v="Small Business"/>
    <x v="0"/>
    <s v="G. Dubois"/>
    <s v="Monitors"/>
    <x v="289"/>
    <n v="1205.5"/>
    <n v="1326.0500000000002"/>
    <n v="2210.17"/>
    <s v="High"/>
    <n v="0.104"/>
    <n v="0.1"/>
    <s v=""/>
    <n v="23"/>
    <n v="27.599999999999998"/>
    <n v="27726.5"/>
    <n v="1549460.0077899997"/>
    <n v="505766.40801000001"/>
    <n v="0.32641462539673832"/>
    <s v="A"/>
    <n v="36598.980000000003"/>
    <n v="54900.622799999997"/>
    <n v="45547.183360000003"/>
    <n v="17820.683360000003"/>
    <n v="18301.642799999994"/>
    <n v="0.39125763758314652"/>
  </r>
  <r>
    <s v="ORD-2024-585443"/>
    <s v="585443"/>
    <n v="2024"/>
    <d v="2023-01-29T00:00:00"/>
    <x v="9"/>
    <d v="2024-08-17T00:00:00"/>
    <s v="Aug-2024"/>
    <x v="8"/>
    <s v="Q3-2024"/>
    <n v="-2"/>
    <n v="15"/>
    <n v="0"/>
    <d v="2024-08-15T00:00:00"/>
    <d v="2024-09-01T00:00:00"/>
    <x v="3"/>
    <x v="9"/>
    <s v="Rio de Janeiro"/>
    <s v="Consumer"/>
    <x v="0"/>
    <s v="M. Rossi"/>
    <s v="Monitors"/>
    <x v="290"/>
    <n v="165.3"/>
    <n v="181.83000000000004"/>
    <n v="275.07"/>
    <s v="Low"/>
    <n v="0.13300000000000001"/>
    <n v="0.1"/>
    <s v=""/>
    <n v="25"/>
    <n v="30"/>
    <n v="4132.5"/>
    <n v="1549460.0077899997"/>
    <n v="511728.55025999999"/>
    <n v="0.33026250931760426"/>
    <s v="A"/>
    <n v="5454.9000000000015"/>
    <n v="7426.89"/>
    <n v="5962.1422499999999"/>
    <n v="1829.6422499999999"/>
    <n v="1971.9899999999989"/>
    <n v="0.30687665159280625"/>
  </r>
  <r>
    <s v="ORD-2024-433936"/>
    <s v="433936"/>
    <n v="2024"/>
    <d v="2023-01-13T00:00:00"/>
    <x v="9"/>
    <d v="2024-08-04T00:00:00"/>
    <s v="Aug-2024"/>
    <x v="8"/>
    <s v="Q3-2024"/>
    <n v="13"/>
    <n v="13"/>
    <n v="0"/>
    <d v="2024-08-17T00:00:00"/>
    <d v="2024-08-17T00:00:00"/>
    <x v="3"/>
    <x v="11"/>
    <s v="Austin"/>
    <s v="Consumer"/>
    <x v="1"/>
    <s v="D. Smith"/>
    <s v="Monitors"/>
    <x v="291"/>
    <n v="352.79"/>
    <n v="388.06900000000007"/>
    <n v="754.22"/>
    <s v="Low"/>
    <n v="0.113"/>
    <n v="0.1"/>
    <s v=""/>
    <n v="7"/>
    <n v="8.4"/>
    <n v="2469.5300000000002"/>
    <n v="1549460.0077899997"/>
    <n v="516411.50224"/>
    <n v="0.33328482157894451"/>
    <s v="A"/>
    <n v="3259.7796000000008"/>
    <n v="5701.9032000000007"/>
    <n v="4682.9519799999998"/>
    <n v="2213.4219799999996"/>
    <n v="2442.1235999999999"/>
    <n v="0.47265528014233443"/>
  </r>
  <r>
    <s v="ORD-2024-569164"/>
    <s v="569164"/>
    <n v="2024"/>
    <d v="2023-03-03T00:00:00"/>
    <x v="9"/>
    <d v="2024-09-05T00:00:00"/>
    <s v="Sept-2024"/>
    <x v="11"/>
    <s v="Q3-2024"/>
    <n v="20"/>
    <n v="20"/>
    <n v="0"/>
    <d v="2024-09-25T00:00:00"/>
    <d v="2024-09-25T00:00:00"/>
    <x v="1"/>
    <x v="3"/>
    <s v="Osaka"/>
    <s v="Enterprise"/>
    <x v="2"/>
    <s v="D. Smith"/>
    <s v="Monitors"/>
    <x v="292"/>
    <n v="195.54"/>
    <n v="215.09400000000002"/>
    <n v="405.97"/>
    <s v="Low"/>
    <n v="0.187"/>
    <n v="0.1"/>
    <s v=""/>
    <n v="16"/>
    <n v="19.2"/>
    <n v="3128.64"/>
    <n v="1549460.0077899997"/>
    <n v="521692.36"/>
    <n v="0.33669301393850859"/>
    <s v="A"/>
    <n v="4129.8047999999999"/>
    <n v="7015.1616000000004"/>
    <n v="5280.8577599999999"/>
    <n v="2152.21776"/>
    <n v="2885.3568000000005"/>
    <n v="0.40755079152141377"/>
  </r>
  <r>
    <s v="ORD-2024-398783"/>
    <s v="398783"/>
    <n v="2024"/>
    <d v="2023-01-10T00:00:00"/>
    <x v="9"/>
    <d v="2024-07-18T00:00:00"/>
    <s v="Jul-2024"/>
    <x v="7"/>
    <s v="Q3-2024"/>
    <n v="20"/>
    <n v="20"/>
    <n v="0"/>
    <d v="2024-08-07T00:00:00"/>
    <d v="2024-08-07T00:00:00"/>
    <x v="2"/>
    <x v="5"/>
    <s v="Marseille"/>
    <s v="Corporate"/>
    <x v="1"/>
    <s v="F. Müller"/>
    <s v="Monitors"/>
    <x v="293"/>
    <n v="941.35"/>
    <n v="1035.4850000000001"/>
    <n v="899.83"/>
    <s v="Medium"/>
    <n v="5.8000000000000003E-2"/>
    <n v="5.8000000000000003E-2"/>
    <s v=""/>
    <n v="18"/>
    <n v="21.599999999999998"/>
    <n v="16944.3"/>
    <n v="1549460.0077899997"/>
    <n v="536949.87748000002"/>
    <n v="0.34654000411785624"/>
    <s v="A"/>
    <n v="22366.475999999999"/>
    <n v="18309.020975999996"/>
    <n v="15257.51748"/>
    <n v="-1686.7825199999988"/>
    <n v="-4057.4550240000026"/>
    <n v="-0.11055419220139073"/>
  </r>
  <r>
    <s v="ORD-2024-972999"/>
    <s v="972999"/>
    <n v="2024"/>
    <d v="2023-01-07T00:00:00"/>
    <x v="30"/>
    <d v="2024-09-06T00:00:00"/>
    <s v="Sept-2024"/>
    <x v="11"/>
    <s v="Q3-2024"/>
    <n v="28"/>
    <n v="28"/>
    <n v="0"/>
    <d v="2024-10-04T00:00:00"/>
    <d v="2024-10-04T00:00:00"/>
    <x v="0"/>
    <x v="6"/>
    <s v="Cape Town"/>
    <s v="Corporate"/>
    <x v="3"/>
    <s v="D. Smith"/>
    <s v="Monitors"/>
    <x v="294"/>
    <n v="1174.17"/>
    <n v="1291.5870000000002"/>
    <n v="1641.61"/>
    <s v="High"/>
    <n v="0.122"/>
    <n v="0.1"/>
    <s v=""/>
    <n v="9"/>
    <n v="10.799999999999999"/>
    <n v="10567.53"/>
    <n v="1549460.0077899997"/>
    <n v="549921.87970000005"/>
    <n v="0.354911954445572"/>
    <s v="A"/>
    <n v="13949.1396"/>
    <n v="15956.449199999995"/>
    <n v="12972.00222"/>
    <n v="2404.4722199999997"/>
    <n v="2007.309599999995"/>
    <n v="0.18535860380079394"/>
  </r>
  <r>
    <s v="ORD-2024-444710"/>
    <s v="444710"/>
    <n v="2024"/>
    <d v="2023-01-29T00:00:00"/>
    <x v="30"/>
    <d v="2024-09-22T00:00:00"/>
    <s v="Sept-2024"/>
    <x v="11"/>
    <s v="Q3-2024"/>
    <n v="9"/>
    <n v="9"/>
    <n v="0"/>
    <d v="2024-10-01T00:00:00"/>
    <d v="2024-10-01T00:00:00"/>
    <x v="3"/>
    <x v="9"/>
    <s v="São Paulo"/>
    <s v="Non-Profit"/>
    <x v="4"/>
    <s v="K. Singh"/>
    <s v="Monitors"/>
    <x v="295"/>
    <n v="1378.8"/>
    <n v="1516.68"/>
    <n v="1952.04"/>
    <s v="High"/>
    <n v="0.159"/>
    <n v="0.1"/>
    <s v=""/>
    <n v="19"/>
    <n v="22.8"/>
    <n v="26197.200000000001"/>
    <n v="1549460.0077899997"/>
    <n v="581113.5268600001"/>
    <n v="0.37504261093440183"/>
    <s v="A"/>
    <n v="34580.304000000004"/>
    <n v="40055.860800000002"/>
    <n v="31191.64716"/>
    <n v="4994.4471599999997"/>
    <n v="5475.5567999999985"/>
    <n v="0.16012130216723058"/>
  </r>
  <r>
    <s v="ORD-2024-350100"/>
    <s v="350100"/>
    <n v="2024"/>
    <d v="2023-03-03T00:00:00"/>
    <x v="30"/>
    <d v="2024-10-27T00:00:00"/>
    <s v="Oct-2024"/>
    <x v="9"/>
    <s v="Q4-2024"/>
    <n v="24"/>
    <n v="24"/>
    <n v="0"/>
    <d v="2024-11-20T00:00:00"/>
    <d v="2024-11-20T00:00:00"/>
    <x v="1"/>
    <x v="3"/>
    <s v="Nagoya"/>
    <s v="Non-Profit"/>
    <x v="4"/>
    <s v="H. Kim"/>
    <s v="Monitors"/>
    <x v="296"/>
    <n v="317.25"/>
    <n v="348.97500000000002"/>
    <n v="758.92"/>
    <s v="Low"/>
    <n v="5.2999999999999999E-2"/>
    <n v="5.2999999999999999E-2"/>
    <s v=""/>
    <n v="9"/>
    <n v="10.799999999999999"/>
    <n v="2855.25"/>
    <n v="1549460.0077899997"/>
    <n v="587581.80202000006"/>
    <n v="0.37921714601596596"/>
    <s v="A"/>
    <n v="3768.93"/>
    <n v="7761.9301919999989"/>
    <n v="6468.2751599999992"/>
    <n v="3613.0251599999992"/>
    <n v="3993.0001919999991"/>
    <n v="0.5585762928489888"/>
  </r>
  <r>
    <s v="ORD-2024-635626"/>
    <s v="635626"/>
    <n v="2024"/>
    <d v="2023-01-22T00:00:00"/>
    <x v="30"/>
    <d v="2024-08-27T00:00:00"/>
    <s v="Aug-2024"/>
    <x v="8"/>
    <s v="Q3-2024"/>
    <n v="23"/>
    <n v="23"/>
    <n v="0"/>
    <d v="2024-09-19T00:00:00"/>
    <d v="2024-09-19T00:00:00"/>
    <x v="2"/>
    <x v="7"/>
    <s v="Berlin"/>
    <s v="Small Business"/>
    <x v="0"/>
    <s v="D. Smith"/>
    <s v="Monitors"/>
    <x v="297"/>
    <n v="1024.01"/>
    <n v="1126.4110000000001"/>
    <n v="1580.97"/>
    <s v="Medium"/>
    <n v="3.6999999999999998E-2"/>
    <n v="3.6999999999999998E-2"/>
    <s v=""/>
    <n v="27"/>
    <n v="32.4"/>
    <n v="27648.27"/>
    <n v="1549460.0077899997"/>
    <n v="628688.60299000004"/>
    <n v="0.40574690526327351"/>
    <s v="A"/>
    <n v="36495.716399999998"/>
    <n v="49328.161163999997"/>
    <n v="41106.800970000004"/>
    <n v="13458.530970000003"/>
    <n v="12832.444764"/>
    <n v="0.3274039976942531"/>
  </r>
  <r>
    <s v="ORD-2023-545150"/>
    <s v="545150"/>
    <n v="2023"/>
    <d v="2023-01-15T00:00:00"/>
    <x v="10"/>
    <d v="2023-04-06T00:00:00"/>
    <s v="Apr-2023"/>
    <x v="2"/>
    <s v="Q2-2023"/>
    <n v="2"/>
    <n v="2"/>
    <n v="1"/>
    <d v="2023-04-08T00:00:00"/>
    <d v="2023-04-08T00:00:00"/>
    <x v="0"/>
    <x v="0"/>
    <s v="Abuja"/>
    <s v="Small Business"/>
    <x v="3"/>
    <s v="K. Singh"/>
    <s v="Monitors"/>
    <x v="298"/>
    <n v="720.35"/>
    <n v="792.3850000000001"/>
    <n v="1571.66"/>
    <s v="Medium"/>
    <n v="0.107"/>
    <n v="0.1"/>
    <s v=""/>
    <n v="23"/>
    <n v="27.599999999999998"/>
    <n v="16568.05"/>
    <n v="1549460.0077899997"/>
    <n v="660968.92773"/>
    <n v="0.42658017916367025"/>
    <s v="A"/>
    <n v="21869.826000000001"/>
    <n v="39040.034399999997"/>
    <n v="32280.32474"/>
    <n v="15712.274740000001"/>
    <n v="17170.208399999996"/>
    <n v="0.4867446305622265"/>
  </r>
  <r>
    <s v="ORD-2023-390998"/>
    <s v="390998"/>
    <n v="2023"/>
    <d v="2023-01-22T00:00:00"/>
    <x v="10"/>
    <d v="2023-04-19T00:00:00"/>
    <s v="Apr-2023"/>
    <x v="2"/>
    <s v="Q2-2023"/>
    <n v="9"/>
    <n v="9"/>
    <n v="0"/>
    <d v="2023-04-28T00:00:00"/>
    <d v="2023-04-28T00:00:00"/>
    <x v="2"/>
    <x v="7"/>
    <s v="Berlin"/>
    <s v="Education"/>
    <x v="4"/>
    <s v="E. Garcia"/>
    <s v="Monitors"/>
    <x v="299"/>
    <n v="1178.42"/>
    <n v="1296.2620000000002"/>
    <n v="2446.56"/>
    <s v="High"/>
    <n v="2.9000000000000001E-2"/>
    <n v="2.9000000000000001E-2"/>
    <s v=""/>
    <n v="11"/>
    <n v="13.2"/>
    <n v="12962.62"/>
    <n v="1549460.0077899997"/>
    <n v="687100.63509"/>
    <n v="0.44344522068047054"/>
    <s v="A"/>
    <n v="17110.6584"/>
    <n v="31358.048831999997"/>
    <n v="26131.70736"/>
    <n v="13169.08736"/>
    <n v="14247.390431999997"/>
    <n v="0.5039505141618883"/>
  </r>
  <r>
    <s v="ORD-2024-260775"/>
    <s v="260775"/>
    <n v="2024"/>
    <d v="2023-01-29T00:00:00"/>
    <x v="11"/>
    <d v="2024-10-17T00:00:00"/>
    <s v="Oct-2024"/>
    <x v="9"/>
    <s v="Q4-2024"/>
    <n v="20"/>
    <n v="20"/>
    <n v="0"/>
    <d v="2024-11-06T00:00:00"/>
    <d v="2024-11-06T00:00:00"/>
    <x v="1"/>
    <x v="1"/>
    <s v="Bengaluru"/>
    <s v="Enterprise"/>
    <x v="2"/>
    <s v="O. Wang"/>
    <s v="Monitors"/>
    <x v="300"/>
    <n v="72.94"/>
    <n v="80.234000000000009"/>
    <n v="106.3"/>
    <s v="Low"/>
    <n v="0.29499999999999998"/>
    <n v="0.1"/>
    <s v=""/>
    <n v="8"/>
    <n v="9.6"/>
    <n v="583.52"/>
    <n v="1549460.0077899997"/>
    <n v="687700.16709"/>
    <n v="0.44383215031852885"/>
    <s v="A"/>
    <n v="770.24640000000011"/>
    <n v="918.4319999999999"/>
    <n v="599.53200000000004"/>
    <n v="16.012000000000057"/>
    <n v="148.18559999999979"/>
    <n v="2.6707498515508857E-2"/>
  </r>
  <r>
    <s v="ORD-2024-500511"/>
    <s v="500511"/>
    <n v="2024"/>
    <d v="2023-01-19T00:00:00"/>
    <x v="11"/>
    <d v="2024-10-08T00:00:00"/>
    <s v="Oct-2024"/>
    <x v="9"/>
    <s v="Q4-2024"/>
    <n v="0"/>
    <n v="0"/>
    <n v="1"/>
    <d v="2024-10-08T00:00:00"/>
    <d v="2024-10-08T00:00:00"/>
    <x v="2"/>
    <x v="2"/>
    <s v="London"/>
    <s v="Corporate"/>
    <x v="4"/>
    <s v="E. Garcia"/>
    <s v="Monitors"/>
    <x v="301"/>
    <n v="1108.1099999999999"/>
    <n v="1218.921"/>
    <n v="2503.79"/>
    <s v="High"/>
    <n v="0.184"/>
    <n v="0.1"/>
    <s v=""/>
    <n v="19"/>
    <n v="22.8"/>
    <n v="21054.089999999997"/>
    <n v="1549460.0077899997"/>
    <n v="726518.92724999995"/>
    <n v="0.46888523975926066"/>
    <s v="A"/>
    <n v="27791.398800000003"/>
    <n v="51377.770800000006"/>
    <n v="38818.760160000005"/>
    <n v="17764.670160000009"/>
    <n v="23586.372000000003"/>
    <n v="0.45763105485025896"/>
  </r>
  <r>
    <s v="ORD-2024-640340"/>
    <s v="640340"/>
    <n v="2024"/>
    <d v="2023-01-15T00:00:00"/>
    <x v="31"/>
    <d v="2024-10-22T00:00:00"/>
    <s v="Oct-2024"/>
    <x v="9"/>
    <s v="Q4-2024"/>
    <n v="7"/>
    <n v="7"/>
    <n v="1"/>
    <d v="2024-10-29T00:00:00"/>
    <d v="2024-10-29T00:00:00"/>
    <x v="0"/>
    <x v="0"/>
    <s v="Port Harcourt"/>
    <s v="Enterprise"/>
    <x v="2"/>
    <s v="M. Rossi"/>
    <s v="Monitors"/>
    <x v="302"/>
    <n v="1023.06"/>
    <n v="1125.366"/>
    <n v="1355.61"/>
    <s v="Medium"/>
    <n v="0.153"/>
    <n v="0.1"/>
    <s v=""/>
    <n v="23"/>
    <n v="27.599999999999998"/>
    <n v="23530.379999999997"/>
    <n v="1549460.0077899997"/>
    <n v="752927.56565999996"/>
    <n v="0.48592900873505163"/>
    <s v="A"/>
    <n v="31060.101599999998"/>
    <n v="33673.352399999996"/>
    <n v="26408.63841"/>
    <n v="2878.2584100000022"/>
    <n v="2613.250799999998"/>
    <n v="0.10898927711888809"/>
  </r>
  <r>
    <s v="ORD-2024-741404"/>
    <s v="741404"/>
    <n v="2024"/>
    <d v="2023-01-13T00:00:00"/>
    <x v="31"/>
    <d v="2024-10-19T00:00:00"/>
    <s v="Oct-2024"/>
    <x v="9"/>
    <s v="Q4-2024"/>
    <n v="18"/>
    <n v="18"/>
    <n v="0"/>
    <d v="2024-11-06T00:00:00"/>
    <d v="2024-11-06T00:00:00"/>
    <x v="3"/>
    <x v="11"/>
    <s v="Chicago"/>
    <s v="Education"/>
    <x v="3"/>
    <s v="C. Otieno"/>
    <s v="Monitors"/>
    <x v="303"/>
    <n v="942.02"/>
    <n v="1036.222"/>
    <n v="1028.46"/>
    <s v="Medium"/>
    <n v="0"/>
    <n v="0"/>
    <s v=""/>
    <n v="9"/>
    <n v="10.799999999999999"/>
    <n v="8478.18"/>
    <n v="1549460.0077899997"/>
    <n v="762183.70565999998"/>
    <n v="0.49190279312023372"/>
    <s v="A"/>
    <n v="11191.1976"/>
    <n v="11107.367999999999"/>
    <n v="9256.14"/>
    <n v="777.95999999999913"/>
    <n v="-83.829600000000937"/>
    <n v="8.4047994088248354E-2"/>
  </r>
  <r>
    <s v="ORD-2024-247979"/>
    <s v="247979"/>
    <n v="2024"/>
    <d v="2023-01-29T00:00:00"/>
    <x v="31"/>
    <d v="2024-11-02T00:00:00"/>
    <s v="Nov-2024"/>
    <x v="10"/>
    <s v="Q4-2024"/>
    <n v="16"/>
    <n v="16"/>
    <n v="0"/>
    <d v="2024-11-18T00:00:00"/>
    <d v="2024-11-18T00:00:00"/>
    <x v="1"/>
    <x v="1"/>
    <s v="Mumbai"/>
    <s v="Small Business"/>
    <x v="2"/>
    <s v="O. Wang"/>
    <s v="Monitors"/>
    <x v="304"/>
    <n v="1233.58"/>
    <n v="1356.9380000000001"/>
    <n v="1912.51"/>
    <s v="High"/>
    <n v="0.255"/>
    <n v="0.1"/>
    <s v=""/>
    <n v="51"/>
    <n v="61.199999999999996"/>
    <n v="62912.579999999994"/>
    <n v="1549460.0077899997"/>
    <n v="834849.52310999995"/>
    <n v="0.53880030392055667"/>
    <s v="A"/>
    <n v="83044.605599999995"/>
    <n v="105341.0508"/>
    <n v="72665.817450000002"/>
    <n v="9753.2374500000078"/>
    <n v="22296.445200000002"/>
    <n v="0.134220432553601"/>
  </r>
  <r>
    <s v="ORD-2024-766980"/>
    <s v="766980"/>
    <n v="2024"/>
    <d v="2023-01-10T00:00:00"/>
    <x v="31"/>
    <d v="2024-11-04T00:00:00"/>
    <s v="Nov-2024"/>
    <x v="10"/>
    <s v="Q4-2024"/>
    <n v="3"/>
    <n v="3"/>
    <n v="1"/>
    <d v="2024-11-07T00:00:00"/>
    <d v="2024-11-07T00:00:00"/>
    <x v="2"/>
    <x v="5"/>
    <s v="Lyon"/>
    <s v="Corporate"/>
    <x v="4"/>
    <s v="O. Wang"/>
    <s v="Monitors"/>
    <x v="305"/>
    <n v="740.68"/>
    <n v="814.74800000000005"/>
    <n v="1837.19"/>
    <s v="High"/>
    <n v="0.19700000000000001"/>
    <n v="0.1"/>
    <s v=""/>
    <n v="17"/>
    <n v="20.399999999999999"/>
    <n v="12591.56"/>
    <n v="1549460.0077899997"/>
    <n v="859929.00379999995"/>
    <n v="0.55498625293757642"/>
    <s v="A"/>
    <n v="16620.859199999999"/>
    <n v="33730.808400000002"/>
    <n v="25079.480689999997"/>
    <n v="12487.920689999997"/>
    <n v="17109.949200000003"/>
    <n v="0.4979337827748298"/>
  </r>
  <r>
    <s v="ORD-2024-837651"/>
    <s v="837651"/>
    <n v="2024"/>
    <d v="2023-01-15T00:00:00"/>
    <x v="12"/>
    <d v="2024-12-10T00:00:00"/>
    <s v="Dec-2024"/>
    <x v="3"/>
    <s v="Q4-2024"/>
    <n v="9"/>
    <n v="9"/>
    <n v="0"/>
    <d v="2024-12-19T00:00:00"/>
    <d v="2024-12-19T00:00:00"/>
    <x v="0"/>
    <x v="0"/>
    <s v="Lagos"/>
    <s v="Corporate"/>
    <x v="1"/>
    <s v="O. Wang"/>
    <s v="Monitors"/>
    <x v="306"/>
    <n v="488.68"/>
    <n v="537.548"/>
    <n v="984.36"/>
    <s v="Medium"/>
    <n v="5.8999999999999997E-2"/>
    <n v="5.8999999999999997E-2"/>
    <s v=""/>
    <n v="14"/>
    <n v="16.8"/>
    <n v="6841.52"/>
    <n v="1549460.0077899997"/>
    <n v="872896.96243999992"/>
    <n v="0.56335559359483944"/>
    <s v="A"/>
    <n v="9030.8064000000013"/>
    <n v="15561.550368"/>
    <n v="12967.958640000001"/>
    <n v="6126.4386400000003"/>
    <n v="6530.7439679999989"/>
    <n v="0.47242891576649876"/>
  </r>
  <r>
    <s v="ORD-2024-336584"/>
    <s v="336584"/>
    <n v="2024"/>
    <d v="2023-01-29T00:00:00"/>
    <x v="12"/>
    <d v="2024-12-27T00:00:00"/>
    <s v="Dec-2024"/>
    <x v="3"/>
    <s v="Q4-2024"/>
    <n v="18"/>
    <n v="18"/>
    <n v="0"/>
    <d v="2025-01-14T00:00:00"/>
    <d v="2025-01-14T00:00:00"/>
    <x v="1"/>
    <x v="1"/>
    <s v="Bengaluru"/>
    <s v="Small Business"/>
    <x v="3"/>
    <s v="E. Garcia"/>
    <s v="Monitors"/>
    <x v="307"/>
    <n v="586.07000000000005"/>
    <n v="644.67700000000013"/>
    <n v="845.97"/>
    <s v="Medium"/>
    <n v="0.14699999999999999"/>
    <n v="0.1"/>
    <s v=""/>
    <n v="4"/>
    <n v="4.8"/>
    <n v="2344.2800000000002"/>
    <n v="1549460.0077899997"/>
    <n v="875783.41207999992"/>
    <n v="0.56521846816113241"/>
    <s v="A"/>
    <n v="3094.4496000000004"/>
    <n v="3654.5904"/>
    <n v="2886.4496399999998"/>
    <n v="542.16963999999962"/>
    <n v="560.14079999999967"/>
    <n v="0.18783270370862928"/>
  </r>
  <r>
    <s v="ORD-2024-192263"/>
    <s v="192263"/>
    <n v="2024"/>
    <d v="2023-01-10T00:00:00"/>
    <x v="12"/>
    <d v="2024-11-21T00:00:00"/>
    <s v="Nov-2024"/>
    <x v="10"/>
    <s v="Q4-2024"/>
    <n v="30"/>
    <n v="30"/>
    <n v="0"/>
    <d v="2024-12-21T00:00:00"/>
    <d v="2024-12-21T00:00:00"/>
    <x v="2"/>
    <x v="5"/>
    <s v="Marseille"/>
    <s v="Small Business"/>
    <x v="0"/>
    <s v="I. Johnson"/>
    <s v="Monitors"/>
    <x v="308"/>
    <n v="1122.68"/>
    <n v="1234.9480000000001"/>
    <n v="1997.19"/>
    <s v="High"/>
    <n v="0.186"/>
    <n v="0.1"/>
    <s v=""/>
    <n v="3"/>
    <n v="3.5999999999999996"/>
    <n v="3368.04"/>
    <n v="1549460.0077899997"/>
    <n v="880660.55005999992"/>
    <n v="0.56836610537376131"/>
    <s v="A"/>
    <n v="4445.8127999999997"/>
    <n v="6470.8955999999989"/>
    <n v="4877.1379800000004"/>
    <n v="1509.0979800000005"/>
    <n v="2025.0827999999992"/>
    <n v="0.30942285951073306"/>
  </r>
  <r>
    <s v="ORD-2024-930679"/>
    <s v="930679"/>
    <n v="2024"/>
    <d v="2023-01-19T00:00:00"/>
    <x v="12"/>
    <d v="2024-12-17T00:00:00"/>
    <s v="Dec-2024"/>
    <x v="3"/>
    <s v="Q4-2024"/>
    <n v="30"/>
    <n v="30"/>
    <n v="0"/>
    <d v="2025-01-16T00:00:00"/>
    <d v="2025-01-16T00:00:00"/>
    <x v="2"/>
    <x v="2"/>
    <s v="Manchester"/>
    <s v="Corporate"/>
    <x v="1"/>
    <s v="D. Smith"/>
    <s v="Monitors"/>
    <x v="309"/>
    <n v="722.87"/>
    <n v="795.15700000000004"/>
    <n v="-33.659999999999997"/>
    <s v="Low"/>
    <n v="0.10199999999999999"/>
    <n v="0.1"/>
    <s v=""/>
    <n v="28"/>
    <n v="33.6"/>
    <n v="20240.36"/>
    <n v="1549460.0077899997"/>
    <n v="879814.2030199999"/>
    <n v="0.56781988473189571"/>
    <s v="A"/>
    <n v="26717.275200000004"/>
    <n v="-1017.8783999999999"/>
    <n v="-846.34703999999988"/>
    <n v="-21086.707040000001"/>
    <n v="-27735.153600000005"/>
    <n v="24.914965189693348"/>
  </r>
  <r>
    <s v="ORD-2024-165942"/>
    <s v="165942"/>
    <n v="2024"/>
    <d v="2023-01-19T00:00:00"/>
    <x v="13"/>
    <d v="2024-12-29T00:00:00"/>
    <s v="Dec-2024"/>
    <x v="3"/>
    <s v="Q4-2024"/>
    <n v="14"/>
    <n v="14"/>
    <n v="0"/>
    <d v="2025-01-12T00:00:00"/>
    <d v="2025-01-12T00:00:00"/>
    <x v="2"/>
    <x v="2"/>
    <s v="Manchester"/>
    <s v="Corporate"/>
    <x v="0"/>
    <s v="B. Chen"/>
    <s v="Monitors"/>
    <x v="310"/>
    <n v="1399.72"/>
    <n v="1539.6920000000002"/>
    <n v="3149.21"/>
    <s v="High"/>
    <n v="0.185"/>
    <n v="0.1"/>
    <s v=""/>
    <n v="12"/>
    <n v="14.399999999999999"/>
    <n v="16796.64"/>
    <n v="1549460.0077899997"/>
    <n v="910613.47681999987"/>
    <n v="0.58769730889589789"/>
    <s v="A"/>
    <n v="22171.5648"/>
    <n v="40813.761599999998"/>
    <n v="30799.273800000003"/>
    <n v="14002.633800000003"/>
    <n v="18642.196799999998"/>
    <n v="0.45464168703873797"/>
  </r>
  <r>
    <s v="ORD-2025-650719"/>
    <s v="650719"/>
    <n v="2025"/>
    <d v="2023-01-29T00:00:00"/>
    <x v="14"/>
    <d v="2025-02-12T00:00:00"/>
    <s v="Feb-2025"/>
    <x v="0"/>
    <s v="Q1-2025"/>
    <n v="16"/>
    <n v="16"/>
    <n v="0"/>
    <d v="2025-02-28T00:00:00"/>
    <d v="2025-02-28T00:00:00"/>
    <x v="3"/>
    <x v="9"/>
    <s v="São Paulo"/>
    <s v="Non-Profit"/>
    <x v="0"/>
    <s v="B. Chen"/>
    <s v="Monitors"/>
    <x v="311"/>
    <n v="414.95"/>
    <n v="456.44500000000005"/>
    <n v="1027.73"/>
    <s v="Medium"/>
    <n v="6.3E-2"/>
    <n v="6.3E-2"/>
    <s v=""/>
    <n v="8"/>
    <n v="9.6"/>
    <n v="3319.6"/>
    <n v="1549460.0077899997"/>
    <n v="918317.34089999984"/>
    <n v="0.59266927593039276"/>
    <s v="A"/>
    <n v="4381.8720000000003"/>
    <n v="9244.6368960000018"/>
    <n v="7703.8640800000003"/>
    <n v="4384.2640800000008"/>
    <n v="4862.7648960000015"/>
    <n v="0.56909935513815568"/>
  </r>
  <r>
    <s v="ORD-2025-484073"/>
    <s v="484073"/>
    <n v="2025"/>
    <d v="2023-01-29T00:00:00"/>
    <x v="14"/>
    <d v="2025-02-19T00:00:00"/>
    <s v="Feb-2025"/>
    <x v="0"/>
    <s v="Q1-2025"/>
    <n v="18"/>
    <n v="18"/>
    <n v="0"/>
    <d v="2025-03-09T00:00:00"/>
    <d v="2025-03-09T00:00:00"/>
    <x v="1"/>
    <x v="1"/>
    <s v="Delhi"/>
    <s v="Small Business"/>
    <x v="0"/>
    <s v="O. Wang"/>
    <s v="Monitors"/>
    <x v="312"/>
    <n v="325.87"/>
    <n v="358.45700000000005"/>
    <n v="538.79"/>
    <s v="Low"/>
    <n v="0.17399999999999999"/>
    <n v="0.1"/>
    <s v=""/>
    <n v="16"/>
    <n v="19.2"/>
    <n v="5213.92"/>
    <n v="1549460.0077899997"/>
    <n v="925437.98953999986"/>
    <n v="0.59726484380836353"/>
    <s v="A"/>
    <n v="6882.3744000000006"/>
    <n v="9310.2911999999978"/>
    <n v="7120.6486400000003"/>
    <n v="1906.7286400000003"/>
    <n v="2427.9167999999972"/>
    <n v="0.26777457172778013"/>
  </r>
  <r>
    <s v="ORD-2025-542939"/>
    <s v="542939"/>
    <n v="2025"/>
    <d v="2023-01-10T00:00:00"/>
    <x v="14"/>
    <d v="2025-01-13T00:00:00"/>
    <s v="Jan-2025"/>
    <x v="1"/>
    <s v="Q1-2025"/>
    <n v="26"/>
    <n v="26"/>
    <n v="0"/>
    <d v="2025-02-08T00:00:00"/>
    <d v="2025-02-08T00:00:00"/>
    <x v="2"/>
    <x v="5"/>
    <s v="Paris"/>
    <s v="Non-Profit"/>
    <x v="0"/>
    <s v="E. Garcia"/>
    <s v="Monitors"/>
    <x v="313"/>
    <n v="594.74"/>
    <n v="654.21400000000006"/>
    <n v="1020.69"/>
    <s v="Medium"/>
    <n v="0.21099999999999999"/>
    <n v="0.1"/>
    <s v=""/>
    <n v="6"/>
    <n v="7.1999999999999993"/>
    <n v="3568.44"/>
    <n v="1549460.0077899997"/>
    <n v="930269.93599999987"/>
    <n v="0.60038331504073295"/>
    <s v="A"/>
    <n v="4710.3407999999999"/>
    <n v="6614.0712000000003"/>
    <n v="4831.9464600000001"/>
    <n v="1263.5064600000001"/>
    <n v="1903.7304000000004"/>
    <n v="0.26149016146176424"/>
  </r>
  <r>
    <s v="ORD-2025-964661"/>
    <s v="964661"/>
    <n v="2025"/>
    <d v="2023-01-19T00:00:00"/>
    <x v="14"/>
    <d v="2025-02-04T00:00:00"/>
    <s v="Feb-2025"/>
    <x v="0"/>
    <s v="Q1-2025"/>
    <n v="21"/>
    <n v="21"/>
    <n v="0"/>
    <d v="2025-02-25T00:00:00"/>
    <d v="2025-02-25T00:00:00"/>
    <x v="2"/>
    <x v="2"/>
    <s v="Birmingham"/>
    <s v="Corporate"/>
    <x v="3"/>
    <s v="D. Smith"/>
    <s v="Monitors"/>
    <x v="314"/>
    <n v="1016.32"/>
    <n v="1117.9520000000002"/>
    <n v="2253.42"/>
    <s v="High"/>
    <n v="5.5E-2"/>
    <n v="5.5E-2"/>
    <s v=""/>
    <n v="12"/>
    <n v="14.399999999999999"/>
    <n v="12195.84"/>
    <n v="1549460.0077899997"/>
    <n v="955823.71879999992"/>
    <n v="0.61687537206158338"/>
    <s v="A"/>
    <n v="16098.508800000001"/>
    <n v="30664.539359999999"/>
    <n v="25553.782800000001"/>
    <n v="13357.942800000001"/>
    <n v="14566.030559999997"/>
    <n v="0.52273837124419797"/>
  </r>
  <r>
    <s v="ORD-2025-473192"/>
    <s v="473192"/>
    <n v="2025"/>
    <d v="2023-01-07T00:00:00"/>
    <x v="16"/>
    <d v="2025-03-30T00:00:00"/>
    <s v="Mar-2025"/>
    <x v="4"/>
    <s v="Q1-2025"/>
    <n v="30"/>
    <n v="30"/>
    <n v="0"/>
    <d v="2025-04-29T00:00:00"/>
    <d v="2025-04-29T00:00:00"/>
    <x v="0"/>
    <x v="6"/>
    <s v="Durban"/>
    <s v="Consumer"/>
    <x v="3"/>
    <s v="J. Njeri"/>
    <s v="Monitors"/>
    <x v="315"/>
    <n v="194.6"/>
    <n v="214.06"/>
    <n v="314.87"/>
    <s v="Low"/>
    <n v="0.29299999999999998"/>
    <n v="0.1"/>
    <s v=""/>
    <n v="25"/>
    <n v="30"/>
    <n v="4865"/>
    <n v="1549460.0077899997"/>
    <n v="961389.04604999989"/>
    <n v="0.62046715708476563"/>
    <s v="A"/>
    <n v="6421.8"/>
    <n v="8501.49"/>
    <n v="5565.3272500000003"/>
    <n v="700.32725000000028"/>
    <n v="2079.6899999999996"/>
    <n v="0.1258375686712763"/>
  </r>
  <r>
    <s v="ORD-2025-765220"/>
    <s v="765220"/>
    <n v="2025"/>
    <d v="2023-01-29T00:00:00"/>
    <x v="16"/>
    <d v="2025-04-06T00:00:00"/>
    <s v="Apr-2025"/>
    <x v="2"/>
    <s v="Q2-2025"/>
    <n v="24"/>
    <n v="24"/>
    <n v="0"/>
    <d v="2025-04-30T00:00:00"/>
    <d v="2025-04-30T00:00:00"/>
    <x v="3"/>
    <x v="9"/>
    <s v="Brasília"/>
    <s v="Education"/>
    <x v="4"/>
    <s v="K. Singh"/>
    <s v="Monitors"/>
    <x v="316"/>
    <n v="855.78"/>
    <n v="941.35800000000006"/>
    <n v="977.38"/>
    <s v="Medium"/>
    <n v="0.14699999999999999"/>
    <n v="0.1"/>
    <s v=""/>
    <n v="38"/>
    <n v="45.6"/>
    <n v="32519.64"/>
    <n v="1549460.0077899997"/>
    <n v="993069.84136999992"/>
    <n v="0.64091350301220029"/>
    <s v="A"/>
    <n v="42925.924800000001"/>
    <n v="40111.675199999998"/>
    <n v="31680.795320000001"/>
    <n v="-838.84467999999833"/>
    <n v="-2814.2496000000028"/>
    <n v="-2.6478018355506307E-2"/>
  </r>
  <r>
    <s v="ORD-2025-861401"/>
    <s v="861401"/>
    <n v="2025"/>
    <d v="2023-01-13T00:00:00"/>
    <x v="16"/>
    <d v="2025-04-01T00:00:00"/>
    <s v="Apr-2025"/>
    <x v="2"/>
    <s v="Q2-2025"/>
    <n v="26"/>
    <n v="26"/>
    <n v="0"/>
    <d v="2025-04-27T00:00:00"/>
    <d v="2025-04-27T00:00:00"/>
    <x v="3"/>
    <x v="11"/>
    <s v="San Francisco"/>
    <s v="Corporate"/>
    <x v="0"/>
    <s v="I. Johnson"/>
    <s v="Monitors"/>
    <x v="317"/>
    <n v="156.55000000000001"/>
    <n v="172.20500000000001"/>
    <n v="227.45"/>
    <s v="Low"/>
    <n v="1.4E-2"/>
    <n v="1.4E-2"/>
    <s v=""/>
    <n v="13"/>
    <n v="15.6"/>
    <n v="2035.15"/>
    <n v="1549460.0077899997"/>
    <n v="995985.2954699999"/>
    <n v="0.64279509665472245"/>
    <s v="A"/>
    <n v="2686.3980000000001"/>
    <n v="3498.5449199999998"/>
    <n v="2915.4540999999999"/>
    <n v="880.30409999999983"/>
    <n v="812.14691999999968"/>
    <n v="0.3019440779396938"/>
  </r>
  <r>
    <s v="ORD-2025-138578"/>
    <s v="138578"/>
    <n v="2025"/>
    <d v="2023-01-10T00:00:00"/>
    <x v="16"/>
    <d v="2025-04-09T00:00:00"/>
    <s v="Apr-2025"/>
    <x v="2"/>
    <s v="Q2-2025"/>
    <n v="3"/>
    <n v="3"/>
    <n v="1"/>
    <d v="2025-04-12T00:00:00"/>
    <d v="2025-04-12T00:00:00"/>
    <x v="2"/>
    <x v="5"/>
    <s v="Lyon"/>
    <s v="Small Business"/>
    <x v="2"/>
    <s v="H. Kim"/>
    <s v="Monitors"/>
    <x v="318"/>
    <n v="86.68"/>
    <n v="95.348000000000013"/>
    <n v="213.32"/>
    <s v="Low"/>
    <n v="3.7999999999999999E-2"/>
    <n v="3.7999999999999999E-2"/>
    <s v=""/>
    <n v="8"/>
    <n v="9.6"/>
    <n v="693.44"/>
    <n v="1549460.0077899997"/>
    <n v="997627.00618999987"/>
    <n v="0.64385463398498344"/>
    <s v="A"/>
    <n v="915.34080000000006"/>
    <n v="1970.0528639999998"/>
    <n v="1641.7107199999998"/>
    <n v="948.27071999999976"/>
    <n v="1054.7120639999998"/>
    <n v="0.57761133459614611"/>
  </r>
  <r>
    <s v="ORD-2025-845715"/>
    <s v="845715"/>
    <n v="2025"/>
    <d v="2023-01-19T00:00:00"/>
    <x v="16"/>
    <d v="2025-04-14T00:00:00"/>
    <s v="Apr-2025"/>
    <x v="2"/>
    <s v="Q2-2025"/>
    <n v="20"/>
    <n v="20"/>
    <n v="0"/>
    <d v="2025-05-04T00:00:00"/>
    <d v="2025-05-04T00:00:00"/>
    <x v="2"/>
    <x v="2"/>
    <s v="Birmingham"/>
    <s v="Enterprise"/>
    <x v="3"/>
    <s v="K. Singh"/>
    <s v="Monitors"/>
    <x v="319"/>
    <n v="1413.87"/>
    <n v="1555.2570000000001"/>
    <n v="3275"/>
    <s v="High"/>
    <n v="0.255"/>
    <n v="0.1"/>
    <s v=""/>
    <n v="38"/>
    <n v="45.6"/>
    <n v="53727.06"/>
    <n v="1549460.0077899997"/>
    <n v="1090342.2561899999"/>
    <n v="0.70369177049310161"/>
    <s v="A"/>
    <n v="70919.719200000007"/>
    <n v="134406"/>
    <n v="92715.25"/>
    <n v="38988.19"/>
    <n v="63486.280799999993"/>
    <n v="0.42051539525590453"/>
  </r>
  <r>
    <s v="ORD-2025-779530"/>
    <s v="779530"/>
    <n v="2025"/>
    <d v="2023-01-29T00:00:00"/>
    <x v="17"/>
    <d v="2025-05-19T00:00:00"/>
    <s v="May-2025"/>
    <x v="5"/>
    <s v="Q2-2025"/>
    <n v="-2"/>
    <n v="15"/>
    <n v="0"/>
    <d v="2025-05-17T00:00:00"/>
    <d v="2025-06-03T00:00:00"/>
    <x v="3"/>
    <x v="9"/>
    <s v="São Paulo"/>
    <s v="Small Business"/>
    <x v="2"/>
    <s v="L. Okafor"/>
    <s v="Monitors"/>
    <x v="320"/>
    <n v="383.77"/>
    <n v="422.14699999999999"/>
    <n v="952.56"/>
    <s v="Medium"/>
    <n v="0.34599999999999997"/>
    <n v="0.1"/>
    <s v="&gt;0.3"/>
    <n v="10"/>
    <n v="12"/>
    <n v="3837.7"/>
    <n v="1549460.0077899997"/>
    <n v="1096571.99859"/>
    <n v="0.70771235983950598"/>
    <s v="A"/>
    <n v="5065.7640000000001"/>
    <n v="10287.647999999999"/>
    <n v="6229.7423999999992"/>
    <n v="2392.0423999999994"/>
    <n v="5221.8839999999991"/>
    <n v="0.38397131797937578"/>
  </r>
  <r>
    <s v="ORD-2025-488349"/>
    <s v="488349"/>
    <n v="2025"/>
    <d v="2023-01-13T00:00:00"/>
    <x v="17"/>
    <d v="2025-04-23T00:00:00"/>
    <s v="Apr-2025"/>
    <x v="2"/>
    <s v="Q2-2025"/>
    <n v="-1"/>
    <n v="15"/>
    <n v="0"/>
    <d v="2025-04-22T00:00:00"/>
    <d v="2025-05-08T00:00:00"/>
    <x v="3"/>
    <x v="11"/>
    <s v="San Francisco"/>
    <s v="Non-Profit"/>
    <x v="2"/>
    <s v="D. Smith"/>
    <s v="Monitors"/>
    <x v="321"/>
    <n v="23.24"/>
    <n v="25.564"/>
    <n v="44.57"/>
    <s v="Low"/>
    <n v="0.215"/>
    <n v="0.1"/>
    <s v=""/>
    <n v="15"/>
    <n v="18"/>
    <n v="348.59999999999997"/>
    <n v="1549460.0077899997"/>
    <n v="1097096.8103400001"/>
    <n v="0.70805106606448853"/>
    <s v="A"/>
    <n v="460.15199999999999"/>
    <n v="722.03399999999999"/>
    <n v="524.81174999999996"/>
    <n v="176.21174999999999"/>
    <n v="261.88200000000001"/>
    <n v="0.33576182316802167"/>
  </r>
  <r>
    <s v="ORD-2025-778145"/>
    <s v="778145"/>
    <n v="2025"/>
    <d v="2023-01-10T00:00:00"/>
    <x v="17"/>
    <d v="2025-04-22T00:00:00"/>
    <s v="Apr-2025"/>
    <x v="2"/>
    <s v="Q2-2025"/>
    <n v="20"/>
    <n v="20"/>
    <n v="0"/>
    <d v="2025-05-12T00:00:00"/>
    <d v="2025-05-12T00:00:00"/>
    <x v="2"/>
    <x v="5"/>
    <s v="Lyon"/>
    <s v="Enterprise"/>
    <x v="3"/>
    <s v="K. Singh"/>
    <s v="Monitors"/>
    <x v="322"/>
    <n v="59.51"/>
    <n v="65.460999999999999"/>
    <n v="67.040000000000006"/>
    <s v="Low"/>
    <n v="0.114"/>
    <n v="0.1"/>
    <s v=""/>
    <n v="9"/>
    <n v="10.799999999999999"/>
    <n v="535.59"/>
    <n v="1549460.0077899997"/>
    <n v="1097631.3873000001"/>
    <n v="0.70839607462057419"/>
    <s v="A"/>
    <n v="706.97879999999986"/>
    <n v="651.62880000000007"/>
    <n v="534.57695999999999"/>
    <n v="-1.0130400000000463"/>
    <n v="-55.349999999999795"/>
    <n v="-1.8950311663264469E-3"/>
  </r>
  <r>
    <s v="ORD-2025-946490"/>
    <s v="946490"/>
    <n v="2025"/>
    <d v="2023-01-22T00:00:00"/>
    <x v="17"/>
    <d v="2025-04-22T00:00:00"/>
    <s v="Apr-2025"/>
    <x v="2"/>
    <s v="Q2-2025"/>
    <n v="10"/>
    <n v="10"/>
    <n v="0"/>
    <d v="2025-05-02T00:00:00"/>
    <d v="2025-05-02T00:00:00"/>
    <x v="2"/>
    <x v="7"/>
    <s v="Berlin"/>
    <s v="Corporate"/>
    <x v="3"/>
    <s v="C. Otieno"/>
    <s v="Monitors"/>
    <x v="323"/>
    <n v="20.149999999999999"/>
    <n v="22.164999999999999"/>
    <n v="39.74"/>
    <s v="Low"/>
    <n v="0.151"/>
    <n v="0.1"/>
    <s v=""/>
    <n v="18"/>
    <n v="21.599999999999998"/>
    <n v="362.7"/>
    <n v="1549460.0077899997"/>
    <n v="1098238.69398"/>
    <n v="0.70878802192927959"/>
    <s v="A"/>
    <n v="478.76399999999995"/>
    <n v="772.54560000000004"/>
    <n v="607.30668000000003"/>
    <n v="244.60668000000004"/>
    <n v="293.78160000000008"/>
    <n v="0.4027729120318585"/>
  </r>
  <r>
    <s v="ORD-2025-485946"/>
    <s v="485946"/>
    <n v="2025"/>
    <d v="2023-01-07T00:00:00"/>
    <x v="19"/>
    <d v="2025-06-15T00:00:00"/>
    <s v="Jun-2025"/>
    <x v="6"/>
    <s v="Q2-2025"/>
    <n v="15"/>
    <n v="15"/>
    <n v="0"/>
    <d v="2025-06-30T00:00:00"/>
    <d v="2025-06-30T00:00:00"/>
    <x v="0"/>
    <x v="6"/>
    <s v="Johannesburg"/>
    <s v="Small Business"/>
    <x v="0"/>
    <s v="C. Otieno"/>
    <s v="Monitors"/>
    <x v="324"/>
    <n v="1487.59"/>
    <n v="1636.3489999999999"/>
    <n v="1480.83"/>
    <s v="Medium"/>
    <n v="8.9999999999999993E-3"/>
    <n v="8.9999999999999993E-3"/>
    <s v=""/>
    <n v="11"/>
    <n v="13.2"/>
    <n v="16363.49"/>
    <n v="1549460.0077899997"/>
    <n v="1114381.22181"/>
    <n v="0.71920618551455606"/>
    <s v="A"/>
    <n v="21599.806799999998"/>
    <n v="19371.033395999999"/>
    <n v="16142.527829999999"/>
    <n v="-220.9621700000007"/>
    <n v="-2228.7734039999996"/>
    <n v="-1.3688201273492908E-2"/>
  </r>
  <r>
    <s v="ORD-2025-184754"/>
    <s v="184754"/>
    <n v="2025"/>
    <d v="2023-01-22T00:00:00"/>
    <x v="19"/>
    <d v="2025-06-27T00:00:00"/>
    <s v="Jun-2025"/>
    <x v="6"/>
    <s v="Q2-2025"/>
    <n v="8"/>
    <n v="8"/>
    <n v="0"/>
    <d v="2025-07-05T00:00:00"/>
    <d v="2025-07-05T00:00:00"/>
    <x v="2"/>
    <x v="7"/>
    <s v="Munich"/>
    <s v="Small Business"/>
    <x v="0"/>
    <s v="G. Dubois"/>
    <s v="Monitors"/>
    <x v="325"/>
    <n v="314.93"/>
    <n v="346.42300000000006"/>
    <n v="687.95"/>
    <s v="Low"/>
    <n v="0.20499999999999999"/>
    <n v="0.1"/>
    <s v=""/>
    <n v="8"/>
    <n v="9.6"/>
    <n v="2519.44"/>
    <n v="1549460.0077899997"/>
    <n v="1118756.58381"/>
    <n v="0.72202998346868363"/>
    <s v="A"/>
    <n v="3325.6608000000006"/>
    <n v="5943.8880000000008"/>
    <n v="4375.3620000000001"/>
    <n v="1855.922"/>
    <n v="2618.2272000000003"/>
    <n v="0.424175645352316"/>
  </r>
  <r>
    <s v="ORD-2023-356427"/>
    <s v="356427"/>
    <n v="2023"/>
    <d v="2023-01-02T00:00:00"/>
    <x v="20"/>
    <d v="2023-04-13T00:00:00"/>
    <s v="Apr-2023"/>
    <x v="2"/>
    <s v="Q2-2023"/>
    <n v="19"/>
    <n v="19"/>
    <n v="0"/>
    <d v="2023-05-02T00:00:00"/>
    <d v="2023-05-02T00:00:00"/>
    <x v="3"/>
    <x v="10"/>
    <s v="Montreal"/>
    <s v="Consumer"/>
    <x v="2"/>
    <s v="E. Garcia"/>
    <s v="Monitors"/>
    <x v="326"/>
    <n v="671.05"/>
    <n v="738.15499999999997"/>
    <n v="1645.48"/>
    <s v="High"/>
    <n v="0.13700000000000001"/>
    <n v="0.1"/>
    <s v=""/>
    <n v="6"/>
    <n v="7.1999999999999993"/>
    <n v="4026.2999999999997"/>
    <n v="1549460.0077899997"/>
    <n v="1127276.87925"/>
    <n v="0.72752886398006422"/>
    <s v="A"/>
    <n v="5314.7159999999994"/>
    <n v="10662.710399999998"/>
    <n v="8520.2954399999999"/>
    <n v="4493.9954400000006"/>
    <n v="5347.9943999999987"/>
    <n v="0.52744596377517172"/>
  </r>
  <r>
    <s v="ORD-2023-987700"/>
    <s v="987700"/>
    <n v="2023"/>
    <d v="2023-01-02T00:00:00"/>
    <x v="20"/>
    <d v="2023-04-05T00:00:00"/>
    <s v="Apr-2023"/>
    <x v="2"/>
    <s v="Q2-2023"/>
    <n v="11"/>
    <n v="11"/>
    <n v="0"/>
    <d v="2023-04-16T00:00:00"/>
    <d v="2023-04-16T00:00:00"/>
    <x v="3"/>
    <x v="10"/>
    <s v="Vancouver"/>
    <s v="Non-Profit"/>
    <x v="4"/>
    <s v="O. Wang"/>
    <s v="Monitors"/>
    <x v="327"/>
    <n v="213.1"/>
    <n v="234.41000000000003"/>
    <n v="501.31"/>
    <s v="Low"/>
    <n v="5.6000000000000001E-2"/>
    <n v="5.6000000000000001E-2"/>
    <s v=""/>
    <n v="15"/>
    <n v="18"/>
    <n v="3196.5"/>
    <n v="1549460.0077899997"/>
    <n v="1134375.42885"/>
    <n v="0.73211016944410445"/>
    <s v="A"/>
    <n v="4219.38"/>
    <n v="8518.2595199999996"/>
    <n v="7098.5495999999994"/>
    <n v="3902.0495999999994"/>
    <n v="4298.8795199999995"/>
    <n v="0.54969674368409005"/>
  </r>
  <r>
    <s v="ORD-2023-880296"/>
    <s v="880296"/>
    <n v="2023"/>
    <d v="2023-01-12T00:00:00"/>
    <x v="20"/>
    <d v="2023-05-02T00:00:00"/>
    <s v="May-2023"/>
    <x v="5"/>
    <s v="Q2-2023"/>
    <n v="17"/>
    <n v="17"/>
    <n v="0"/>
    <d v="2023-05-19T00:00:00"/>
    <d v="2023-05-19T00:00:00"/>
    <x v="1"/>
    <x v="4"/>
    <s v="Shanghai"/>
    <s v="Non-Profit"/>
    <x v="0"/>
    <s v="J. Njeri"/>
    <s v="Monitors"/>
    <x v="328"/>
    <n v="714.28"/>
    <n v="785.70800000000008"/>
    <n v="757.59"/>
    <s v="Low"/>
    <n v="0.13600000000000001"/>
    <n v="0.1"/>
    <s v=""/>
    <n v="12"/>
    <n v="14.399999999999999"/>
    <n v="8571.36"/>
    <n v="1549460.0077899997"/>
    <n v="1142230.12197"/>
    <n v="0.73717947944920947"/>
    <s v="A"/>
    <n v="11314.1952"/>
    <n v="9818.3664000000008"/>
    <n v="7854.6931199999999"/>
    <n v="-716.66688000000067"/>
    <n v="-1495.8287999999993"/>
    <n v="-9.1240595787910383E-2"/>
  </r>
  <r>
    <s v="ORD-2023-573656"/>
    <s v="573656"/>
    <n v="2023"/>
    <d v="2023-01-29T00:00:00"/>
    <x v="20"/>
    <d v="2023-05-02T00:00:00"/>
    <s v="May-2023"/>
    <x v="5"/>
    <s v="Q2-2023"/>
    <n v="14"/>
    <n v="14"/>
    <n v="0"/>
    <d v="2023-05-16T00:00:00"/>
    <d v="2023-05-16T00:00:00"/>
    <x v="1"/>
    <x v="1"/>
    <s v="Bengaluru"/>
    <s v="Non-Profit"/>
    <x v="1"/>
    <s v="L. Okafor"/>
    <s v="Monitors"/>
    <x v="329"/>
    <n v="475.37"/>
    <n v="522.90700000000004"/>
    <n v="963.73"/>
    <s v="Medium"/>
    <n v="4.1000000000000002E-2"/>
    <n v="4.1000000000000002E-2"/>
    <s v=""/>
    <n v="22"/>
    <n v="26.4"/>
    <n v="10458.14"/>
    <n v="1549460.0077899997"/>
    <n v="1162562.89751"/>
    <n v="0.75030197079314598"/>
    <s v="A"/>
    <n v="13804.7448"/>
    <n v="24399.330647999996"/>
    <n v="20332.775539999999"/>
    <n v="9874.6355399999993"/>
    <n v="10594.585847999995"/>
    <n v="0.48565113604750881"/>
  </r>
  <r>
    <s v="ORD-2023-906481"/>
    <s v="906481"/>
    <n v="2023"/>
    <d v="2023-01-29T00:00:00"/>
    <x v="20"/>
    <d v="2023-05-02T00:00:00"/>
    <s v="May-2023"/>
    <x v="5"/>
    <s v="Q2-2023"/>
    <n v="16"/>
    <n v="16"/>
    <n v="0"/>
    <d v="2023-05-18T00:00:00"/>
    <d v="2023-05-18T00:00:00"/>
    <x v="1"/>
    <x v="1"/>
    <s v="Delhi"/>
    <s v="Small Business"/>
    <x v="3"/>
    <s v="K. Singh"/>
    <s v="Monitors"/>
    <x v="330"/>
    <n v="1463.92"/>
    <n v="1610.3120000000001"/>
    <n v="2252.2399999999998"/>
    <s v="High"/>
    <n v="0.11799999999999999"/>
    <n v="0.1"/>
    <s v=""/>
    <n v="44"/>
    <n v="52.8"/>
    <n v="64412.480000000003"/>
    <n v="1549460.0077899997"/>
    <n v="1249967.8274300001"/>
    <n v="0.80671190036897666"/>
    <s v="B"/>
    <n v="85024.473599999998"/>
    <n v="107026.44479999998"/>
    <n v="87404.929919999995"/>
    <n v="22992.449919999992"/>
    <n v="22001.971199999985"/>
    <n v="0.26305667130040061"/>
  </r>
  <r>
    <s v="ORD-2023-913592"/>
    <s v="913592"/>
    <n v="2023"/>
    <d v="2023-01-29T00:00:00"/>
    <x v="20"/>
    <d v="2023-05-10T00:00:00"/>
    <s v="May-2023"/>
    <x v="5"/>
    <s v="Q2-2023"/>
    <n v="4"/>
    <n v="4"/>
    <n v="1"/>
    <d v="2023-05-14T00:00:00"/>
    <d v="2023-05-14T00:00:00"/>
    <x v="1"/>
    <x v="1"/>
    <s v="Delhi"/>
    <s v="Non-Profit"/>
    <x v="2"/>
    <s v="C. Otieno"/>
    <s v="Monitors"/>
    <x v="331"/>
    <n v="622.6"/>
    <n v="684.86000000000013"/>
    <n v="833.69"/>
    <s v="Medium"/>
    <n v="0.20899999999999999"/>
    <n v="0.1"/>
    <s v=""/>
    <n v="14"/>
    <n v="16.8"/>
    <n v="8716.4"/>
    <n v="1549460.0077899997"/>
    <n v="1259200.1104900001"/>
    <n v="0.81267028781594797"/>
    <s v="B"/>
    <n v="11505.648000000003"/>
    <n v="12605.392800000001"/>
    <n v="9232.2830599999998"/>
    <n v="515.88306000000011"/>
    <n v="1099.7447999999986"/>
    <n v="5.5878167582959715E-2"/>
  </r>
  <r>
    <s v="ORD-2023-258768"/>
    <s v="258768"/>
    <n v="2023"/>
    <d v="2023-03-03T00:00:00"/>
    <x v="20"/>
    <d v="2023-06-29T00:00:00"/>
    <s v="Jun-2023"/>
    <x v="6"/>
    <s v="Q2-2023"/>
    <n v="3"/>
    <n v="3"/>
    <n v="1"/>
    <d v="2023-07-02T00:00:00"/>
    <d v="2023-07-02T00:00:00"/>
    <x v="1"/>
    <x v="3"/>
    <s v="Nagoya"/>
    <s v="Education"/>
    <x v="3"/>
    <s v="F. Müller"/>
    <s v="Monitors"/>
    <x v="332"/>
    <n v="55.65"/>
    <n v="61.215000000000003"/>
    <n v="83.57"/>
    <s v="Low"/>
    <n v="6.6000000000000003E-2"/>
    <n v="6.6000000000000003E-2"/>
    <s v=""/>
    <n v="8"/>
    <n v="9.6"/>
    <n v="445.2"/>
    <n v="1549460.0077899997"/>
    <n v="1259824.54553"/>
    <n v="0.81307328953064895"/>
    <s v="B"/>
    <n v="587.66399999999999"/>
    <n v="749.32204799999988"/>
    <n v="624.43503999999996"/>
    <n v="179.23503999999997"/>
    <n v="161.65804799999989"/>
    <n v="0.2870355257449998"/>
  </r>
  <r>
    <s v="ORD-2023-867285"/>
    <s v="867285"/>
    <n v="2023"/>
    <d v="2023-01-10T00:00:00"/>
    <x v="20"/>
    <d v="2023-04-12T00:00:00"/>
    <s v="Apr-2023"/>
    <x v="2"/>
    <s v="Q2-2023"/>
    <n v="5"/>
    <n v="5"/>
    <n v="1"/>
    <d v="2023-04-17T00:00:00"/>
    <d v="2023-04-17T00:00:00"/>
    <x v="2"/>
    <x v="5"/>
    <s v="Lyon"/>
    <s v="Enterprise"/>
    <x v="0"/>
    <s v="E. Garcia"/>
    <s v="Monitors"/>
    <x v="333"/>
    <n v="1087.81"/>
    <n v="1196.5910000000001"/>
    <n v="2323.87"/>
    <s v="High"/>
    <n v="9.4E-2"/>
    <n v="9.4E-2"/>
    <s v=""/>
    <n v="13"/>
    <n v="15.6"/>
    <n v="14141.529999999999"/>
    <n v="1549460.0077899997"/>
    <n v="1287195.0863900001"/>
    <n v="0.83073785700731373"/>
    <s v="B"/>
    <n v="18666.819600000003"/>
    <n v="32844.649031999994"/>
    <n v="27370.540859999997"/>
    <n v="13229.010859999999"/>
    <n v="14177.829431999991"/>
    <n v="0.48333026839572651"/>
  </r>
  <r>
    <s v="ORD-2025-419532"/>
    <s v="419532"/>
    <n v="2025"/>
    <d v="2023-01-29T00:00:00"/>
    <x v="21"/>
    <d v="2025-08-06T00:00:00"/>
    <s v="Aug-2025"/>
    <x v="8"/>
    <s v="Q3-2025"/>
    <n v="17"/>
    <n v="17"/>
    <n v="0"/>
    <d v="2025-08-23T00:00:00"/>
    <d v="2025-08-23T00:00:00"/>
    <x v="3"/>
    <x v="9"/>
    <s v="Brasília"/>
    <s v="Consumer"/>
    <x v="2"/>
    <s v="A. Patel"/>
    <s v="Monitors"/>
    <x v="334"/>
    <n v="86.64"/>
    <n v="95.304000000000002"/>
    <n v="213.06"/>
    <s v="Low"/>
    <n v="0.21199999999999999"/>
    <n v="0.1"/>
    <s v=""/>
    <n v="11"/>
    <n v="13.2"/>
    <n v="953.04"/>
    <n v="1549460.0077899997"/>
    <n v="1289041.89047"/>
    <n v="0.83192975874773623"/>
    <s v="B"/>
    <n v="1258.0128"/>
    <n v="2531.1527999999998"/>
    <n v="1846.8040799999999"/>
    <n v="893.76407999999992"/>
    <n v="1273.1399999999999"/>
    <n v="0.48395175735154322"/>
  </r>
  <r>
    <s v="ORD-2025-586799"/>
    <s v="586799"/>
    <n v="2025"/>
    <d v="2023-01-02T00:00:00"/>
    <x v="21"/>
    <d v="2025-07-14T00:00:00"/>
    <s v="Jul-2025"/>
    <x v="7"/>
    <s v="Q3-2025"/>
    <n v="21"/>
    <n v="21"/>
    <n v="0"/>
    <d v="2025-08-04T00:00:00"/>
    <d v="2025-08-04T00:00:00"/>
    <x v="3"/>
    <x v="10"/>
    <s v="Montreal"/>
    <s v="Consumer"/>
    <x v="4"/>
    <s v="H. Kim"/>
    <s v="Monitors"/>
    <x v="335"/>
    <n v="90.3"/>
    <n v="99.33"/>
    <n v="131.76"/>
    <s v="Low"/>
    <n v="0.10199999999999999"/>
    <n v="0.1"/>
    <s v=""/>
    <n v="15"/>
    <n v="18"/>
    <n v="1354.5"/>
    <n v="1549460.0077899997"/>
    <n v="1290816.6976699999"/>
    <n v="0.83307519470031133"/>
    <s v="B"/>
    <n v="1787.94"/>
    <n v="2134.5119999999997"/>
    <n v="1774.8072"/>
    <n v="420.30719999999997"/>
    <n v="346.57199999999966"/>
    <n v="0.23681851189244668"/>
  </r>
  <r>
    <s v="ORD-2025-262491"/>
    <s v="262491"/>
    <n v="2025"/>
    <d v="2023-01-29T00:00:00"/>
    <x v="21"/>
    <d v="2025-08-01T00:00:00"/>
    <s v="Aug-2025"/>
    <x v="8"/>
    <s v="Q3-2025"/>
    <n v="15"/>
    <n v="15"/>
    <n v="0"/>
    <d v="2025-08-16T00:00:00"/>
    <d v="2025-08-16T00:00:00"/>
    <x v="1"/>
    <x v="1"/>
    <s v="Delhi"/>
    <s v="Enterprise"/>
    <x v="0"/>
    <s v="O. Wang"/>
    <s v="Monitors"/>
    <x v="336"/>
    <n v="24.44"/>
    <n v="26.884000000000004"/>
    <n v="28.69"/>
    <s v="Low"/>
    <n v="0.14599999999999999"/>
    <n v="0.1"/>
    <s v=""/>
    <n v="6"/>
    <n v="7.1999999999999993"/>
    <n v="146.64000000000001"/>
    <n v="1549460.0077899997"/>
    <n v="1290963.70523"/>
    <n v="0.83317007134072862"/>
    <s v="B"/>
    <n v="193.56480000000002"/>
    <n v="185.91119999999998"/>
    <n v="147.00756000000001"/>
    <n v="0.36755999999999744"/>
    <n v="-7.6536000000000399"/>
    <n v="2.5002795774584476E-3"/>
  </r>
  <r>
    <s v="ORD-2025-248586"/>
    <s v="248586"/>
    <n v="2025"/>
    <d v="2023-03-03T00:00:00"/>
    <x v="21"/>
    <d v="2025-09-12T00:00:00"/>
    <s v="Sept-2025"/>
    <x v="11"/>
    <s v="Q3-2025"/>
    <n v="18"/>
    <n v="18"/>
    <n v="0"/>
    <d v="2025-09-30T00:00:00"/>
    <d v="2025-09-30T00:00:00"/>
    <x v="1"/>
    <x v="3"/>
    <s v="Nagoya"/>
    <s v="Non-Profit"/>
    <x v="3"/>
    <s v="F. Müller"/>
    <s v="Monitors"/>
    <x v="337"/>
    <n v="1212.99"/>
    <n v="1334.2890000000002"/>
    <n v="1653.64"/>
    <s v="High"/>
    <n v="0.107"/>
    <n v="0.1"/>
    <s v=""/>
    <n v="8"/>
    <n v="9.6"/>
    <n v="9703.92"/>
    <n v="1549460.0077899997"/>
    <n v="1302777.3093900001"/>
    <n v="0.84079440762601931"/>
    <s v="B"/>
    <n v="12809.174400000002"/>
    <n v="14287.4496"/>
    <n v="11813.604160000001"/>
    <n v="2109.6841600000007"/>
    <n v="1478.2751999999982"/>
    <n v="0.17858090819931455"/>
  </r>
  <r>
    <s v="ORD-2025-677880"/>
    <s v="677880"/>
    <n v="2025"/>
    <d v="2023-01-22T00:00:00"/>
    <x v="21"/>
    <d v="2025-08-21T00:00:00"/>
    <s v="Aug-2025"/>
    <x v="8"/>
    <s v="Q3-2025"/>
    <n v="24"/>
    <n v="24"/>
    <n v="0"/>
    <d v="2025-09-14T00:00:00"/>
    <d v="2025-09-14T00:00:00"/>
    <x v="2"/>
    <x v="7"/>
    <s v="Berlin"/>
    <s v="Non-Profit"/>
    <x v="4"/>
    <s v="A. Patel"/>
    <s v="Monitors"/>
    <x v="338"/>
    <n v="1397.67"/>
    <n v="1537.4370000000001"/>
    <n v="3131.37"/>
    <s v="High"/>
    <n v="0.10299999999999999"/>
    <n v="0.1"/>
    <s v=""/>
    <n v="20"/>
    <n v="24"/>
    <n v="27953.4"/>
    <n v="1549460.0077899997"/>
    <n v="1358954.0871900001"/>
    <n v="0.87705012091811341"/>
    <s v="B"/>
    <n v="36898.488000000005"/>
    <n v="67637.592000000004"/>
    <n v="56176.777799999996"/>
    <n v="28223.377799999995"/>
    <n v="30739.103999999999"/>
    <n v="0.50240293062874808"/>
  </r>
  <r>
    <s v="ORD-2025-823055"/>
    <s v="823055"/>
    <n v="2025"/>
    <d v="2023-01-29T00:00:00"/>
    <x v="22"/>
    <d v="2025-09-08T00:00:00"/>
    <s v="Sept-2025"/>
    <x v="11"/>
    <s v="Q3-2025"/>
    <n v="27"/>
    <n v="27"/>
    <n v="0"/>
    <d v="2025-10-05T00:00:00"/>
    <d v="2025-10-05T00:00:00"/>
    <x v="3"/>
    <x v="9"/>
    <s v="Rio de Janeiro"/>
    <s v="Education"/>
    <x v="4"/>
    <s v="C. Otieno"/>
    <s v="Monitors"/>
    <x v="339"/>
    <n v="660.78"/>
    <n v="726.85800000000006"/>
    <n v="1630.39"/>
    <s v="Medium"/>
    <n v="0.218"/>
    <n v="0.1"/>
    <s v=""/>
    <n v="13"/>
    <n v="15.6"/>
    <n v="8590.14"/>
    <n v="1549460.0077899997"/>
    <n v="1375528.6319300001"/>
    <n v="0.88774710222558217"/>
    <s v="B"/>
    <n v="11338.9848"/>
    <n v="22890.675600000002"/>
    <n v="16574.544740000001"/>
    <n v="7984.4047400000018"/>
    <n v="11551.690800000002"/>
    <n v="0.48172694123724097"/>
  </r>
  <r>
    <s v="ORD-2023-172095"/>
    <s v="172095"/>
    <n v="2023"/>
    <d v="2023-01-13T00:00:00"/>
    <x v="23"/>
    <d v="2023-05-24T00:00:00"/>
    <s v="May-2023"/>
    <x v="5"/>
    <s v="Q2-2023"/>
    <n v="28"/>
    <n v="28"/>
    <n v="0"/>
    <d v="2023-06-21T00:00:00"/>
    <d v="2023-06-21T00:00:00"/>
    <x v="3"/>
    <x v="11"/>
    <s v="Austin"/>
    <s v="Small Business"/>
    <x v="3"/>
    <s v="G. Dubois"/>
    <s v="Monitors"/>
    <x v="340"/>
    <n v="813.97"/>
    <n v="895.36700000000008"/>
    <n v="1568.83"/>
    <s v="Medium"/>
    <n v="1.7000000000000001E-2"/>
    <n v="1.7000000000000001E-2"/>
    <s v=""/>
    <n v="15"/>
    <n v="18"/>
    <n v="12209.550000000001"/>
    <n v="1549460.0077899997"/>
    <n v="1398661.0302800001"/>
    <n v="0.90267643130390651"/>
    <s v="B"/>
    <n v="16116.606000000002"/>
    <n v="27758.878019999996"/>
    <n v="23132.398349999996"/>
    <n v="10922.848349999995"/>
    <n v="11642.272019999995"/>
    <n v="0.4721883215364911"/>
  </r>
  <r>
    <s v="ORD-2023-427304"/>
    <s v="427304"/>
    <n v="2023"/>
    <d v="2023-01-12T00:00:00"/>
    <x v="23"/>
    <d v="2023-06-09T00:00:00"/>
    <s v="Jun-2023"/>
    <x v="6"/>
    <s v="Q2-2023"/>
    <n v="10"/>
    <n v="10"/>
    <n v="0"/>
    <d v="2023-06-19T00:00:00"/>
    <d v="2023-06-19T00:00:00"/>
    <x v="1"/>
    <x v="4"/>
    <s v="Beijing"/>
    <s v="Enterprise"/>
    <x v="1"/>
    <s v="F. Müller"/>
    <s v="Monitors"/>
    <x v="341"/>
    <n v="339.61"/>
    <n v="373.57100000000003"/>
    <n v="621.02"/>
    <s v="Low"/>
    <n v="7.0999999999999994E-2"/>
    <n v="7.0999999999999994E-2"/>
    <s v=""/>
    <n v="10"/>
    <n v="12"/>
    <n v="3396.1000000000004"/>
    <n v="1549460.0077899997"/>
    <n v="1404430.30608"/>
    <n v="0.90639984189275324"/>
    <s v="B"/>
    <n v="4482.8520000000008"/>
    <n v="6923.1309600000004"/>
    <n v="5769.2758000000003"/>
    <n v="2373.1758"/>
    <n v="2440.2789599999996"/>
    <n v="0.41134726129750981"/>
  </r>
  <r>
    <s v="ORD-2023-825836"/>
    <s v="825836"/>
    <n v="2023"/>
    <d v="2023-01-29T00:00:00"/>
    <x v="24"/>
    <d v="2023-07-19T00:00:00"/>
    <s v="Jul-2023"/>
    <x v="7"/>
    <s v="Q3-2023"/>
    <n v="12"/>
    <n v="12"/>
    <n v="0"/>
    <d v="2023-07-31T00:00:00"/>
    <d v="2023-07-31T00:00:00"/>
    <x v="3"/>
    <x v="9"/>
    <s v="Rio de Janeiro"/>
    <s v="Corporate"/>
    <x v="1"/>
    <s v="C. Otieno"/>
    <s v="Monitors"/>
    <x v="342"/>
    <n v="1334.64"/>
    <n v="1468.1040000000003"/>
    <n v="2273.42"/>
    <s v="High"/>
    <n v="0.11799999999999999"/>
    <n v="0.1"/>
    <s v=""/>
    <n v="14"/>
    <n v="16.8"/>
    <n v="18684.960000000003"/>
    <n v="1549460.0077899997"/>
    <n v="1432502.49624"/>
    <n v="0.92451724409666014"/>
    <s v="B"/>
    <n v="24664.147200000007"/>
    <n v="34374.110400000005"/>
    <n v="28072.190160000002"/>
    <n v="9387.2301599999992"/>
    <n v="9709.9631999999983"/>
    <n v="0.33439607335575267"/>
  </r>
  <r>
    <s v="ORD-2023-602648"/>
    <s v="602648"/>
    <n v="2023"/>
    <d v="2023-01-13T00:00:00"/>
    <x v="24"/>
    <d v="2023-06-20T00:00:00"/>
    <s v="Jun-2023"/>
    <x v="6"/>
    <s v="Q2-2023"/>
    <n v="18"/>
    <n v="18"/>
    <n v="0"/>
    <d v="2023-07-08T00:00:00"/>
    <d v="2023-07-08T00:00:00"/>
    <x v="3"/>
    <x v="11"/>
    <s v="Austin"/>
    <s v="Non-Profit"/>
    <x v="0"/>
    <s v="F. Müller"/>
    <s v="Monitors"/>
    <x v="343"/>
    <n v="337"/>
    <n v="370.70000000000005"/>
    <n v="511.03"/>
    <s v="Low"/>
    <n v="0.108"/>
    <n v="0.1"/>
    <s v=""/>
    <n v="7"/>
    <n v="8.4"/>
    <n v="2359"/>
    <n v="1549460.0077899997"/>
    <n v="1435693.3675599999"/>
    <n v="0.92657658819328581"/>
    <s v="B"/>
    <n v="3113.8800000000006"/>
    <n v="3863.3868000000002"/>
    <n v="3190.8713200000002"/>
    <n v="831.8713200000002"/>
    <n v="749.50679999999966"/>
    <n v="0.26070349963219458"/>
  </r>
  <r>
    <s v="ORD-2023-715175"/>
    <s v="715175"/>
    <n v="2023"/>
    <d v="2023-01-13T00:00:00"/>
    <x v="24"/>
    <d v="2023-06-15T00:00:00"/>
    <s v="Jun-2023"/>
    <x v="6"/>
    <s v="Q2-2023"/>
    <n v="8"/>
    <n v="8"/>
    <n v="0"/>
    <d v="2023-06-23T00:00:00"/>
    <d v="2023-06-23T00:00:00"/>
    <x v="3"/>
    <x v="11"/>
    <s v="San Francisco"/>
    <s v="Consumer"/>
    <x v="2"/>
    <s v="O. Wang"/>
    <s v="Monitors"/>
    <x v="344"/>
    <n v="1097.0899999999999"/>
    <n v="1206.799"/>
    <n v="2182.31"/>
    <s v="High"/>
    <n v="0.112"/>
    <n v="0.1"/>
    <s v=""/>
    <n v="9"/>
    <n v="10.799999999999999"/>
    <n v="9873.81"/>
    <n v="1549460.0077899997"/>
    <n v="1453134.3890799999"/>
    <n v="0.93783278159764227"/>
    <s v="B"/>
    <n v="13033.429199999999"/>
    <n v="21212.053199999998"/>
    <n v="17441.021520000002"/>
    <n v="7567.2115200000026"/>
    <n v="8178.6239999999998"/>
    <n v="0.43387432962699546"/>
  </r>
  <r>
    <s v="ORD-2023-825084"/>
    <s v="825084"/>
    <n v="2023"/>
    <d v="2023-01-07T00:00:00"/>
    <x v="25"/>
    <d v="2023-07-14T00:00:00"/>
    <s v="Jul-2023"/>
    <x v="7"/>
    <s v="Q3-2023"/>
    <n v="7"/>
    <n v="7"/>
    <n v="1"/>
    <d v="2023-07-21T00:00:00"/>
    <d v="2023-07-21T00:00:00"/>
    <x v="0"/>
    <x v="6"/>
    <s v="Durban"/>
    <s v="Enterprise"/>
    <x v="3"/>
    <s v="A. Patel"/>
    <s v="Monitors"/>
    <x v="345"/>
    <n v="620.74"/>
    <n v="682.81400000000008"/>
    <n v="1330.07"/>
    <s v="Medium"/>
    <n v="0.29899999999999999"/>
    <n v="0.1"/>
    <s v=""/>
    <n v="28"/>
    <n v="33.6"/>
    <n v="17380.72"/>
    <n v="1549460.0077899997"/>
    <n v="1479241.0030399999"/>
    <n v="0.9546816281820959"/>
    <s v="C"/>
    <n v="22942.550400000004"/>
    <n v="40221.316800000001"/>
    <n v="26106.613960000002"/>
    <n v="8725.8939600000012"/>
    <n v="17278.766399999997"/>
    <n v="0.33424073965967516"/>
  </r>
  <r>
    <s v="ORD-2023-369160"/>
    <s v="369160"/>
    <n v="2023"/>
    <d v="2023-01-02T00:00:00"/>
    <x v="25"/>
    <d v="2023-07-24T00:00:00"/>
    <s v="Jul-2023"/>
    <x v="7"/>
    <s v="Q3-2023"/>
    <n v="20"/>
    <n v="20"/>
    <n v="0"/>
    <d v="2023-08-13T00:00:00"/>
    <d v="2023-08-13T00:00:00"/>
    <x v="3"/>
    <x v="10"/>
    <s v="Montreal"/>
    <s v="Education"/>
    <x v="0"/>
    <s v="C. Otieno"/>
    <s v="Monitors"/>
    <x v="346"/>
    <n v="1082.3800000000001"/>
    <n v="1190.6180000000002"/>
    <n v="1766.55"/>
    <s v="High"/>
    <n v="0.16400000000000001"/>
    <n v="0.1"/>
    <s v=""/>
    <n v="20"/>
    <n v="24"/>
    <n v="21647.600000000002"/>
    <n v="1549460.0077899997"/>
    <n v="1508777.7190399999"/>
    <n v="0.97374421505203923"/>
    <s v="C"/>
    <n v="28574.832000000002"/>
    <n v="38157.479999999996"/>
    <n v="29536.716"/>
    <n v="7889.1159999999982"/>
    <n v="9582.6479999999938"/>
    <n v="0.26709523157550752"/>
  </r>
  <r>
    <s v="ORD-2023-548934"/>
    <s v="548934"/>
    <n v="2023"/>
    <d v="2023-01-12T00:00:00"/>
    <x v="25"/>
    <d v="2023-08-03T00:00:00"/>
    <s v="Aug-2023"/>
    <x v="8"/>
    <s v="Q3-2023"/>
    <n v="27"/>
    <n v="27"/>
    <n v="0"/>
    <d v="2023-08-30T00:00:00"/>
    <d v="2023-08-30T00:00:00"/>
    <x v="1"/>
    <x v="4"/>
    <s v="Shanghai"/>
    <s v="Consumer"/>
    <x v="2"/>
    <s v="N. Brown"/>
    <s v="Monitors"/>
    <x v="347"/>
    <n v="226.04"/>
    <n v="248.64400000000001"/>
    <n v="545.72"/>
    <s v="Low"/>
    <n v="0.151"/>
    <n v="0.1"/>
    <s v=""/>
    <n v="11"/>
    <n v="13.2"/>
    <n v="2486.44"/>
    <n v="1549460.0077899997"/>
    <n v="1513874.1981199998"/>
    <n v="0.9770334119686277"/>
    <s v="C"/>
    <n v="3282.1007999999997"/>
    <n v="6483.1535999999996"/>
    <n v="5096.4790800000001"/>
    <n v="2610.03908"/>
    <n v="3201.0527999999999"/>
    <n v="0.51212592831834014"/>
  </r>
  <r>
    <s v="ORD-2023-197661"/>
    <s v="197661"/>
    <n v="2023"/>
    <d v="2023-01-19T00:00:00"/>
    <x v="25"/>
    <d v="2023-08-08T00:00:00"/>
    <s v="Aug-2023"/>
    <x v="8"/>
    <s v="Q3-2023"/>
    <n v="14"/>
    <n v="14"/>
    <n v="0"/>
    <d v="2023-08-22T00:00:00"/>
    <d v="2023-08-22T00:00:00"/>
    <x v="2"/>
    <x v="2"/>
    <s v="Birmingham"/>
    <s v="Non-Profit"/>
    <x v="0"/>
    <s v="N. Brown"/>
    <s v="Monitors"/>
    <x v="348"/>
    <n v="446.69"/>
    <n v="491.35900000000004"/>
    <n v="967.25"/>
    <s v="Medium"/>
    <n v="9.4E-2"/>
    <n v="9.4E-2"/>
    <s v=""/>
    <n v="10"/>
    <n v="12"/>
    <n v="4466.8999999999996"/>
    <n v="1549460.0077899997"/>
    <n v="1522637.4831199998"/>
    <n v="0.98268911457207786"/>
    <s v="C"/>
    <n v="5896.3080000000009"/>
    <n v="10515.942000000001"/>
    <n v="8763.2849999999999"/>
    <n v="4296.3850000000002"/>
    <n v="4619.634"/>
    <n v="0.49027105702941309"/>
  </r>
  <r>
    <s v="ORD-2023-334213"/>
    <s v="334213"/>
    <n v="2023"/>
    <d v="2023-01-15T00:00:00"/>
    <x v="26"/>
    <d v="2023-08-19T00:00:00"/>
    <s v="Aug-2023"/>
    <x v="8"/>
    <s v="Q3-2023"/>
    <n v="4"/>
    <n v="4"/>
    <n v="1"/>
    <d v="2023-08-23T00:00:00"/>
    <d v="2023-08-23T00:00:00"/>
    <x v="0"/>
    <x v="0"/>
    <s v="Abuja"/>
    <s v="Small Business"/>
    <x v="4"/>
    <s v="J. Njeri"/>
    <s v="Monitors"/>
    <x v="349"/>
    <n v="790.63"/>
    <n v="869.6930000000001"/>
    <n v="1382.31"/>
    <s v="Medium"/>
    <n v="0.10100000000000001"/>
    <n v="0.1"/>
    <s v=""/>
    <n v="7"/>
    <n v="8.4"/>
    <n v="5534.41"/>
    <n v="1549460.0077899997"/>
    <n v="1531336.3599499997"/>
    <n v="0.98830324903586908"/>
    <s v="C"/>
    <n v="7305.4212000000007"/>
    <n v="10450.2636"/>
    <n v="8698.8768300000011"/>
    <n v="3164.4668300000012"/>
    <n v="3144.8423999999995"/>
    <n v="0.36377878338116448"/>
  </r>
  <r>
    <s v="ORD-2023-749324"/>
    <s v="749324"/>
    <n v="2023"/>
    <d v="2023-01-07T00:00:00"/>
    <x v="26"/>
    <d v="2023-08-19T00:00:00"/>
    <s v="Aug-2023"/>
    <x v="8"/>
    <s v="Q3-2023"/>
    <n v="19"/>
    <n v="19"/>
    <n v="0"/>
    <d v="2023-09-07T00:00:00"/>
    <d v="2023-09-07T00:00:00"/>
    <x v="0"/>
    <x v="6"/>
    <s v="Johannesburg"/>
    <s v="Enterprise"/>
    <x v="1"/>
    <s v="D. Smith"/>
    <s v="Monitors"/>
    <x v="350"/>
    <n v="494.61"/>
    <n v="544.07100000000003"/>
    <n v="605.23"/>
    <s v="Low"/>
    <n v="0.20399999999999999"/>
    <n v="0.1"/>
    <s v=""/>
    <n v="18"/>
    <n v="21.599999999999998"/>
    <n v="8902.98"/>
    <n v="1549460.0077899997"/>
    <n v="1540008.0953899997"/>
    <n v="0.9938998668229706"/>
    <s v="C"/>
    <n v="11751.9336"/>
    <n v="11765.671199999999"/>
    <n v="8671.7354400000004"/>
    <n v="-231.24455999999918"/>
    <n v="13.737599999998565"/>
    <n v="-2.6666468505639647E-2"/>
  </r>
  <r>
    <s v="ORD-2023-304451"/>
    <s v="304451"/>
    <n v="2023"/>
    <d v="2023-01-29T00:00:00"/>
    <x v="27"/>
    <d v="2023-10-07T00:00:00"/>
    <s v="Oct-2023"/>
    <x v="9"/>
    <s v="Q4-2023"/>
    <n v="16"/>
    <n v="16"/>
    <n v="0"/>
    <d v="2023-10-23T00:00:00"/>
    <d v="2023-10-23T00:00:00"/>
    <x v="1"/>
    <x v="1"/>
    <s v="Hyderabad"/>
    <s v="Consumer"/>
    <x v="1"/>
    <s v="G. Dubois"/>
    <s v="Monitors"/>
    <x v="351"/>
    <n v="906.81"/>
    <n v="997.49099999999999"/>
    <n v="1395.56"/>
    <s v="Medium"/>
    <n v="0.185"/>
    <n v="0.1"/>
    <s v=""/>
    <n v="6"/>
    <n v="7.1999999999999993"/>
    <n v="5440.86"/>
    <n v="1549460.0077899997"/>
    <n v="1546832.3837899996"/>
    <n v="0.99830416791218257"/>
    <s v="C"/>
    <n v="7181.935199999999"/>
    <n v="9043.228799999999"/>
    <n v="6824.2884000000004"/>
    <n v="1383.4284000000007"/>
    <n v="1861.2936"/>
    <n v="0.20272126834498974"/>
  </r>
  <r>
    <s v="ORD-2023-659070"/>
    <s v="659070"/>
    <n v="2023"/>
    <d v="2023-01-19T00:00:00"/>
    <x v="28"/>
    <d v="2023-10-21T00:00:00"/>
    <s v="Oct-2023"/>
    <x v="9"/>
    <s v="Q4-2023"/>
    <n v="0"/>
    <n v="0"/>
    <n v="1"/>
    <d v="2023-10-21T00:00:00"/>
    <d v="2023-10-21T00:00:00"/>
    <x v="2"/>
    <x v="2"/>
    <s v="Manchester"/>
    <s v="Enterprise"/>
    <x v="2"/>
    <s v="J. Njeri"/>
    <s v="Monitors"/>
    <x v="352"/>
    <n v="384.19"/>
    <n v="422.60900000000004"/>
    <n v="278.35000000000002"/>
    <s v="Low"/>
    <n v="5.6000000000000001E-2"/>
    <n v="5.6000000000000001E-2"/>
    <s v=""/>
    <n v="10"/>
    <n v="12"/>
    <n v="3841.9"/>
    <n v="1549460.0077899997"/>
    <n v="1549460.0077899997"/>
    <n v="1"/>
    <s v="C"/>
    <n v="5071.3080000000009"/>
    <n v="3153.1487999999999"/>
    <n v="2627.6239999999998"/>
    <n v="-1214.2760000000003"/>
    <n v="-1918.159200000001"/>
    <n v="-0.46211938998882657"/>
  </r>
  <r>
    <s v="ORD-2023-586275"/>
    <s v="586275"/>
    <n v="2023"/>
    <d v="2023-01-20T00:00:00"/>
    <x v="0"/>
    <d v="2023-01-20T00:00:00"/>
    <s v="Jan-2023"/>
    <x v="1"/>
    <s v="Q1-2023"/>
    <n v="14"/>
    <n v="14"/>
    <n v="0"/>
    <d v="2023-02-03T00:00:00"/>
    <d v="2023-02-03T00:00:00"/>
    <x v="0"/>
    <x v="8"/>
    <s v="Kisumu"/>
    <s v="Corporate"/>
    <x v="1"/>
    <s v="M. Rossi"/>
    <s v="Networking"/>
    <x v="353"/>
    <n v="884.36"/>
    <n v="972.79600000000005"/>
    <n v="1545.34"/>
    <s v="Medium"/>
    <n v="0.24299999999999999"/>
    <n v="0.1"/>
    <s v=""/>
    <n v="41"/>
    <n v="49.199999999999996"/>
    <n v="36258.76"/>
    <n v="1773719.1704599999"/>
    <n v="47962.717579999997"/>
    <n v="2.7040761795206425E-2"/>
    <s v="A"/>
    <n v="47861.563199999997"/>
    <n v="68427.655199999994"/>
    <n v="47962.717579999997"/>
    <n v="11703.957579999995"/>
    <n v="20566.091999999997"/>
    <n v="0.24402198562827965"/>
  </r>
  <r>
    <s v="ORD-2023-521818"/>
    <s v="521818"/>
    <n v="2023"/>
    <d v="2023-01-13T00:00:00"/>
    <x v="0"/>
    <d v="2023-01-22T00:00:00"/>
    <s v="Jan-2023"/>
    <x v="1"/>
    <s v="Q1-2023"/>
    <n v="8"/>
    <n v="8"/>
    <n v="0"/>
    <d v="2023-01-30T00:00:00"/>
    <d v="2023-01-30T00:00:00"/>
    <x v="3"/>
    <x v="11"/>
    <s v="San Francisco"/>
    <s v="Small Business"/>
    <x v="4"/>
    <s v="A. Patel"/>
    <s v="Networking"/>
    <x v="354"/>
    <n v="413.52"/>
    <n v="454.87200000000001"/>
    <n v="1004.34"/>
    <s v="Medium"/>
    <n v="0.111"/>
    <n v="0.1"/>
    <s v=""/>
    <n v="18"/>
    <n v="21.599999999999998"/>
    <n v="7443.36"/>
    <n v="1773719.1704599999"/>
    <n v="64034.166259999998"/>
    <n v="3.6101637354121426E-2"/>
    <s v="A"/>
    <n v="9825.2351999999992"/>
    <n v="19524.369599999998"/>
    <n v="16071.44868"/>
    <n v="8628.0886800000007"/>
    <n v="9699.134399999999"/>
    <n v="0.53685817948304593"/>
  </r>
  <r>
    <s v="ORD-2023-139236"/>
    <s v="139236"/>
    <n v="2023"/>
    <d v="2023-03-03T00:00:00"/>
    <x v="0"/>
    <d v="2023-03-03T00:00:00"/>
    <s v="Mar-2023"/>
    <x v="4"/>
    <s v="Q1-2023"/>
    <n v="17"/>
    <n v="17"/>
    <n v="0"/>
    <d v="2023-03-20T00:00:00"/>
    <d v="2023-03-20T00:00:00"/>
    <x v="1"/>
    <x v="3"/>
    <s v="Nagoya"/>
    <s v="Small Business"/>
    <x v="4"/>
    <s v="D. Smith"/>
    <s v="Networking"/>
    <x v="355"/>
    <n v="1171.17"/>
    <n v="1288.2870000000003"/>
    <n v="2030.64"/>
    <s v="High"/>
    <n v="0.157"/>
    <n v="0.1"/>
    <s v=""/>
    <n v="11"/>
    <n v="13.2"/>
    <n v="12882.87"/>
    <n v="1773719.1704599999"/>
    <n v="82864.290979999991"/>
    <n v="4.6717818897176265E-2"/>
    <s v="A"/>
    <n v="17005.388400000003"/>
    <n v="24124.003199999999"/>
    <n v="18830.12472"/>
    <n v="5947.254719999999"/>
    <n v="7118.6147999999957"/>
    <n v="0.31583724528830415"/>
  </r>
  <r>
    <s v="ORD-2023-811823"/>
    <s v="811823"/>
    <n v="2023"/>
    <d v="2023-01-22T00:00:00"/>
    <x v="0"/>
    <d v="2023-01-26T00:00:00"/>
    <s v="Jan-2023"/>
    <x v="1"/>
    <s v="Q1-2023"/>
    <n v="20"/>
    <n v="20"/>
    <n v="0"/>
    <d v="2023-02-15T00:00:00"/>
    <d v="2023-02-15T00:00:00"/>
    <x v="2"/>
    <x v="7"/>
    <s v="Berlin"/>
    <s v="Small Business"/>
    <x v="4"/>
    <s v="O. Wang"/>
    <s v="Networking"/>
    <x v="356"/>
    <n v="492.62"/>
    <n v="541.88200000000006"/>
    <n v="366.7"/>
    <s v="Low"/>
    <n v="8.8999999999999996E-2"/>
    <n v="8.8999999999999996E-2"/>
    <s v=""/>
    <n v="10"/>
    <n v="12"/>
    <n v="4926.2"/>
    <n v="1773719.1704599999"/>
    <n v="86204.927979999993"/>
    <n v="4.8601226967425422E-2"/>
    <s v="A"/>
    <n v="6502.5840000000007"/>
    <n v="4008.7644"/>
    <n v="3340.6370000000002"/>
    <n v="-1585.5629999999996"/>
    <n v="-2493.8196000000007"/>
    <n v="-0.47462894052840809"/>
  </r>
  <r>
    <s v="ORD-2023-575584"/>
    <s v="575584"/>
    <n v="2023"/>
    <d v="2023-01-22T00:00:00"/>
    <x v="0"/>
    <d v="2023-01-30T00:00:00"/>
    <s v="Jan-2023"/>
    <x v="1"/>
    <s v="Q1-2023"/>
    <n v="22"/>
    <n v="22"/>
    <n v="0"/>
    <d v="2023-02-21T00:00:00"/>
    <d v="2023-02-21T00:00:00"/>
    <x v="2"/>
    <x v="7"/>
    <s v="Munich"/>
    <s v="Small Business"/>
    <x v="3"/>
    <s v="G. Dubois"/>
    <s v="Networking"/>
    <x v="357"/>
    <n v="1142.8800000000001"/>
    <n v="1257.1680000000001"/>
    <n v="1465.29"/>
    <s v="Medium"/>
    <n v="0.186"/>
    <n v="0.1"/>
    <s v=""/>
    <n v="7"/>
    <n v="8.4"/>
    <n v="8000.1600000000008"/>
    <n v="1773719.1704599999"/>
    <n v="94554.150399999999"/>
    <n v="5.3308410922501409E-2"/>
    <s v="A"/>
    <n v="10560.211200000002"/>
    <n v="11077.5924"/>
    <n v="8349.2224200000001"/>
    <n v="349.06241999999929"/>
    <n v="517.38119999999799"/>
    <n v="4.1807775915017401E-2"/>
  </r>
  <r>
    <s v="ORD-2023-373538"/>
    <s v="373538"/>
    <n v="2023"/>
    <d v="2023-01-20T00:00:00"/>
    <x v="1"/>
    <d v="2023-02-28T00:00:00"/>
    <s v="Feb-2023"/>
    <x v="0"/>
    <s v="Q1-2023"/>
    <n v="25"/>
    <n v="25"/>
    <n v="0"/>
    <d v="2023-03-25T00:00:00"/>
    <d v="2023-03-25T00:00:00"/>
    <x v="0"/>
    <x v="8"/>
    <s v="Nairobi"/>
    <s v="Corporate"/>
    <x v="1"/>
    <s v="I. Johnson"/>
    <s v="Networking"/>
    <x v="358"/>
    <n v="1460.76"/>
    <n v="1606.836"/>
    <n v="-30.66"/>
    <s v="Low"/>
    <n v="0.13100000000000001"/>
    <n v="0.1"/>
    <s v=""/>
    <n v="12"/>
    <n v="14.399999999999999"/>
    <n v="17529.12"/>
    <n v="1773719.1704599999"/>
    <n v="94234.427920000002"/>
    <n v="5.3128155510413215E-2"/>
    <s v="A"/>
    <n v="23138.438399999999"/>
    <n v="-397.35359999999997"/>
    <n v="-319.72248000000002"/>
    <n v="-17848.842479999999"/>
    <n v="-23535.791999999998"/>
    <n v="55.826047890032626"/>
  </r>
  <r>
    <s v="ORD-2023-156396"/>
    <s v="156396"/>
    <n v="2023"/>
    <d v="2023-01-20T00:00:00"/>
    <x v="1"/>
    <d v="2023-02-21T00:00:00"/>
    <s v="Feb-2023"/>
    <x v="0"/>
    <s v="Q1-2023"/>
    <n v="19"/>
    <n v="19"/>
    <n v="0"/>
    <d v="2023-03-12T00:00:00"/>
    <d v="2023-03-12T00:00:00"/>
    <x v="0"/>
    <x v="8"/>
    <s v="Nakuru"/>
    <s v="Corporate"/>
    <x v="4"/>
    <s v="F. Müller"/>
    <s v="Networking"/>
    <x v="359"/>
    <n v="352.65"/>
    <n v="387.91500000000002"/>
    <n v="485.86"/>
    <s v="Low"/>
    <n v="4.1000000000000002E-2"/>
    <n v="4.1000000000000002E-2"/>
    <s v=""/>
    <n v="6"/>
    <n v="7.1999999999999993"/>
    <n v="2115.8999999999996"/>
    <n v="1773719.1704599999"/>
    <n v="97030.066359999997"/>
    <n v="5.4704300419122165E-2"/>
    <s v="A"/>
    <n v="2792.9879999999998"/>
    <n v="3354.7661279999993"/>
    <n v="2795.6384399999997"/>
    <n v="679.73844000000008"/>
    <n v="561.77812799999947"/>
    <n v="0.24314247159943908"/>
  </r>
  <r>
    <s v="ORD-2023-159379"/>
    <s v="159379"/>
    <n v="2023"/>
    <d v="2023-01-07T00:00:00"/>
    <x v="1"/>
    <d v="2023-02-08T00:00:00"/>
    <s v="Feb-2023"/>
    <x v="0"/>
    <s v="Q1-2023"/>
    <n v="3"/>
    <n v="3"/>
    <n v="1"/>
    <d v="2023-02-11T00:00:00"/>
    <d v="2023-02-11T00:00:00"/>
    <x v="0"/>
    <x v="6"/>
    <s v="Cape Town"/>
    <s v="Corporate"/>
    <x v="0"/>
    <s v="M. Rossi"/>
    <s v="Networking"/>
    <x v="360"/>
    <n v="1410.05"/>
    <n v="1551.0550000000001"/>
    <n v="2763.95"/>
    <s v="High"/>
    <n v="0.161"/>
    <n v="0.1"/>
    <s v=""/>
    <n v="26"/>
    <n v="31.2"/>
    <n v="36661.299999999996"/>
    <n v="1773719.1704599999"/>
    <n v="157322.87166"/>
    <n v="8.8696606700822633E-2"/>
    <s v="A"/>
    <n v="48392.915999999997"/>
    <n v="77611.716"/>
    <n v="60292.805299999993"/>
    <n v="23631.505299999997"/>
    <n v="29218.800000000003"/>
    <n v="0.39194569206750779"/>
  </r>
  <r>
    <s v="ORD-2023-619493"/>
    <s v="619493"/>
    <n v="2023"/>
    <d v="2023-01-13T00:00:00"/>
    <x v="1"/>
    <d v="2023-02-27T00:00:00"/>
    <s v="Feb-2023"/>
    <x v="0"/>
    <s v="Q1-2023"/>
    <n v="-1"/>
    <n v="15"/>
    <n v="0"/>
    <d v="2023-02-26T00:00:00"/>
    <d v="2023-03-14T00:00:00"/>
    <x v="3"/>
    <x v="11"/>
    <s v="San Francisco"/>
    <s v="Non-Profit"/>
    <x v="4"/>
    <s v="L. Okafor"/>
    <s v="Networking"/>
    <x v="361"/>
    <n v="1015.91"/>
    <n v="1117.501"/>
    <n v="2331.48"/>
    <s v="High"/>
    <n v="0.14599999999999999"/>
    <n v="0.1"/>
    <s v=""/>
    <n v="26"/>
    <n v="31.2"/>
    <n v="26413.66"/>
    <n v="1773719.1704599999"/>
    <n v="209091.05358000001"/>
    <n v="0.1178828402276184"/>
    <s v="A"/>
    <n v="34866.031199999998"/>
    <n v="65467.958399999996"/>
    <n v="51768.181920000003"/>
    <n v="25354.521920000003"/>
    <n v="30601.927199999998"/>
    <n v="0.48977037592669626"/>
  </r>
  <r>
    <s v="ORD-2023-888245"/>
    <s v="888245"/>
    <n v="2023"/>
    <d v="2023-01-10T00:00:00"/>
    <x v="1"/>
    <d v="2023-02-28T00:00:00"/>
    <s v="Feb-2023"/>
    <x v="0"/>
    <s v="Q1-2023"/>
    <n v="-1"/>
    <n v="15"/>
    <n v="0"/>
    <d v="2023-02-27T00:00:00"/>
    <d v="2023-03-15T00:00:00"/>
    <x v="2"/>
    <x v="5"/>
    <s v="Marseille"/>
    <s v="Corporate"/>
    <x v="1"/>
    <s v="K. Singh"/>
    <s v="Networking"/>
    <x v="362"/>
    <n v="1299.81"/>
    <n v="1429.7910000000002"/>
    <n v="3149.13"/>
    <s v="High"/>
    <n v="0.10299999999999999"/>
    <n v="0.1"/>
    <s v=""/>
    <n v="14"/>
    <n v="16.8"/>
    <n v="18197.34"/>
    <n v="1773719.1704599999"/>
    <n v="248637.82812000002"/>
    <n v="0.14017880184241216"/>
    <s v="A"/>
    <n v="24020.488800000003"/>
    <n v="47614.845600000008"/>
    <n v="39546.774539999999"/>
    <n v="21349.434539999998"/>
    <n v="23594.356800000005"/>
    <n v="0.53985273864511729"/>
  </r>
  <r>
    <s v="ORD-2023-728177"/>
    <s v="728177"/>
    <n v="2023"/>
    <d v="2023-01-29T00:00:00"/>
    <x v="29"/>
    <d v="2023-12-18T00:00:00"/>
    <s v="Dec-2023"/>
    <x v="3"/>
    <s v="Q4-2023"/>
    <n v="27"/>
    <n v="27"/>
    <n v="0"/>
    <d v="2024-01-14T00:00:00"/>
    <d v="2024-01-14T00:00:00"/>
    <x v="1"/>
    <x v="1"/>
    <s v="Mumbai"/>
    <s v="Consumer"/>
    <x v="2"/>
    <s v="D. Smith"/>
    <s v="Networking"/>
    <x v="363"/>
    <n v="1408.3"/>
    <n v="1549.13"/>
    <n v="2193.13"/>
    <s v="High"/>
    <n v="7.0999999999999994E-2"/>
    <n v="7.0999999999999994E-2"/>
    <s v=""/>
    <n v="7"/>
    <n v="8.4"/>
    <n v="9858.1"/>
    <n v="1773719.1704599999"/>
    <n v="262899.75251000002"/>
    <n v="0.14821949093656075"/>
    <s v="A"/>
    <n v="13012.692000000001"/>
    <n v="17114.309268000001"/>
    <n v="14261.92439"/>
    <n v="4403.8243899999998"/>
    <n v="4101.617268"/>
    <n v="0.30878191957656281"/>
  </r>
  <r>
    <s v="ORD-2024-532184"/>
    <s v="532184"/>
    <n v="2024"/>
    <d v="2023-03-03T00:00:00"/>
    <x v="29"/>
    <d v="2024-01-25T00:00:00"/>
    <s v="Jan-2024"/>
    <x v="1"/>
    <s v="Q1-2024"/>
    <n v="14"/>
    <n v="14"/>
    <n v="0"/>
    <d v="2024-02-08T00:00:00"/>
    <d v="2024-02-08T00:00:00"/>
    <x v="1"/>
    <x v="3"/>
    <s v="Osaka"/>
    <s v="Consumer"/>
    <x v="3"/>
    <s v="I. Johnson"/>
    <s v="Networking"/>
    <x v="364"/>
    <n v="937.16"/>
    <n v="1030.876"/>
    <n v="1069.77"/>
    <s v="Medium"/>
    <n v="3.7999999999999999E-2"/>
    <n v="3.7999999999999999E-2"/>
    <s v=""/>
    <n v="9"/>
    <n v="10.799999999999999"/>
    <n v="8434.44"/>
    <n v="1773719.1704599999"/>
    <n v="272161.82117000001"/>
    <n v="0.15344132583255388"/>
    <s v="A"/>
    <n v="11133.460799999999"/>
    <n v="11114.482391999998"/>
    <n v="9262.0686600000008"/>
    <n v="827.62866000000031"/>
    <n v="-18.978408000000854"/>
    <n v="8.9356783066645962E-2"/>
  </r>
  <r>
    <s v="ORD-2024-719055"/>
    <s v="719055"/>
    <n v="2024"/>
    <d v="2023-01-13T00:00:00"/>
    <x v="2"/>
    <d v="2024-01-02T00:00:00"/>
    <s v="Jan-2024"/>
    <x v="1"/>
    <s v="Q1-2024"/>
    <n v="-1"/>
    <n v="15"/>
    <n v="0"/>
    <d v="2024-01-01T00:00:00"/>
    <d v="2024-01-17T00:00:00"/>
    <x v="3"/>
    <x v="11"/>
    <s v="Chicago"/>
    <s v="Education"/>
    <x v="3"/>
    <s v="B. Chen"/>
    <s v="Networking"/>
    <x v="365"/>
    <n v="404.77"/>
    <n v="445.24700000000001"/>
    <n v="433.88"/>
    <s v="Low"/>
    <n v="0.215"/>
    <n v="0.1"/>
    <s v=""/>
    <n v="22"/>
    <n v="26.4"/>
    <n v="8904.9399999999987"/>
    <n v="1773719.1704599999"/>
    <n v="279654.92877"/>
    <n v="0.1576658432898787"/>
    <s v="A"/>
    <n v="11754.5208"/>
    <n v="10308.988799999999"/>
    <n v="7493.1076000000012"/>
    <n v="-1411.8323999999975"/>
    <n v="-1445.5320000000011"/>
    <n v="-0.18841747314558746"/>
  </r>
  <r>
    <s v="ORD-2024-197852"/>
    <s v="197852"/>
    <n v="2024"/>
    <d v="2023-03-03T00:00:00"/>
    <x v="2"/>
    <d v="2024-02-29T00:00:00"/>
    <s v="Feb-2024"/>
    <x v="0"/>
    <s v="Q1-2024"/>
    <n v="30"/>
    <n v="30"/>
    <n v="0"/>
    <d v="2024-03-30T00:00:00"/>
    <d v="2024-03-30T00:00:00"/>
    <x v="1"/>
    <x v="3"/>
    <s v="Nagoya"/>
    <s v="Small Business"/>
    <x v="0"/>
    <s v="I. Johnson"/>
    <s v="Networking"/>
    <x v="366"/>
    <n v="231.11"/>
    <n v="254.22100000000003"/>
    <n v="318.17"/>
    <s v="Low"/>
    <n v="0.20100000000000001"/>
    <n v="0.1"/>
    <s v=""/>
    <n v="60"/>
    <n v="72"/>
    <n v="13866.6"/>
    <n v="1773719.1704599999"/>
    <n v="294907.99857"/>
    <n v="0.16626532738749053"/>
    <s v="A"/>
    <n v="18303.912000000004"/>
    <n v="20617.416000000001"/>
    <n v="15253.069799999999"/>
    <n v="1386.4697999999989"/>
    <n v="2313.5039999999972"/>
    <n v="9.0897754889969692E-2"/>
  </r>
  <r>
    <s v="ORD-2024-296582"/>
    <s v="296582"/>
    <n v="2024"/>
    <d v="2023-01-07T00:00:00"/>
    <x v="3"/>
    <d v="2024-01-11T00:00:00"/>
    <s v="Jan-2024"/>
    <x v="1"/>
    <s v="Q1-2024"/>
    <n v="22"/>
    <n v="22"/>
    <n v="0"/>
    <d v="2024-02-02T00:00:00"/>
    <d v="2024-02-02T00:00:00"/>
    <x v="0"/>
    <x v="6"/>
    <s v="Durban"/>
    <s v="Consumer"/>
    <x v="4"/>
    <s v="K. Singh"/>
    <s v="Networking"/>
    <x v="367"/>
    <n v="1206.2"/>
    <n v="1326.8200000000002"/>
    <n v="1759.79"/>
    <s v="High"/>
    <n v="0"/>
    <n v="0"/>
    <s v=""/>
    <n v="6"/>
    <n v="7.1999999999999993"/>
    <n v="7237.2000000000007"/>
    <n v="1773719.1704599999"/>
    <n v="305466.73856999999"/>
    <n v="0.17221820886717915"/>
    <s v="A"/>
    <n v="9553.1039999999994"/>
    <n v="12670.487999999999"/>
    <n v="10558.74"/>
    <n v="3321.5399999999991"/>
    <n v="3117.384"/>
    <n v="0.31457730751964713"/>
  </r>
  <r>
    <s v="ORD-2024-764468"/>
    <s v="764468"/>
    <n v="2024"/>
    <d v="2023-01-10T00:00:00"/>
    <x v="3"/>
    <d v="2024-02-01T00:00:00"/>
    <s v="Feb-2024"/>
    <x v="0"/>
    <s v="Q1-2024"/>
    <n v="20"/>
    <n v="20"/>
    <n v="0"/>
    <d v="2024-02-21T00:00:00"/>
    <d v="2024-02-21T00:00:00"/>
    <x v="2"/>
    <x v="5"/>
    <s v="Paris"/>
    <s v="Small Business"/>
    <x v="3"/>
    <s v="A. Patel"/>
    <s v="Networking"/>
    <x v="368"/>
    <n v="656.2"/>
    <n v="721.82000000000016"/>
    <n v="1467.17"/>
    <s v="Medium"/>
    <n v="1.7999999999999999E-2"/>
    <n v="1.7999999999999999E-2"/>
    <s v=""/>
    <n v="5"/>
    <n v="6"/>
    <n v="3281"/>
    <n v="1773719.1704599999"/>
    <n v="312670.54326999997"/>
    <n v="0.17627962107942452"/>
    <s v="A"/>
    <n v="4330.920000000001"/>
    <n v="8644.5656400000007"/>
    <n v="7203.8047000000006"/>
    <n v="3922.8047000000006"/>
    <n v="4313.6456399999997"/>
    <n v="0.54454623124360946"/>
  </r>
  <r>
    <s v="ORD-2024-437164"/>
    <s v="437164"/>
    <n v="2024"/>
    <d v="2023-01-13T00:00:00"/>
    <x v="4"/>
    <d v="2024-02-20T00:00:00"/>
    <s v="Feb-2024"/>
    <x v="0"/>
    <s v="Q1-2024"/>
    <n v="0"/>
    <n v="0"/>
    <n v="1"/>
    <d v="2024-02-20T00:00:00"/>
    <d v="2024-02-20T00:00:00"/>
    <x v="3"/>
    <x v="11"/>
    <s v="New York"/>
    <s v="Enterprise"/>
    <x v="4"/>
    <s v="C. Otieno"/>
    <s v="Networking"/>
    <x v="369"/>
    <n v="1407.05"/>
    <n v="1547.7550000000001"/>
    <n v="2858.93"/>
    <s v="High"/>
    <n v="0"/>
    <n v="0"/>
    <s v=""/>
    <n v="12"/>
    <n v="14.399999999999999"/>
    <n v="16884.599999999999"/>
    <n v="1773719.1704599999"/>
    <n v="346977.70326999994"/>
    <n v="0.19562155557016053"/>
    <s v="A"/>
    <n v="22287.671999999999"/>
    <n v="41168.591999999997"/>
    <n v="34307.159999999996"/>
    <n v="17422.559999999998"/>
    <n v="18880.919999999998"/>
    <n v="0.50784034586366222"/>
  </r>
  <r>
    <s v="ORD-2024-510591"/>
    <s v="510591"/>
    <n v="2024"/>
    <d v="2023-01-29T00:00:00"/>
    <x v="5"/>
    <d v="2024-04-03T00:00:00"/>
    <s v="Apr-2024"/>
    <x v="2"/>
    <s v="Q2-2024"/>
    <n v="18"/>
    <n v="18"/>
    <n v="0"/>
    <d v="2024-04-21T00:00:00"/>
    <d v="2024-04-21T00:00:00"/>
    <x v="3"/>
    <x v="9"/>
    <s v="Brasília"/>
    <s v="Small Business"/>
    <x v="2"/>
    <s v="B. Chen"/>
    <s v="Networking"/>
    <x v="370"/>
    <n v="1176.69"/>
    <n v="1294.3590000000002"/>
    <n v="2201.54"/>
    <s v="High"/>
    <n v="0.17"/>
    <n v="0.1"/>
    <s v=""/>
    <n v="27"/>
    <n v="32.4"/>
    <n v="31770.63"/>
    <n v="1773719.1704599999"/>
    <n v="396314.21466999996"/>
    <n v="0.22343684460895746"/>
    <s v="A"/>
    <n v="41937.231600000006"/>
    <n v="64196.906399999993"/>
    <n v="49336.511399999996"/>
    <n v="17565.881399999995"/>
    <n v="22259.674799999986"/>
    <n v="0.35604222717701106"/>
  </r>
  <r>
    <s v="ORD-2024-948800"/>
    <s v="948800"/>
    <n v="2024"/>
    <d v="2023-01-13T00:00:00"/>
    <x v="5"/>
    <d v="2024-03-27T00:00:00"/>
    <s v="Mar-2024"/>
    <x v="4"/>
    <s v="Q1-2024"/>
    <n v="15"/>
    <n v="15"/>
    <n v="0"/>
    <d v="2024-04-11T00:00:00"/>
    <d v="2024-04-11T00:00:00"/>
    <x v="3"/>
    <x v="11"/>
    <s v="San Francisco"/>
    <s v="Small Business"/>
    <x v="0"/>
    <s v="O. Wang"/>
    <s v="Networking"/>
    <x v="371"/>
    <n v="1338.35"/>
    <n v="1472.1849999999999"/>
    <n v="2247.14"/>
    <s v="High"/>
    <n v="0.115"/>
    <n v="0.1"/>
    <s v=""/>
    <n v="40"/>
    <n v="48"/>
    <n v="53534"/>
    <n v="1773719.1704599999"/>
    <n v="475862.97066999995"/>
    <n v="0.26828540763112385"/>
    <s v="A"/>
    <n v="70664.88"/>
    <n v="97076.448000000004"/>
    <n v="79548.755999999994"/>
    <n v="26014.755999999994"/>
    <n v="26411.567999999999"/>
    <n v="0.32702907384246205"/>
  </r>
  <r>
    <s v="ORD-2024-403664"/>
    <s v="403664"/>
    <n v="2024"/>
    <d v="2023-01-29T00:00:00"/>
    <x v="6"/>
    <d v="2024-05-23T00:00:00"/>
    <s v="May-2024"/>
    <x v="5"/>
    <s v="Q2-2024"/>
    <n v="14"/>
    <n v="14"/>
    <n v="0"/>
    <d v="2024-06-06T00:00:00"/>
    <d v="2024-06-06T00:00:00"/>
    <x v="3"/>
    <x v="9"/>
    <s v="Rio de Janeiro"/>
    <s v="Non-Profit"/>
    <x v="4"/>
    <s v="I. Johnson"/>
    <s v="Networking"/>
    <x v="372"/>
    <n v="51.13"/>
    <n v="56.243000000000009"/>
    <n v="57.53"/>
    <s v="Low"/>
    <n v="4.4999999999999998E-2"/>
    <n v="4.4999999999999998E-2"/>
    <s v=""/>
    <n v="16"/>
    <n v="19.2"/>
    <n v="818.08"/>
    <n v="1773719.1704599999"/>
    <n v="476742.02906999993"/>
    <n v="0.26878100942347072"/>
    <s v="A"/>
    <n v="1079.8656000000001"/>
    <n v="1054.8700799999999"/>
    <n v="879.05840000000001"/>
    <n v="60.978399999999965"/>
    <n v="-24.99552000000017"/>
    <n v="6.9367859973808302E-2"/>
  </r>
  <r>
    <s v="ORD-2024-402240"/>
    <s v="402240"/>
    <n v="2024"/>
    <d v="2023-01-22T00:00:00"/>
    <x v="6"/>
    <d v="2024-05-01T00:00:00"/>
    <s v="May-2024"/>
    <x v="5"/>
    <s v="Q2-2024"/>
    <n v="25"/>
    <n v="25"/>
    <n v="0"/>
    <d v="2024-05-26T00:00:00"/>
    <d v="2024-05-26T00:00:00"/>
    <x v="2"/>
    <x v="7"/>
    <s v="Berlin"/>
    <s v="Non-Profit"/>
    <x v="1"/>
    <s v="B. Chen"/>
    <s v="Networking"/>
    <x v="373"/>
    <n v="930.71"/>
    <n v="1023.7810000000002"/>
    <n v="1625.42"/>
    <s v="Medium"/>
    <n v="0.13800000000000001"/>
    <n v="0.1"/>
    <s v=""/>
    <n v="7"/>
    <n v="8.4"/>
    <n v="6514.97"/>
    <n v="1773719.1704599999"/>
    <n v="486549.81334999995"/>
    <n v="0.27431051175018711"/>
    <s v="A"/>
    <n v="8599.760400000001"/>
    <n v="12288.175200000001"/>
    <n v="9807.7842799999999"/>
    <n v="3292.8142799999996"/>
    <n v="3688.4148000000005"/>
    <n v="0.33573477821231196"/>
  </r>
  <r>
    <s v="ORD-2024-548345"/>
    <s v="548345"/>
    <n v="2024"/>
    <d v="2023-01-19T00:00:00"/>
    <x v="6"/>
    <d v="2024-05-14T00:00:00"/>
    <s v="May-2024"/>
    <x v="5"/>
    <s v="Q2-2024"/>
    <n v="14"/>
    <n v="14"/>
    <n v="0"/>
    <d v="2024-05-28T00:00:00"/>
    <d v="2024-05-28T00:00:00"/>
    <x v="2"/>
    <x v="2"/>
    <s v="Birmingham"/>
    <s v="Consumer"/>
    <x v="1"/>
    <s v="B. Chen"/>
    <s v="Networking"/>
    <x v="374"/>
    <n v="1421.14"/>
    <n v="1563.2540000000001"/>
    <n v="3524"/>
    <s v="High"/>
    <n v="0"/>
    <n v="0"/>
    <s v=""/>
    <n v="31"/>
    <n v="37.199999999999996"/>
    <n v="44055.340000000004"/>
    <n v="1773719.1704599999"/>
    <n v="595793.81334999995"/>
    <n v="0.33590087048305711"/>
    <s v="A"/>
    <n v="58153.048799999997"/>
    <n v="131092.79999999999"/>
    <n v="109244"/>
    <n v="65188.659999999996"/>
    <n v="72939.751199999999"/>
    <n v="0.59672531214528945"/>
  </r>
  <r>
    <s v="ORD-2024-465898"/>
    <s v="465898"/>
    <n v="2024"/>
    <d v="2023-01-29T00:00:00"/>
    <x v="7"/>
    <d v="2024-06-06T00:00:00"/>
    <s v="Jun-2024"/>
    <x v="6"/>
    <s v="Q2-2024"/>
    <n v="18"/>
    <n v="18"/>
    <n v="0"/>
    <d v="2024-06-24T00:00:00"/>
    <d v="2024-06-24T00:00:00"/>
    <x v="1"/>
    <x v="1"/>
    <s v="Bengaluru"/>
    <s v="Small Business"/>
    <x v="0"/>
    <s v="H. Kim"/>
    <s v="Networking"/>
    <x v="375"/>
    <n v="1253.25"/>
    <n v="1378.575"/>
    <n v="3087.13"/>
    <s v="High"/>
    <n v="7.1999999999999995E-2"/>
    <n v="7.1999999999999995E-2"/>
    <s v=""/>
    <n v="11"/>
    <n v="13.2"/>
    <n v="13785.75"/>
    <n v="1773719.1704599999"/>
    <n v="627307.23638999998"/>
    <n v="0.35366773209499269"/>
    <s v="A"/>
    <n v="18197.189999999999"/>
    <n v="37816.107648000005"/>
    <n v="31513.423040000001"/>
    <n v="17727.673040000001"/>
    <n v="19618.917648000006"/>
    <n v="0.562543555408064"/>
  </r>
  <r>
    <s v="ORD-2024-892908"/>
    <s v="892908"/>
    <n v="2024"/>
    <d v="2023-03-03T00:00:00"/>
    <x v="7"/>
    <d v="2024-07-13T00:00:00"/>
    <s v="Jul-2024"/>
    <x v="7"/>
    <s v="Q3-2024"/>
    <n v="-1"/>
    <n v="15"/>
    <n v="0"/>
    <d v="2024-07-12T00:00:00"/>
    <d v="2024-07-28T00:00:00"/>
    <x v="1"/>
    <x v="3"/>
    <s v="Nagoya"/>
    <s v="Small Business"/>
    <x v="3"/>
    <s v="F. Müller"/>
    <s v="Networking"/>
    <x v="376"/>
    <n v="105.13"/>
    <n v="115.643"/>
    <n v="244.13"/>
    <s v="Low"/>
    <n v="7.0999999999999994E-2"/>
    <n v="7.0999999999999994E-2"/>
    <s v=""/>
    <n v="14"/>
    <n v="16.8"/>
    <n v="1471.82"/>
    <n v="1773719.1704599999"/>
    <n v="630482.39116999996"/>
    <n v="0.35545784342314424"/>
    <s v="A"/>
    <n v="1942.8024"/>
    <n v="3810.1857360000004"/>
    <n v="3175.1547799999998"/>
    <n v="1703.3347799999999"/>
    <n v="1867.3833360000003"/>
    <n v="0.53645724319618837"/>
  </r>
  <r>
    <s v="ORD-2024-341535"/>
    <s v="341535"/>
    <n v="2024"/>
    <d v="2023-01-20T00:00:00"/>
    <x v="8"/>
    <d v="2024-06-25T00:00:00"/>
    <s v="Jun-2024"/>
    <x v="6"/>
    <s v="Q2-2024"/>
    <n v="5"/>
    <n v="5"/>
    <n v="1"/>
    <d v="2024-06-30T00:00:00"/>
    <d v="2024-06-30T00:00:00"/>
    <x v="0"/>
    <x v="8"/>
    <s v="Kisumu"/>
    <s v="Education"/>
    <x v="0"/>
    <s v="M. Rossi"/>
    <s v="Networking"/>
    <x v="377"/>
    <n v="1323.55"/>
    <n v="1455.905"/>
    <n v="3230.35"/>
    <s v="High"/>
    <n v="2.1999999999999999E-2"/>
    <n v="2.1999999999999999E-2"/>
    <s v=""/>
    <n v="26"/>
    <n v="31.2"/>
    <n v="34412.299999999996"/>
    <n v="1773719.1704599999"/>
    <n v="712623.73096999992"/>
    <n v="0.40176807176594176"/>
    <s v="A"/>
    <n v="45424.235999999997"/>
    <n v="98569.607759999999"/>
    <n v="82141.339799999987"/>
    <n v="47729.039799999991"/>
    <n v="53145.371760000002"/>
    <n v="0.58105991351263542"/>
  </r>
  <r>
    <s v="ORD-2024-919471"/>
    <s v="919471"/>
    <n v="2024"/>
    <d v="2023-01-07T00:00:00"/>
    <x v="8"/>
    <d v="2024-06-29T00:00:00"/>
    <s v="Jun-2024"/>
    <x v="6"/>
    <s v="Q2-2024"/>
    <n v="27"/>
    <n v="27"/>
    <n v="0"/>
    <d v="2024-07-26T00:00:00"/>
    <d v="2024-07-26T00:00:00"/>
    <x v="0"/>
    <x v="6"/>
    <s v="Durban"/>
    <s v="Enterprise"/>
    <x v="2"/>
    <s v="B. Chen"/>
    <s v="Networking"/>
    <x v="378"/>
    <n v="5.36"/>
    <n v="5.8960000000000008"/>
    <n v="4.37"/>
    <s v="Low"/>
    <n v="0.11799999999999999"/>
    <n v="0.1"/>
    <s v=""/>
    <n v="9"/>
    <n v="10.799999999999999"/>
    <n v="48.24"/>
    <n v="1773719.1704599999"/>
    <n v="712658.42002999992"/>
    <n v="0.40178762901072873"/>
    <s v="A"/>
    <n v="63.6768"/>
    <n v="42.476399999999998"/>
    <n v="34.689059999999998"/>
    <n v="-13.550940000000004"/>
    <n v="-21.200400000000002"/>
    <n v="-0.39064016148030545"/>
  </r>
  <r>
    <s v="ORD-2024-817997"/>
    <s v="817997"/>
    <n v="2024"/>
    <d v="2023-01-29T00:00:00"/>
    <x v="8"/>
    <d v="2024-07-28T00:00:00"/>
    <s v="Jul-2024"/>
    <x v="7"/>
    <s v="Q3-2024"/>
    <n v="26"/>
    <n v="26"/>
    <n v="0"/>
    <d v="2024-08-23T00:00:00"/>
    <d v="2024-08-23T00:00:00"/>
    <x v="1"/>
    <x v="1"/>
    <s v="Hyderabad"/>
    <s v="Corporate"/>
    <x v="1"/>
    <s v="J. Njeri"/>
    <s v="Networking"/>
    <x v="379"/>
    <n v="1339.24"/>
    <n v="1473.1640000000002"/>
    <n v="1558.89"/>
    <s v="Medium"/>
    <n v="0.192"/>
    <n v="0.1"/>
    <s v=""/>
    <n v="24"/>
    <n v="28.799999999999997"/>
    <n v="32141.760000000002"/>
    <n v="1773719.1704599999"/>
    <n v="742888.41490999993"/>
    <n v="0.41883091037311038"/>
    <s v="A"/>
    <n v="42427.123200000002"/>
    <n v="40406.428800000002"/>
    <n v="30229.994880000002"/>
    <n v="-1911.76512"/>
    <n v="-2020.6944000000003"/>
    <n v="-6.3240669659021781E-2"/>
  </r>
  <r>
    <s v="ORD-2024-136321"/>
    <s v="136321"/>
    <n v="2024"/>
    <d v="2023-03-03T00:00:00"/>
    <x v="8"/>
    <d v="2024-08-07T00:00:00"/>
    <s v="Aug-2024"/>
    <x v="8"/>
    <s v="Q3-2024"/>
    <n v="10"/>
    <n v="10"/>
    <n v="0"/>
    <d v="2024-08-17T00:00:00"/>
    <d v="2024-08-17T00:00:00"/>
    <x v="1"/>
    <x v="3"/>
    <s v="Osaka"/>
    <s v="Consumer"/>
    <x v="4"/>
    <s v="K. Singh"/>
    <s v="Networking"/>
    <x v="380"/>
    <n v="436.58"/>
    <n v="480.238"/>
    <n v="527.48"/>
    <s v="Low"/>
    <n v="0.111"/>
    <n v="0.1"/>
    <s v=""/>
    <n v="19"/>
    <n v="22.8"/>
    <n v="8295.02"/>
    <n v="1773719.1704599999"/>
    <n v="751798.07958999998"/>
    <n v="0.42385406444867318"/>
    <s v="A"/>
    <n v="10949.4264"/>
    <n v="10823.889600000002"/>
    <n v="8909.6646800000017"/>
    <n v="614.64468000000124"/>
    <n v="-125.53679999999804"/>
    <n v="6.8986286473802644E-2"/>
  </r>
  <r>
    <s v="ORD-2024-915495"/>
    <s v="915495"/>
    <n v="2024"/>
    <d v="2023-03-03T00:00:00"/>
    <x v="8"/>
    <d v="2024-08-08T00:00:00"/>
    <s v="Aug-2024"/>
    <x v="8"/>
    <s v="Q3-2024"/>
    <n v="12"/>
    <n v="12"/>
    <n v="0"/>
    <d v="2024-08-20T00:00:00"/>
    <d v="2024-08-20T00:00:00"/>
    <x v="1"/>
    <x v="3"/>
    <s v="Osaka"/>
    <s v="Small Business"/>
    <x v="1"/>
    <s v="H. Kim"/>
    <s v="Networking"/>
    <x v="381"/>
    <n v="1233.3599999999999"/>
    <n v="1356.6959999999999"/>
    <n v="2120.4"/>
    <s v="High"/>
    <n v="0.17899999999999999"/>
    <n v="0.1"/>
    <s v=""/>
    <n v="20"/>
    <n v="24"/>
    <n v="24667.199999999997"/>
    <n v="1773719.1704599999"/>
    <n v="786615.04758999997"/>
    <n v="0.44348342211692826"/>
    <s v="A"/>
    <n v="32560.703999999998"/>
    <n v="45800.640000000007"/>
    <n v="34816.968000000001"/>
    <n v="10149.768000000004"/>
    <n v="13239.936000000009"/>
    <n v="0.29151785991244278"/>
  </r>
  <r>
    <s v="ORD-2024-581530"/>
    <s v="581530"/>
    <n v="2024"/>
    <d v="2023-01-12T00:00:00"/>
    <x v="30"/>
    <d v="2024-09-07T00:00:00"/>
    <s v="Sept-2024"/>
    <x v="11"/>
    <s v="Q3-2024"/>
    <n v="11"/>
    <n v="11"/>
    <n v="0"/>
    <d v="2024-09-18T00:00:00"/>
    <d v="2024-09-18T00:00:00"/>
    <x v="1"/>
    <x v="4"/>
    <s v="Beijing"/>
    <s v="Consumer"/>
    <x v="2"/>
    <s v="O. Wang"/>
    <s v="Networking"/>
    <x v="382"/>
    <n v="181.74"/>
    <n v="199.91400000000002"/>
    <n v="190.84"/>
    <s v="Low"/>
    <n v="0.214"/>
    <n v="0.1"/>
    <s v=""/>
    <n v="13"/>
    <n v="15.6"/>
    <n v="2362.62"/>
    <n v="1773719.1704599999"/>
    <n v="788565.05070999998"/>
    <n v="0.44458280873487538"/>
    <s v="A"/>
    <n v="3118.6584000000003"/>
    <n v="2679.3935999999999"/>
    <n v="1950.0031200000001"/>
    <n v="-412.61687999999981"/>
    <n v="-439.26480000000038"/>
    <n v="-0.21159806144310159"/>
  </r>
  <r>
    <s v="ORD-2024-862371"/>
    <s v="862371"/>
    <n v="2024"/>
    <d v="2023-01-29T00:00:00"/>
    <x v="30"/>
    <d v="2024-09-07T00:00:00"/>
    <s v="Sept-2024"/>
    <x v="11"/>
    <s v="Q3-2024"/>
    <n v="0"/>
    <n v="0"/>
    <n v="1"/>
    <d v="2024-09-07T00:00:00"/>
    <d v="2024-09-07T00:00:00"/>
    <x v="1"/>
    <x v="1"/>
    <s v="Mumbai"/>
    <s v="Education"/>
    <x v="2"/>
    <s v="B. Chen"/>
    <s v="Networking"/>
    <x v="383"/>
    <n v="1066.6500000000001"/>
    <n v="1173.3150000000003"/>
    <n v="2569.77"/>
    <s v="High"/>
    <n v="0.13400000000000001"/>
    <n v="0.1"/>
    <s v=""/>
    <n v="9"/>
    <n v="10.799999999999999"/>
    <n v="9599.85"/>
    <n v="1773719.1704599999"/>
    <n v="808593.83808999998"/>
    <n v="0.4558747808314535"/>
    <s v="A"/>
    <n v="12671.802000000001"/>
    <n v="24978.164399999998"/>
    <n v="20028.787380000002"/>
    <n v="10428.937380000001"/>
    <n v="12306.362399999996"/>
    <n v="0.52069739331368348"/>
  </r>
  <r>
    <s v="ORD-2024-792558"/>
    <s v="792558"/>
    <n v="2024"/>
    <d v="2023-03-03T00:00:00"/>
    <x v="30"/>
    <d v="2024-10-16T00:00:00"/>
    <s v="Oct-2024"/>
    <x v="9"/>
    <s v="Q4-2024"/>
    <n v="23"/>
    <n v="23"/>
    <n v="0"/>
    <d v="2024-11-08T00:00:00"/>
    <d v="2024-11-08T00:00:00"/>
    <x v="1"/>
    <x v="3"/>
    <s v="Osaka"/>
    <s v="Small Business"/>
    <x v="1"/>
    <s v="J. Njeri"/>
    <s v="Networking"/>
    <x v="384"/>
    <n v="82.14"/>
    <n v="90.354000000000013"/>
    <n v="166.04"/>
    <s v="Low"/>
    <n v="0"/>
    <n v="0"/>
    <s v=""/>
    <n v="10"/>
    <n v="12"/>
    <n v="821.4"/>
    <n v="1773719.1704599999"/>
    <n v="810254.23809"/>
    <n v="0.45681089294415589"/>
    <s v="A"/>
    <n v="1084.248"/>
    <n v="1992.48"/>
    <n v="1660.3999999999999"/>
    <n v="838.99999999999989"/>
    <n v="908.23199999999997"/>
    <n v="0.50529992772825827"/>
  </r>
  <r>
    <s v="ORD-2024-728474"/>
    <s v="728474"/>
    <n v="2024"/>
    <d v="2023-01-19T00:00:00"/>
    <x v="30"/>
    <d v="2024-09-09T00:00:00"/>
    <s v="Sept-2024"/>
    <x v="11"/>
    <s v="Q3-2024"/>
    <n v="4"/>
    <n v="4"/>
    <n v="1"/>
    <d v="2024-09-13T00:00:00"/>
    <d v="2024-09-13T00:00:00"/>
    <x v="2"/>
    <x v="2"/>
    <s v="London"/>
    <s v="Consumer"/>
    <x v="3"/>
    <s v="F. Müller"/>
    <s v="Networking"/>
    <x v="385"/>
    <n v="1133.08"/>
    <n v="1246.3879999999999"/>
    <n v="976.17"/>
    <s v="Medium"/>
    <n v="4.2000000000000003E-2"/>
    <n v="4.2000000000000003E-2"/>
    <s v=""/>
    <n v="27"/>
    <n v="32.4"/>
    <n v="30593.159999999996"/>
    <n v="1773719.1704599999"/>
    <n v="835503.85131000006"/>
    <n v="0.47104629933797176"/>
    <s v="A"/>
    <n v="40382.971199999993"/>
    <n v="30299.535863999994"/>
    <n v="25249.613219999999"/>
    <n v="-5343.5467799999969"/>
    <n v="-10083.435335999999"/>
    <n v="-0.21162885678452373"/>
  </r>
  <r>
    <s v="ORD-2023-308124"/>
    <s v="308124"/>
    <n v="2023"/>
    <d v="2023-01-29T00:00:00"/>
    <x v="10"/>
    <d v="2023-04-19T00:00:00"/>
    <s v="Apr-2023"/>
    <x v="2"/>
    <s v="Q2-2023"/>
    <n v="11"/>
    <n v="11"/>
    <n v="0"/>
    <d v="2023-04-30T00:00:00"/>
    <d v="2023-04-30T00:00:00"/>
    <x v="1"/>
    <x v="1"/>
    <s v="Delhi"/>
    <s v="Small Business"/>
    <x v="1"/>
    <s v="A. Patel"/>
    <s v="Networking"/>
    <x v="386"/>
    <n v="826.55"/>
    <n v="909.20500000000004"/>
    <n v="1397.05"/>
    <s v="Medium"/>
    <n v="0.16900000000000001"/>
    <n v="0.1"/>
    <s v=""/>
    <n v="28"/>
    <n v="33.6"/>
    <n v="23143.399999999998"/>
    <n v="1773719.1704599999"/>
    <n v="868010.41071000008"/>
    <n v="0.48937307842531153"/>
    <s v="A"/>
    <n v="30549.288000000004"/>
    <n v="42246.792000000001"/>
    <n v="32506.559399999998"/>
    <n v="9363.1594000000005"/>
    <n v="11697.503999999997"/>
    <n v="0.28803907804527601"/>
  </r>
  <r>
    <s v="ORD-2024-966651"/>
    <s v="966651"/>
    <n v="2024"/>
    <d v="2023-01-15T00:00:00"/>
    <x v="11"/>
    <d v="2024-10-14T00:00:00"/>
    <s v="Oct-2024"/>
    <x v="9"/>
    <s v="Q4-2024"/>
    <n v="25"/>
    <n v="25"/>
    <n v="0"/>
    <d v="2024-11-08T00:00:00"/>
    <d v="2024-11-08T00:00:00"/>
    <x v="0"/>
    <x v="0"/>
    <s v="Lagos"/>
    <s v="Enterprise"/>
    <x v="4"/>
    <s v="O. Wang"/>
    <s v="Networking"/>
    <x v="387"/>
    <n v="859.35"/>
    <n v="945.28500000000008"/>
    <n v="1825.61"/>
    <s v="High"/>
    <n v="0.187"/>
    <n v="0.1"/>
    <s v=""/>
    <n v="24"/>
    <n v="28.799999999999997"/>
    <n v="20624.400000000001"/>
    <n v="1773719.1704599999"/>
    <n v="903631.7130300001"/>
    <n v="0.50945590941301633"/>
    <s v="A"/>
    <n v="27224.207999999999"/>
    <n v="47319.811199999996"/>
    <n v="35621.302319999995"/>
    <n v="14996.902319999994"/>
    <n v="20095.603199999998"/>
    <n v="0.42100937762681989"/>
  </r>
  <r>
    <s v="ORD-2024-320972"/>
    <s v="320972"/>
    <n v="2024"/>
    <d v="2023-01-20T00:00:00"/>
    <x v="31"/>
    <d v="2024-11-08T00:00:00"/>
    <s v="Nov-2024"/>
    <x v="10"/>
    <s v="Q4-2024"/>
    <n v="0"/>
    <n v="0"/>
    <n v="1"/>
    <d v="2024-11-08T00:00:00"/>
    <d v="2024-11-08T00:00:00"/>
    <x v="0"/>
    <x v="8"/>
    <s v="Nakuru"/>
    <s v="Enterprise"/>
    <x v="3"/>
    <s v="M. Rossi"/>
    <s v="Networking"/>
    <x v="388"/>
    <n v="803.28"/>
    <n v="883.60800000000006"/>
    <n v="1009"/>
    <s v="Medium"/>
    <n v="0.11"/>
    <n v="0.1"/>
    <s v=""/>
    <n v="4"/>
    <n v="4.8"/>
    <n v="3213.12"/>
    <n v="1773719.1704599999"/>
    <n v="907223.75303000014"/>
    <n v="0.51148105525336285"/>
    <s v="A"/>
    <n v="4241.3184000000001"/>
    <n v="4358.88"/>
    <n v="3592.04"/>
    <n v="378.92000000000007"/>
    <n v="117.5616"/>
    <n v="0.10548880302001093"/>
  </r>
  <r>
    <s v="ORD-2024-588972"/>
    <s v="588972"/>
    <n v="2024"/>
    <d v="2023-01-29T00:00:00"/>
    <x v="31"/>
    <d v="2024-11-02T00:00:00"/>
    <s v="Nov-2024"/>
    <x v="10"/>
    <s v="Q4-2024"/>
    <n v="27"/>
    <n v="27"/>
    <n v="0"/>
    <d v="2024-11-29T00:00:00"/>
    <d v="2024-11-29T00:00:00"/>
    <x v="3"/>
    <x v="9"/>
    <s v="Brasília"/>
    <s v="Small Business"/>
    <x v="0"/>
    <s v="I. Johnson"/>
    <s v="Networking"/>
    <x v="389"/>
    <n v="1363.51"/>
    <n v="1499.8610000000001"/>
    <n v="1433.9"/>
    <s v="Medium"/>
    <n v="5.7000000000000002E-2"/>
    <n v="5.7000000000000002E-2"/>
    <s v=""/>
    <n v="8"/>
    <n v="9.6"/>
    <n v="10908.08"/>
    <n v="1773719.1704599999"/>
    <n v="918041.09463000018"/>
    <n v="0.51757973298101834"/>
    <s v="A"/>
    <n v="14398.6656"/>
    <n v="12980.80992"/>
    <n v="10817.3416"/>
    <n v="-90.738400000000183"/>
    <n v="-1417.8556800000006"/>
    <n v="-8.3882346842037592E-3"/>
  </r>
  <r>
    <s v="ORD-2024-732543"/>
    <s v="732543"/>
    <n v="2024"/>
    <d v="2023-01-12T00:00:00"/>
    <x v="31"/>
    <d v="2024-10-24T00:00:00"/>
    <s v="Oct-2024"/>
    <x v="9"/>
    <s v="Q4-2024"/>
    <n v="4"/>
    <n v="4"/>
    <n v="1"/>
    <d v="2024-10-28T00:00:00"/>
    <d v="2024-10-28T00:00:00"/>
    <x v="1"/>
    <x v="4"/>
    <s v="Shanghai"/>
    <s v="Small Business"/>
    <x v="2"/>
    <s v="I. Johnson"/>
    <s v="Networking"/>
    <x v="390"/>
    <n v="1331.77"/>
    <n v="1464.9470000000001"/>
    <n v="2606.11"/>
    <s v="High"/>
    <n v="0.02"/>
    <n v="0.02"/>
    <s v=""/>
    <n v="6"/>
    <n v="7.1999999999999993"/>
    <n v="7990.62"/>
    <n v="1773719.1704599999"/>
    <n v="933365.0214300002"/>
    <n v="0.52621916534168112"/>
    <s v="A"/>
    <n v="10547.618399999999"/>
    <n v="18388.712159999999"/>
    <n v="15323.926799999999"/>
    <n v="7333.3067999999994"/>
    <n v="7841.0937599999997"/>
    <n v="0.47855271665745619"/>
  </r>
  <r>
    <s v="ORD-2024-496601"/>
    <s v="496601"/>
    <n v="2024"/>
    <d v="2023-01-19T00:00:00"/>
    <x v="31"/>
    <d v="2024-11-11T00:00:00"/>
    <s v="Nov-2024"/>
    <x v="10"/>
    <s v="Q4-2024"/>
    <n v="13"/>
    <n v="13"/>
    <n v="0"/>
    <d v="2024-11-24T00:00:00"/>
    <d v="2024-11-24T00:00:00"/>
    <x v="2"/>
    <x v="2"/>
    <s v="London"/>
    <s v="Corporate"/>
    <x v="1"/>
    <s v="E. Garcia"/>
    <s v="Networking"/>
    <x v="391"/>
    <n v="164.53"/>
    <n v="180.983"/>
    <n v="327.72"/>
    <s v="Low"/>
    <n v="6.7000000000000004E-2"/>
    <n v="6.7000000000000004E-2"/>
    <s v=""/>
    <n v="14"/>
    <n v="16.8"/>
    <n v="2303.42"/>
    <n v="1773719.1704599999"/>
    <n v="937645.70007000025"/>
    <n v="0.5286325567687411"/>
    <s v="A"/>
    <n v="3040.5144"/>
    <n v="5136.8143680000012"/>
    <n v="4280.6786400000001"/>
    <n v="1977.25864"/>
    <n v="2096.2999680000012"/>
    <n v="0.46190307805960412"/>
  </r>
  <r>
    <s v="ORD-2024-972318"/>
    <s v="972318"/>
    <n v="2024"/>
    <d v="2023-01-29T00:00:00"/>
    <x v="12"/>
    <d v="2024-12-24T00:00:00"/>
    <s v="Dec-2024"/>
    <x v="3"/>
    <s v="Q4-2024"/>
    <n v="20"/>
    <n v="20"/>
    <n v="0"/>
    <d v="2025-01-13T00:00:00"/>
    <d v="2025-01-13T00:00:00"/>
    <x v="1"/>
    <x v="1"/>
    <s v="Bengaluru"/>
    <s v="Corporate"/>
    <x v="3"/>
    <s v="D. Smith"/>
    <s v="Networking"/>
    <x v="392"/>
    <n v="126.15"/>
    <n v="138.76500000000001"/>
    <n v="284.23"/>
    <s v="Low"/>
    <n v="0.113"/>
    <n v="0.1"/>
    <s v=""/>
    <n v="22"/>
    <n v="26.4"/>
    <n v="2775.3"/>
    <n v="1773719.1704599999"/>
    <n v="943192.16429000022"/>
    <n v="0.53175958178621419"/>
    <s v="A"/>
    <n v="3663.3960000000002"/>
    <n v="6753.3048000000008"/>
    <n v="5546.4642200000008"/>
    <n v="2771.1642200000006"/>
    <n v="3089.9088000000006"/>
    <n v="0.49962716968541088"/>
  </r>
  <r>
    <s v="ORD-2024-140633"/>
    <s v="140633"/>
    <n v="2024"/>
    <d v="2023-01-19T00:00:00"/>
    <x v="12"/>
    <d v="2024-12-07T00:00:00"/>
    <s v="Dec-2024"/>
    <x v="3"/>
    <s v="Q4-2024"/>
    <n v="19"/>
    <n v="19"/>
    <n v="0"/>
    <d v="2024-12-26T00:00:00"/>
    <d v="2024-12-26T00:00:00"/>
    <x v="2"/>
    <x v="2"/>
    <s v="London"/>
    <s v="Enterprise"/>
    <x v="4"/>
    <s v="D. Smith"/>
    <s v="Networking"/>
    <x v="393"/>
    <n v="1035.24"/>
    <n v="1138.7640000000001"/>
    <n v="2383.41"/>
    <s v="High"/>
    <n v="0.17"/>
    <n v="0.1"/>
    <s v=""/>
    <n v="15"/>
    <n v="18"/>
    <n v="15528.6"/>
    <n v="1773719.1704599999"/>
    <n v="972865.61879000021"/>
    <n v="0.54848909285774661"/>
    <s v="A"/>
    <n v="20497.752"/>
    <n v="38611.241999999998"/>
    <n v="29673.454499999993"/>
    <n v="14144.854499999992"/>
    <n v="18113.489999999998"/>
    <n v="0.47668378145860962"/>
  </r>
  <r>
    <s v="ORD-2024-800947"/>
    <s v="800947"/>
    <n v="2024"/>
    <d v="2023-01-12T00:00:00"/>
    <x v="13"/>
    <d v="2024-12-15T00:00:00"/>
    <s v="Dec-2024"/>
    <x v="3"/>
    <s v="Q4-2024"/>
    <n v="5"/>
    <n v="5"/>
    <n v="1"/>
    <d v="2024-12-20T00:00:00"/>
    <d v="2024-12-20T00:00:00"/>
    <x v="1"/>
    <x v="4"/>
    <s v="Shenzhen"/>
    <s v="Small Business"/>
    <x v="0"/>
    <s v="J. Njeri"/>
    <s v="Networking"/>
    <x v="394"/>
    <n v="717.55"/>
    <n v="789.30500000000006"/>
    <n v="546.42999999999995"/>
    <s v="Low"/>
    <n v="4.7E-2"/>
    <n v="4.7E-2"/>
    <s v=""/>
    <n v="18"/>
    <n v="21.599999999999998"/>
    <n v="12915.9"/>
    <n v="1773719.1704599999"/>
    <n v="982239.07901000022"/>
    <n v="0.55377372887911247"/>
    <s v="A"/>
    <n v="17048.988000000001"/>
    <n v="11248.152263999997"/>
    <n v="9373.460219999999"/>
    <n v="-3542.4397800000006"/>
    <n v="-5800.8357360000045"/>
    <n v="-0.37792231437026369"/>
  </r>
  <r>
    <s v="ORD-2025-636162"/>
    <s v="636162"/>
    <n v="2025"/>
    <d v="2023-01-07T00:00:00"/>
    <x v="14"/>
    <d v="2025-01-07T00:00:00"/>
    <s v="Jan-2025"/>
    <x v="1"/>
    <s v="Q1-2025"/>
    <n v="13"/>
    <n v="13"/>
    <n v="0"/>
    <d v="2025-01-20T00:00:00"/>
    <d v="2025-01-20T00:00:00"/>
    <x v="0"/>
    <x v="6"/>
    <s v="Cape Town"/>
    <s v="Corporate"/>
    <x v="0"/>
    <s v="K. Singh"/>
    <s v="Networking"/>
    <x v="395"/>
    <n v="432.13"/>
    <n v="475.34300000000002"/>
    <n v="1034.6600000000001"/>
    <s v="Medium"/>
    <n v="9.1999999999999998E-2"/>
    <n v="9.1999999999999998E-2"/>
    <s v=""/>
    <n v="7"/>
    <n v="8.4"/>
    <n v="3024.91"/>
    <n v="1773719.1704599999"/>
    <n v="988815.37797000026"/>
    <n v="0.55748136144548677"/>
    <s v="A"/>
    <n v="3992.8812000000003"/>
    <n v="7891.5587520000008"/>
    <n v="6576.298960000001"/>
    <n v="3551.3889600000011"/>
    <n v="3898.6775520000006"/>
    <n v="0.54002851476204794"/>
  </r>
  <r>
    <s v="ORD-2025-915869"/>
    <s v="915869"/>
    <n v="2025"/>
    <d v="2023-01-29T00:00:00"/>
    <x v="14"/>
    <d v="2025-02-06T00:00:00"/>
    <s v="Feb-2025"/>
    <x v="0"/>
    <s v="Q1-2025"/>
    <n v="9"/>
    <n v="9"/>
    <n v="0"/>
    <d v="2025-02-15T00:00:00"/>
    <d v="2025-02-15T00:00:00"/>
    <x v="3"/>
    <x v="9"/>
    <s v="São Paulo"/>
    <s v="Non-Profit"/>
    <x v="2"/>
    <s v="F. Müller"/>
    <s v="Networking"/>
    <x v="396"/>
    <n v="837.39"/>
    <n v="921.12900000000002"/>
    <n v="1905.42"/>
    <s v="High"/>
    <n v="3.2000000000000001E-2"/>
    <n v="3.2000000000000001E-2"/>
    <s v=""/>
    <n v="18"/>
    <n v="21.599999999999998"/>
    <n v="15073.02"/>
    <n v="1773719.1704599999"/>
    <n v="1022015.4160500002"/>
    <n v="0.57619911487169007"/>
    <s v="A"/>
    <n v="19896.386399999999"/>
    <n v="39840.045696000001"/>
    <n v="33200.038079999998"/>
    <n v="18127.018079999998"/>
    <n v="19943.659296000002"/>
    <n v="0.54599389423350919"/>
  </r>
  <r>
    <s v="ORD-2025-685236"/>
    <s v="685236"/>
    <n v="2025"/>
    <d v="2023-03-03T00:00:00"/>
    <x v="14"/>
    <d v="2025-03-14T00:00:00"/>
    <s v="Mar-2025"/>
    <x v="4"/>
    <s v="Q1-2025"/>
    <n v="15"/>
    <n v="15"/>
    <n v="0"/>
    <d v="2025-03-29T00:00:00"/>
    <d v="2025-03-29T00:00:00"/>
    <x v="1"/>
    <x v="3"/>
    <s v="Tokyo"/>
    <s v="Non-Profit"/>
    <x v="0"/>
    <s v="H. Kim"/>
    <s v="Networking"/>
    <x v="397"/>
    <n v="1106.96"/>
    <n v="1217.6560000000002"/>
    <n v="2726.62"/>
    <s v="High"/>
    <n v="0.317"/>
    <n v="0.1"/>
    <s v="&gt;0.3"/>
    <n v="7"/>
    <n v="8.4"/>
    <n v="7748.72"/>
    <n v="1773719.1704599999"/>
    <n v="1035051.3862700003"/>
    <n v="0.58354862681084285"/>
    <s v="A"/>
    <n v="10228.310400000002"/>
    <n v="20613.247200000002"/>
    <n v="13035.970220000001"/>
    <n v="5287.2502200000008"/>
    <n v="10384.936799999999"/>
    <n v="0.40558931408789306"/>
  </r>
  <r>
    <s v="ORD-2025-659650"/>
    <s v="659650"/>
    <n v="2025"/>
    <d v="2023-01-19T00:00:00"/>
    <x v="14"/>
    <d v="2025-02-04T00:00:00"/>
    <s v="Feb-2025"/>
    <x v="0"/>
    <s v="Q1-2025"/>
    <n v="4"/>
    <n v="4"/>
    <n v="1"/>
    <d v="2025-02-08T00:00:00"/>
    <d v="2025-02-08T00:00:00"/>
    <x v="2"/>
    <x v="2"/>
    <s v="Manchester"/>
    <s v="Enterprise"/>
    <x v="3"/>
    <s v="L. Okafor"/>
    <s v="Networking"/>
    <x v="398"/>
    <n v="586.21"/>
    <n v="644.83100000000013"/>
    <n v="727.22"/>
    <s v="Low"/>
    <n v="6.8000000000000005E-2"/>
    <n v="6.8000000000000005E-2"/>
    <s v=""/>
    <n v="15"/>
    <n v="18"/>
    <n v="8793.1500000000015"/>
    <n v="1773719.1704599999"/>
    <n v="1045217.9218700002"/>
    <n v="0.58928038850644615"/>
    <s v="A"/>
    <n v="11606.958000000002"/>
    <n v="12199.842720000001"/>
    <n v="10166.535600000001"/>
    <n v="1373.3855999999996"/>
    <n v="592.8847199999982"/>
    <n v="0.13508884973559721"/>
  </r>
  <r>
    <s v="ORD-2025-680118"/>
    <s v="680118"/>
    <n v="2025"/>
    <d v="2023-01-29T00:00:00"/>
    <x v="15"/>
    <d v="2025-03-10T00:00:00"/>
    <s v="Mar-2025"/>
    <x v="4"/>
    <s v="Q1-2025"/>
    <n v="17"/>
    <n v="17"/>
    <n v="0"/>
    <d v="2025-03-27T00:00:00"/>
    <d v="2025-03-27T00:00:00"/>
    <x v="3"/>
    <x v="9"/>
    <s v="Rio de Janeiro"/>
    <s v="Enterprise"/>
    <x v="0"/>
    <s v="F. Müller"/>
    <s v="Networking"/>
    <x v="399"/>
    <n v="996.73"/>
    <n v="1096.403"/>
    <n v="1217.43"/>
    <s v="Medium"/>
    <n v="7.0000000000000007E-2"/>
    <n v="7.0000000000000007E-2"/>
    <s v=""/>
    <n v="9"/>
    <n v="10.799999999999999"/>
    <n v="8970.57"/>
    <n v="1773719.1704599999"/>
    <n v="1055407.8109700002"/>
    <n v="0.59502531660425628"/>
    <s v="A"/>
    <n v="11841.152399999999"/>
    <n v="12227.866919999999"/>
    <n v="10189.8891"/>
    <n v="1219.3191000000006"/>
    <n v="386.71451999999954"/>
    <n v="0.11965970267527255"/>
  </r>
  <r>
    <s v="ORD-2025-626047"/>
    <s v="626047"/>
    <n v="2025"/>
    <d v="2023-03-03T00:00:00"/>
    <x v="15"/>
    <d v="2025-04-28T00:00:00"/>
    <s v="Apr-2025"/>
    <x v="2"/>
    <s v="Q2-2025"/>
    <n v="17"/>
    <n v="17"/>
    <n v="0"/>
    <d v="2025-05-15T00:00:00"/>
    <d v="2025-05-15T00:00:00"/>
    <x v="1"/>
    <x v="3"/>
    <s v="Nagoya"/>
    <s v="Education"/>
    <x v="0"/>
    <s v="N. Brown"/>
    <s v="Networking"/>
    <x v="400"/>
    <n v="691.19"/>
    <n v="760.30900000000008"/>
    <n v="1284.3"/>
    <s v="Medium"/>
    <n v="7.3999999999999996E-2"/>
    <n v="7.3999999999999996E-2"/>
    <s v=""/>
    <n v="7"/>
    <n v="8.4"/>
    <n v="4838.33"/>
    <n v="1773719.1704599999"/>
    <n v="1063732.6435700003"/>
    <n v="0.59971874989327068"/>
    <s v="A"/>
    <n v="6386.5956000000006"/>
    <n v="9989.7991200000015"/>
    <n v="8324.8326000000015"/>
    <n v="3486.5026000000016"/>
    <n v="3603.2035200000009"/>
    <n v="0.41880753253825198"/>
  </r>
  <r>
    <s v="ORD-2025-608069"/>
    <s v="608069"/>
    <n v="2025"/>
    <d v="2023-01-20T00:00:00"/>
    <x v="16"/>
    <d v="2025-04-12T00:00:00"/>
    <s v="Apr-2025"/>
    <x v="2"/>
    <s v="Q2-2025"/>
    <n v="18"/>
    <n v="18"/>
    <n v="0"/>
    <d v="2025-04-30T00:00:00"/>
    <d v="2025-04-30T00:00:00"/>
    <x v="0"/>
    <x v="8"/>
    <s v="Kisumu"/>
    <s v="Corporate"/>
    <x v="3"/>
    <s v="F. Müller"/>
    <s v="Networking"/>
    <x v="401"/>
    <n v="1119.04"/>
    <n v="1230.944"/>
    <n v="1299.02"/>
    <s v="Medium"/>
    <n v="2.5000000000000001E-2"/>
    <n v="2.5000000000000001E-2"/>
    <s v=""/>
    <n v="14"/>
    <n v="16.8"/>
    <n v="15666.56"/>
    <n v="1773719.1704599999"/>
    <n v="1081464.2665700002"/>
    <n v="0.60971561032941368"/>
    <s v="A"/>
    <n v="20679.859199999999"/>
    <n v="21277.9476"/>
    <n v="17731.623"/>
    <n v="2065.0630000000001"/>
    <n v="598.08840000000055"/>
    <n v="0.11646215352085933"/>
  </r>
  <r>
    <s v="ORD-2025-907040"/>
    <s v="907040"/>
    <n v="2025"/>
    <d v="2023-01-29T00:00:00"/>
    <x v="16"/>
    <d v="2025-04-17T00:00:00"/>
    <s v="Apr-2025"/>
    <x v="2"/>
    <s v="Q2-2025"/>
    <n v="16"/>
    <n v="16"/>
    <n v="0"/>
    <d v="2025-05-03T00:00:00"/>
    <d v="2025-05-03T00:00:00"/>
    <x v="3"/>
    <x v="9"/>
    <s v="Rio de Janeiro"/>
    <s v="Consumer"/>
    <x v="3"/>
    <s v="J. Njeri"/>
    <s v="Networking"/>
    <x v="402"/>
    <n v="168.68"/>
    <n v="185.54800000000003"/>
    <n v="413.34"/>
    <s v="Low"/>
    <n v="0.186"/>
    <n v="0.1"/>
    <s v=""/>
    <n v="7"/>
    <n v="8.4"/>
    <n v="1180.76"/>
    <n v="1773719.1704599999"/>
    <n v="1083819.4778900002"/>
    <n v="0.6110434481062299"/>
    <s v="A"/>
    <n v="1558.6032000000002"/>
    <n v="3124.8504000000003"/>
    <n v="2355.2113199999999"/>
    <n v="1174.4513199999999"/>
    <n v="1566.2472"/>
    <n v="0.49866069767361682"/>
  </r>
  <r>
    <s v="ORD-2025-331237"/>
    <s v="331237"/>
    <n v="2025"/>
    <d v="2023-01-12T00:00:00"/>
    <x v="16"/>
    <d v="2025-03-24T00:00:00"/>
    <s v="Mar-2025"/>
    <x v="4"/>
    <s v="Q1-2025"/>
    <n v="1"/>
    <n v="1"/>
    <n v="1"/>
    <d v="2025-03-25T00:00:00"/>
    <d v="2025-03-25T00:00:00"/>
    <x v="1"/>
    <x v="4"/>
    <s v="Beijing"/>
    <s v="Non-Profit"/>
    <x v="4"/>
    <s v="G. Dubois"/>
    <s v="Networking"/>
    <x v="403"/>
    <n v="1133.03"/>
    <n v="1246.3330000000001"/>
    <n v="1921.51"/>
    <s v="High"/>
    <n v="0.10100000000000001"/>
    <n v="0.1"/>
    <s v=""/>
    <n v="5"/>
    <n v="6"/>
    <n v="5665.15"/>
    <n v="1773719.1704599999"/>
    <n v="1092456.6653400003"/>
    <n v="0.61591298303252839"/>
    <s v="A"/>
    <n v="7477.9980000000005"/>
    <n v="10376.154"/>
    <n v="8637.1874499999994"/>
    <n v="2972.0374499999998"/>
    <n v="2898.1559999999999"/>
    <n v="0.3440978289755654"/>
  </r>
  <r>
    <s v="ORD-2025-548982"/>
    <s v="548982"/>
    <n v="2025"/>
    <d v="2023-01-10T00:00:00"/>
    <x v="16"/>
    <d v="2025-04-07T00:00:00"/>
    <s v="Apr-2025"/>
    <x v="2"/>
    <s v="Q2-2025"/>
    <n v="4"/>
    <n v="4"/>
    <n v="1"/>
    <d v="2025-04-11T00:00:00"/>
    <d v="2025-04-11T00:00:00"/>
    <x v="2"/>
    <x v="5"/>
    <s v="Lyon"/>
    <s v="Education"/>
    <x v="1"/>
    <s v="E. Garcia"/>
    <s v="Networking"/>
    <x v="404"/>
    <n v="754.77"/>
    <n v="830.24700000000007"/>
    <n v="1666.18"/>
    <s v="High"/>
    <n v="0.13900000000000001"/>
    <n v="0.1"/>
    <s v=""/>
    <n v="14"/>
    <n v="16.8"/>
    <n v="10566.779999999999"/>
    <n v="1773719.1704599999"/>
    <n v="1112540.7990600003"/>
    <n v="0.6272361586820262"/>
    <s v="A"/>
    <n v="13948.149600000002"/>
    <n v="25192.641600000003"/>
    <n v="20084.133720000002"/>
    <n v="9517.3537200000028"/>
    <n v="11244.492"/>
    <n v="0.47387424584424653"/>
  </r>
  <r>
    <s v="ORD-2025-330203"/>
    <s v="330203"/>
    <n v="2025"/>
    <d v="2023-01-19T00:00:00"/>
    <x v="16"/>
    <d v="2025-03-25T00:00:00"/>
    <s v="Mar-2025"/>
    <x v="4"/>
    <s v="Q1-2025"/>
    <n v="23"/>
    <n v="23"/>
    <n v="0"/>
    <d v="2025-04-17T00:00:00"/>
    <d v="2025-04-17T00:00:00"/>
    <x v="2"/>
    <x v="2"/>
    <s v="London"/>
    <s v="Consumer"/>
    <x v="1"/>
    <s v="H. Kim"/>
    <s v="Networking"/>
    <x v="405"/>
    <n v="1421.19"/>
    <n v="1563.3090000000002"/>
    <n v="1808.26"/>
    <s v="High"/>
    <n v="0.104"/>
    <n v="0.1"/>
    <s v=""/>
    <n v="13"/>
    <n v="15.6"/>
    <n v="18475.47"/>
    <n v="1773719.1704599999"/>
    <n v="1133603.4115400002"/>
    <n v="0.6391109880410264"/>
    <s v="A"/>
    <n v="24387.620400000003"/>
    <n v="25387.970400000002"/>
    <n v="21062.61248"/>
    <n v="2587.1424799999986"/>
    <n v="1000.3499999999985"/>
    <n v="0.12283103449093123"/>
  </r>
  <r>
    <s v="ORD-2025-306251"/>
    <s v="306251"/>
    <n v="2025"/>
    <d v="2023-01-07T00:00:00"/>
    <x v="17"/>
    <d v="2025-04-10T00:00:00"/>
    <s v="Apr-2025"/>
    <x v="2"/>
    <s v="Q2-2025"/>
    <n v="9"/>
    <n v="9"/>
    <n v="0"/>
    <d v="2025-04-19T00:00:00"/>
    <d v="2025-04-19T00:00:00"/>
    <x v="0"/>
    <x v="6"/>
    <s v="Durban"/>
    <s v="Enterprise"/>
    <x v="2"/>
    <s v="G. Dubois"/>
    <s v="Networking"/>
    <x v="406"/>
    <n v="113.74"/>
    <n v="125.114"/>
    <n v="165.7"/>
    <s v="Low"/>
    <n v="0.124"/>
    <n v="0.1"/>
    <s v=""/>
    <n v="13"/>
    <n v="15.6"/>
    <n v="1478.62"/>
    <n v="1773719.1704599999"/>
    <n v="1135490.4031400003"/>
    <n v="0.64017484957639592"/>
    <s v="A"/>
    <n v="1951.7783999999999"/>
    <n v="2326.4279999999999"/>
    <n v="1886.9915999999998"/>
    <n v="408.37159999999994"/>
    <n v="374.64959999999996"/>
    <n v="0.21641410592394794"/>
  </r>
  <r>
    <s v="ORD-2025-364852"/>
    <s v="364852"/>
    <n v="2025"/>
    <d v="2023-01-13T00:00:00"/>
    <x v="18"/>
    <d v="2025-05-18T00:00:00"/>
    <s v="May-2025"/>
    <x v="5"/>
    <s v="Q2-2025"/>
    <n v="22"/>
    <n v="22"/>
    <n v="0"/>
    <d v="2025-06-09T00:00:00"/>
    <d v="2025-06-09T00:00:00"/>
    <x v="3"/>
    <x v="11"/>
    <s v="New York"/>
    <s v="Consumer"/>
    <x v="1"/>
    <s v="H. Kim"/>
    <s v="Networking"/>
    <x v="407"/>
    <n v="382.96"/>
    <n v="421.25600000000003"/>
    <n v="552.84"/>
    <s v="Low"/>
    <n v="0.17599999999999999"/>
    <n v="0.1"/>
    <s v=""/>
    <n v="8"/>
    <n v="9.6"/>
    <n v="3063.68"/>
    <n v="1773719.1704599999"/>
    <n v="1139134.7244200003"/>
    <n v="0.64222947092835159"/>
    <s v="A"/>
    <n v="4044.0576000000001"/>
    <n v="4776.5376000000006"/>
    <n v="3644.3212800000006"/>
    <n v="580.64128000000073"/>
    <n v="732.48000000000047"/>
    <n v="0.15932768693763483"/>
  </r>
  <r>
    <s v="ORD-2025-188059"/>
    <s v="188059"/>
    <n v="2025"/>
    <d v="2023-01-12T00:00:00"/>
    <x v="19"/>
    <d v="2025-06-27T00:00:00"/>
    <s v="Jun-2025"/>
    <x v="6"/>
    <s v="Q2-2025"/>
    <n v="14"/>
    <n v="14"/>
    <n v="0"/>
    <d v="2025-07-11T00:00:00"/>
    <d v="2025-07-11T00:00:00"/>
    <x v="1"/>
    <x v="4"/>
    <s v="Shanghai"/>
    <s v="Small Business"/>
    <x v="3"/>
    <s v="L. Okafor"/>
    <s v="Networking"/>
    <x v="408"/>
    <n v="1227.7"/>
    <n v="1350.4700000000003"/>
    <n v="2197.23"/>
    <s v="High"/>
    <n v="9.9000000000000005E-2"/>
    <n v="9.9000000000000005E-2"/>
    <s v=""/>
    <n v="22"/>
    <n v="26.4"/>
    <n v="27009.4"/>
    <n v="1773719.1704599999"/>
    <n v="1182688.2174800003"/>
    <n v="0.66678436878667757"/>
    <s v="A"/>
    <n v="35652.408000000003"/>
    <n v="52264.191672000001"/>
    <n v="43553.493060000001"/>
    <n v="16544.093059999999"/>
    <n v="16611.783671999998"/>
    <n v="0.37985685871873898"/>
  </r>
  <r>
    <s v="ORD-2025-184082"/>
    <s v="184082"/>
    <n v="2025"/>
    <d v="2023-01-19T00:00:00"/>
    <x v="19"/>
    <d v="2025-06-19T00:00:00"/>
    <s v="Jun-2025"/>
    <x v="6"/>
    <s v="Q2-2025"/>
    <n v="23"/>
    <n v="23"/>
    <n v="0"/>
    <d v="2025-07-12T00:00:00"/>
    <d v="2025-07-12T00:00:00"/>
    <x v="2"/>
    <x v="2"/>
    <s v="London"/>
    <s v="Non-Profit"/>
    <x v="0"/>
    <s v="D. Smith"/>
    <s v="Networking"/>
    <x v="409"/>
    <n v="801.24"/>
    <n v="881.36400000000003"/>
    <n v="1959.09"/>
    <s v="High"/>
    <n v="0.123"/>
    <n v="0.1"/>
    <s v=""/>
    <n v="23"/>
    <n v="27.599999999999998"/>
    <n v="18428.52"/>
    <n v="1773719.1704599999"/>
    <n v="1222205.0218700003"/>
    <n v="0.68906343361730205"/>
    <s v="A"/>
    <n v="24325.646399999998"/>
    <n v="48663.79559999999"/>
    <n v="39516.804389999998"/>
    <n v="21088.284389999997"/>
    <n v="24338.149199999993"/>
    <n v="0.53365358650651762"/>
  </r>
  <r>
    <s v="ORD-2023-177794"/>
    <s v="177794"/>
    <n v="2023"/>
    <d v="2023-01-13T00:00:00"/>
    <x v="20"/>
    <d v="2023-05-04T00:00:00"/>
    <s v="May-2023"/>
    <x v="5"/>
    <s v="Q2-2023"/>
    <n v="22"/>
    <n v="22"/>
    <n v="0"/>
    <d v="2023-05-26T00:00:00"/>
    <d v="2023-05-26T00:00:00"/>
    <x v="3"/>
    <x v="11"/>
    <s v="San Francisco"/>
    <s v="Enterprise"/>
    <x v="4"/>
    <s v="J. Njeri"/>
    <s v="Networking"/>
    <x v="410"/>
    <n v="249.71"/>
    <n v="274.68100000000004"/>
    <n v="361.33"/>
    <s v="Low"/>
    <n v="9.4E-2"/>
    <n v="9.4E-2"/>
    <s v=""/>
    <n v="12"/>
    <n v="14.399999999999999"/>
    <n v="2996.52"/>
    <n v="1773719.1704599999"/>
    <n v="1226133.4016300002"/>
    <n v="0.69127820347795654"/>
    <s v="A"/>
    <n v="3955.4064000000003"/>
    <n v="4714.0557119999994"/>
    <n v="3928.3797600000003"/>
    <n v="931.85976000000028"/>
    <n v="758.6493119999991"/>
    <n v="0.23721223937881206"/>
  </r>
  <r>
    <s v="ORD-2023-766015"/>
    <s v="766015"/>
    <n v="2023"/>
    <d v="2023-01-13T00:00:00"/>
    <x v="20"/>
    <d v="2023-04-13T00:00:00"/>
    <s v="Apr-2023"/>
    <x v="2"/>
    <s v="Q2-2023"/>
    <n v="-2"/>
    <n v="15"/>
    <n v="0"/>
    <d v="2023-04-11T00:00:00"/>
    <d v="2023-04-28T00:00:00"/>
    <x v="3"/>
    <x v="11"/>
    <s v="San Francisco"/>
    <s v="Education"/>
    <x v="3"/>
    <s v="G. Dubois"/>
    <s v="Networking"/>
    <x v="411"/>
    <n v="32.1"/>
    <n v="35.31"/>
    <n v="70.599999999999994"/>
    <s v="Low"/>
    <n v="0.28199999999999997"/>
    <n v="0.1"/>
    <s v=""/>
    <n v="22"/>
    <n v="26.4"/>
    <n v="706.2"/>
    <n v="1773719.1704599999"/>
    <n v="1227248.5992300003"/>
    <n v="0.69190693750675492"/>
    <s v="A"/>
    <n v="932.18399999999997"/>
    <n v="1677.4559999999997"/>
    <n v="1115.1975999999997"/>
    <n v="408.99759999999969"/>
    <n v="745.27199999999971"/>
    <n v="0.36674899587301818"/>
  </r>
  <r>
    <s v="ORD-2023-867836"/>
    <s v="867836"/>
    <n v="2023"/>
    <d v="2023-01-12T00:00:00"/>
    <x v="20"/>
    <d v="2023-05-11T00:00:00"/>
    <s v="May-2023"/>
    <x v="5"/>
    <s v="Q2-2023"/>
    <n v="17"/>
    <n v="17"/>
    <n v="0"/>
    <d v="2023-05-28T00:00:00"/>
    <d v="2023-05-28T00:00:00"/>
    <x v="1"/>
    <x v="4"/>
    <s v="Shenzhen"/>
    <s v="Enterprise"/>
    <x v="3"/>
    <s v="E. Garcia"/>
    <s v="Networking"/>
    <x v="412"/>
    <n v="1331.19"/>
    <n v="1464.3090000000002"/>
    <n v="2903.09"/>
    <s v="High"/>
    <n v="0.14299999999999999"/>
    <n v="0.1"/>
    <s v=""/>
    <n v="8"/>
    <n v="9.6"/>
    <n v="10649.52"/>
    <n v="1773719.1704599999"/>
    <n v="1247152.1842700003"/>
    <n v="0.70312832213825671"/>
    <s v="A"/>
    <n v="14057.366400000001"/>
    <n v="25082.6976"/>
    <n v="19903.585040000002"/>
    <n v="9254.0650400000013"/>
    <n v="11025.331199999999"/>
    <n v="0.46494463290920784"/>
  </r>
  <r>
    <s v="ORD-2023-256951"/>
    <s v="256951"/>
    <n v="2023"/>
    <d v="2023-01-19T00:00:00"/>
    <x v="20"/>
    <d v="2023-04-19T00:00:00"/>
    <s v="Apr-2023"/>
    <x v="2"/>
    <s v="Q2-2023"/>
    <n v="18"/>
    <n v="18"/>
    <n v="0"/>
    <d v="2023-05-07T00:00:00"/>
    <d v="2023-05-07T00:00:00"/>
    <x v="2"/>
    <x v="2"/>
    <s v="London"/>
    <s v="Non-Profit"/>
    <x v="0"/>
    <s v="H. Kim"/>
    <s v="Networking"/>
    <x v="413"/>
    <n v="516.96"/>
    <n v="568.65600000000006"/>
    <n v="745.38"/>
    <s v="Low"/>
    <n v="0.19700000000000001"/>
    <n v="0.1"/>
    <s v=""/>
    <n v="4"/>
    <n v="4.8"/>
    <n v="2067.84"/>
    <n v="1773719.1704599999"/>
    <n v="1249546.3448300003"/>
    <n v="0.70447811899441803"/>
    <s v="A"/>
    <n v="2729.5488"/>
    <n v="3220.0416"/>
    <n v="2394.1605599999998"/>
    <n v="326.32055999999966"/>
    <n v="490.49279999999999"/>
    <n v="0.13629852794835101"/>
  </r>
  <r>
    <s v="ORD-2025-678688"/>
    <s v="678688"/>
    <n v="2025"/>
    <d v="2023-01-07T00:00:00"/>
    <x v="21"/>
    <d v="2025-07-16T00:00:00"/>
    <s v="Jul-2025"/>
    <x v="7"/>
    <s v="Q3-2025"/>
    <n v="1"/>
    <n v="1"/>
    <n v="1"/>
    <d v="2025-07-17T00:00:00"/>
    <d v="2025-07-17T00:00:00"/>
    <x v="0"/>
    <x v="6"/>
    <s v="Durban"/>
    <s v="Small Business"/>
    <x v="2"/>
    <s v="B. Chen"/>
    <s v="Networking"/>
    <x v="414"/>
    <n v="1198.9000000000001"/>
    <n v="1318.7900000000002"/>
    <n v="2941.2"/>
    <s v="High"/>
    <n v="5.0999999999999997E-2"/>
    <n v="5.0999999999999997E-2"/>
    <s v=""/>
    <n v="24"/>
    <n v="28.799999999999997"/>
    <n v="28773.600000000002"/>
    <n v="1773719.1704599999"/>
    <n v="1316535.1160300004"/>
    <n v="0.74224552452041637"/>
    <s v="A"/>
    <n v="37981.152000000002"/>
    <n v="80386.525439999983"/>
    <n v="66988.771199999988"/>
    <n v="38215.171199999982"/>
    <n v="42405.373439999981"/>
    <n v="0.57047129713583977"/>
  </r>
  <r>
    <s v="ORD-2025-474710"/>
    <s v="474710"/>
    <n v="2025"/>
    <d v="2023-01-07T00:00:00"/>
    <x v="21"/>
    <d v="2025-07-24T00:00:00"/>
    <s v="Jul-2025"/>
    <x v="7"/>
    <s v="Q3-2025"/>
    <n v="13"/>
    <n v="13"/>
    <n v="0"/>
    <d v="2025-08-06T00:00:00"/>
    <d v="2025-08-06T00:00:00"/>
    <x v="0"/>
    <x v="6"/>
    <s v="Johannesburg"/>
    <s v="Education"/>
    <x v="3"/>
    <s v="D. Smith"/>
    <s v="Networking"/>
    <x v="415"/>
    <n v="1463.9"/>
    <n v="1610.2900000000002"/>
    <n v="2633.02"/>
    <s v="High"/>
    <n v="8.4000000000000005E-2"/>
    <n v="8.4000000000000005E-2"/>
    <s v=""/>
    <n v="4"/>
    <n v="4.8"/>
    <n v="5855.6"/>
    <n v="1773719.1704599999"/>
    <n v="1326182.5013100004"/>
    <n v="0.74768459595893388"/>
    <s v="A"/>
    <n v="7729.3920000000007"/>
    <n v="11576.862336"/>
    <n v="9647.3852800000004"/>
    <n v="3791.7852800000001"/>
    <n v="3847.4703359999994"/>
    <n v="0.39303761277791527"/>
  </r>
  <r>
    <s v="ORD-2025-541501"/>
    <s v="541501"/>
    <n v="2025"/>
    <d v="2023-01-12T00:00:00"/>
    <x v="21"/>
    <d v="2025-07-22T00:00:00"/>
    <s v="Jul-2025"/>
    <x v="7"/>
    <s v="Q3-2025"/>
    <n v="27"/>
    <n v="27"/>
    <n v="0"/>
    <d v="2025-08-18T00:00:00"/>
    <d v="2025-08-18T00:00:00"/>
    <x v="1"/>
    <x v="4"/>
    <s v="Shenzhen"/>
    <s v="Non-Profit"/>
    <x v="3"/>
    <s v="M. Rossi"/>
    <s v="Networking"/>
    <x v="416"/>
    <n v="547.32000000000005"/>
    <n v="602.05200000000013"/>
    <n v="419.17"/>
    <s v="Low"/>
    <n v="9.1999999999999998E-2"/>
    <n v="9.1999999999999998E-2"/>
    <s v=""/>
    <n v="14"/>
    <n v="16.8"/>
    <n v="7662.4800000000005"/>
    <n v="1773719.1704599999"/>
    <n v="1331510.9903500003"/>
    <n v="0.75068872938024545"/>
    <s v="A"/>
    <n v="10114.473600000003"/>
    <n v="6394.1868480000003"/>
    <n v="5328.4890400000004"/>
    <n v="-2333.9909600000001"/>
    <n v="-3720.2867520000027"/>
    <n v="-0.43802116181137907"/>
  </r>
  <r>
    <s v="ORD-2025-822030"/>
    <s v="822030"/>
    <n v="2025"/>
    <d v="2023-01-02T00:00:00"/>
    <x v="22"/>
    <d v="2025-08-07T00:00:00"/>
    <s v="Aug-2025"/>
    <x v="8"/>
    <s v="Q3-2025"/>
    <n v="30"/>
    <n v="30"/>
    <n v="0"/>
    <d v="2025-09-06T00:00:00"/>
    <d v="2025-09-06T00:00:00"/>
    <x v="3"/>
    <x v="10"/>
    <s v="Montreal"/>
    <s v="Education"/>
    <x v="0"/>
    <s v="M. Rossi"/>
    <s v="Networking"/>
    <x v="417"/>
    <n v="833.73"/>
    <n v="917.10300000000007"/>
    <n v="1116.5999999999999"/>
    <s v="Medium"/>
    <n v="0.17599999999999999"/>
    <n v="0.1"/>
    <s v=""/>
    <n v="14"/>
    <n v="16.8"/>
    <n v="11672.220000000001"/>
    <n v="1773719.1704599999"/>
    <n v="1344392.0879500003"/>
    <n v="0.75795092613299264"/>
    <s v="A"/>
    <n v="15407.330400000003"/>
    <n v="16882.992000000002"/>
    <n v="12881.097599999999"/>
    <n v="1208.877599999998"/>
    <n v="1475.6615999999995"/>
    <n v="9.3848958958279924E-2"/>
  </r>
  <r>
    <s v="ORD-2025-281413"/>
    <s v="281413"/>
    <n v="2025"/>
    <d v="2023-01-02T00:00:00"/>
    <x v="22"/>
    <d v="2025-08-03T00:00:00"/>
    <s v="Aug-2025"/>
    <x v="8"/>
    <s v="Q3-2025"/>
    <n v="13"/>
    <n v="13"/>
    <n v="0"/>
    <d v="2025-08-16T00:00:00"/>
    <d v="2025-08-16T00:00:00"/>
    <x v="3"/>
    <x v="10"/>
    <s v="Montreal"/>
    <s v="Enterprise"/>
    <x v="2"/>
    <s v="O. Wang"/>
    <s v="Networking"/>
    <x v="418"/>
    <n v="698.66"/>
    <n v="768.52600000000007"/>
    <n v="868.62"/>
    <s v="Medium"/>
    <n v="7.1999999999999995E-2"/>
    <n v="7.1999999999999995E-2"/>
    <s v=""/>
    <n v="15"/>
    <n v="18"/>
    <n v="10479.9"/>
    <n v="1773719.1704599999"/>
    <n v="1356483.2783500003"/>
    <n v="0.7647677833905393"/>
    <s v="A"/>
    <n v="13833.468000000001"/>
    <n v="14509.42848"/>
    <n v="12091.190399999999"/>
    <n v="1611.2903999999999"/>
    <n v="675.96047999999973"/>
    <n v="0.13326151906432637"/>
  </r>
  <r>
    <s v="ORD-2025-960931"/>
    <s v="960931"/>
    <n v="2025"/>
    <d v="2023-01-13T00:00:00"/>
    <x v="22"/>
    <d v="2025-08-20T00:00:00"/>
    <s v="Aug-2025"/>
    <x v="8"/>
    <s v="Q3-2025"/>
    <n v="6"/>
    <n v="6"/>
    <n v="1"/>
    <d v="2025-08-26T00:00:00"/>
    <d v="2025-08-26T00:00:00"/>
    <x v="3"/>
    <x v="11"/>
    <s v="New York"/>
    <s v="Corporate"/>
    <x v="1"/>
    <s v="M. Rossi"/>
    <s v="Networking"/>
    <x v="419"/>
    <n v="1304.95"/>
    <n v="1435.4450000000002"/>
    <n v="1712.03"/>
    <s v="High"/>
    <n v="0.21199999999999999"/>
    <n v="0.1"/>
    <s v=""/>
    <n v="8"/>
    <n v="9.6"/>
    <n v="10439.6"/>
    <n v="1773719.1704599999"/>
    <n v="1367275.9154700004"/>
    <n v="0.77085253305088219"/>
    <s v="A"/>
    <n v="13780.272000000001"/>
    <n v="14791.939199999999"/>
    <n v="10792.637119999999"/>
    <n v="353.03711999999905"/>
    <n v="1011.667199999998"/>
    <n v="3.2710922833287949E-2"/>
  </r>
  <r>
    <s v="ORD-2025-189846"/>
    <s v="189846"/>
    <n v="2025"/>
    <d v="2023-01-10T00:00:00"/>
    <x v="22"/>
    <d v="2025-08-11T00:00:00"/>
    <s v="Aug-2025"/>
    <x v="8"/>
    <s v="Q3-2025"/>
    <n v="17"/>
    <n v="17"/>
    <n v="0"/>
    <d v="2025-08-28T00:00:00"/>
    <d v="2025-08-28T00:00:00"/>
    <x v="2"/>
    <x v="5"/>
    <s v="Paris"/>
    <s v="Education"/>
    <x v="4"/>
    <s v="F. Müller"/>
    <s v="Networking"/>
    <x v="420"/>
    <n v="416.16"/>
    <n v="457.77600000000007"/>
    <n v="571.9"/>
    <s v="Low"/>
    <n v="7.0999999999999994E-2"/>
    <n v="7.0999999999999994E-2"/>
    <s v=""/>
    <n v="2"/>
    <n v="2.4"/>
    <n v="832.32"/>
    <n v="1773719.1704599999"/>
    <n v="1368338.5056700003"/>
    <n v="0.77145160770582"/>
    <s v="A"/>
    <n v="1098.6624000000002"/>
    <n v="1275.10824"/>
    <n v="1062.5902000000001"/>
    <n v="230.27020000000005"/>
    <n v="176.44583999999986"/>
    <n v="0.21670649701079497"/>
  </r>
  <r>
    <s v="ORD-2025-737787"/>
    <s v="737787"/>
    <n v="2025"/>
    <d v="2023-01-19T00:00:00"/>
    <x v="22"/>
    <d v="2025-09-14T00:00:00"/>
    <s v="Sept-2025"/>
    <x v="11"/>
    <s v="Q3-2025"/>
    <n v="12"/>
    <n v="12"/>
    <n v="0"/>
    <d v="2025-09-26T00:00:00"/>
    <d v="2025-09-26T00:00:00"/>
    <x v="2"/>
    <x v="2"/>
    <s v="London"/>
    <s v="Small Business"/>
    <x v="0"/>
    <s v="N. Brown"/>
    <s v="Networking"/>
    <x v="421"/>
    <n v="425.15"/>
    <n v="467.66500000000002"/>
    <n v="885.92"/>
    <s v="Medium"/>
    <n v="0.23899999999999999"/>
    <n v="0.1"/>
    <s v=""/>
    <n v="13"/>
    <n v="15.6"/>
    <n v="5526.95"/>
    <n v="1773719.1704599999"/>
    <n v="1377102.9122300004"/>
    <n v="0.77639286712611877"/>
    <s v="A"/>
    <n v="7295.5740000000005"/>
    <n v="12438.316799999999"/>
    <n v="8764.4065599999994"/>
    <n v="3237.4565599999996"/>
    <n v="5142.7427999999982"/>
    <n v="0.3693868532725848"/>
  </r>
  <r>
    <s v="ORD-2023-434071"/>
    <s v="434071"/>
    <n v="2023"/>
    <d v="2023-01-29T00:00:00"/>
    <x v="23"/>
    <d v="2023-06-20T00:00:00"/>
    <s v="Jun-2023"/>
    <x v="6"/>
    <s v="Q2-2023"/>
    <n v="14"/>
    <n v="14"/>
    <n v="0"/>
    <d v="2023-07-04T00:00:00"/>
    <d v="2023-07-04T00:00:00"/>
    <x v="3"/>
    <x v="9"/>
    <s v="Brasília"/>
    <s v="Non-Profit"/>
    <x v="0"/>
    <s v="C. Otieno"/>
    <s v="Networking"/>
    <x v="422"/>
    <n v="1292.8599999999999"/>
    <n v="1422.146"/>
    <n v="2981.01"/>
    <s v="High"/>
    <n v="0.14199999999999999"/>
    <n v="0.1"/>
    <s v=""/>
    <n v="12"/>
    <n v="14.399999999999999"/>
    <n v="15514.32"/>
    <n v="1773719.1704599999"/>
    <n v="1407795.3911900003"/>
    <n v="0.79369689105006391"/>
    <s v="A"/>
    <n v="20478.902399999999"/>
    <n v="38633.889600000002"/>
    <n v="30692.47896"/>
    <n v="15178.158960000001"/>
    <n v="18154.987200000003"/>
    <n v="0.49452372288927687"/>
  </r>
  <r>
    <s v="ORD-2023-290237"/>
    <s v="290237"/>
    <n v="2023"/>
    <d v="2023-03-03T00:00:00"/>
    <x v="23"/>
    <d v="2023-07-30T00:00:00"/>
    <s v="Jul-2023"/>
    <x v="7"/>
    <s v="Q3-2023"/>
    <n v="8"/>
    <n v="8"/>
    <n v="0"/>
    <d v="2023-08-07T00:00:00"/>
    <d v="2023-08-07T00:00:00"/>
    <x v="1"/>
    <x v="3"/>
    <s v="Nagoya"/>
    <s v="Education"/>
    <x v="3"/>
    <s v="A. Patel"/>
    <s v="Networking"/>
    <x v="423"/>
    <n v="1352.44"/>
    <n v="1487.6840000000002"/>
    <n v="2698.01"/>
    <s v="High"/>
    <n v="0.13100000000000001"/>
    <n v="0.1"/>
    <s v=""/>
    <n v="13"/>
    <n v="15.6"/>
    <n v="17581.72"/>
    <n v="1773719.1704599999"/>
    <n v="1438274.8101600003"/>
    <n v="0.81088079449859884"/>
    <s v="B"/>
    <n v="23207.870400000003"/>
    <n v="37880.060400000009"/>
    <n v="30479.418970000002"/>
    <n v="12897.698970000001"/>
    <n v="14672.190000000006"/>
    <n v="0.42316091992090887"/>
  </r>
  <r>
    <s v="ORD-2023-309373"/>
    <s v="309373"/>
    <n v="2023"/>
    <d v="2023-01-29T00:00:00"/>
    <x v="24"/>
    <d v="2023-07-05T00:00:00"/>
    <s v="Jul-2023"/>
    <x v="7"/>
    <s v="Q3-2023"/>
    <n v="9"/>
    <n v="9"/>
    <n v="0"/>
    <d v="2023-07-14T00:00:00"/>
    <d v="2023-07-14T00:00:00"/>
    <x v="3"/>
    <x v="9"/>
    <s v="Brasília"/>
    <s v="Enterprise"/>
    <x v="0"/>
    <s v="B. Chen"/>
    <s v="Networking"/>
    <x v="424"/>
    <n v="578.85"/>
    <n v="636.73500000000013"/>
    <n v="998.76"/>
    <s v="Medium"/>
    <n v="8.2000000000000003E-2"/>
    <n v="8.2000000000000003E-2"/>
    <s v=""/>
    <n v="28"/>
    <n v="33.6"/>
    <n v="16207.800000000001"/>
    <n v="1773719.1704599999"/>
    <n v="1463946.9372000003"/>
    <n v="0.82535440873672083"/>
    <s v="B"/>
    <n v="21394.296000000006"/>
    <n v="30806.552448000006"/>
    <n v="25672.127039999999"/>
    <n v="9464.3270399999983"/>
    <n v="9412.2564480000001"/>
    <n v="0.36866158480960831"/>
  </r>
  <r>
    <s v="ORD-2023-594700"/>
    <s v="594700"/>
    <n v="2023"/>
    <d v="2023-01-29T00:00:00"/>
    <x v="24"/>
    <d v="2023-07-18T00:00:00"/>
    <s v="Jul-2023"/>
    <x v="7"/>
    <s v="Q3-2023"/>
    <n v="4"/>
    <n v="4"/>
    <n v="1"/>
    <d v="2023-07-22T00:00:00"/>
    <d v="2023-07-22T00:00:00"/>
    <x v="3"/>
    <x v="9"/>
    <s v="São Paulo"/>
    <s v="Consumer"/>
    <x v="0"/>
    <s v="F. Müller"/>
    <s v="Networking"/>
    <x v="425"/>
    <n v="1269.55"/>
    <n v="1396.5050000000001"/>
    <n v="2071.1"/>
    <s v="High"/>
    <n v="0.129"/>
    <n v="0.1"/>
    <s v=""/>
    <n v="22"/>
    <n v="26.4"/>
    <n v="27930.1"/>
    <n v="1773719.1704599999"/>
    <n v="1503633.3554000002"/>
    <n v="0.84772909964661702"/>
    <s v="B"/>
    <n v="36867.732000000004"/>
    <n v="49209.335999999996"/>
    <n v="39686.4182"/>
    <n v="11756.318200000002"/>
    <n v="12341.603999999992"/>
    <n v="0.29623026549672354"/>
  </r>
  <r>
    <s v="ORD-2023-594955"/>
    <s v="594955"/>
    <n v="2023"/>
    <d v="2023-01-13T00:00:00"/>
    <x v="24"/>
    <d v="2023-06-20T00:00:00"/>
    <s v="Jun-2023"/>
    <x v="6"/>
    <s v="Q2-2023"/>
    <n v="18"/>
    <n v="18"/>
    <n v="0"/>
    <d v="2023-07-08T00:00:00"/>
    <d v="2023-07-08T00:00:00"/>
    <x v="3"/>
    <x v="11"/>
    <s v="New York"/>
    <s v="Consumer"/>
    <x v="3"/>
    <s v="O. Wang"/>
    <s v="Networking"/>
    <x v="426"/>
    <n v="1145.53"/>
    <n v="1260.0830000000001"/>
    <n v="1278.3"/>
    <s v="Medium"/>
    <n v="0.09"/>
    <n v="0.09"/>
    <s v=""/>
    <n v="41"/>
    <n v="49.199999999999996"/>
    <n v="46966.729999999996"/>
    <n v="1773719.1704599999"/>
    <n v="1551326.7284000001"/>
    <n v="0.87461800844024029"/>
    <s v="B"/>
    <n v="61996.083599999998"/>
    <n v="57232.047599999998"/>
    <n v="47693.373"/>
    <n v="726.64300000000367"/>
    <n v="-4764.0360000000001"/>
    <n v="1.5235722581416158E-2"/>
  </r>
  <r>
    <s v="ORD-2023-215819"/>
    <s v="215819"/>
    <n v="2023"/>
    <d v="2023-01-10T00:00:00"/>
    <x v="24"/>
    <d v="2023-07-01T00:00:00"/>
    <s v="Jul-2023"/>
    <x v="7"/>
    <s v="Q3-2023"/>
    <n v="10"/>
    <n v="10"/>
    <n v="0"/>
    <d v="2023-07-11T00:00:00"/>
    <d v="2023-07-11T00:00:00"/>
    <x v="2"/>
    <x v="5"/>
    <s v="Paris"/>
    <s v="Corporate"/>
    <x v="0"/>
    <s v="F. Müller"/>
    <s v="Networking"/>
    <x v="427"/>
    <n v="479.5"/>
    <n v="527.45000000000005"/>
    <n v="656.66"/>
    <s v="Low"/>
    <n v="0.14899999999999999"/>
    <n v="0.1"/>
    <s v=""/>
    <n v="14"/>
    <n v="16.8"/>
    <n v="6713"/>
    <n v="1773719.1704599999"/>
    <n v="1559150.17564"/>
    <n v="0.87902876712757572"/>
    <s v="B"/>
    <n v="8861.1600000000017"/>
    <n v="9928.6992000000009"/>
    <n v="7823.4472399999995"/>
    <n v="1110.4472399999995"/>
    <n v="1067.5391999999993"/>
    <n v="0.14193835606412289"/>
  </r>
  <r>
    <s v="ORD-2023-630430"/>
    <s v="630430"/>
    <n v="2023"/>
    <d v="2023-01-29T00:00:00"/>
    <x v="25"/>
    <d v="2023-08-04T00:00:00"/>
    <s v="Aug-2023"/>
    <x v="8"/>
    <s v="Q3-2023"/>
    <n v="20"/>
    <n v="20"/>
    <n v="0"/>
    <d v="2023-08-24T00:00:00"/>
    <d v="2023-08-24T00:00:00"/>
    <x v="3"/>
    <x v="9"/>
    <s v="Brasília"/>
    <s v="Non-Profit"/>
    <x v="0"/>
    <s v="L. Okafor"/>
    <s v="Networking"/>
    <x v="428"/>
    <n v="582.88"/>
    <n v="641.16800000000001"/>
    <n v="1044.1400000000001"/>
    <s v="Medium"/>
    <n v="0.216"/>
    <n v="0.1"/>
    <s v=""/>
    <n v="10"/>
    <n v="12"/>
    <n v="5828.8"/>
    <n v="1773719.1704599999"/>
    <n v="1567336.23324"/>
    <n v="0.88364396086079611"/>
    <s v="B"/>
    <n v="7694.0159999999996"/>
    <n v="11276.712000000001"/>
    <n v="8186.057600000001"/>
    <n v="2357.2576000000008"/>
    <n v="3582.6960000000017"/>
    <n v="0.28796005539956138"/>
  </r>
  <r>
    <s v="ORD-2023-867175"/>
    <s v="867175"/>
    <n v="2023"/>
    <d v="2023-01-29T00:00:00"/>
    <x v="25"/>
    <d v="2023-08-10T00:00:00"/>
    <s v="Aug-2023"/>
    <x v="8"/>
    <s v="Q3-2023"/>
    <n v="5"/>
    <n v="5"/>
    <n v="1"/>
    <d v="2023-08-15T00:00:00"/>
    <d v="2023-08-15T00:00:00"/>
    <x v="3"/>
    <x v="9"/>
    <s v="São Paulo"/>
    <s v="Education"/>
    <x v="0"/>
    <s v="G. Dubois"/>
    <s v="Networking"/>
    <x v="429"/>
    <n v="1307.52"/>
    <n v="1438.2720000000002"/>
    <n v="1921.65"/>
    <s v="High"/>
    <n v="0.123"/>
    <n v="0.1"/>
    <s v=""/>
    <n v="13"/>
    <n v="15.6"/>
    <n v="16997.759999999998"/>
    <n v="1773719.1704599999"/>
    <n v="1589244.9648899999"/>
    <n v="0.89599582129895006"/>
    <s v="B"/>
    <n v="22437.043200000004"/>
    <n v="26979.966"/>
    <n v="21908.731650000002"/>
    <n v="4910.9716500000031"/>
    <n v="4542.9227999999966"/>
    <n v="0.22415590863289445"/>
  </r>
  <r>
    <s v="ORD-2023-885216"/>
    <s v="885216"/>
    <n v="2023"/>
    <d v="2023-01-12T00:00:00"/>
    <x v="25"/>
    <d v="2023-08-03T00:00:00"/>
    <s v="Aug-2023"/>
    <x v="8"/>
    <s v="Q3-2023"/>
    <n v="-1"/>
    <n v="15"/>
    <n v="0"/>
    <d v="2023-08-02T00:00:00"/>
    <d v="2023-08-18T00:00:00"/>
    <x v="1"/>
    <x v="4"/>
    <s v="Shanghai"/>
    <s v="Non-Profit"/>
    <x v="0"/>
    <s v="J. Njeri"/>
    <s v="Networking"/>
    <x v="430"/>
    <n v="1021.97"/>
    <n v="1124.1670000000001"/>
    <n v="2296.25"/>
    <s v="High"/>
    <n v="0.161"/>
    <n v="0.1"/>
    <s v=""/>
    <n v="26"/>
    <n v="31.2"/>
    <n v="26571.22"/>
    <n v="1773719.1704599999"/>
    <n v="1639335.3623899999"/>
    <n v="0.92423614160118217"/>
    <s v="B"/>
    <n v="35074.010400000006"/>
    <n v="64478.700000000004"/>
    <n v="50090.397499999999"/>
    <n v="23519.177499999998"/>
    <n v="29404.689599999998"/>
    <n v="0.46953465482081669"/>
  </r>
  <r>
    <s v="ORD-2023-451931"/>
    <s v="451931"/>
    <n v="2023"/>
    <d v="2023-01-10T00:00:00"/>
    <x v="25"/>
    <d v="2023-07-30T00:00:00"/>
    <s v="Jul-2023"/>
    <x v="7"/>
    <s v="Q3-2023"/>
    <n v="20"/>
    <n v="20"/>
    <n v="0"/>
    <d v="2023-08-19T00:00:00"/>
    <d v="2023-08-19T00:00:00"/>
    <x v="2"/>
    <x v="5"/>
    <s v="Paris"/>
    <s v="Enterprise"/>
    <x v="3"/>
    <s v="G. Dubois"/>
    <s v="Networking"/>
    <x v="431"/>
    <n v="1418.51"/>
    <n v="1560.3610000000001"/>
    <n v="2789.61"/>
    <s v="High"/>
    <n v="0.17100000000000001"/>
    <n v="0.1"/>
    <s v=""/>
    <n v="8"/>
    <n v="9.6"/>
    <n v="11348.08"/>
    <n v="1773719.1704599999"/>
    <n v="1657836.0559099999"/>
    <n v="0.93466659408098596"/>
    <s v="B"/>
    <n v="14979.4656"/>
    <n v="24102.2304"/>
    <n v="18500.693520000001"/>
    <n v="7152.6135200000008"/>
    <n v="9122.7648000000008"/>
    <n v="0.38661326464695689"/>
  </r>
  <r>
    <s v="ORD-2023-713614"/>
    <s v="713614"/>
    <n v="2023"/>
    <d v="2023-01-02T00:00:00"/>
    <x v="26"/>
    <d v="2023-08-02T00:00:00"/>
    <s v="Aug-2023"/>
    <x v="8"/>
    <s v="Q3-2023"/>
    <n v="17"/>
    <n v="17"/>
    <n v="0"/>
    <d v="2023-08-19T00:00:00"/>
    <d v="2023-08-19T00:00:00"/>
    <x v="3"/>
    <x v="10"/>
    <s v="Vancouver"/>
    <s v="Corporate"/>
    <x v="4"/>
    <s v="F. Müller"/>
    <s v="Networking"/>
    <x v="432"/>
    <n v="175.38"/>
    <n v="192.91800000000001"/>
    <n v="347.9"/>
    <s v="Low"/>
    <n v="7.1999999999999995E-2"/>
    <n v="7.1999999999999995E-2"/>
    <s v=""/>
    <n v="43"/>
    <n v="51.6"/>
    <n v="7541.34"/>
    <n v="1773719.1704599999"/>
    <n v="1671718.6575099998"/>
    <n v="0.9424934258766865"/>
    <s v="B"/>
    <n v="9954.5688000000009"/>
    <n v="16659.121920000001"/>
    <n v="13882.6016"/>
    <n v="6341.2615999999998"/>
    <n v="6704.5531200000005"/>
    <n v="0.45677761148169804"/>
  </r>
  <r>
    <s v="ORD-2023-235230"/>
    <s v="235230"/>
    <n v="2023"/>
    <d v="2023-01-22T00:00:00"/>
    <x v="26"/>
    <d v="2023-08-30T00:00:00"/>
    <s v="Aug-2023"/>
    <x v="8"/>
    <s v="Q3-2023"/>
    <n v="2"/>
    <n v="2"/>
    <n v="1"/>
    <d v="2023-09-01T00:00:00"/>
    <d v="2023-09-01T00:00:00"/>
    <x v="2"/>
    <x v="7"/>
    <s v="Munich"/>
    <s v="Corporate"/>
    <x v="0"/>
    <s v="N. Brown"/>
    <s v="Networking"/>
    <x v="433"/>
    <n v="44.42"/>
    <n v="48.862000000000009"/>
    <n v="41.9"/>
    <s v="Low"/>
    <n v="0.14399999999999999"/>
    <n v="0.1"/>
    <s v=""/>
    <n v="6"/>
    <n v="7.1999999999999993"/>
    <n v="266.52"/>
    <n v="1773719.1704599999"/>
    <n v="1671933.8559099999"/>
    <n v="0.9426147519600846"/>
    <s v="B"/>
    <n v="351.80640000000005"/>
    <n v="271.51199999999994"/>
    <n v="215.19839999999996"/>
    <n v="-51.321600000000018"/>
    <n v="-80.29440000000011"/>
    <n v="-0.23848504449847224"/>
  </r>
  <r>
    <s v="ORD-2023-502205"/>
    <s v="502205"/>
    <n v="2023"/>
    <d v="2023-01-15T00:00:00"/>
    <x v="27"/>
    <d v="2023-10-09T00:00:00"/>
    <s v="Oct-2023"/>
    <x v="9"/>
    <s v="Q4-2023"/>
    <n v="2"/>
    <n v="2"/>
    <n v="1"/>
    <d v="2023-10-11T00:00:00"/>
    <d v="2023-10-11T00:00:00"/>
    <x v="0"/>
    <x v="0"/>
    <s v="Port Harcourt"/>
    <s v="Education"/>
    <x v="3"/>
    <s v="K. Singh"/>
    <s v="Networking"/>
    <x v="434"/>
    <n v="391.16"/>
    <n v="430.27600000000007"/>
    <n v="902.47"/>
    <s v="Medium"/>
    <n v="4.0000000000000001E-3"/>
    <n v="4.0000000000000001E-3"/>
    <s v=""/>
    <n v="12"/>
    <n v="14.399999999999999"/>
    <n v="4693.92"/>
    <n v="1773719.1704599999"/>
    <n v="1682720.17735"/>
    <n v="0.94869594092147069"/>
    <s v="B"/>
    <n v="6195.9744000000001"/>
    <n v="12943.585728"/>
    <n v="10786.32144"/>
    <n v="6092.4014399999996"/>
    <n v="6747.611328"/>
    <n v="0.56482661618139207"/>
  </r>
  <r>
    <s v="ORD-2023-975863"/>
    <s v="975863"/>
    <n v="2023"/>
    <d v="2023-03-03T00:00:00"/>
    <x v="27"/>
    <d v="2023-11-20T00:00:00"/>
    <s v="Nov-2023"/>
    <x v="10"/>
    <s v="Q4-2023"/>
    <n v="15"/>
    <n v="15"/>
    <n v="0"/>
    <d v="2023-12-05T00:00:00"/>
    <d v="2023-12-05T00:00:00"/>
    <x v="1"/>
    <x v="3"/>
    <s v="Tokyo"/>
    <s v="Enterprise"/>
    <x v="1"/>
    <s v="L. Okafor"/>
    <s v="Networking"/>
    <x v="435"/>
    <n v="354.24"/>
    <n v="389.66400000000004"/>
    <n v="249.87"/>
    <s v="Low"/>
    <n v="0"/>
    <n v="0"/>
    <s v=""/>
    <n v="6"/>
    <n v="7.1999999999999993"/>
    <n v="2125.44"/>
    <n v="1773719.1704599999"/>
    <n v="1684219.39735"/>
    <n v="0.94954118182824343"/>
    <s v="B"/>
    <n v="2805.5808000000002"/>
    <n v="1799.0639999999999"/>
    <n v="1499.22"/>
    <n v="-626.22"/>
    <n v="-1006.5168000000003"/>
    <n v="-0.41769720254532355"/>
  </r>
  <r>
    <s v="ORD-2023-619570"/>
    <s v="619570"/>
    <n v="2023"/>
    <d v="2023-01-29T00:00:00"/>
    <x v="28"/>
    <d v="2023-11-14T00:00:00"/>
    <s v="Nov-2023"/>
    <x v="10"/>
    <s v="Q4-2023"/>
    <n v="16"/>
    <n v="16"/>
    <n v="0"/>
    <d v="2023-11-30T00:00:00"/>
    <d v="2023-11-30T00:00:00"/>
    <x v="3"/>
    <x v="9"/>
    <s v="São Paulo"/>
    <s v="Enterprise"/>
    <x v="0"/>
    <s v="K. Singh"/>
    <s v="Networking"/>
    <x v="436"/>
    <n v="1017.92"/>
    <n v="1119.712"/>
    <n v="1175.25"/>
    <s v="Medium"/>
    <n v="7.4999999999999997E-2"/>
    <n v="7.4999999999999997E-2"/>
    <s v=""/>
    <n v="15"/>
    <n v="18"/>
    <n v="15268.8"/>
    <n v="1773719.1704599999"/>
    <n v="1700525.9911"/>
    <n v="0.95873462914593299"/>
    <s v="C"/>
    <n v="20154.815999999999"/>
    <n v="19567.912500000002"/>
    <n v="16306.59375"/>
    <n v="1037.7937500000007"/>
    <n v="-586.90349999999671"/>
    <n v="6.3642583234159542E-2"/>
  </r>
  <r>
    <s v="ORD-2023-561823"/>
    <s v="561823"/>
    <n v="2023"/>
    <d v="2023-01-29T00:00:00"/>
    <x v="28"/>
    <d v="2023-11-19T00:00:00"/>
    <s v="Nov-2023"/>
    <x v="10"/>
    <s v="Q4-2023"/>
    <n v="23"/>
    <n v="23"/>
    <n v="0"/>
    <d v="2023-12-12T00:00:00"/>
    <d v="2023-12-12T00:00:00"/>
    <x v="1"/>
    <x v="1"/>
    <s v="Delhi"/>
    <s v="Small Business"/>
    <x v="0"/>
    <s v="C. Otieno"/>
    <s v="Networking"/>
    <x v="437"/>
    <n v="1349.04"/>
    <n v="1483.9440000000002"/>
    <n v="2636.6"/>
    <s v="High"/>
    <n v="0.114"/>
    <n v="0.1"/>
    <s v=""/>
    <n v="14"/>
    <n v="16.8"/>
    <n v="18886.559999999998"/>
    <n v="1773719.1704599999"/>
    <n v="1733230.3774999999"/>
    <n v="0.97717294054531778"/>
    <s v="C"/>
    <n v="24930.259200000004"/>
    <n v="39865.392"/>
    <n v="32704.386400000003"/>
    <n v="13817.826400000005"/>
    <n v="14935.132799999996"/>
    <n v="0.42250682312143928"/>
  </r>
  <r>
    <s v="ORD-2024-105586"/>
    <s v="105586"/>
    <n v="2024"/>
    <d v="2023-03-03T00:00:00"/>
    <x v="28"/>
    <d v="2024-01-02T00:00:00"/>
    <s v="Jan-2024"/>
    <x v="1"/>
    <s v="Q1-2024"/>
    <n v="13"/>
    <n v="13"/>
    <n v="0"/>
    <d v="2024-01-15T00:00:00"/>
    <d v="2024-01-15T00:00:00"/>
    <x v="1"/>
    <x v="3"/>
    <s v="Nagoya"/>
    <s v="Small Business"/>
    <x v="3"/>
    <s v="G. Dubois"/>
    <s v="Networking"/>
    <x v="438"/>
    <n v="1219.06"/>
    <n v="1340.9660000000001"/>
    <n v="2738.69"/>
    <s v="High"/>
    <n v="7.5999999999999998E-2"/>
    <n v="7.5999999999999998E-2"/>
    <s v=""/>
    <n v="16"/>
    <n v="19.2"/>
    <n v="19504.96"/>
    <n v="1773719.1704599999"/>
    <n v="1773719.1704599999"/>
    <n v="1"/>
    <s v="C"/>
    <n v="25746.547200000001"/>
    <n v="48586.551551999997"/>
    <n v="40488.792960000006"/>
    <n v="20983.832960000007"/>
    <n v="22840.004351999996"/>
    <n v="0.51826274447673737"/>
  </r>
  <r>
    <s v="ORD-2023-855675"/>
    <s v="855675"/>
    <n v="2023"/>
    <d v="2023-01-13T00:00:00"/>
    <x v="0"/>
    <d v="2023-02-05T00:00:00"/>
    <s v="Feb-2023"/>
    <x v="0"/>
    <s v="Q1-2023"/>
    <n v="23"/>
    <n v="23"/>
    <n v="0"/>
    <d v="2023-02-28T00:00:00"/>
    <d v="2023-02-28T00:00:00"/>
    <x v="3"/>
    <x v="11"/>
    <s v="Austin"/>
    <s v="Non-Profit"/>
    <x v="2"/>
    <s v="L. Okafor"/>
    <s v="Phones"/>
    <x v="439"/>
    <n v="1214.49"/>
    <n v="1335.9390000000001"/>
    <n v="1533.95"/>
    <s v="Medium"/>
    <n v="0"/>
    <n v="0"/>
    <s v=""/>
    <n v="11"/>
    <n v="13.2"/>
    <n v="13359.39"/>
    <n v="1398841.4532999999"/>
    <n v="16873.45"/>
    <n v="1.206244636244796E-2"/>
    <s v="A"/>
    <n v="17634.394800000002"/>
    <n v="20248.14"/>
    <n v="16873.45"/>
    <n v="3514.0600000000013"/>
    <n v="2613.7451999999976"/>
    <n v="0.20825972163369086"/>
  </r>
  <r>
    <s v="ORD-2023-382017"/>
    <s v="382017"/>
    <n v="2023"/>
    <d v="2023-01-13T00:00:00"/>
    <x v="0"/>
    <d v="2023-01-13T00:00:00"/>
    <s v="Jan-2023"/>
    <x v="1"/>
    <s v="Q1-2023"/>
    <n v="6"/>
    <n v="6"/>
    <n v="1"/>
    <d v="2023-01-19T00:00:00"/>
    <d v="2023-01-19T00:00:00"/>
    <x v="3"/>
    <x v="11"/>
    <s v="Chicago"/>
    <s v="Corporate"/>
    <x v="0"/>
    <s v="H. Kim"/>
    <s v="Phones"/>
    <x v="440"/>
    <n v="833.57"/>
    <n v="916.92700000000013"/>
    <n v="881.57"/>
    <s v="Medium"/>
    <n v="5.7000000000000002E-2"/>
    <n v="5.7000000000000002E-2"/>
    <s v=""/>
    <n v="18"/>
    <n v="21.599999999999998"/>
    <n v="15004.26"/>
    <n v="1398841.4532999999"/>
    <n v="31837.21918"/>
    <n v="2.2759705258157008E-2"/>
    <s v="A"/>
    <n v="19805.623200000002"/>
    <n v="17956.523015999999"/>
    <n v="14963.769179999999"/>
    <n v="-40.490820000000895"/>
    <n v="-1849.1001840000026"/>
    <n v="-2.7059238560107821E-3"/>
  </r>
  <r>
    <s v="ORD-2023-562894"/>
    <s v="562894"/>
    <n v="2023"/>
    <d v="2023-01-02T00:00:00"/>
    <x v="1"/>
    <d v="2023-02-23T00:00:00"/>
    <s v="Feb-2023"/>
    <x v="0"/>
    <s v="Q1-2023"/>
    <n v="30"/>
    <n v="30"/>
    <n v="0"/>
    <d v="2023-03-25T00:00:00"/>
    <d v="2023-03-25T00:00:00"/>
    <x v="3"/>
    <x v="10"/>
    <s v="Montreal"/>
    <s v="Enterprise"/>
    <x v="4"/>
    <s v="D. Smith"/>
    <s v="Phones"/>
    <x v="441"/>
    <n v="1242.6600000000001"/>
    <n v="1366.9260000000002"/>
    <n v="1794.07"/>
    <s v="High"/>
    <n v="8.8999999999999996E-2"/>
    <n v="8.8999999999999996E-2"/>
    <s v=""/>
    <n v="16"/>
    <n v="19.2"/>
    <n v="19882.560000000001"/>
    <n v="1398841.4532999999"/>
    <n v="57987.583500000001"/>
    <n v="4.1454007073640678E-2"/>
    <s v="A"/>
    <n v="26244.979200000002"/>
    <n v="31380.437184000002"/>
    <n v="26150.364320000001"/>
    <n v="6267.8043199999993"/>
    <n v="5135.4579840000006"/>
    <n v="0.23968325042440553"/>
  </r>
  <r>
    <s v="ORD-2023-933238"/>
    <s v="933238"/>
    <n v="2023"/>
    <d v="2023-01-22T00:00:00"/>
    <x v="1"/>
    <d v="2023-03-17T00:00:00"/>
    <s v="Mar-2023"/>
    <x v="4"/>
    <s v="Q1-2023"/>
    <n v="20"/>
    <n v="20"/>
    <n v="0"/>
    <d v="2023-04-06T00:00:00"/>
    <d v="2023-04-06T00:00:00"/>
    <x v="2"/>
    <x v="7"/>
    <s v="Munich"/>
    <s v="Consumer"/>
    <x v="1"/>
    <s v="O. Wang"/>
    <s v="Phones"/>
    <x v="442"/>
    <n v="692.18"/>
    <n v="761.39800000000002"/>
    <n v="1159.3499999999999"/>
    <s v="Medium"/>
    <n v="0.112"/>
    <n v="0.1"/>
    <s v=""/>
    <n v="2"/>
    <n v="2.4"/>
    <n v="1384.36"/>
    <n v="1398841.4532999999"/>
    <n v="60046.589099999997"/>
    <n v="4.2925943435794235E-2"/>
    <s v="A"/>
    <n v="1827.3552"/>
    <n v="2504.1959999999999"/>
    <n v="2059.0056"/>
    <n v="674.64560000000006"/>
    <n v="676.84079999999994"/>
    <n v="0.32765602968734037"/>
  </r>
  <r>
    <s v="ORD-2023-581799"/>
    <s v="581799"/>
    <n v="2023"/>
    <d v="2023-01-29T00:00:00"/>
    <x v="29"/>
    <d v="2023-12-05T00:00:00"/>
    <s v="Dec-2023"/>
    <x v="3"/>
    <s v="Q4-2023"/>
    <n v="7"/>
    <n v="7"/>
    <n v="1"/>
    <d v="2023-12-12T00:00:00"/>
    <d v="2023-12-12T00:00:00"/>
    <x v="3"/>
    <x v="9"/>
    <s v="Brasília"/>
    <s v="Corporate"/>
    <x v="0"/>
    <s v="F. Müller"/>
    <s v="Phones"/>
    <x v="443"/>
    <n v="307.43"/>
    <n v="338.17300000000006"/>
    <n v="495.19"/>
    <s v="Low"/>
    <n v="0"/>
    <n v="0"/>
    <s v=""/>
    <n v="42"/>
    <n v="50.4"/>
    <n v="12912.06"/>
    <n v="1398841.4532999999"/>
    <n v="80844.569099999993"/>
    <n v="5.7793947204867267E-2"/>
    <s v="A"/>
    <n v="17043.919200000004"/>
    <n v="24957.576000000001"/>
    <n v="20797.98"/>
    <n v="7885.92"/>
    <n v="7913.656799999997"/>
    <n v="0.37916759223732305"/>
  </r>
  <r>
    <s v="ORD-2023-239789"/>
    <s v="239789"/>
    <n v="2023"/>
    <d v="2023-01-29T00:00:00"/>
    <x v="29"/>
    <d v="2023-12-03T00:00:00"/>
    <s v="Dec-2023"/>
    <x v="3"/>
    <s v="Q4-2023"/>
    <n v="23"/>
    <n v="23"/>
    <n v="0"/>
    <d v="2023-12-26T00:00:00"/>
    <d v="2023-12-26T00:00:00"/>
    <x v="3"/>
    <x v="9"/>
    <s v="Rio de Janeiro"/>
    <s v="Education"/>
    <x v="1"/>
    <s v="O. Wang"/>
    <s v="Phones"/>
    <x v="444"/>
    <n v="1303.1099999999999"/>
    <n v="1433.421"/>
    <n v="1145.67"/>
    <s v="Medium"/>
    <n v="0.184"/>
    <n v="0.1"/>
    <s v=""/>
    <n v="13"/>
    <n v="15.6"/>
    <n v="16940.43"/>
    <n v="1398841.4532999999"/>
    <n v="92997.836459999991"/>
    <n v="6.6482042150387569E-2"/>
    <s v="A"/>
    <n v="22361.367600000001"/>
    <n v="16085.206800000002"/>
    <n v="12153.267360000002"/>
    <n v="-4787.1626399999986"/>
    <n v="-6276.1607999999997"/>
    <n v="-0.39389922875851208"/>
  </r>
  <r>
    <s v="ORD-2023-195665"/>
    <s v="195665"/>
    <n v="2023"/>
    <d v="2023-01-29T00:00:00"/>
    <x v="29"/>
    <d v="2023-12-19T00:00:00"/>
    <s v="Dec-2023"/>
    <x v="3"/>
    <s v="Q4-2023"/>
    <n v="1"/>
    <n v="1"/>
    <n v="1"/>
    <d v="2023-12-20T00:00:00"/>
    <d v="2023-12-20T00:00:00"/>
    <x v="3"/>
    <x v="9"/>
    <s v="Rio de Janeiro"/>
    <s v="Consumer"/>
    <x v="2"/>
    <s v="J. Njeri"/>
    <s v="Phones"/>
    <x v="445"/>
    <n v="1080.43"/>
    <n v="1188.4730000000002"/>
    <n v="2529.15"/>
    <s v="High"/>
    <n v="0.14699999999999999"/>
    <n v="0.1"/>
    <s v=""/>
    <n v="10"/>
    <n v="12"/>
    <n v="10804.300000000001"/>
    <n v="1398841.4532999999"/>
    <n v="114571.48595999999"/>
    <n v="8.1904554436612501E-2"/>
    <s v="A"/>
    <n v="14261.676000000003"/>
    <n v="27314.820000000003"/>
    <n v="21573.6495"/>
    <n v="10769.349499999998"/>
    <n v="13053.144"/>
    <n v="0.49918997247081437"/>
  </r>
  <r>
    <s v="ORD-2023-967239"/>
    <s v="967239"/>
    <n v="2023"/>
    <d v="2023-01-29T00:00:00"/>
    <x v="29"/>
    <d v="2023-12-24T00:00:00"/>
    <s v="Dec-2023"/>
    <x v="3"/>
    <s v="Q4-2023"/>
    <n v="8"/>
    <n v="8"/>
    <n v="0"/>
    <d v="2024-01-01T00:00:00"/>
    <d v="2024-01-01T00:00:00"/>
    <x v="3"/>
    <x v="9"/>
    <s v="São Paulo"/>
    <s v="Education"/>
    <x v="0"/>
    <s v="C. Otieno"/>
    <s v="Phones"/>
    <x v="446"/>
    <n v="526.49"/>
    <n v="579.13900000000001"/>
    <n v="496.2"/>
    <s v="Low"/>
    <n v="0"/>
    <n v="0"/>
    <s v=""/>
    <n v="14"/>
    <n v="16.8"/>
    <n v="7370.8600000000006"/>
    <n v="1398841.4532999999"/>
    <n v="121518.28595999999"/>
    <n v="8.6870664057979413E-2"/>
    <s v="A"/>
    <n v="9729.5352000000003"/>
    <n v="8336.16"/>
    <n v="6946.8"/>
    <n v="-424.0600000000004"/>
    <n v="-1393.3752000000004"/>
    <n v="-6.1043933897621985E-2"/>
  </r>
  <r>
    <s v="ORD-2023-178249"/>
    <s v="178249"/>
    <n v="2023"/>
    <d v="2023-01-20T00:00:00"/>
    <x v="2"/>
    <d v="2023-12-29T00:00:00"/>
    <s v="Dec-2023"/>
    <x v="3"/>
    <s v="Q4-2023"/>
    <n v="22"/>
    <n v="22"/>
    <n v="0"/>
    <d v="2024-01-20T00:00:00"/>
    <d v="2024-01-20T00:00:00"/>
    <x v="0"/>
    <x v="8"/>
    <s v="Kisumu"/>
    <s v="Corporate"/>
    <x v="0"/>
    <s v="L. Okafor"/>
    <s v="Phones"/>
    <x v="447"/>
    <n v="1395.49"/>
    <n v="1535.0390000000002"/>
    <n v="1679.42"/>
    <s v="High"/>
    <n v="0.20300000000000001"/>
    <n v="0.1"/>
    <s v=""/>
    <n v="12"/>
    <n v="14.399999999999999"/>
    <n v="16745.88"/>
    <n v="1398841.4532999999"/>
    <n v="137580.25883999999"/>
    <n v="9.835300384860278E-2"/>
    <s v="A"/>
    <n v="22104.561600000001"/>
    <n v="21765.283199999998"/>
    <n v="16061.972879999999"/>
    <n v="-683.90712000000167"/>
    <n v="-339.27840000000288"/>
    <n v="-4.2579272490964493E-2"/>
  </r>
  <r>
    <s v="ORD-2024-968374"/>
    <s v="968374"/>
    <n v="2024"/>
    <d v="2023-01-20T00:00:00"/>
    <x v="3"/>
    <d v="2024-02-11T00:00:00"/>
    <s v="Feb-2024"/>
    <x v="0"/>
    <s v="Q1-2024"/>
    <n v="21"/>
    <n v="21"/>
    <n v="0"/>
    <d v="2024-03-03T00:00:00"/>
    <d v="2024-03-03T00:00:00"/>
    <x v="0"/>
    <x v="8"/>
    <s v="Kisumu"/>
    <s v="Enterprise"/>
    <x v="4"/>
    <s v="B. Chen"/>
    <s v="Phones"/>
    <x v="448"/>
    <n v="516.86"/>
    <n v="568.54600000000005"/>
    <n v="852.54"/>
    <s v="Medium"/>
    <n v="5.0999999999999997E-2"/>
    <n v="5.0999999999999997E-2"/>
    <s v=""/>
    <n v="14"/>
    <n v="16.8"/>
    <n v="7236.04"/>
    <n v="1398841.4532999999"/>
    <n v="148907.10527999999"/>
    <n v="0.10645030923891623"/>
    <s v="A"/>
    <n v="9551.5728000000017"/>
    <n v="13592.215727999999"/>
    <n v="11326.846439999999"/>
    <n v="4090.8064399999994"/>
    <n v="4040.6429279999975"/>
    <n v="0.36116022775355994"/>
  </r>
  <r>
    <s v="ORD-2024-647473"/>
    <s v="647473"/>
    <n v="2024"/>
    <d v="2023-01-29T00:00:00"/>
    <x v="3"/>
    <d v="2024-02-17T00:00:00"/>
    <s v="Feb-2024"/>
    <x v="0"/>
    <s v="Q1-2024"/>
    <n v="16"/>
    <n v="16"/>
    <n v="0"/>
    <d v="2024-03-04T00:00:00"/>
    <d v="2024-03-04T00:00:00"/>
    <x v="1"/>
    <x v="1"/>
    <s v="Delhi"/>
    <s v="Small Business"/>
    <x v="3"/>
    <s v="F. Müller"/>
    <s v="Phones"/>
    <x v="449"/>
    <n v="1231.8"/>
    <n v="1354.98"/>
    <n v="2015.99"/>
    <s v="High"/>
    <n v="0.26100000000000001"/>
    <n v="0.1"/>
    <s v=""/>
    <n v="6"/>
    <n v="7.1999999999999993"/>
    <n v="7390.7999999999993"/>
    <n v="1398841.4532999999"/>
    <n v="157846.00493999998"/>
    <n v="0.11284052568475596"/>
    <s v="A"/>
    <n v="9755.8559999999998"/>
    <n v="13063.615199999998"/>
    <n v="8938.8996600000009"/>
    <n v="1548.0996600000017"/>
    <n v="3307.7591999999986"/>
    <n v="0.17318682599464391"/>
  </r>
  <r>
    <s v="ORD-2024-853298"/>
    <s v="853298"/>
    <n v="2024"/>
    <d v="2023-01-15T00:00:00"/>
    <x v="4"/>
    <d v="2024-03-06T00:00:00"/>
    <s v="Mar-2024"/>
    <x v="4"/>
    <s v="Q1-2024"/>
    <n v="20"/>
    <n v="20"/>
    <n v="0"/>
    <d v="2024-03-26T00:00:00"/>
    <d v="2024-03-26T00:00:00"/>
    <x v="0"/>
    <x v="0"/>
    <s v="Port Harcourt"/>
    <s v="Consumer"/>
    <x v="3"/>
    <s v="I. Johnson"/>
    <s v="Phones"/>
    <x v="450"/>
    <n v="65.64"/>
    <n v="72.204000000000008"/>
    <n v="151.88"/>
    <s v="Low"/>
    <n v="0.16700000000000001"/>
    <n v="0.1"/>
    <s v=""/>
    <n v="23"/>
    <n v="27.599999999999998"/>
    <n v="1509.72"/>
    <n v="1398841.4532999999"/>
    <n v="160755.87385999999"/>
    <n v="0.11492072491901181"/>
    <s v="A"/>
    <n v="1992.8304000000001"/>
    <n v="3772.6992"/>
    <n v="2909.8689199999999"/>
    <n v="1400.1489199999999"/>
    <n v="1779.8688"/>
    <n v="0.48117250587356353"/>
  </r>
  <r>
    <s v="ORD-2024-516704"/>
    <s v="516704"/>
    <n v="2024"/>
    <d v="2023-01-29T00:00:00"/>
    <x v="4"/>
    <d v="2024-03-01T00:00:00"/>
    <s v="Mar-2024"/>
    <x v="4"/>
    <s v="Q1-2024"/>
    <n v="-1"/>
    <n v="15"/>
    <n v="0"/>
    <d v="2024-02-29T00:00:00"/>
    <d v="2024-03-16T00:00:00"/>
    <x v="3"/>
    <x v="9"/>
    <s v="São Paulo"/>
    <s v="Non-Profit"/>
    <x v="0"/>
    <s v="I. Johnson"/>
    <s v="Phones"/>
    <x v="451"/>
    <n v="5.34"/>
    <n v="5.8740000000000006"/>
    <n v="12.69"/>
    <s v="Low"/>
    <n v="0.13200000000000001"/>
    <n v="0.1"/>
    <s v=""/>
    <n v="10"/>
    <n v="12"/>
    <n v="53.4"/>
    <n v="1398841.4532999999"/>
    <n v="160866.02306000001"/>
    <n v="0.11499946808160551"/>
    <s v="A"/>
    <n v="70.488"/>
    <n v="137.05199999999999"/>
    <n v="110.14919999999999"/>
    <n v="56.749199999999995"/>
    <n v="66.563999999999993"/>
    <n v="0.51520301554618642"/>
  </r>
  <r>
    <s v="ORD-2024-251426"/>
    <s v="251426"/>
    <n v="2024"/>
    <d v="2023-01-13T00:00:00"/>
    <x v="4"/>
    <d v="2024-03-09T00:00:00"/>
    <s v="Mar-2024"/>
    <x v="4"/>
    <s v="Q1-2024"/>
    <n v="17"/>
    <n v="17"/>
    <n v="0"/>
    <d v="2024-03-26T00:00:00"/>
    <d v="2024-03-26T00:00:00"/>
    <x v="3"/>
    <x v="11"/>
    <s v="San Francisco"/>
    <s v="Education"/>
    <x v="0"/>
    <s v="I. Johnson"/>
    <s v="Phones"/>
    <x v="452"/>
    <n v="1137.4100000000001"/>
    <n v="1251.1510000000003"/>
    <n v="1680.93"/>
    <s v="High"/>
    <n v="0.254"/>
    <n v="0.1"/>
    <s v=""/>
    <n v="9"/>
    <n v="10.799999999999999"/>
    <n v="10236.69"/>
    <n v="1398841.4532999999"/>
    <n v="172151.78708000001"/>
    <n v="0.12306740458246899"/>
    <s v="A"/>
    <n v="13512.430800000002"/>
    <n v="16338.639599999999"/>
    <n v="11285.764020000001"/>
    <n v="1049.07402"/>
    <n v="2826.2087999999967"/>
    <n v="9.2955516183121464E-2"/>
  </r>
  <r>
    <s v="ORD-2024-868223"/>
    <s v="868223"/>
    <n v="2024"/>
    <d v="2023-01-12T00:00:00"/>
    <x v="4"/>
    <d v="2024-03-03T00:00:00"/>
    <s v="Mar-2024"/>
    <x v="4"/>
    <s v="Q1-2024"/>
    <n v="16"/>
    <n v="16"/>
    <n v="0"/>
    <d v="2024-03-19T00:00:00"/>
    <d v="2024-03-19T00:00:00"/>
    <x v="1"/>
    <x v="4"/>
    <s v="Beijing"/>
    <s v="Consumer"/>
    <x v="2"/>
    <s v="G. Dubois"/>
    <s v="Phones"/>
    <x v="453"/>
    <n v="988.83"/>
    <n v="1087.7130000000002"/>
    <n v="1206.04"/>
    <s v="Medium"/>
    <n v="6.3E-2"/>
    <n v="6.3E-2"/>
    <s v=""/>
    <n v="34"/>
    <n v="40.799999999999997"/>
    <n v="33620.22"/>
    <n v="1398841.4532999999"/>
    <n v="210573.80940000003"/>
    <n v="0.15053443612443454"/>
    <s v="A"/>
    <n v="44378.690400000007"/>
    <n v="46106.426783999996"/>
    <n v="38422.022320000004"/>
    <n v="4801.8023200000025"/>
    <n v="1727.7363839999889"/>
    <n v="0.12497526236406606"/>
  </r>
  <r>
    <s v="ORD-2024-446030"/>
    <s v="446030"/>
    <n v="2024"/>
    <d v="2023-01-29T00:00:00"/>
    <x v="4"/>
    <d v="2024-03-23T00:00:00"/>
    <s v="Mar-2024"/>
    <x v="4"/>
    <s v="Q1-2024"/>
    <n v="3"/>
    <n v="3"/>
    <n v="1"/>
    <d v="2024-03-26T00:00:00"/>
    <d v="2024-03-26T00:00:00"/>
    <x v="1"/>
    <x v="1"/>
    <s v="Bengaluru"/>
    <s v="Education"/>
    <x v="0"/>
    <s v="G. Dubois"/>
    <s v="Phones"/>
    <x v="454"/>
    <n v="382.21"/>
    <n v="420.43099999999998"/>
    <n v="571.89"/>
    <s v="Low"/>
    <n v="0.14799999999999999"/>
    <n v="0.1"/>
    <s v=""/>
    <n v="26"/>
    <n v="31.2"/>
    <n v="9937.4599999999991"/>
    <n v="1398841.4532999999"/>
    <n v="223242.31668000002"/>
    <n v="0.15959086439235137"/>
    <s v="A"/>
    <n v="13117.447199999999"/>
    <n v="16058.671200000001"/>
    <n v="12668.50728"/>
    <n v="2731.0472800000007"/>
    <n v="2941.224000000002"/>
    <n v="0.2155776698578809"/>
  </r>
  <r>
    <s v="ORD-2024-219735"/>
    <s v="219735"/>
    <n v="2024"/>
    <d v="2023-01-29T00:00:00"/>
    <x v="5"/>
    <d v="2024-04-03T00:00:00"/>
    <s v="Apr-2024"/>
    <x v="2"/>
    <s v="Q2-2024"/>
    <n v="4"/>
    <n v="4"/>
    <n v="1"/>
    <d v="2024-04-07T00:00:00"/>
    <d v="2024-04-07T00:00:00"/>
    <x v="3"/>
    <x v="9"/>
    <s v="Brasília"/>
    <s v="Non-Profit"/>
    <x v="0"/>
    <s v="N. Brown"/>
    <s v="Phones"/>
    <x v="455"/>
    <n v="1023.27"/>
    <n v="1125.597"/>
    <n v="1343.64"/>
    <s v="Medium"/>
    <n v="0.13300000000000001"/>
    <n v="0.1"/>
    <s v=""/>
    <n v="7"/>
    <n v="8.4"/>
    <n v="7162.8899999999994"/>
    <n v="1398841.4532999999"/>
    <n v="231396.86784000002"/>
    <n v="0.16542036790096035"/>
    <s v="A"/>
    <n v="9455.0148000000008"/>
    <n v="10157.9184"/>
    <n v="8154.5511600000009"/>
    <n v="991.66116000000147"/>
    <n v="702.90359999999964"/>
    <n v="0.12160830688810116"/>
  </r>
  <r>
    <s v="ORD-2024-572312"/>
    <s v="572312"/>
    <n v="2024"/>
    <d v="2023-03-03T00:00:00"/>
    <x v="6"/>
    <d v="2024-06-16T00:00:00"/>
    <s v="Jun-2024"/>
    <x v="6"/>
    <s v="Q2-2024"/>
    <n v="5"/>
    <n v="5"/>
    <n v="1"/>
    <d v="2024-06-21T00:00:00"/>
    <d v="2024-06-21T00:00:00"/>
    <x v="1"/>
    <x v="3"/>
    <s v="Tokyo"/>
    <s v="Small Business"/>
    <x v="2"/>
    <s v="F. Müller"/>
    <s v="Phones"/>
    <x v="456"/>
    <n v="1367.13"/>
    <n v="1503.8430000000003"/>
    <n v="3062.01"/>
    <s v="High"/>
    <n v="0.10299999999999999"/>
    <n v="0.1"/>
    <s v=""/>
    <n v="25"/>
    <n v="30"/>
    <n v="34178.25"/>
    <n v="1398841.4532999999"/>
    <n v="300062.44209000003"/>
    <n v="0.21450782816174357"/>
    <s v="A"/>
    <n v="45115.290000000008"/>
    <n v="82674.27"/>
    <n v="68665.574250000005"/>
    <n v="34487.324250000005"/>
    <n v="37558.979999999996"/>
    <n v="0.50225057645971705"/>
  </r>
  <r>
    <s v="ORD-2024-567435"/>
    <s v="567435"/>
    <n v="2024"/>
    <d v="2023-01-19T00:00:00"/>
    <x v="6"/>
    <d v="2024-04-26T00:00:00"/>
    <s v="Apr-2024"/>
    <x v="2"/>
    <s v="Q2-2024"/>
    <n v="-2"/>
    <n v="15"/>
    <n v="0"/>
    <d v="2024-04-24T00:00:00"/>
    <d v="2024-05-11T00:00:00"/>
    <x v="2"/>
    <x v="2"/>
    <s v="London"/>
    <s v="Non-Profit"/>
    <x v="2"/>
    <s v="N. Brown"/>
    <s v="Phones"/>
    <x v="457"/>
    <n v="1232.77"/>
    <n v="1356.047"/>
    <n v="891.73"/>
    <s v="Medium"/>
    <n v="0.16700000000000001"/>
    <n v="0.1"/>
    <s v=""/>
    <n v="10"/>
    <n v="12"/>
    <n v="12327.7"/>
    <n v="1398841.4532999999"/>
    <n v="307490.55299"/>
    <n v="0.2198180160193284"/>
    <s v="A"/>
    <n v="16272.564"/>
    <n v="9630.6840000000011"/>
    <n v="7428.1108999999988"/>
    <n v="-4899.589100000002"/>
    <n v="-6641.8799999999992"/>
    <n v="-0.65960096260813805"/>
  </r>
  <r>
    <s v="ORD-2024-819778"/>
    <s v="819778"/>
    <n v="2024"/>
    <d v="2023-01-20T00:00:00"/>
    <x v="7"/>
    <d v="2024-06-02T00:00:00"/>
    <s v="Jun-2024"/>
    <x v="6"/>
    <s v="Q2-2024"/>
    <n v="13"/>
    <n v="13"/>
    <n v="0"/>
    <d v="2024-06-15T00:00:00"/>
    <d v="2024-06-15T00:00:00"/>
    <x v="0"/>
    <x v="8"/>
    <s v="Mombasa"/>
    <s v="Education"/>
    <x v="4"/>
    <s v="O. Wang"/>
    <s v="Phones"/>
    <x v="458"/>
    <n v="1295.18"/>
    <n v="1424.6980000000001"/>
    <n v="3024.03"/>
    <s v="High"/>
    <n v="0.192"/>
    <n v="0.1"/>
    <s v=""/>
    <n v="8"/>
    <n v="9.6"/>
    <n v="10361.44"/>
    <n v="1398841.4532999999"/>
    <n v="327037.88290999999"/>
    <n v="0.2337919584370956"/>
    <s v="A"/>
    <n v="13677.1008"/>
    <n v="26127.619200000001"/>
    <n v="19547.329920000004"/>
    <n v="9185.8899200000033"/>
    <n v="12450.518400000001"/>
    <n v="0.46993067378483178"/>
  </r>
  <r>
    <s v="ORD-2024-566589"/>
    <s v="566589"/>
    <n v="2024"/>
    <d v="2023-01-15T00:00:00"/>
    <x v="7"/>
    <d v="2024-06-11T00:00:00"/>
    <s v="Jun-2024"/>
    <x v="6"/>
    <s v="Q2-2024"/>
    <n v="28"/>
    <n v="28"/>
    <n v="0"/>
    <d v="2024-07-09T00:00:00"/>
    <d v="2024-07-09T00:00:00"/>
    <x v="0"/>
    <x v="0"/>
    <s v="Port Harcourt"/>
    <s v="Corporate"/>
    <x v="3"/>
    <s v="I. Johnson"/>
    <s v="Phones"/>
    <x v="459"/>
    <n v="895.54"/>
    <n v="985.09400000000005"/>
    <n v="1045"/>
    <s v="Medium"/>
    <n v="0.216"/>
    <n v="0.1"/>
    <s v=""/>
    <n v="15"/>
    <n v="18"/>
    <n v="13433.099999999999"/>
    <n v="1398841.4532999999"/>
    <n v="339327.08291"/>
    <n v="0.24257722854115824"/>
    <s v="A"/>
    <n v="17731.692000000003"/>
    <n v="16929"/>
    <n v="12289.2"/>
    <n v="-1143.8999999999978"/>
    <n v="-802.69200000000274"/>
    <n v="-9.3081730299775234E-2"/>
  </r>
  <r>
    <s v="ORD-2024-690270"/>
    <s v="690270"/>
    <n v="2024"/>
    <d v="2023-01-13T00:00:00"/>
    <x v="7"/>
    <d v="2024-05-17T00:00:00"/>
    <s v="May-2024"/>
    <x v="5"/>
    <s v="Q2-2024"/>
    <n v="10"/>
    <n v="10"/>
    <n v="0"/>
    <d v="2024-05-27T00:00:00"/>
    <d v="2024-05-27T00:00:00"/>
    <x v="3"/>
    <x v="11"/>
    <s v="Austin"/>
    <s v="Non-Profit"/>
    <x v="4"/>
    <s v="C. Otieno"/>
    <s v="Phones"/>
    <x v="460"/>
    <n v="1484.23"/>
    <n v="1632.6530000000002"/>
    <n v="3472.81"/>
    <s v="High"/>
    <n v="0.25600000000000001"/>
    <n v="0.1"/>
    <s v=""/>
    <n v="12"/>
    <n v="14.399999999999999"/>
    <n v="17810.760000000002"/>
    <n v="1398841.4532999999"/>
    <n v="370332.33059000003"/>
    <n v="0.26474217626046959"/>
    <s v="A"/>
    <n v="23510.2032"/>
    <n v="45007.617599999998"/>
    <n v="31005.24768"/>
    <n v="13194.487679999998"/>
    <n v="21497.414399999998"/>
    <n v="0.42555659661803413"/>
  </r>
  <r>
    <s v="ORD-2024-605518"/>
    <s v="605518"/>
    <n v="2024"/>
    <d v="2023-01-13T00:00:00"/>
    <x v="7"/>
    <d v="2024-05-30T00:00:00"/>
    <s v="May-2024"/>
    <x v="5"/>
    <s v="Q2-2024"/>
    <n v="14"/>
    <n v="14"/>
    <n v="0"/>
    <d v="2024-06-13T00:00:00"/>
    <d v="2024-06-13T00:00:00"/>
    <x v="3"/>
    <x v="11"/>
    <s v="San Francisco"/>
    <s v="Small Business"/>
    <x v="1"/>
    <s v="F. Müller"/>
    <s v="Phones"/>
    <x v="461"/>
    <n v="157.78"/>
    <n v="173.55800000000002"/>
    <n v="361.1"/>
    <s v="Low"/>
    <n v="0.187"/>
    <n v="0.1"/>
    <s v=""/>
    <n v="9"/>
    <n v="10.799999999999999"/>
    <n v="1420.02"/>
    <n v="1398841.4532999999"/>
    <n v="372974.49929000001"/>
    <n v="0.26663100268448414"/>
    <s v="A"/>
    <n v="1874.4264000000001"/>
    <n v="3509.8919999999998"/>
    <n v="2642.1686999999997"/>
    <n v="1222.1486999999997"/>
    <n v="1635.4655999999998"/>
    <n v="0.46255513510549112"/>
  </r>
  <r>
    <s v="ORD-2024-819979"/>
    <s v="819979"/>
    <n v="2024"/>
    <d v="2023-01-22T00:00:00"/>
    <x v="7"/>
    <d v="2024-05-28T00:00:00"/>
    <s v="May-2024"/>
    <x v="5"/>
    <s v="Q2-2024"/>
    <n v="21"/>
    <n v="21"/>
    <n v="0"/>
    <d v="2024-06-18T00:00:00"/>
    <d v="2024-06-18T00:00:00"/>
    <x v="2"/>
    <x v="7"/>
    <s v="Frankfurt"/>
    <s v="Small Business"/>
    <x v="4"/>
    <s v="E. Garcia"/>
    <s v="Phones"/>
    <x v="462"/>
    <n v="986.85"/>
    <n v="1085.5350000000001"/>
    <n v="2422.1"/>
    <s v="High"/>
    <n v="7.5999999999999998E-2"/>
    <n v="7.5999999999999998E-2"/>
    <s v=""/>
    <n v="10"/>
    <n v="12"/>
    <n v="9868.5"/>
    <n v="1398841.4532999999"/>
    <n v="395354.70329000003"/>
    <n v="0.28263010247324366"/>
    <s v="A"/>
    <n v="13026.420000000002"/>
    <n v="26856.244799999997"/>
    <n v="22380.204000000002"/>
    <n v="12511.704000000002"/>
    <n v="13829.824799999995"/>
    <n v="0.55905227673527913"/>
  </r>
  <r>
    <s v="ORD-2024-855073"/>
    <s v="855073"/>
    <n v="2024"/>
    <d v="2023-01-20T00:00:00"/>
    <x v="8"/>
    <d v="2024-07-19T00:00:00"/>
    <s v="Jul-2024"/>
    <x v="7"/>
    <s v="Q3-2024"/>
    <n v="0"/>
    <n v="0"/>
    <n v="1"/>
    <d v="2024-07-19T00:00:00"/>
    <d v="2024-07-19T00:00:00"/>
    <x v="0"/>
    <x v="8"/>
    <s v="Kisumu"/>
    <s v="Small Business"/>
    <x v="1"/>
    <s v="A. Patel"/>
    <s v="Phones"/>
    <x v="463"/>
    <n v="857.24"/>
    <n v="942.96400000000006"/>
    <n v="758.23"/>
    <s v="Low"/>
    <n v="0.125"/>
    <n v="0.1"/>
    <s v=""/>
    <n v="6"/>
    <n v="7.1999999999999993"/>
    <n v="5143.4400000000005"/>
    <n v="1398841.4532999999"/>
    <n v="399335.41079000005"/>
    <n v="0.28547581989933873"/>
    <s v="A"/>
    <n v="6789.3407999999999"/>
    <n v="4913.3303999999998"/>
    <n v="3980.7075"/>
    <n v="-1162.7325000000005"/>
    <n v="-1876.0104000000001"/>
    <n v="-0.29209192084572921"/>
  </r>
  <r>
    <s v="ORD-2024-580808"/>
    <s v="580808"/>
    <n v="2024"/>
    <d v="2023-01-07T00:00:00"/>
    <x v="8"/>
    <d v="2024-06-16T00:00:00"/>
    <s v="Jun-2024"/>
    <x v="6"/>
    <s v="Q2-2024"/>
    <n v="17"/>
    <n v="17"/>
    <n v="0"/>
    <d v="2024-07-03T00:00:00"/>
    <d v="2024-07-03T00:00:00"/>
    <x v="0"/>
    <x v="6"/>
    <s v="Johannesburg"/>
    <s v="Enterprise"/>
    <x v="3"/>
    <s v="F. Müller"/>
    <s v="Phones"/>
    <x v="464"/>
    <n v="1173.83"/>
    <n v="1291.213"/>
    <n v="2328.9"/>
    <s v="High"/>
    <n v="0.12"/>
    <n v="0.1"/>
    <s v=""/>
    <n v="17"/>
    <n v="20.399999999999999"/>
    <n v="19955.11"/>
    <n v="1398841.4532999999"/>
    <n v="434175.75479000004"/>
    <n v="0.31038239091766845"/>
    <s v="A"/>
    <n v="26340.745199999998"/>
    <n v="42758.603999999999"/>
    <n v="34840.344000000005"/>
    <n v="14885.234000000004"/>
    <n v="16417.858800000002"/>
    <n v="0.42724130393201637"/>
  </r>
  <r>
    <s v="ORD-2024-571797"/>
    <s v="571797"/>
    <n v="2024"/>
    <d v="2023-01-12T00:00:00"/>
    <x v="8"/>
    <d v="2024-07-11T00:00:00"/>
    <s v="Jul-2024"/>
    <x v="7"/>
    <s v="Q3-2024"/>
    <n v="20"/>
    <n v="20"/>
    <n v="0"/>
    <d v="2024-07-31T00:00:00"/>
    <d v="2024-07-31T00:00:00"/>
    <x v="1"/>
    <x v="4"/>
    <s v="Shenzhen"/>
    <s v="Consumer"/>
    <x v="4"/>
    <s v="G. Dubois"/>
    <s v="Phones"/>
    <x v="465"/>
    <n v="647.26"/>
    <n v="711.9860000000001"/>
    <n v="1374.72"/>
    <s v="Medium"/>
    <n v="6.6000000000000003E-2"/>
    <n v="6.6000000000000003E-2"/>
    <s v=""/>
    <n v="22"/>
    <n v="26.4"/>
    <n v="14239.72"/>
    <n v="1398841.4532999999"/>
    <n v="462423.50135000004"/>
    <n v="0.33057606368405729"/>
    <s v="A"/>
    <n v="18796.430400000001"/>
    <n v="33897.295871999995"/>
    <n v="28247.74656"/>
    <n v="14008.02656"/>
    <n v="15100.865471999994"/>
    <n v="0.49589890401508901"/>
  </r>
  <r>
    <s v="ORD-2024-536442"/>
    <s v="536442"/>
    <n v="2024"/>
    <d v="2023-03-03T00:00:00"/>
    <x v="8"/>
    <d v="2024-08-31T00:00:00"/>
    <s v="Aug-2024"/>
    <x v="8"/>
    <s v="Q3-2024"/>
    <n v="26"/>
    <n v="26"/>
    <n v="0"/>
    <d v="2024-09-26T00:00:00"/>
    <d v="2024-09-26T00:00:00"/>
    <x v="1"/>
    <x v="3"/>
    <s v="Tokyo"/>
    <s v="Education"/>
    <x v="4"/>
    <s v="I. Johnson"/>
    <s v="Phones"/>
    <x v="466"/>
    <n v="1189.03"/>
    <n v="1307.933"/>
    <n v="2949.62"/>
    <s v="High"/>
    <n v="0.125"/>
    <n v="0.1"/>
    <s v=""/>
    <n v="13"/>
    <n v="15.6"/>
    <n v="15457.39"/>
    <n v="1398841.4532999999"/>
    <n v="495975.42885000003"/>
    <n v="0.35456157499475499"/>
    <s v="A"/>
    <n v="20403.754799999999"/>
    <n v="41412.664799999999"/>
    <n v="33551.927499999998"/>
    <n v="18094.537499999999"/>
    <n v="21008.91"/>
    <n v="0.53929949330034765"/>
  </r>
  <r>
    <s v="ORD-2024-993481"/>
    <s v="993481"/>
    <n v="2024"/>
    <d v="2023-01-29T00:00:00"/>
    <x v="9"/>
    <d v="2024-08-18T00:00:00"/>
    <s v="Aug-2024"/>
    <x v="8"/>
    <s v="Q3-2024"/>
    <n v="25"/>
    <n v="25"/>
    <n v="0"/>
    <d v="2024-09-12T00:00:00"/>
    <d v="2024-09-12T00:00:00"/>
    <x v="1"/>
    <x v="1"/>
    <s v="Mumbai"/>
    <s v="Consumer"/>
    <x v="3"/>
    <s v="C. Otieno"/>
    <s v="Phones"/>
    <x v="467"/>
    <n v="1154.03"/>
    <n v="1269.433"/>
    <n v="1590.36"/>
    <s v="Medium"/>
    <n v="0.314"/>
    <n v="0.1"/>
    <s v="&gt;0.3"/>
    <n v="18"/>
    <n v="21.599999999999998"/>
    <n v="20772.54"/>
    <n v="1398841.4532999999"/>
    <n v="515613.19413000002"/>
    <n v="0.3686001675984219"/>
    <s v="A"/>
    <n v="27419.752799999998"/>
    <n v="30916.598399999999"/>
    <n v="19637.76528"/>
    <n v="-1134.7747200000013"/>
    <n v="3496.8456000000006"/>
    <n v="-5.7785328616576745E-2"/>
  </r>
  <r>
    <s v="ORD-2024-286833"/>
    <s v="286833"/>
    <n v="2024"/>
    <d v="2023-01-19T00:00:00"/>
    <x v="9"/>
    <d v="2024-08-14T00:00:00"/>
    <s v="Aug-2024"/>
    <x v="8"/>
    <s v="Q3-2024"/>
    <n v="21"/>
    <n v="21"/>
    <n v="0"/>
    <d v="2024-09-04T00:00:00"/>
    <d v="2024-09-04T00:00:00"/>
    <x v="2"/>
    <x v="2"/>
    <s v="Manchester"/>
    <s v="Non-Profit"/>
    <x v="4"/>
    <s v="J. Njeri"/>
    <s v="Phones"/>
    <x v="468"/>
    <n v="1138.8"/>
    <n v="1252.68"/>
    <n v="2250.81"/>
    <s v="High"/>
    <n v="0.123"/>
    <n v="0.1"/>
    <s v=""/>
    <n v="12"/>
    <n v="14.399999999999999"/>
    <n v="13665.599999999999"/>
    <n v="1398841.4532999999"/>
    <n v="539300.71857000003"/>
    <n v="0.38553384109238281"/>
    <s v="A"/>
    <n v="18038.592000000001"/>
    <n v="29170.497599999999"/>
    <n v="23687.524440000001"/>
    <n v="10021.924440000003"/>
    <n v="11131.905599999998"/>
    <n v="0.42308872188756258"/>
  </r>
  <r>
    <s v="ORD-2024-805860"/>
    <s v="805860"/>
    <n v="2024"/>
    <d v="2023-01-20T00:00:00"/>
    <x v="30"/>
    <d v="2024-09-13T00:00:00"/>
    <s v="Sept-2024"/>
    <x v="11"/>
    <s v="Q3-2024"/>
    <n v="19"/>
    <n v="19"/>
    <n v="0"/>
    <d v="2024-10-02T00:00:00"/>
    <d v="2024-10-02T00:00:00"/>
    <x v="0"/>
    <x v="8"/>
    <s v="Mombasa"/>
    <s v="Small Business"/>
    <x v="1"/>
    <s v="M. Rossi"/>
    <s v="Phones"/>
    <x v="469"/>
    <n v="1338.99"/>
    <n v="1472.8890000000001"/>
    <n v="1765.76"/>
    <s v="High"/>
    <n v="0.126"/>
    <n v="0.1"/>
    <s v=""/>
    <n v="24"/>
    <n v="28.799999999999997"/>
    <n v="32135.760000000002"/>
    <n v="1398841.4532999999"/>
    <n v="576339.30033"/>
    <n v="0.41201188238335434"/>
    <s v="A"/>
    <n v="42419.203199999996"/>
    <n v="45768.499199999991"/>
    <n v="37038.581760000001"/>
    <n v="4902.8217599999989"/>
    <n v="3349.2959999999948"/>
    <n v="0.1323706666677725"/>
  </r>
  <r>
    <s v="ORD-2024-668926"/>
    <s v="668926"/>
    <n v="2024"/>
    <d v="2023-03-03T00:00:00"/>
    <x v="30"/>
    <d v="2024-10-23T00:00:00"/>
    <s v="Oct-2024"/>
    <x v="9"/>
    <s v="Q4-2024"/>
    <n v="22"/>
    <n v="22"/>
    <n v="0"/>
    <d v="2024-11-14T00:00:00"/>
    <d v="2024-11-14T00:00:00"/>
    <x v="1"/>
    <x v="3"/>
    <s v="Osaka"/>
    <s v="Non-Profit"/>
    <x v="0"/>
    <s v="B. Chen"/>
    <s v="Phones"/>
    <x v="470"/>
    <n v="1406.4"/>
    <n v="1547.0400000000002"/>
    <n v="1564.76"/>
    <s v="Medium"/>
    <n v="0.185"/>
    <n v="0.1"/>
    <s v=""/>
    <n v="17"/>
    <n v="20.399999999999999"/>
    <n v="23908.800000000003"/>
    <n v="1398841.4532999999"/>
    <n v="598019.05012999999"/>
    <n v="0.42751024336547661"/>
    <s v="A"/>
    <n v="31559.616000000002"/>
    <n v="28728.993600000002"/>
    <n v="21679.749799999998"/>
    <n v="-2229.0502000000051"/>
    <n v="-2830.6224000000002"/>
    <n v="-0.10281715520536151"/>
  </r>
  <r>
    <s v="ORD-2023-613287"/>
    <s v="613287"/>
    <n v="2023"/>
    <d v="2023-01-20T00:00:00"/>
    <x v="10"/>
    <d v="2023-03-31T00:00:00"/>
    <s v="Mar-2023"/>
    <x v="4"/>
    <s v="Q1-2023"/>
    <n v="12"/>
    <n v="12"/>
    <n v="0"/>
    <d v="2023-04-12T00:00:00"/>
    <d v="2023-04-12T00:00:00"/>
    <x v="0"/>
    <x v="8"/>
    <s v="Mombasa"/>
    <s v="Small Business"/>
    <x v="4"/>
    <s v="C. Otieno"/>
    <s v="Phones"/>
    <x v="471"/>
    <n v="304.22000000000003"/>
    <n v="334.64200000000005"/>
    <n v="393.31"/>
    <s v="Low"/>
    <n v="0.26500000000000001"/>
    <n v="0.1"/>
    <s v=""/>
    <n v="15"/>
    <n v="18"/>
    <n v="4563.3"/>
    <n v="1398841.4532999999"/>
    <n v="602355.29287999996"/>
    <n v="0.43061012487082551"/>
    <s v="A"/>
    <n v="6023.5560000000005"/>
    <n v="6371.6220000000003"/>
    <n v="4336.2427499999994"/>
    <n v="-227.05725000000075"/>
    <n v="348.0659999999998"/>
    <n v="-5.2362670424759034E-2"/>
  </r>
  <r>
    <s v="ORD-2023-897079"/>
    <s v="897079"/>
    <n v="2023"/>
    <d v="2023-01-20T00:00:00"/>
    <x v="10"/>
    <d v="2023-04-14T00:00:00"/>
    <s v="Apr-2023"/>
    <x v="2"/>
    <s v="Q2-2023"/>
    <n v="30"/>
    <n v="30"/>
    <n v="0"/>
    <d v="2023-05-14T00:00:00"/>
    <d v="2023-05-14T00:00:00"/>
    <x v="0"/>
    <x v="8"/>
    <s v="Nakuru"/>
    <s v="Consumer"/>
    <x v="3"/>
    <s v="M. Rossi"/>
    <s v="Phones"/>
    <x v="472"/>
    <n v="209.25"/>
    <n v="230.17500000000001"/>
    <n v="434.8"/>
    <s v="Low"/>
    <n v="0"/>
    <n v="0"/>
    <s v=""/>
    <n v="9"/>
    <n v="10.799999999999999"/>
    <n v="1883.25"/>
    <n v="1398841.4532999999"/>
    <n v="606268.49287999992"/>
    <n v="0.43340758271765173"/>
    <s v="A"/>
    <n v="2485.89"/>
    <n v="4695.8399999999992"/>
    <n v="3913.2000000000003"/>
    <n v="2029.9500000000003"/>
    <n v="2209.9499999999994"/>
    <n v="0.51874425022999082"/>
  </r>
  <r>
    <s v="ORD-2023-747341"/>
    <s v="747341"/>
    <n v="2023"/>
    <d v="2023-01-29T00:00:00"/>
    <x v="10"/>
    <d v="2023-04-19T00:00:00"/>
    <s v="Apr-2023"/>
    <x v="2"/>
    <s v="Q2-2023"/>
    <n v="9"/>
    <n v="9"/>
    <n v="0"/>
    <d v="2023-04-28T00:00:00"/>
    <d v="2023-04-28T00:00:00"/>
    <x v="3"/>
    <x v="9"/>
    <s v="Rio de Janeiro"/>
    <s v="Corporate"/>
    <x v="2"/>
    <s v="M. Rossi"/>
    <s v="Phones"/>
    <x v="473"/>
    <n v="1013.54"/>
    <n v="1114.894"/>
    <n v="927.93"/>
    <s v="Medium"/>
    <n v="0.17499999999999999"/>
    <n v="0.1"/>
    <s v=""/>
    <n v="16"/>
    <n v="19.2"/>
    <n v="16216.64"/>
    <n v="1398841.4532999999"/>
    <n v="618517.1688799999"/>
    <n v="0.44216388313404575"/>
    <s v="A"/>
    <n v="21405.964799999998"/>
    <n v="16034.630399999998"/>
    <n v="12248.675999999999"/>
    <n v="-3967.9639999999999"/>
    <n v="-5371.3343999999997"/>
    <n v="-0.32395044166406234"/>
  </r>
  <r>
    <s v="ORD-2023-363031"/>
    <s v="363031"/>
    <n v="2023"/>
    <d v="2023-03-03T00:00:00"/>
    <x v="10"/>
    <d v="2023-05-06T00:00:00"/>
    <s v="May-2023"/>
    <x v="5"/>
    <s v="Q2-2023"/>
    <n v="8"/>
    <n v="8"/>
    <n v="0"/>
    <d v="2023-05-14T00:00:00"/>
    <d v="2023-05-14T00:00:00"/>
    <x v="1"/>
    <x v="3"/>
    <s v="Osaka"/>
    <s v="Enterprise"/>
    <x v="3"/>
    <s v="B. Chen"/>
    <s v="Phones"/>
    <x v="474"/>
    <n v="291.18"/>
    <n v="320.29800000000006"/>
    <n v="479.54"/>
    <s v="Low"/>
    <n v="0.14099999999999999"/>
    <n v="0.1"/>
    <s v=""/>
    <n v="22"/>
    <n v="26.4"/>
    <n v="6405.96"/>
    <n v="1398841.4532999999"/>
    <n v="627579.51579999994"/>
    <n v="0.44864234922369522"/>
    <s v="A"/>
    <n v="8455.8672000000006"/>
    <n v="11393.8704"/>
    <n v="9062.34692"/>
    <n v="2656.3869199999999"/>
    <n v="2938.0031999999992"/>
    <n v="0.29312350801066001"/>
  </r>
  <r>
    <s v="ORD-2024-438404"/>
    <s v="438404"/>
    <n v="2024"/>
    <d v="2023-01-02T00:00:00"/>
    <x v="11"/>
    <d v="2024-09-23T00:00:00"/>
    <s v="Sept-2024"/>
    <x v="11"/>
    <s v="Q3-2024"/>
    <n v="25"/>
    <n v="25"/>
    <n v="0"/>
    <d v="2024-10-18T00:00:00"/>
    <d v="2024-10-18T00:00:00"/>
    <x v="3"/>
    <x v="10"/>
    <s v="Vancouver"/>
    <s v="Small Business"/>
    <x v="4"/>
    <s v="N. Brown"/>
    <s v="Phones"/>
    <x v="475"/>
    <n v="1297"/>
    <n v="1426.7"/>
    <n v="2411.52"/>
    <s v="High"/>
    <n v="2.1000000000000001E-2"/>
    <n v="2.1000000000000001E-2"/>
    <s v=""/>
    <n v="18"/>
    <n v="21.599999999999998"/>
    <n v="23346"/>
    <n v="1398841.4532999999"/>
    <n v="670075.32123999996"/>
    <n v="0.47902163583959323"/>
    <s v="A"/>
    <n v="30816.719999999998"/>
    <n v="50994.966527999997"/>
    <n v="42495.805439999996"/>
    <n v="19149.805439999996"/>
    <n v="20178.246528"/>
    <n v="0.45062813239385913"/>
  </r>
  <r>
    <s v="ORD-2024-237478"/>
    <s v="237478"/>
    <n v="2024"/>
    <d v="2023-01-12T00:00:00"/>
    <x v="11"/>
    <d v="2024-10-03T00:00:00"/>
    <s v="Oct-2024"/>
    <x v="9"/>
    <s v="Q4-2024"/>
    <n v="8"/>
    <n v="8"/>
    <n v="0"/>
    <d v="2024-10-11T00:00:00"/>
    <d v="2024-10-11T00:00:00"/>
    <x v="1"/>
    <x v="4"/>
    <s v="Beijing"/>
    <s v="Enterprise"/>
    <x v="0"/>
    <s v="B. Chen"/>
    <s v="Phones"/>
    <x v="476"/>
    <n v="1132.6099999999999"/>
    <n v="1245.8710000000001"/>
    <n v="2206.63"/>
    <s v="High"/>
    <n v="6.3E-2"/>
    <n v="6.3E-2"/>
    <s v=""/>
    <n v="20"/>
    <n v="24"/>
    <n v="22652.199999999997"/>
    <n v="1398841.4532999999"/>
    <n v="711427.56744000001"/>
    <n v="0.50858341791464268"/>
    <s v="A"/>
    <n v="29900.904000000002"/>
    <n v="49622.695440000003"/>
    <n v="41352.246200000009"/>
    <n v="18700.046200000012"/>
    <n v="19721.791440000001"/>
    <n v="0.45221355351671338"/>
  </r>
  <r>
    <s v="ORD-2024-331226"/>
    <s v="331226"/>
    <n v="2024"/>
    <d v="2023-01-20T00:00:00"/>
    <x v="12"/>
    <d v="2024-11-30T00:00:00"/>
    <s v="Nov-2024"/>
    <x v="10"/>
    <s v="Q4-2024"/>
    <n v="19"/>
    <n v="19"/>
    <n v="0"/>
    <d v="2024-12-19T00:00:00"/>
    <d v="2024-12-19T00:00:00"/>
    <x v="0"/>
    <x v="8"/>
    <s v="Kisumu"/>
    <s v="Corporate"/>
    <x v="4"/>
    <s v="L. Okafor"/>
    <s v="Phones"/>
    <x v="477"/>
    <n v="1195.98"/>
    <n v="1315.5780000000002"/>
    <n v="1841.9"/>
    <s v="High"/>
    <n v="5.5E-2"/>
    <n v="5.5E-2"/>
    <s v=""/>
    <n v="19"/>
    <n v="22.8"/>
    <n v="22723.62"/>
    <n v="1398841.4532999999"/>
    <n v="744498.88193999999"/>
    <n v="0.53222534990198955"/>
    <s v="A"/>
    <n v="29995.178400000004"/>
    <n v="39685.577400000002"/>
    <n v="33071.3145"/>
    <n v="10347.694500000001"/>
    <n v="9690.3989999999976"/>
    <n v="0.31289032977506842"/>
  </r>
  <r>
    <s v="ORD-2025-515515"/>
    <s v="515515"/>
    <n v="2025"/>
    <d v="2023-03-03T00:00:00"/>
    <x v="12"/>
    <d v="2025-01-03T00:00:00"/>
    <s v="Jan-2025"/>
    <x v="1"/>
    <s v="Q1-2025"/>
    <n v="20"/>
    <n v="20"/>
    <n v="0"/>
    <d v="2025-01-23T00:00:00"/>
    <d v="2025-01-23T00:00:00"/>
    <x v="1"/>
    <x v="3"/>
    <s v="Osaka"/>
    <s v="Corporate"/>
    <x v="2"/>
    <s v="F. Müller"/>
    <s v="Phones"/>
    <x v="478"/>
    <n v="908.6"/>
    <n v="999.46000000000015"/>
    <n v="691.37"/>
    <s v="Low"/>
    <n v="0.25"/>
    <n v="0.1"/>
    <s v=""/>
    <n v="20"/>
    <n v="24"/>
    <n v="18172"/>
    <n v="1398841.4532999999"/>
    <n v="754869.43194000004"/>
    <n v="0.53963902067613978"/>
    <s v="A"/>
    <n v="23987.040000000005"/>
    <n v="14933.592000000001"/>
    <n v="10370.549999999999"/>
    <n v="-7801.4500000000007"/>
    <n v="-9053.448000000004"/>
    <n v="-0.75226964818645115"/>
  </r>
  <r>
    <s v="ORD-2025-653781"/>
    <s v="653781"/>
    <n v="2025"/>
    <d v="2023-01-13T00:00:00"/>
    <x v="13"/>
    <d v="2025-01-11T00:00:00"/>
    <s v="Jan-2025"/>
    <x v="1"/>
    <s v="Q1-2025"/>
    <n v="12"/>
    <n v="12"/>
    <n v="0"/>
    <d v="2025-01-23T00:00:00"/>
    <d v="2025-01-23T00:00:00"/>
    <x v="3"/>
    <x v="11"/>
    <s v="Austin"/>
    <s v="Consumer"/>
    <x v="2"/>
    <s v="H. Kim"/>
    <s v="Phones"/>
    <x v="479"/>
    <n v="100.69"/>
    <n v="110.759"/>
    <n v="226.14"/>
    <s v="Low"/>
    <n v="6.5000000000000002E-2"/>
    <n v="6.5000000000000002E-2"/>
    <s v=""/>
    <n v="12"/>
    <n v="14.399999999999999"/>
    <n v="1208.28"/>
    <n v="1398841.4532999999"/>
    <n v="757406.72274"/>
    <n v="0.54145287227026728"/>
    <s v="A"/>
    <n v="1594.9295999999999"/>
    <n v="3044.7489599999994"/>
    <n v="2537.2908000000002"/>
    <n v="1329.0108000000002"/>
    <n v="1449.8193599999995"/>
    <n v="0.52379128162999689"/>
  </r>
  <r>
    <s v="ORD-2025-354346"/>
    <s v="354346"/>
    <n v="2025"/>
    <d v="2023-01-12T00:00:00"/>
    <x v="13"/>
    <d v="2025-01-09T00:00:00"/>
    <s v="Jan-2025"/>
    <x v="1"/>
    <s v="Q1-2025"/>
    <n v="6"/>
    <n v="6"/>
    <n v="1"/>
    <d v="2025-01-15T00:00:00"/>
    <d v="2025-01-15T00:00:00"/>
    <x v="1"/>
    <x v="4"/>
    <s v="Beijing"/>
    <s v="Education"/>
    <x v="4"/>
    <s v="C. Otieno"/>
    <s v="Phones"/>
    <x v="480"/>
    <n v="304.77999999999997"/>
    <n v="335.25799999999998"/>
    <n v="537.27"/>
    <s v="Low"/>
    <n v="0.187"/>
    <n v="0.1"/>
    <s v=""/>
    <n v="8"/>
    <n v="9.6"/>
    <n v="2438.2399999999998"/>
    <n v="1398841.4532999999"/>
    <n v="760901.12682"/>
    <n v="0.54395094242093123"/>
    <s v="A"/>
    <n v="3218.4767999999999"/>
    <n v="4642.0127999999995"/>
    <n v="3494.4040799999998"/>
    <n v="1056.16408"/>
    <n v="1423.5359999999996"/>
    <n v="0.3022444044307549"/>
  </r>
  <r>
    <s v="ORD-2024-902741"/>
    <s v="902741"/>
    <n v="2024"/>
    <d v="2023-01-22T00:00:00"/>
    <x v="13"/>
    <d v="2024-12-23T00:00:00"/>
    <s v="Dec-2024"/>
    <x v="3"/>
    <s v="Q4-2024"/>
    <n v="19"/>
    <n v="19"/>
    <n v="0"/>
    <d v="2025-01-11T00:00:00"/>
    <d v="2025-01-11T00:00:00"/>
    <x v="2"/>
    <x v="7"/>
    <s v="Berlin"/>
    <s v="Education"/>
    <x v="1"/>
    <s v="K. Singh"/>
    <s v="Phones"/>
    <x v="481"/>
    <n v="501.81"/>
    <n v="551.9910000000001"/>
    <n v="921.62"/>
    <s v="Medium"/>
    <n v="0.01"/>
    <n v="0.01"/>
    <s v=""/>
    <n v="9"/>
    <n v="10.799999999999999"/>
    <n v="4516.29"/>
    <n v="1398841.4532999999"/>
    <n v="769112.76101999998"/>
    <n v="0.54982125329899956"/>
    <s v="A"/>
    <n v="5961.5028000000002"/>
    <n v="9853.9610399999983"/>
    <n v="8211.6342000000004"/>
    <n v="3695.3442000000005"/>
    <n v="3892.4582399999981"/>
    <n v="0.45001325071202031"/>
  </r>
  <r>
    <s v="ORD-2025-564184"/>
    <s v="564184"/>
    <n v="2025"/>
    <d v="2023-01-20T00:00:00"/>
    <x v="14"/>
    <d v="2025-01-29T00:00:00"/>
    <s v="Jan-2025"/>
    <x v="1"/>
    <s v="Q1-2025"/>
    <n v="8"/>
    <n v="8"/>
    <n v="0"/>
    <d v="2025-02-06T00:00:00"/>
    <d v="2025-02-06T00:00:00"/>
    <x v="0"/>
    <x v="8"/>
    <s v="Kisumu"/>
    <s v="Education"/>
    <x v="1"/>
    <s v="B. Chen"/>
    <s v="Phones"/>
    <x v="482"/>
    <n v="1445.27"/>
    <n v="1589.797"/>
    <n v="2691.45"/>
    <s v="High"/>
    <n v="0"/>
    <n v="0"/>
    <s v=""/>
    <n v="9"/>
    <n v="10.799999999999999"/>
    <n v="13007.43"/>
    <n v="1398841.4532999999"/>
    <n v="793335.81102000002"/>
    <n v="0.56713776185889075"/>
    <s v="A"/>
    <n v="17169.8076"/>
    <n v="29067.659999999996"/>
    <n v="24223.05"/>
    <n v="11215.619999999999"/>
    <n v="11897.852399999996"/>
    <n v="0.46301436028906351"/>
  </r>
  <r>
    <s v="ORD-2025-328504"/>
    <s v="328504"/>
    <n v="2025"/>
    <d v="2023-01-12T00:00:00"/>
    <x v="14"/>
    <d v="2025-01-27T00:00:00"/>
    <s v="Jan-2025"/>
    <x v="1"/>
    <s v="Q1-2025"/>
    <n v="19"/>
    <n v="19"/>
    <n v="0"/>
    <d v="2025-02-15T00:00:00"/>
    <d v="2025-02-15T00:00:00"/>
    <x v="1"/>
    <x v="4"/>
    <s v="Shenzhen"/>
    <s v="Non-Profit"/>
    <x v="0"/>
    <s v="L. Okafor"/>
    <s v="Phones"/>
    <x v="483"/>
    <n v="1253.22"/>
    <n v="1378.5420000000001"/>
    <n v="3104.71"/>
    <s v="High"/>
    <n v="0"/>
    <n v="0"/>
    <s v=""/>
    <n v="17"/>
    <n v="20.399999999999999"/>
    <n v="21304.74"/>
    <n v="1398841.4532999999"/>
    <n v="846115.88101999997"/>
    <n v="0.6048690357466403"/>
    <s v="A"/>
    <n v="28122.256799999999"/>
    <n v="63336.083999999995"/>
    <n v="52780.07"/>
    <n v="31475.329999999998"/>
    <n v="35213.8272"/>
    <n v="0.59634877331538205"/>
  </r>
  <r>
    <s v="ORD-2025-881624"/>
    <s v="881624"/>
    <n v="2025"/>
    <d v="2023-01-15T00:00:00"/>
    <x v="15"/>
    <d v="2025-02-21T00:00:00"/>
    <s v="Feb-2025"/>
    <x v="0"/>
    <s v="Q1-2025"/>
    <n v="28"/>
    <n v="28"/>
    <n v="0"/>
    <d v="2025-03-21T00:00:00"/>
    <d v="2025-03-21T00:00:00"/>
    <x v="0"/>
    <x v="0"/>
    <s v="Abuja"/>
    <s v="Enterprise"/>
    <x v="3"/>
    <s v="I. Johnson"/>
    <s v="Phones"/>
    <x v="484"/>
    <n v="1437.39"/>
    <n v="1581.1290000000001"/>
    <n v="1388.31"/>
    <s v="Medium"/>
    <n v="0.13800000000000001"/>
    <n v="0.1"/>
    <s v=""/>
    <n v="18"/>
    <n v="21.599999999999998"/>
    <n v="25873.02"/>
    <n v="1398841.4532999999"/>
    <n v="867656.89897999994"/>
    <n v="0.62026822048568464"/>
    <s v="A"/>
    <n v="34152.386400000003"/>
    <n v="26988.746399999996"/>
    <n v="21541.017959999997"/>
    <n v="-4332.002040000003"/>
    <n v="-7163.6400000000067"/>
    <n v="-0.20110479681341872"/>
  </r>
  <r>
    <s v="ORD-2025-276968"/>
    <s v="276968"/>
    <n v="2025"/>
    <d v="2023-01-13T00:00:00"/>
    <x v="15"/>
    <d v="2025-02-25T00:00:00"/>
    <s v="Feb-2025"/>
    <x v="0"/>
    <s v="Q1-2025"/>
    <n v="20"/>
    <n v="20"/>
    <n v="0"/>
    <d v="2025-03-17T00:00:00"/>
    <d v="2025-03-17T00:00:00"/>
    <x v="3"/>
    <x v="11"/>
    <s v="San Francisco"/>
    <s v="Non-Profit"/>
    <x v="3"/>
    <s v="H. Kim"/>
    <s v="Phones"/>
    <x v="485"/>
    <n v="1205.26"/>
    <n v="1325.7860000000001"/>
    <n v="1696.35"/>
    <s v="High"/>
    <n v="1.9E-2"/>
    <n v="1.9E-2"/>
    <s v=""/>
    <n v="6"/>
    <n v="7.1999999999999993"/>
    <n v="7231.5599999999995"/>
    <n v="1398841.4532999999"/>
    <n v="877641.6150799999"/>
    <n v="0.6274060673635028"/>
    <s v="A"/>
    <n v="9545.6592000000001"/>
    <n v="11981.659319999997"/>
    <n v="9984.7160999999978"/>
    <n v="2753.1560999999983"/>
    <n v="2436.000119999997"/>
    <n v="0.27573704374028213"/>
  </r>
  <r>
    <s v="ORD-2025-177994"/>
    <s v="177994"/>
    <n v="2025"/>
    <d v="2023-01-29T00:00:00"/>
    <x v="15"/>
    <d v="2025-03-24T00:00:00"/>
    <s v="Mar-2025"/>
    <x v="4"/>
    <s v="Q1-2025"/>
    <n v="11"/>
    <n v="11"/>
    <n v="0"/>
    <d v="2025-04-04T00:00:00"/>
    <d v="2025-04-04T00:00:00"/>
    <x v="1"/>
    <x v="1"/>
    <s v="Mumbai"/>
    <s v="Education"/>
    <x v="3"/>
    <s v="J. Njeri"/>
    <s v="Phones"/>
    <x v="486"/>
    <n v="23.83"/>
    <n v="26.213000000000001"/>
    <n v="47.29"/>
    <s v="Low"/>
    <n v="6.4000000000000001E-2"/>
    <n v="6.4000000000000001E-2"/>
    <s v=""/>
    <n v="19"/>
    <n v="22.8"/>
    <n v="452.77"/>
    <n v="1398841.4532999999"/>
    <n v="878482.62043999985"/>
    <n v="0.62800728300378561"/>
    <s v="A"/>
    <n v="597.65640000000008"/>
    <n v="1009.2064319999999"/>
    <n v="841.00536"/>
    <n v="388.23536000000001"/>
    <n v="411.55003199999987"/>
    <n v="0.46163244429262618"/>
  </r>
  <r>
    <s v="ORD-2025-926547"/>
    <s v="926547"/>
    <n v="2025"/>
    <d v="2023-01-22T00:00:00"/>
    <x v="15"/>
    <d v="2025-03-11T00:00:00"/>
    <s v="Mar-2025"/>
    <x v="4"/>
    <s v="Q1-2025"/>
    <n v="15"/>
    <n v="15"/>
    <n v="0"/>
    <d v="2025-03-26T00:00:00"/>
    <d v="2025-03-26T00:00:00"/>
    <x v="2"/>
    <x v="7"/>
    <s v="Berlin"/>
    <s v="Small Business"/>
    <x v="4"/>
    <s v="I. Johnson"/>
    <s v="Phones"/>
    <x v="487"/>
    <n v="116.97"/>
    <n v="128.667"/>
    <n v="140.82"/>
    <s v="Low"/>
    <n v="0.122"/>
    <n v="0.1"/>
    <s v=""/>
    <n v="5"/>
    <n v="6"/>
    <n v="584.85"/>
    <n v="1398841.4532999999"/>
    <n v="879100.8202399998"/>
    <n v="0.6284492200071119"/>
    <s v="A"/>
    <n v="772.00199999999995"/>
    <n v="760.428"/>
    <n v="618.19979999999987"/>
    <n v="33.349799999999846"/>
    <n v="-11.573999999999955"/>
    <n v="5.3946636669891926E-2"/>
  </r>
  <r>
    <s v="ORD-2025-168148"/>
    <s v="168148"/>
    <n v="2025"/>
    <d v="2023-01-15T00:00:00"/>
    <x v="16"/>
    <d v="2025-03-29T00:00:00"/>
    <s v="Mar-2025"/>
    <x v="4"/>
    <s v="Q1-2025"/>
    <n v="4"/>
    <n v="4"/>
    <n v="1"/>
    <d v="2025-04-02T00:00:00"/>
    <d v="2025-04-02T00:00:00"/>
    <x v="0"/>
    <x v="0"/>
    <s v="Lagos"/>
    <s v="Non-Profit"/>
    <x v="3"/>
    <s v="G. Dubois"/>
    <s v="Phones"/>
    <x v="488"/>
    <n v="259.93"/>
    <n v="285.92300000000006"/>
    <n v="255.94"/>
    <s v="Low"/>
    <n v="7.1999999999999995E-2"/>
    <n v="7.1999999999999995E-2"/>
    <s v=""/>
    <n v="22"/>
    <n v="26.4"/>
    <n v="5718.46"/>
    <n v="1398841.4532999999"/>
    <n v="884326.09127999982"/>
    <n v="0.63218464765523674"/>
    <s v="A"/>
    <n v="7548.3672000000015"/>
    <n v="6270.3252480000001"/>
    <n v="5225.2710400000005"/>
    <n v="-493.1889599999995"/>
    <n v="-1278.0419520000014"/>
    <n v="-9.4385335463861311E-2"/>
  </r>
  <r>
    <s v="ORD-2025-757957"/>
    <s v="757957"/>
    <n v="2025"/>
    <d v="2023-01-29T00:00:00"/>
    <x v="16"/>
    <d v="2025-04-24T00:00:00"/>
    <s v="Apr-2025"/>
    <x v="2"/>
    <s v="Q2-2025"/>
    <n v="12"/>
    <n v="12"/>
    <n v="0"/>
    <d v="2025-05-06T00:00:00"/>
    <d v="2025-05-06T00:00:00"/>
    <x v="3"/>
    <x v="9"/>
    <s v="Brasília"/>
    <s v="Consumer"/>
    <x v="4"/>
    <s v="C. Otieno"/>
    <s v="Phones"/>
    <x v="489"/>
    <n v="394.13"/>
    <n v="433.54300000000001"/>
    <n v="932.29"/>
    <s v="Medium"/>
    <n v="0.109"/>
    <n v="0.1"/>
    <s v=""/>
    <n v="7"/>
    <n v="8.4"/>
    <n v="2758.91"/>
    <n v="1398841.4532999999"/>
    <n v="890140.78400999983"/>
    <n v="0.63634143948913802"/>
    <s v="A"/>
    <n v="3641.7612000000004"/>
    <n v="7048.1124"/>
    <n v="5814.6927299999998"/>
    <n v="3055.7827299999999"/>
    <n v="3406.3511999999996"/>
    <n v="0.5255278089303268"/>
  </r>
  <r>
    <s v="ORD-2025-246692"/>
    <s v="246692"/>
    <n v="2025"/>
    <d v="2023-01-29T00:00:00"/>
    <x v="16"/>
    <d v="2025-04-17T00:00:00"/>
    <s v="Apr-2025"/>
    <x v="2"/>
    <s v="Q2-2025"/>
    <n v="0"/>
    <n v="0"/>
    <n v="1"/>
    <d v="2025-04-17T00:00:00"/>
    <d v="2025-04-17T00:00:00"/>
    <x v="3"/>
    <x v="9"/>
    <s v="São Paulo"/>
    <s v="Corporate"/>
    <x v="2"/>
    <s v="L. Okafor"/>
    <s v="Phones"/>
    <x v="490"/>
    <n v="719.41"/>
    <n v="791.351"/>
    <n v="1125.99"/>
    <s v="Medium"/>
    <n v="4.1000000000000002E-2"/>
    <n v="4.1000000000000002E-2"/>
    <s v=""/>
    <n v="21"/>
    <n v="25.2"/>
    <n v="15107.609999999999"/>
    <n v="1398841.4532999999"/>
    <n v="912817.09661999985"/>
    <n v="0.65255222060125373"/>
    <s v="A"/>
    <n v="19942.0452"/>
    <n v="27211.575131999998"/>
    <n v="22676.312610000001"/>
    <n v="7568.7026100000021"/>
    <n v="7269.5299319999976"/>
    <n v="0.33377131194876403"/>
  </r>
  <r>
    <s v="ORD-2025-323492"/>
    <s v="323492"/>
    <n v="2025"/>
    <d v="2023-01-29T00:00:00"/>
    <x v="16"/>
    <d v="2025-04-27T00:00:00"/>
    <s v="Apr-2025"/>
    <x v="2"/>
    <s v="Q2-2025"/>
    <n v="30"/>
    <n v="30"/>
    <n v="0"/>
    <d v="2025-05-27T00:00:00"/>
    <d v="2025-05-27T00:00:00"/>
    <x v="1"/>
    <x v="1"/>
    <s v="Delhi"/>
    <s v="Enterprise"/>
    <x v="3"/>
    <s v="H. Kim"/>
    <s v="Phones"/>
    <x v="491"/>
    <n v="481.32"/>
    <n v="529.452"/>
    <n v="1135.99"/>
    <s v="Medium"/>
    <n v="0.14499999999999999"/>
    <n v="0.1"/>
    <s v=""/>
    <n v="5"/>
    <n v="6"/>
    <n v="2406.6"/>
    <n v="1398841.4532999999"/>
    <n v="917673.45386999985"/>
    <n v="0.65602392015558375"/>
    <s v="A"/>
    <n v="3176.712"/>
    <n v="6134.3460000000005"/>
    <n v="4856.35725"/>
    <n v="2449.7572500000001"/>
    <n v="2957.6340000000005"/>
    <n v="0.50444337677175621"/>
  </r>
  <r>
    <s v="ORD-2025-254721"/>
    <s v="254721"/>
    <n v="2025"/>
    <d v="2023-03-03T00:00:00"/>
    <x v="16"/>
    <d v="2025-05-15T00:00:00"/>
    <s v="May-2025"/>
    <x v="5"/>
    <s v="Q2-2025"/>
    <n v="21"/>
    <n v="21"/>
    <n v="0"/>
    <d v="2025-06-05T00:00:00"/>
    <d v="2025-06-05T00:00:00"/>
    <x v="1"/>
    <x v="3"/>
    <s v="Osaka"/>
    <s v="Enterprise"/>
    <x v="0"/>
    <s v="H. Kim"/>
    <s v="Phones"/>
    <x v="492"/>
    <n v="1466.5"/>
    <n v="1613.15"/>
    <n v="2778.74"/>
    <s v="High"/>
    <n v="0.13500000000000001"/>
    <n v="0.1"/>
    <s v=""/>
    <n v="4"/>
    <n v="4.8"/>
    <n v="5866"/>
    <n v="1398841.4532999999"/>
    <n v="927287.89426999982"/>
    <n v="0.66289706534106463"/>
    <s v="A"/>
    <n v="7743.12"/>
    <n v="12004.156799999999"/>
    <n v="9614.4403999999995"/>
    <n v="3748.4403999999995"/>
    <n v="4261.0367999999989"/>
    <n v="0.38987608680792279"/>
  </r>
  <r>
    <s v="ORD-2025-541048"/>
    <s v="541048"/>
    <n v="2025"/>
    <d v="2023-01-22T00:00:00"/>
    <x v="16"/>
    <d v="2025-04-04T00:00:00"/>
    <s v="Apr-2025"/>
    <x v="2"/>
    <s v="Q2-2025"/>
    <n v="9"/>
    <n v="9"/>
    <n v="0"/>
    <d v="2025-04-13T00:00:00"/>
    <d v="2025-04-13T00:00:00"/>
    <x v="2"/>
    <x v="7"/>
    <s v="Munich"/>
    <s v="Consumer"/>
    <x v="3"/>
    <s v="F. Müller"/>
    <s v="Phones"/>
    <x v="493"/>
    <n v="7.02"/>
    <n v="7.7220000000000004"/>
    <n v="6.28"/>
    <s v="Low"/>
    <n v="0.13400000000000001"/>
    <n v="0.1"/>
    <s v=""/>
    <n v="14"/>
    <n v="16.8"/>
    <n v="98.28"/>
    <n v="1398841.4532999999"/>
    <n v="927364.03298999986"/>
    <n v="0.66295149518357488"/>
    <s v="A"/>
    <n v="129.7296"/>
    <n v="94.953600000000009"/>
    <n v="76.138720000000006"/>
    <n v="-22.141279999999995"/>
    <n v="-34.775999999999996"/>
    <n v="-0.29080184169106066"/>
  </r>
  <r>
    <s v="ORD-2025-474368"/>
    <s v="474368"/>
    <n v="2025"/>
    <d v="2023-01-13T00:00:00"/>
    <x v="17"/>
    <d v="2025-04-27T00:00:00"/>
    <s v="Apr-2025"/>
    <x v="2"/>
    <s v="Q2-2025"/>
    <n v="20"/>
    <n v="20"/>
    <n v="0"/>
    <d v="2025-05-17T00:00:00"/>
    <d v="2025-05-17T00:00:00"/>
    <x v="3"/>
    <x v="11"/>
    <s v="Austin"/>
    <s v="Corporate"/>
    <x v="0"/>
    <s v="N. Brown"/>
    <s v="Phones"/>
    <x v="494"/>
    <n v="932.26"/>
    <n v="1025.4860000000001"/>
    <n v="1624.67"/>
    <s v="Medium"/>
    <n v="0.23499999999999999"/>
    <n v="0.1"/>
    <s v=""/>
    <n v="28"/>
    <n v="33.6"/>
    <n v="26103.279999999999"/>
    <n v="1398841.4532999999"/>
    <n v="962164.46438999986"/>
    <n v="0.6878295335902167"/>
    <s v="A"/>
    <n v="34456.329600000005"/>
    <n v="49130.020800000006"/>
    <n v="34800.431400000001"/>
    <n v="8697.1514000000025"/>
    <n v="14673.691200000001"/>
    <n v="0.24991504559337163"/>
  </r>
  <r>
    <s v="ORD-2025-673091"/>
    <s v="673091"/>
    <n v="2025"/>
    <d v="2023-01-29T00:00:00"/>
    <x v="17"/>
    <d v="2025-05-07T00:00:00"/>
    <s v="May-2025"/>
    <x v="5"/>
    <s v="Q2-2025"/>
    <n v="6"/>
    <n v="6"/>
    <n v="1"/>
    <d v="2025-05-13T00:00:00"/>
    <d v="2025-05-13T00:00:00"/>
    <x v="1"/>
    <x v="1"/>
    <s v="Bengaluru"/>
    <s v="Enterprise"/>
    <x v="0"/>
    <s v="J. Njeri"/>
    <s v="Phones"/>
    <x v="495"/>
    <n v="935.98"/>
    <n v="1029.5780000000002"/>
    <n v="2077.69"/>
    <s v="High"/>
    <n v="0.17499999999999999"/>
    <n v="0.1"/>
    <s v=""/>
    <n v="24"/>
    <n v="28.799999999999997"/>
    <n v="22463.52"/>
    <n v="1398841.4532999999"/>
    <n v="1003302.7263899999"/>
    <n v="0.7172383432183207"/>
    <s v="A"/>
    <n v="29651.846400000002"/>
    <n v="53853.724799999996"/>
    <n v="41138.261999999995"/>
    <n v="18674.741999999995"/>
    <n v="24201.878399999994"/>
    <n v="0.45395067978321491"/>
  </r>
  <r>
    <s v="ORD-2025-417942"/>
    <s v="417942"/>
    <n v="2025"/>
    <d v="2023-03-03T00:00:00"/>
    <x v="17"/>
    <d v="2025-06-09T00:00:00"/>
    <s v="Jun-2025"/>
    <x v="6"/>
    <s v="Q2-2025"/>
    <n v="15"/>
    <n v="15"/>
    <n v="0"/>
    <d v="2025-06-24T00:00:00"/>
    <d v="2025-06-24T00:00:00"/>
    <x v="1"/>
    <x v="3"/>
    <s v="Nagoya"/>
    <s v="Corporate"/>
    <x v="0"/>
    <s v="B. Chen"/>
    <s v="Phones"/>
    <x v="496"/>
    <n v="400.39"/>
    <n v="440.42900000000003"/>
    <n v="712.75"/>
    <s v="Low"/>
    <n v="0.115"/>
    <n v="0.1"/>
    <s v=""/>
    <n v="19"/>
    <n v="22.8"/>
    <n v="7607.41"/>
    <n v="1398841.4532999999"/>
    <n v="1015287.6176399998"/>
    <n v="0.72580606990509167"/>
    <s v="A"/>
    <n v="10041.781200000001"/>
    <n v="14625.630000000001"/>
    <n v="11984.891250000001"/>
    <n v="4377.4812500000007"/>
    <n v="4583.8487999999998"/>
    <n v="0.36524997671547504"/>
  </r>
  <r>
    <s v="ORD-2025-526650"/>
    <s v="526650"/>
    <n v="2025"/>
    <d v="2023-01-10T00:00:00"/>
    <x v="17"/>
    <d v="2025-04-27T00:00:00"/>
    <s v="Apr-2025"/>
    <x v="2"/>
    <s v="Q2-2025"/>
    <n v="28"/>
    <n v="28"/>
    <n v="0"/>
    <d v="2025-05-25T00:00:00"/>
    <d v="2025-05-25T00:00:00"/>
    <x v="2"/>
    <x v="5"/>
    <s v="Paris"/>
    <s v="Small Business"/>
    <x v="3"/>
    <s v="I. Johnson"/>
    <s v="Phones"/>
    <x v="497"/>
    <n v="603.45000000000005"/>
    <n v="663.79500000000007"/>
    <n v="1244.08"/>
    <s v="Medium"/>
    <n v="0.2"/>
    <n v="0.1"/>
    <s v=""/>
    <n v="11"/>
    <n v="13.2"/>
    <n v="6637.9500000000007"/>
    <n v="1398841.4532999999"/>
    <n v="1026235.5216399998"/>
    <n v="0.73363247794738473"/>
    <s v="A"/>
    <n v="8762.094000000001"/>
    <n v="14779.670400000001"/>
    <n v="10947.904"/>
    <n v="4309.9539999999997"/>
    <n v="6017.5763999999999"/>
    <n v="0.39367846119220623"/>
  </r>
  <r>
    <s v="ORD-2025-252117"/>
    <s v="252117"/>
    <n v="2025"/>
    <d v="2023-01-22T00:00:00"/>
    <x v="17"/>
    <d v="2025-04-28T00:00:00"/>
    <s v="Apr-2025"/>
    <x v="2"/>
    <s v="Q2-2025"/>
    <n v="21"/>
    <n v="21"/>
    <n v="0"/>
    <d v="2025-05-19T00:00:00"/>
    <d v="2025-05-19T00:00:00"/>
    <x v="2"/>
    <x v="7"/>
    <s v="Berlin"/>
    <s v="Corporate"/>
    <x v="2"/>
    <s v="B. Chen"/>
    <s v="Phones"/>
    <x v="498"/>
    <n v="350.76"/>
    <n v="385.83600000000001"/>
    <n v="492.18"/>
    <s v="Low"/>
    <n v="5.2999999999999999E-2"/>
    <n v="5.2999999999999999E-2"/>
    <s v=""/>
    <n v="11"/>
    <n v="13.2"/>
    <n v="3858.3599999999997"/>
    <n v="1398841.4532999999"/>
    <n v="1031362.5606999998"/>
    <n v="0.73729768178296229"/>
    <s v="A"/>
    <n v="5093.0352000000003"/>
    <n v="6152.4468719999995"/>
    <n v="5127.0390600000001"/>
    <n v="1268.6790600000004"/>
    <n v="1059.4116719999993"/>
    <n v="0.24744868239798437"/>
  </r>
  <r>
    <s v="ORD-2025-509940"/>
    <s v="509940"/>
    <n v="2025"/>
    <d v="2023-01-12T00:00:00"/>
    <x v="18"/>
    <d v="2025-05-16T00:00:00"/>
    <s v="May-2025"/>
    <x v="5"/>
    <s v="Q2-2025"/>
    <n v="11"/>
    <n v="11"/>
    <n v="0"/>
    <d v="2025-05-27T00:00:00"/>
    <d v="2025-05-27T00:00:00"/>
    <x v="1"/>
    <x v="4"/>
    <s v="Beijing"/>
    <s v="Enterprise"/>
    <x v="4"/>
    <s v="F. Müller"/>
    <s v="Phones"/>
    <x v="499"/>
    <n v="918.12"/>
    <n v="1009.9320000000001"/>
    <n v="1337.69"/>
    <s v="Medium"/>
    <n v="9.5000000000000001E-2"/>
    <n v="9.5000000000000001E-2"/>
    <s v=""/>
    <n v="8"/>
    <n v="9.6"/>
    <n v="7344.96"/>
    <n v="1398841.4532999999"/>
    <n v="1041047.4362999998"/>
    <n v="0.74422117949398048"/>
    <s v="A"/>
    <n v="9695.3472000000002"/>
    <n v="11621.85072"/>
    <n v="9684.8756000000012"/>
    <n v="2339.9156000000012"/>
    <n v="1926.5035200000002"/>
    <n v="0.24160512707050164"/>
  </r>
  <r>
    <s v="ORD-2025-526752"/>
    <s v="526752"/>
    <n v="2025"/>
    <d v="2023-01-29T00:00:00"/>
    <x v="18"/>
    <d v="2025-06-09T00:00:00"/>
    <s v="Jun-2025"/>
    <x v="6"/>
    <s v="Q2-2025"/>
    <n v="16"/>
    <n v="16"/>
    <n v="0"/>
    <d v="2025-06-25T00:00:00"/>
    <d v="2025-06-25T00:00:00"/>
    <x v="1"/>
    <x v="1"/>
    <s v="Hyderabad"/>
    <s v="Enterprise"/>
    <x v="2"/>
    <s v="M. Rossi"/>
    <s v="Phones"/>
    <x v="500"/>
    <n v="527.33000000000004"/>
    <n v="580.0630000000001"/>
    <n v="911.72"/>
    <s v="Medium"/>
    <n v="0.14399999999999999"/>
    <n v="0.1"/>
    <s v=""/>
    <n v="25"/>
    <n v="30"/>
    <n v="13183.250000000002"/>
    <n v="1398841.4532999999"/>
    <n v="1060558.2442999999"/>
    <n v="0.75816901322022034"/>
    <s v="A"/>
    <n v="17401.890000000003"/>
    <n v="24616.440000000002"/>
    <n v="19510.808000000001"/>
    <n v="6327.5579999999991"/>
    <n v="7214.5499999999993"/>
    <n v="0.32431040272652978"/>
  </r>
  <r>
    <s v="ORD-2025-155182"/>
    <s v="155182"/>
    <n v="2025"/>
    <d v="2023-01-20T00:00:00"/>
    <x v="19"/>
    <d v="2025-07-11T00:00:00"/>
    <s v="Jul-2025"/>
    <x v="7"/>
    <s v="Q3-2025"/>
    <n v="23"/>
    <n v="23"/>
    <n v="0"/>
    <d v="2025-08-03T00:00:00"/>
    <d v="2025-08-03T00:00:00"/>
    <x v="0"/>
    <x v="8"/>
    <s v="Nakuru"/>
    <s v="Small Business"/>
    <x v="1"/>
    <s v="C. Otieno"/>
    <s v="Phones"/>
    <x v="501"/>
    <n v="389.93"/>
    <n v="428.92300000000006"/>
    <n v="486.13"/>
    <s v="Low"/>
    <n v="0.13200000000000001"/>
    <n v="0.1"/>
    <s v=""/>
    <n v="17"/>
    <n v="20.399999999999999"/>
    <n v="6628.81"/>
    <n v="1398841.4532999999"/>
    <n v="1067731.57858"/>
    <n v="0.76329706705582656"/>
    <s v="A"/>
    <n v="8750.0292000000009"/>
    <n v="8925.3467999999993"/>
    <n v="7173.3342799999991"/>
    <n v="544.52427999999873"/>
    <n v="175.31759999999849"/>
    <n v="7.5909508569562828E-2"/>
  </r>
  <r>
    <s v="ORD-2025-908258"/>
    <s v="908258"/>
    <n v="2025"/>
    <d v="2023-01-07T00:00:00"/>
    <x v="19"/>
    <d v="2025-06-21T00:00:00"/>
    <s v="Jun-2025"/>
    <x v="6"/>
    <s v="Q2-2025"/>
    <n v="6"/>
    <n v="6"/>
    <n v="1"/>
    <d v="2025-06-27T00:00:00"/>
    <d v="2025-06-27T00:00:00"/>
    <x v="0"/>
    <x v="6"/>
    <s v="Durban"/>
    <s v="Enterprise"/>
    <x v="2"/>
    <s v="N. Brown"/>
    <s v="Phones"/>
    <x v="502"/>
    <n v="93.91"/>
    <n v="103.301"/>
    <n v="99.04"/>
    <s v="Low"/>
    <n v="5.7000000000000002E-2"/>
    <n v="5.7000000000000002E-2"/>
    <s v=""/>
    <n v="6"/>
    <n v="7.1999999999999993"/>
    <n v="563.46"/>
    <n v="1398841.4532999999"/>
    <n v="1068291.9468999999"/>
    <n v="0.76369766164692765"/>
    <s v="A"/>
    <n v="743.76719999999989"/>
    <n v="672.44198399999993"/>
    <n v="560.36831999999993"/>
    <n v="-3.0916800000001103"/>
    <n v="-71.325215999999955"/>
    <n v="-5.5172283829323376E-3"/>
  </r>
  <r>
    <s v="ORD-2025-262434"/>
    <s v="262434"/>
    <n v="2025"/>
    <d v="2023-01-07T00:00:00"/>
    <x v="19"/>
    <d v="2025-06-19T00:00:00"/>
    <s v="Jun-2025"/>
    <x v="6"/>
    <s v="Q2-2025"/>
    <n v="2"/>
    <n v="2"/>
    <n v="1"/>
    <d v="2025-06-21T00:00:00"/>
    <d v="2025-06-21T00:00:00"/>
    <x v="0"/>
    <x v="6"/>
    <s v="Johannesburg"/>
    <s v="Small Business"/>
    <x v="2"/>
    <s v="H. Kim"/>
    <s v="Phones"/>
    <x v="503"/>
    <n v="1466.27"/>
    <n v="1612.8970000000002"/>
    <n v="3589.89"/>
    <s v="High"/>
    <n v="9.7000000000000003E-2"/>
    <n v="9.7000000000000003E-2"/>
    <s v=""/>
    <n v="9"/>
    <n v="10.799999999999999"/>
    <n v="13196.43"/>
    <n v="1398841.4532999999"/>
    <n v="1097466.9829299999"/>
    <n v="0.78455423260511115"/>
    <s v="A"/>
    <n v="17419.2876"/>
    <n v="35010.043235999998"/>
    <n v="29175.036029999999"/>
    <n v="15978.606029999999"/>
    <n v="17590.755635999998"/>
    <n v="0.54768076425234147"/>
  </r>
  <r>
    <s v="ORD-2025-591006"/>
    <s v="591006"/>
    <n v="2025"/>
    <d v="2023-01-19T00:00:00"/>
    <x v="19"/>
    <d v="2025-06-25T00:00:00"/>
    <s v="Jun-2025"/>
    <x v="6"/>
    <s v="Q2-2025"/>
    <n v="15"/>
    <n v="15"/>
    <n v="0"/>
    <d v="2025-07-10T00:00:00"/>
    <d v="2025-07-10T00:00:00"/>
    <x v="2"/>
    <x v="2"/>
    <s v="Birmingham"/>
    <s v="Non-Profit"/>
    <x v="3"/>
    <s v="D. Smith"/>
    <s v="Phones"/>
    <x v="504"/>
    <n v="546.83000000000004"/>
    <n v="601.51300000000015"/>
    <n v="400.84"/>
    <s v="Low"/>
    <n v="7.8E-2"/>
    <n v="7.8E-2"/>
    <s v=""/>
    <n v="13"/>
    <n v="15.6"/>
    <n v="7108.7900000000009"/>
    <n v="1398841.4532999999"/>
    <n v="1102271.45117"/>
    <n v="0.78798883788411966"/>
    <s v="A"/>
    <n v="9383.6028000000024"/>
    <n v="5765.3618879999995"/>
    <n v="4804.4682400000002"/>
    <n v="-2304.3217600000007"/>
    <n v="-3618.2409120000029"/>
    <n v="-0.47962056254533608"/>
  </r>
  <r>
    <s v="ORD-2025-278048"/>
    <s v="278048"/>
    <n v="2025"/>
    <d v="2023-01-19T00:00:00"/>
    <x v="19"/>
    <d v="2025-06-22T00:00:00"/>
    <s v="Jun-2025"/>
    <x v="6"/>
    <s v="Q2-2025"/>
    <n v="16"/>
    <n v="16"/>
    <n v="0"/>
    <d v="2025-07-08T00:00:00"/>
    <d v="2025-07-08T00:00:00"/>
    <x v="2"/>
    <x v="2"/>
    <s v="London"/>
    <s v="Education"/>
    <x v="0"/>
    <s v="A. Patel"/>
    <s v="Phones"/>
    <x v="505"/>
    <n v="892.73"/>
    <n v="982.00300000000004"/>
    <n v="979.84"/>
    <s v="Medium"/>
    <n v="0.17399999999999999"/>
    <n v="0.1"/>
    <s v=""/>
    <n v="10"/>
    <n v="12"/>
    <n v="8927.2999999999993"/>
    <n v="1398841.4532999999"/>
    <n v="1110364.9295699999"/>
    <n v="0.79377468186301137"/>
    <s v="A"/>
    <n v="11784.036"/>
    <n v="10582.272000000001"/>
    <n v="8093.4784"/>
    <n v="-833.82159999999931"/>
    <n v="-1201.7639999999992"/>
    <n v="-0.10302388649112838"/>
  </r>
  <r>
    <s v="ORD-2023-251563"/>
    <s v="251563"/>
    <n v="2023"/>
    <d v="2023-01-20T00:00:00"/>
    <x v="20"/>
    <d v="2023-05-11T00:00:00"/>
    <s v="May-2023"/>
    <x v="5"/>
    <s v="Q2-2023"/>
    <n v="27"/>
    <n v="27"/>
    <n v="0"/>
    <d v="2023-06-07T00:00:00"/>
    <d v="2023-06-07T00:00:00"/>
    <x v="0"/>
    <x v="8"/>
    <s v="Mombasa"/>
    <s v="Corporate"/>
    <x v="4"/>
    <s v="J. Njeri"/>
    <s v="Phones"/>
    <x v="506"/>
    <n v="12.85"/>
    <n v="14.135000000000002"/>
    <n v="15.41"/>
    <s v="Low"/>
    <n v="0.13700000000000001"/>
    <n v="0.1"/>
    <s v=""/>
    <n v="39"/>
    <n v="46.8"/>
    <n v="501.15"/>
    <n v="1398841.4532999999"/>
    <n v="1110883.5839399998"/>
    <n v="0.79414545609820175"/>
    <s v="A"/>
    <n v="661.51800000000003"/>
    <n v="649.06920000000002"/>
    <n v="518.65436999999997"/>
    <n v="17.504369999999994"/>
    <n v="-12.448800000000006"/>
    <n v="3.3749585489851353E-2"/>
  </r>
  <r>
    <s v="ORD-2023-898009"/>
    <s v="898009"/>
    <n v="2023"/>
    <d v="2023-01-15T00:00:00"/>
    <x v="20"/>
    <d v="2023-05-04T00:00:00"/>
    <s v="May-2023"/>
    <x v="5"/>
    <s v="Q2-2023"/>
    <n v="12"/>
    <n v="12"/>
    <n v="0"/>
    <d v="2023-05-16T00:00:00"/>
    <d v="2023-05-16T00:00:00"/>
    <x v="0"/>
    <x v="0"/>
    <s v="Abuja"/>
    <s v="Small Business"/>
    <x v="3"/>
    <s v="J. Njeri"/>
    <s v="Phones"/>
    <x v="507"/>
    <n v="77.739999999999995"/>
    <n v="85.513999999999996"/>
    <n v="147.12"/>
    <s v="Low"/>
    <n v="0"/>
    <n v="0"/>
    <s v=""/>
    <n v="15"/>
    <n v="18"/>
    <n v="1166.0999999999999"/>
    <n v="1398841.4532999999"/>
    <n v="1113090.3839399999"/>
    <n v="0.79572304732184895"/>
    <s v="A"/>
    <n v="1539.252"/>
    <n v="2648.16"/>
    <n v="2206.8000000000002"/>
    <n v="1040.7000000000003"/>
    <n v="1108.9079999999999"/>
    <n v="0.47158781946710177"/>
  </r>
  <r>
    <s v="ORD-2023-378676"/>
    <s v="378676"/>
    <n v="2023"/>
    <d v="2023-01-13T00:00:00"/>
    <x v="20"/>
    <d v="2023-05-03T00:00:00"/>
    <s v="May-2023"/>
    <x v="5"/>
    <s v="Q2-2023"/>
    <n v="13"/>
    <n v="13"/>
    <n v="0"/>
    <d v="2023-05-16T00:00:00"/>
    <d v="2023-05-16T00:00:00"/>
    <x v="3"/>
    <x v="11"/>
    <s v="New York"/>
    <s v="Corporate"/>
    <x v="3"/>
    <s v="L. Okafor"/>
    <s v="Phones"/>
    <x v="508"/>
    <n v="64.5"/>
    <n v="70.95"/>
    <n v="123.62"/>
    <s v="Low"/>
    <n v="0"/>
    <n v="0"/>
    <s v=""/>
    <n v="3"/>
    <n v="3.5999999999999996"/>
    <n v="193.5"/>
    <n v="1398841.4532999999"/>
    <n v="1113461.24394"/>
    <n v="0.79598816671699213"/>
    <s v="A"/>
    <n v="255.42"/>
    <n v="445.03199999999998"/>
    <n v="370.86"/>
    <n v="177.36"/>
    <n v="189.61199999999999"/>
    <n v="0.47823976702798904"/>
  </r>
  <r>
    <s v="ORD-2023-610470"/>
    <s v="610470"/>
    <n v="2023"/>
    <d v="2023-03-03T00:00:00"/>
    <x v="20"/>
    <d v="2023-06-24T00:00:00"/>
    <s v="Jun-2023"/>
    <x v="6"/>
    <s v="Q2-2023"/>
    <n v="27"/>
    <n v="27"/>
    <n v="0"/>
    <d v="2023-07-21T00:00:00"/>
    <d v="2023-07-21T00:00:00"/>
    <x v="1"/>
    <x v="3"/>
    <s v="Nagoya"/>
    <s v="Consumer"/>
    <x v="3"/>
    <s v="J. Njeri"/>
    <s v="Phones"/>
    <x v="509"/>
    <n v="554.76"/>
    <n v="610.23599999999999"/>
    <n v="728.69"/>
    <s v="Low"/>
    <n v="0.22"/>
    <n v="0.1"/>
    <s v=""/>
    <n v="7"/>
    <n v="8.4"/>
    <n v="3883.3199999999997"/>
    <n v="1398841.4532999999"/>
    <n v="1117439.8913399999"/>
    <n v="0.79883241142436334"/>
    <s v="A"/>
    <n v="5125.9823999999999"/>
    <n v="5508.8964000000014"/>
    <n v="3978.6474000000003"/>
    <n v="95.32740000000058"/>
    <n v="382.91400000000158"/>
    <n v="2.395975074343119E-2"/>
  </r>
  <r>
    <s v="ORD-2025-418232"/>
    <s v="418232"/>
    <n v="2025"/>
    <d v="2023-01-12T00:00:00"/>
    <x v="21"/>
    <d v="2025-08-01T00:00:00"/>
    <s v="Aug-2025"/>
    <x v="8"/>
    <s v="Q3-2025"/>
    <n v="20"/>
    <n v="20"/>
    <n v="0"/>
    <d v="2025-08-21T00:00:00"/>
    <d v="2025-08-21T00:00:00"/>
    <x v="1"/>
    <x v="4"/>
    <s v="Shanghai"/>
    <s v="Corporate"/>
    <x v="0"/>
    <s v="I. Johnson"/>
    <s v="Phones"/>
    <x v="510"/>
    <n v="1220.4100000000001"/>
    <n v="1342.4510000000002"/>
    <n v="2552.2199999999998"/>
    <s v="High"/>
    <n v="0.18099999999999999"/>
    <n v="0.1"/>
    <s v=""/>
    <n v="14"/>
    <n v="16.8"/>
    <n v="17085.740000000002"/>
    <n v="1398841.4532999999"/>
    <n v="1146703.6458599998"/>
    <n v="0.81975240521705794"/>
    <s v="B"/>
    <n v="22553.176800000005"/>
    <n v="38589.566399999996"/>
    <n v="29263.754519999995"/>
    <n v="12178.014519999993"/>
    <n v="16036.389599999991"/>
    <n v="0.41614668793360271"/>
  </r>
  <r>
    <s v="ORD-2025-233883"/>
    <s v="233883"/>
    <n v="2025"/>
    <d v="2023-03-03T00:00:00"/>
    <x v="21"/>
    <d v="2025-09-08T00:00:00"/>
    <s v="Sept-2025"/>
    <x v="11"/>
    <s v="Q3-2025"/>
    <n v="8"/>
    <n v="8"/>
    <n v="0"/>
    <d v="2025-09-16T00:00:00"/>
    <d v="2025-09-16T00:00:00"/>
    <x v="1"/>
    <x v="3"/>
    <s v="Osaka"/>
    <s v="Corporate"/>
    <x v="2"/>
    <s v="C. Otieno"/>
    <s v="Phones"/>
    <x v="511"/>
    <n v="1225.57"/>
    <n v="1348.127"/>
    <n v="2705.57"/>
    <s v="High"/>
    <n v="0.183"/>
    <n v="0.1"/>
    <s v=""/>
    <n v="16"/>
    <n v="19.2"/>
    <n v="19609.12"/>
    <n v="1398841.4532999999"/>
    <n v="1182070.8568999998"/>
    <n v="0.84503562152192613"/>
    <s v="B"/>
    <n v="25884.038399999998"/>
    <n v="46752.249600000003"/>
    <n v="35367.211040000002"/>
    <n v="15758.091040000003"/>
    <n v="20868.211200000005"/>
    <n v="0.44555650775453404"/>
  </r>
  <r>
    <s v="ORD-2025-725646"/>
    <s v="725646"/>
    <n v="2025"/>
    <d v="2023-01-20T00:00:00"/>
    <x v="22"/>
    <d v="2025-09-10T00:00:00"/>
    <s v="Sept-2025"/>
    <x v="11"/>
    <s v="Q3-2025"/>
    <n v="20"/>
    <n v="20"/>
    <n v="0"/>
    <d v="2025-09-30T00:00:00"/>
    <d v="2025-09-30T00:00:00"/>
    <x v="0"/>
    <x v="8"/>
    <s v="Mombasa"/>
    <s v="Corporate"/>
    <x v="0"/>
    <s v="L. Okafor"/>
    <s v="Phones"/>
    <x v="512"/>
    <n v="1009.48"/>
    <n v="1110.4280000000001"/>
    <n v="1088.81"/>
    <s v="Medium"/>
    <n v="0.16"/>
    <n v="0.1"/>
    <s v=""/>
    <n v="6"/>
    <n v="7.1999999999999993"/>
    <n v="6056.88"/>
    <n v="1398841.4532999999"/>
    <n v="1187558.4592999998"/>
    <n v="0.84895858390415613"/>
    <s v="B"/>
    <n v="7995.0816000000004"/>
    <n v="7055.4887999999992"/>
    <n v="5487.6023999999998"/>
    <n v="-569.27760000000035"/>
    <n v="-939.59280000000126"/>
    <n v="-0.10373885688219693"/>
  </r>
  <r>
    <s v="ORD-2025-831576"/>
    <s v="831576"/>
    <n v="2025"/>
    <d v="2023-01-29T00:00:00"/>
    <x v="22"/>
    <d v="2025-09-15T00:00:00"/>
    <s v="Sept-2025"/>
    <x v="11"/>
    <s v="Q3-2025"/>
    <n v="10"/>
    <n v="10"/>
    <n v="0"/>
    <d v="2025-09-25T00:00:00"/>
    <d v="2025-09-25T00:00:00"/>
    <x v="1"/>
    <x v="1"/>
    <s v="Delhi"/>
    <s v="Consumer"/>
    <x v="1"/>
    <s v="A. Patel"/>
    <s v="Phones"/>
    <x v="513"/>
    <n v="1488.91"/>
    <n v="1637.8010000000002"/>
    <n v="1483.74"/>
    <s v="Medium"/>
    <n v="0.16800000000000001"/>
    <n v="0.1"/>
    <s v=""/>
    <n v="24"/>
    <n v="28.799999999999997"/>
    <n v="35733.840000000004"/>
    <n v="1398841.4532999999"/>
    <n v="1217185.7796199997"/>
    <n v="0.87013848263399884"/>
    <s v="B"/>
    <n v="47168.668799999999"/>
    <n v="38458.540800000002"/>
    <n v="29627.320319999999"/>
    <n v="-6106.5196800000049"/>
    <n v="-8710.127999999997"/>
    <n v="-0.20611110333450519"/>
  </r>
  <r>
    <s v="ORD-2025-683043"/>
    <s v="683043"/>
    <n v="2025"/>
    <d v="2023-01-10T00:00:00"/>
    <x v="22"/>
    <d v="2025-08-13T00:00:00"/>
    <s v="Aug-2025"/>
    <x v="8"/>
    <s v="Q3-2025"/>
    <n v="21"/>
    <n v="21"/>
    <n v="0"/>
    <d v="2025-09-03T00:00:00"/>
    <d v="2025-09-03T00:00:00"/>
    <x v="2"/>
    <x v="5"/>
    <s v="Paris"/>
    <s v="Education"/>
    <x v="1"/>
    <s v="I. Johnson"/>
    <s v="Phones"/>
    <x v="514"/>
    <n v="603.47"/>
    <n v="663.81700000000012"/>
    <n v="1344.05"/>
    <s v="Medium"/>
    <n v="0.20499999999999999"/>
    <n v="0.1"/>
    <s v=""/>
    <n v="18"/>
    <n v="21.599999999999998"/>
    <n v="10862.460000000001"/>
    <n v="1398841.4532999999"/>
    <n v="1236419.1351199998"/>
    <n v="0.88388797186641099"/>
    <s v="B"/>
    <n v="14338.447200000001"/>
    <n v="26128.331999999999"/>
    <n v="19233.355499999998"/>
    <n v="8370.8954999999969"/>
    <n v="11789.884799999998"/>
    <n v="0.43522803392262976"/>
  </r>
  <r>
    <s v="ORD-2023-536542"/>
    <s v="536542"/>
    <n v="2023"/>
    <d v="2023-01-20T00:00:00"/>
    <x v="23"/>
    <d v="2023-06-10T00:00:00"/>
    <s v="Jun-2023"/>
    <x v="6"/>
    <s v="Q2-2023"/>
    <n v="8"/>
    <n v="8"/>
    <n v="0"/>
    <d v="2023-06-18T00:00:00"/>
    <d v="2023-06-18T00:00:00"/>
    <x v="0"/>
    <x v="8"/>
    <s v="Nakuru"/>
    <s v="Enterprise"/>
    <x v="0"/>
    <s v="H. Kim"/>
    <s v="Phones"/>
    <x v="515"/>
    <n v="894.23"/>
    <n v="983.65300000000013"/>
    <n v="1421.55"/>
    <s v="Medium"/>
    <n v="0.109"/>
    <n v="0.1"/>
    <s v=""/>
    <n v="3"/>
    <n v="3.5999999999999996"/>
    <n v="2682.69"/>
    <n v="1398841.4532999999"/>
    <n v="1240218.9382699998"/>
    <n v="0.88660436487938321"/>
    <s v="B"/>
    <n v="3541.1508000000003"/>
    <n v="4605.8219999999992"/>
    <n v="3799.8031499999997"/>
    <n v="1117.1131499999997"/>
    <n v="1064.6711999999989"/>
    <n v="0.29399237431549574"/>
  </r>
  <r>
    <s v="ORD-2023-349264"/>
    <s v="349264"/>
    <n v="2023"/>
    <d v="2023-01-22T00:00:00"/>
    <x v="23"/>
    <d v="2023-06-01T00:00:00"/>
    <s v="Jun-2023"/>
    <x v="6"/>
    <s v="Q2-2023"/>
    <n v="7"/>
    <n v="7"/>
    <n v="1"/>
    <d v="2023-06-08T00:00:00"/>
    <d v="2023-06-08T00:00:00"/>
    <x v="2"/>
    <x v="7"/>
    <s v="Frankfurt"/>
    <s v="Consumer"/>
    <x v="4"/>
    <s v="A. Patel"/>
    <s v="Phones"/>
    <x v="516"/>
    <n v="804.17"/>
    <n v="884.58699999999999"/>
    <n v="1072.29"/>
    <s v="Medium"/>
    <n v="3.2000000000000001E-2"/>
    <n v="3.2000000000000001E-2"/>
    <s v=""/>
    <n v="5"/>
    <n v="6"/>
    <n v="4020.85"/>
    <n v="1398841.4532999999"/>
    <n v="1245408.8218699999"/>
    <n v="0.89031449484997893"/>
    <s v="B"/>
    <n v="5307.5219999999999"/>
    <n v="6227.8603199999998"/>
    <n v="5189.8836000000001"/>
    <n v="1169.0336000000002"/>
    <n v="920.33831999999984"/>
    <n v="0.2252523736755869"/>
  </r>
  <r>
    <s v="ORD-2023-921939"/>
    <s v="921939"/>
    <n v="2023"/>
    <d v="2023-01-02T00:00:00"/>
    <x v="24"/>
    <d v="2023-06-23T00:00:00"/>
    <s v="Jun-2023"/>
    <x v="6"/>
    <s v="Q2-2023"/>
    <n v="25"/>
    <n v="25"/>
    <n v="0"/>
    <d v="2023-07-18T00:00:00"/>
    <d v="2023-07-18T00:00:00"/>
    <x v="3"/>
    <x v="10"/>
    <s v="Vancouver"/>
    <s v="Enterprise"/>
    <x v="4"/>
    <s v="N. Brown"/>
    <s v="Phones"/>
    <x v="517"/>
    <n v="807.02"/>
    <n v="887.72200000000009"/>
    <n v="1435.54"/>
    <s v="Medium"/>
    <n v="0"/>
    <n v="0"/>
    <s v=""/>
    <n v="23"/>
    <n v="27.599999999999998"/>
    <n v="18561.46"/>
    <n v="1398841.4532999999"/>
    <n v="1278426.2418699998"/>
    <n v="0.91391789888272956"/>
    <s v="B"/>
    <n v="24501.127199999999"/>
    <n v="39620.903999999995"/>
    <n v="33017.42"/>
    <n v="14455.96"/>
    <n v="15119.776799999996"/>
    <n v="0.43782827368098415"/>
  </r>
  <r>
    <s v="ORD-2023-274037"/>
    <s v="274037"/>
    <n v="2023"/>
    <d v="2023-01-20T00:00:00"/>
    <x v="25"/>
    <d v="2023-08-15T00:00:00"/>
    <s v="Aug-2023"/>
    <x v="8"/>
    <s v="Q3-2023"/>
    <n v="10"/>
    <n v="10"/>
    <n v="0"/>
    <d v="2023-08-25T00:00:00"/>
    <d v="2023-08-25T00:00:00"/>
    <x v="0"/>
    <x v="8"/>
    <s v="Nairobi"/>
    <s v="Small Business"/>
    <x v="1"/>
    <s v="N. Brown"/>
    <s v="Phones"/>
    <x v="518"/>
    <n v="91.85"/>
    <n v="101.035"/>
    <n v="111.29"/>
    <s v="Low"/>
    <n v="0"/>
    <n v="0"/>
    <s v=""/>
    <n v="6"/>
    <n v="7.1999999999999993"/>
    <n v="551.09999999999991"/>
    <n v="1398841.4532999999"/>
    <n v="1279093.9818699998"/>
    <n v="0.91439525105042851"/>
    <s v="B"/>
    <n v="727.45199999999988"/>
    <n v="801.28800000000001"/>
    <n v="667.74"/>
    <n v="116.6400000000001"/>
    <n v="73.836000000000126"/>
    <n v="0.17467876718483258"/>
  </r>
  <r>
    <s v="ORD-2023-732585"/>
    <s v="732585"/>
    <n v="2023"/>
    <d v="2023-01-15T00:00:00"/>
    <x v="26"/>
    <d v="2023-08-25T00:00:00"/>
    <s v="Aug-2023"/>
    <x v="8"/>
    <s v="Q3-2023"/>
    <n v="22"/>
    <n v="22"/>
    <n v="0"/>
    <d v="2023-09-16T00:00:00"/>
    <d v="2023-09-16T00:00:00"/>
    <x v="0"/>
    <x v="0"/>
    <s v="Abuja"/>
    <s v="Corporate"/>
    <x v="3"/>
    <s v="L. Okafor"/>
    <s v="Phones"/>
    <x v="519"/>
    <n v="1196.83"/>
    <n v="1316.5129999999999"/>
    <n v="2513.5100000000002"/>
    <s v="High"/>
    <n v="8.3000000000000004E-2"/>
    <n v="8.3000000000000004E-2"/>
    <s v=""/>
    <n v="7"/>
    <n v="8.4"/>
    <n v="8377.81"/>
    <n v="1398841.4532999999"/>
    <n v="1295228.2025599999"/>
    <n v="0.92592923916033043"/>
    <s v="B"/>
    <n v="11058.709199999999"/>
    <n v="19361.064828000006"/>
    <n v="16134.22069"/>
    <n v="7756.4106900000006"/>
    <n v="8302.3556280000066"/>
    <n v="0.48074281609445374"/>
  </r>
  <r>
    <s v="ORD-2023-525643"/>
    <s v="525643"/>
    <n v="2023"/>
    <d v="2023-01-07T00:00:00"/>
    <x v="26"/>
    <d v="2023-08-17T00:00:00"/>
    <s v="Aug-2023"/>
    <x v="8"/>
    <s v="Q3-2023"/>
    <n v="17"/>
    <n v="17"/>
    <n v="0"/>
    <d v="2023-09-03T00:00:00"/>
    <d v="2023-09-03T00:00:00"/>
    <x v="0"/>
    <x v="6"/>
    <s v="Durban"/>
    <s v="Enterprise"/>
    <x v="1"/>
    <s v="A. Patel"/>
    <s v="Phones"/>
    <x v="520"/>
    <n v="676.37"/>
    <n v="744.00700000000006"/>
    <n v="1276.67"/>
    <s v="Medium"/>
    <n v="6.6000000000000003E-2"/>
    <n v="6.6000000000000003E-2"/>
    <s v=""/>
    <n v="10"/>
    <n v="12"/>
    <n v="6763.7"/>
    <n v="1398841.4532999999"/>
    <n v="1307152.30036"/>
    <n v="0.93445350598976284"/>
    <s v="B"/>
    <n v="8928.0840000000007"/>
    <n v="14308.917359999999"/>
    <n v="11924.0978"/>
    <n v="5160.3977999999997"/>
    <n v="5380.8333599999987"/>
    <n v="0.4327705027712872"/>
  </r>
  <r>
    <s v="ORD-2023-133848"/>
    <s v="133848"/>
    <n v="2023"/>
    <d v="2023-01-13T00:00:00"/>
    <x v="26"/>
    <d v="2023-08-15T00:00:00"/>
    <s v="Aug-2023"/>
    <x v="8"/>
    <s v="Q3-2023"/>
    <n v="23"/>
    <n v="23"/>
    <n v="0"/>
    <d v="2023-09-07T00:00:00"/>
    <d v="2023-09-07T00:00:00"/>
    <x v="3"/>
    <x v="11"/>
    <s v="New York"/>
    <s v="Enterprise"/>
    <x v="4"/>
    <s v="K. Singh"/>
    <s v="Phones"/>
    <x v="521"/>
    <n v="590.33000000000004"/>
    <n v="649.36300000000006"/>
    <n v="973.04"/>
    <s v="Medium"/>
    <n v="0"/>
    <n v="0"/>
    <s v=""/>
    <n v="26"/>
    <n v="31.2"/>
    <n v="15348.580000000002"/>
    <n v="1398841.4532999999"/>
    <n v="1332451.34036"/>
    <n v="0.95253921537470931"/>
    <s v="C"/>
    <n v="20260.125600000003"/>
    <n v="30358.847999999998"/>
    <n v="25299.040000000001"/>
    <n v="9950.4599999999991"/>
    <n v="10098.722399999995"/>
    <n v="0.39331373838691108"/>
  </r>
  <r>
    <s v="ORD-2023-623293"/>
    <s v="623293"/>
    <n v="2023"/>
    <d v="2023-03-03T00:00:00"/>
    <x v="26"/>
    <d v="2023-10-12T00:00:00"/>
    <s v="Oct-2023"/>
    <x v="9"/>
    <s v="Q4-2023"/>
    <n v="17"/>
    <n v="17"/>
    <n v="0"/>
    <d v="2023-10-29T00:00:00"/>
    <d v="2023-10-29T00:00:00"/>
    <x v="1"/>
    <x v="3"/>
    <s v="Nagoya"/>
    <s v="Non-Profit"/>
    <x v="0"/>
    <s v="H. Kim"/>
    <s v="Phones"/>
    <x v="522"/>
    <n v="1102.19"/>
    <n v="1212.4090000000001"/>
    <n v="1711.16"/>
    <s v="High"/>
    <n v="0.151"/>
    <n v="0.1"/>
    <s v=""/>
    <n v="10"/>
    <n v="12"/>
    <n v="11021.900000000001"/>
    <n v="1398841.4532999999"/>
    <n v="1346979.08876"/>
    <n v="0.96292477291286172"/>
    <s v="C"/>
    <n v="14548.908000000001"/>
    <n v="18480.528000000002"/>
    <n v="14527.748400000002"/>
    <n v="3505.8484000000008"/>
    <n v="3931.6200000000008"/>
    <n v="0.24132083675127525"/>
  </r>
  <r>
    <s v="ORD-2023-378104"/>
    <s v="378104"/>
    <n v="2023"/>
    <d v="2023-01-20T00:00:00"/>
    <x v="27"/>
    <d v="2023-10-18T00:00:00"/>
    <s v="Oct-2023"/>
    <x v="9"/>
    <s v="Q4-2023"/>
    <n v="2"/>
    <n v="2"/>
    <n v="1"/>
    <d v="2023-10-20T00:00:00"/>
    <d v="2023-10-20T00:00:00"/>
    <x v="0"/>
    <x v="8"/>
    <s v="Kisumu"/>
    <s v="Consumer"/>
    <x v="1"/>
    <s v="J. Njeri"/>
    <s v="Phones"/>
    <x v="523"/>
    <n v="774.12"/>
    <n v="851.53200000000004"/>
    <n v="908.3"/>
    <s v="Medium"/>
    <n v="0"/>
    <n v="0"/>
    <s v=""/>
    <n v="30"/>
    <n v="36"/>
    <n v="23223.599999999999"/>
    <n v="1398841.4532999999"/>
    <n v="1374228.08876"/>
    <n v="0.98240446443595542"/>
    <s v="C"/>
    <n v="30655.152000000002"/>
    <n v="32698.799999999999"/>
    <n v="27249"/>
    <n v="4025.4000000000015"/>
    <n v="2043.6479999999974"/>
    <n v="0.14772652207420461"/>
  </r>
  <r>
    <s v="ORD-2023-455933"/>
    <s v="455933"/>
    <n v="2023"/>
    <d v="2023-03-03T00:00:00"/>
    <x v="27"/>
    <d v="2023-11-19T00:00:00"/>
    <s v="Nov-2023"/>
    <x v="10"/>
    <s v="Q4-2023"/>
    <n v="30"/>
    <n v="30"/>
    <n v="0"/>
    <d v="2023-12-19T00:00:00"/>
    <d v="2023-12-19T00:00:00"/>
    <x v="1"/>
    <x v="3"/>
    <s v="Nagoya"/>
    <s v="Consumer"/>
    <x v="1"/>
    <s v="H. Kim"/>
    <s v="Phones"/>
    <x v="524"/>
    <n v="807.11"/>
    <n v="887.82100000000014"/>
    <n v="1853.86"/>
    <s v="High"/>
    <n v="0.13900000000000001"/>
    <n v="0.1"/>
    <s v=""/>
    <n v="8"/>
    <n v="9.6"/>
    <n v="6456.88"/>
    <n v="1398841.4532999999"/>
    <n v="1386997.4764399999"/>
    <n v="0.99153300981175607"/>
    <s v="C"/>
    <n v="8523.0816000000013"/>
    <n v="16017.350399999998"/>
    <n v="12769.38768"/>
    <n v="6312.5076799999997"/>
    <n v="7494.2687999999962"/>
    <n v="0.49434693645388639"/>
  </r>
  <r>
    <s v="ORD-2023-964434"/>
    <s v="964434"/>
    <n v="2023"/>
    <d v="2023-01-29T00:00:00"/>
    <x v="28"/>
    <d v="2023-11-28T00:00:00"/>
    <s v="Nov-2023"/>
    <x v="10"/>
    <s v="Q4-2023"/>
    <n v="9"/>
    <n v="9"/>
    <n v="0"/>
    <d v="2023-12-07T00:00:00"/>
    <d v="2023-12-07T00:00:00"/>
    <x v="1"/>
    <x v="1"/>
    <s v="Delhi"/>
    <s v="Enterprise"/>
    <x v="3"/>
    <s v="L. Okafor"/>
    <s v="Phones"/>
    <x v="525"/>
    <n v="699.33"/>
    <n v="769.26300000000015"/>
    <n v="873.75"/>
    <s v="Medium"/>
    <n v="0.23499999999999999"/>
    <n v="0.1"/>
    <s v=""/>
    <n v="10"/>
    <n v="12"/>
    <n v="6993.3"/>
    <n v="1398841.4532999999"/>
    <n v="1393681.6639399999"/>
    <n v="0.99631138371841377"/>
    <s v="C"/>
    <n v="9231.1560000000027"/>
    <n v="9436.5"/>
    <n v="6684.1875"/>
    <n v="-309.11250000000018"/>
    <n v="205.34399999999732"/>
    <n v="-4.6245336475076469E-2"/>
  </r>
  <r>
    <s v="ORD-2023-597666"/>
    <s v="597666"/>
    <n v="2023"/>
    <d v="2023-01-10T00:00:00"/>
    <x v="28"/>
    <d v="2023-10-25T00:00:00"/>
    <s v="Oct-2023"/>
    <x v="9"/>
    <s v="Q4-2023"/>
    <n v="30"/>
    <n v="30"/>
    <n v="0"/>
    <d v="2023-11-24T00:00:00"/>
    <d v="2023-11-24T00:00:00"/>
    <x v="2"/>
    <x v="5"/>
    <s v="Paris"/>
    <s v="Enterprise"/>
    <x v="2"/>
    <s v="C. Otieno"/>
    <s v="Phones"/>
    <x v="526"/>
    <n v="287.85000000000002"/>
    <n v="316.63500000000005"/>
    <n v="602.91999999999996"/>
    <s v="Low"/>
    <n v="0.222"/>
    <n v="0.1"/>
    <s v=""/>
    <n v="11"/>
    <n v="13.2"/>
    <n v="3166.3500000000004"/>
    <n v="1398841.4532999999"/>
    <n v="1398841.4532999999"/>
    <n v="1"/>
    <s v="C"/>
    <n v="4179.5820000000003"/>
    <n v="7162.6895999999988"/>
    <n v="5159.7893599999998"/>
    <n v="1993.4393599999994"/>
    <n v="2983.1075999999985"/>
    <n v="0.38634122847216373"/>
  </r>
  <r>
    <s v="ORD-2023-112666"/>
    <s v="112666"/>
    <n v="2023"/>
    <d v="2023-01-15T00:00:00"/>
    <x v="0"/>
    <d v="2023-01-15T00:00:00"/>
    <s v="Jan-2023"/>
    <x v="1"/>
    <s v="Q1-2023"/>
    <n v="-2"/>
    <n v="15"/>
    <n v="0"/>
    <d v="2023-01-13T00:00:00"/>
    <d v="2023-01-30T00:00:00"/>
    <x v="0"/>
    <x v="0"/>
    <s v="Abuja"/>
    <s v="Education"/>
    <x v="4"/>
    <s v="O. Wang"/>
    <s v="Printers"/>
    <x v="527"/>
    <n v="28.38"/>
    <n v="31.218"/>
    <n v="47.22"/>
    <s v="Low"/>
    <n v="0.19400000000000001"/>
    <n v="0.1"/>
    <s v=""/>
    <n v="18"/>
    <n v="21.599999999999998"/>
    <n v="510.84"/>
    <n v="1616102.6546600002"/>
    <n v="685.06776000000002"/>
    <n v="4.2390114144334864E-4"/>
    <s v="A"/>
    <n v="674.30879999999991"/>
    <n v="917.95679999999993"/>
    <n v="685.06776000000002"/>
    <n v="174.22776000000005"/>
    <n v="243.64800000000002"/>
    <n v="0.25432193743871417"/>
  </r>
  <r>
    <s v="ORD-2023-689428"/>
    <s v="689428"/>
    <n v="2023"/>
    <d v="2023-01-07T00:00:00"/>
    <x v="0"/>
    <d v="2023-01-07T00:00:00"/>
    <s v="Jan-2023"/>
    <x v="1"/>
    <s v="Q1-2023"/>
    <n v="23"/>
    <n v="23"/>
    <n v="0"/>
    <d v="2023-01-30T00:00:00"/>
    <d v="2023-01-30T00:00:00"/>
    <x v="0"/>
    <x v="6"/>
    <s v="Cape Town"/>
    <s v="Consumer"/>
    <x v="4"/>
    <s v="A. Patel"/>
    <s v="Printers"/>
    <x v="528"/>
    <n v="299.02"/>
    <n v="328.92200000000003"/>
    <n v="724.7"/>
    <s v="Low"/>
    <n v="0.14000000000000001"/>
    <n v="0.1"/>
    <s v=""/>
    <n v="5"/>
    <n v="6"/>
    <n v="1495.1"/>
    <n v="1616102.6546600002"/>
    <n v="3801.2777599999999"/>
    <n v="2.3521264252856031E-3"/>
    <s v="A"/>
    <n v="1973.5320000000002"/>
    <n v="3913.3800000000006"/>
    <n v="3116.21"/>
    <n v="1621.1100000000001"/>
    <n v="1939.8480000000004"/>
    <n v="0.52021847051386139"/>
  </r>
  <r>
    <s v="ORD-2023-700699"/>
    <s v="700699"/>
    <n v="2023"/>
    <d v="2023-01-12T00:00:00"/>
    <x v="0"/>
    <d v="2023-01-12T00:00:00"/>
    <s v="Jan-2023"/>
    <x v="1"/>
    <s v="Q1-2023"/>
    <n v="14"/>
    <n v="14"/>
    <n v="0"/>
    <d v="2023-01-26T00:00:00"/>
    <d v="2023-01-26T00:00:00"/>
    <x v="1"/>
    <x v="4"/>
    <s v="Shenzhen"/>
    <s v="Non-Profit"/>
    <x v="1"/>
    <s v="M. Rossi"/>
    <s v="Printers"/>
    <x v="529"/>
    <n v="1083.0899999999999"/>
    <n v="1191.3990000000001"/>
    <n v="1425.87"/>
    <s v="Medium"/>
    <n v="0"/>
    <n v="0"/>
    <s v=""/>
    <n v="8"/>
    <n v="9.6"/>
    <n v="8664.7199999999993"/>
    <n v="1616102.6546600002"/>
    <n v="15208.23776"/>
    <n v="9.4104404297260108E-3"/>
    <s v="A"/>
    <n v="11437.430400000001"/>
    <n v="13688.351999999999"/>
    <n v="11406.96"/>
    <n v="2742.24"/>
    <n v="2250.9215999999979"/>
    <n v="0.24040059752992909"/>
  </r>
  <r>
    <s v="ORD-2023-949710"/>
    <s v="949710"/>
    <n v="2023"/>
    <d v="2023-01-20T00:00:00"/>
    <x v="1"/>
    <d v="2023-03-07T00:00:00"/>
    <s v="Mar-2023"/>
    <x v="4"/>
    <s v="Q1-2023"/>
    <n v="25"/>
    <n v="25"/>
    <n v="0"/>
    <d v="2023-04-01T00:00:00"/>
    <d v="2023-04-01T00:00:00"/>
    <x v="0"/>
    <x v="8"/>
    <s v="Nairobi"/>
    <s v="Consumer"/>
    <x v="3"/>
    <s v="D. Smith"/>
    <s v="Printers"/>
    <x v="530"/>
    <n v="1024.0999999999999"/>
    <n v="1126.51"/>
    <n v="918.19"/>
    <s v="Medium"/>
    <n v="0.189"/>
    <n v="0.1"/>
    <s v=""/>
    <n v="10"/>
    <n v="12"/>
    <n v="10241"/>
    <n v="1616102.6546600002"/>
    <n v="22654.75866"/>
    <n v="1.4018143336795746E-2"/>
    <s v="A"/>
    <n v="13518.119999999999"/>
    <n v="9916.4520000000011"/>
    <n v="7446.5209000000004"/>
    <n v="-2794.4790999999996"/>
    <n v="-3601.6679999999978"/>
    <n v="-0.37527311579827827"/>
  </r>
  <r>
    <s v="ORD-2023-744942"/>
    <s v="744942"/>
    <n v="2023"/>
    <d v="2023-01-12T00:00:00"/>
    <x v="1"/>
    <d v="2023-02-23T00:00:00"/>
    <s v="Feb-2023"/>
    <x v="0"/>
    <s v="Q1-2023"/>
    <n v="23"/>
    <n v="23"/>
    <n v="0"/>
    <d v="2023-03-18T00:00:00"/>
    <d v="2023-03-18T00:00:00"/>
    <x v="1"/>
    <x v="4"/>
    <s v="Beijing"/>
    <s v="Education"/>
    <x v="2"/>
    <s v="K. Singh"/>
    <s v="Printers"/>
    <x v="531"/>
    <n v="770.11"/>
    <n v="847.12100000000009"/>
    <n v="1667.82"/>
    <s v="High"/>
    <n v="6.9000000000000006E-2"/>
    <n v="6.9000000000000006E-2"/>
    <s v=""/>
    <n v="7"/>
    <n v="8.4"/>
    <n v="5390.77"/>
    <n v="1616102.6546600002"/>
    <n v="33523.941599999998"/>
    <n v="2.0743695645406169E-2"/>
    <s v="A"/>
    <n v="7115.8164000000015"/>
    <n v="13043.019528000001"/>
    <n v="10869.182940000001"/>
    <n v="5478.4129400000002"/>
    <n v="5927.2031279999992"/>
    <n v="0.50403171703355287"/>
  </r>
  <r>
    <s v="ORD-2023-864121"/>
    <s v="864121"/>
    <n v="2023"/>
    <d v="2023-01-29T00:00:00"/>
    <x v="1"/>
    <d v="2023-03-27T00:00:00"/>
    <s v="Mar-2023"/>
    <x v="4"/>
    <s v="Q1-2023"/>
    <n v="26"/>
    <n v="26"/>
    <n v="0"/>
    <d v="2023-04-22T00:00:00"/>
    <d v="2023-04-22T00:00:00"/>
    <x v="1"/>
    <x v="1"/>
    <s v="Delhi"/>
    <s v="Non-Profit"/>
    <x v="3"/>
    <s v="J. Njeri"/>
    <s v="Printers"/>
    <x v="532"/>
    <n v="178.53"/>
    <n v="196.38300000000001"/>
    <n v="199.37"/>
    <s v="Low"/>
    <n v="0.10100000000000001"/>
    <n v="0.1"/>
    <s v=""/>
    <n v="37"/>
    <n v="44.4"/>
    <n v="6605.61"/>
    <n v="1616102.6546600002"/>
    <n v="40155.585910000002"/>
    <n v="2.4847175267123135E-2"/>
    <s v="A"/>
    <n v="8719.4052000000011"/>
    <n v="7966.8252000000002"/>
    <n v="6631.6443100000006"/>
    <n v="26.034310000000914"/>
    <n v="-752.58000000000084"/>
    <n v="3.9257699573457538E-3"/>
  </r>
  <r>
    <s v="ORD-2023-472078"/>
    <s v="472078"/>
    <n v="2023"/>
    <d v="2023-01-22T00:00:00"/>
    <x v="1"/>
    <d v="2023-02-28T00:00:00"/>
    <s v="Feb-2023"/>
    <x v="0"/>
    <s v="Q1-2023"/>
    <n v="6"/>
    <n v="6"/>
    <n v="1"/>
    <d v="2023-03-06T00:00:00"/>
    <d v="2023-03-06T00:00:00"/>
    <x v="2"/>
    <x v="7"/>
    <s v="Frankfurt"/>
    <s v="Small Business"/>
    <x v="3"/>
    <s v="D. Smith"/>
    <s v="Printers"/>
    <x v="533"/>
    <n v="880.02"/>
    <n v="968.02200000000005"/>
    <n v="1251.21"/>
    <s v="Medium"/>
    <n v="0.123"/>
    <n v="0.1"/>
    <s v=""/>
    <n v="29"/>
    <n v="34.799999999999997"/>
    <n v="25520.579999999998"/>
    <n v="1616102.6546600002"/>
    <n v="71977.609840000005"/>
    <n v="4.4537770934571501E-2"/>
    <s v="A"/>
    <n v="33687.1656"/>
    <n v="39187.897199999999"/>
    <n v="31822.023930000003"/>
    <n v="6301.4439300000049"/>
    <n v="5500.7315999999992"/>
    <n v="0.19802146915172672"/>
  </r>
  <r>
    <s v="ORD-2023-735274"/>
    <s v="735274"/>
    <n v="2023"/>
    <d v="2023-01-19T00:00:00"/>
    <x v="1"/>
    <d v="2023-02-23T00:00:00"/>
    <s v="Feb-2023"/>
    <x v="0"/>
    <s v="Q1-2023"/>
    <n v="13"/>
    <n v="13"/>
    <n v="0"/>
    <d v="2023-03-08T00:00:00"/>
    <d v="2023-03-08T00:00:00"/>
    <x v="2"/>
    <x v="2"/>
    <s v="Manchester"/>
    <s v="Small Business"/>
    <x v="0"/>
    <s v="C. Otieno"/>
    <s v="Printers"/>
    <x v="534"/>
    <n v="307.37"/>
    <n v="338.10700000000003"/>
    <n v="462.61"/>
    <s v="Low"/>
    <n v="0.188"/>
    <n v="0.1"/>
    <s v=""/>
    <n v="11"/>
    <n v="13.2"/>
    <n v="3381.07"/>
    <n v="1616102.6546600002"/>
    <n v="76109.642359999998"/>
    <n v="4.7094559334173072E-2"/>
    <s v="A"/>
    <n v="4463.0124000000005"/>
    <n v="5495.8068000000003"/>
    <n v="4132.0325200000007"/>
    <n v="750.9625200000005"/>
    <n v="1032.7943999999998"/>
    <n v="0.18174167709599739"/>
  </r>
  <r>
    <s v="ORD-2024-281211"/>
    <s v="281211"/>
    <n v="2024"/>
    <d v="2023-03-03T00:00:00"/>
    <x v="29"/>
    <d v="2024-01-11T00:00:00"/>
    <s v="Jan-2024"/>
    <x v="1"/>
    <s v="Q1-2024"/>
    <n v="22"/>
    <n v="22"/>
    <n v="0"/>
    <d v="2024-02-02T00:00:00"/>
    <d v="2024-02-02T00:00:00"/>
    <x v="1"/>
    <x v="3"/>
    <s v="Nagoya"/>
    <s v="Small Business"/>
    <x v="4"/>
    <s v="H. Kim"/>
    <s v="Printers"/>
    <x v="535"/>
    <n v="1237.68"/>
    <n v="1361.4480000000001"/>
    <n v="1432.8"/>
    <s v="Medium"/>
    <n v="6.8000000000000005E-2"/>
    <n v="6.8000000000000005E-2"/>
    <s v=""/>
    <n v="13"/>
    <n v="15.6"/>
    <n v="16089.84"/>
    <n v="1616102.6546600002"/>
    <n v="93469.447159999996"/>
    <n v="5.783633044007612E-2"/>
    <s v="A"/>
    <n v="21238.588800000001"/>
    <n v="20831.765759999998"/>
    <n v="17359.804799999998"/>
    <n v="1269.9647999999979"/>
    <n v="-406.82304000000295"/>
    <n v="7.315547695559331E-2"/>
  </r>
  <r>
    <s v="ORD-2023-974506"/>
    <s v="974506"/>
    <n v="2023"/>
    <d v="2023-01-07T00:00:00"/>
    <x v="2"/>
    <d v="2023-12-28T00:00:00"/>
    <s v="Dec-2023"/>
    <x v="3"/>
    <s v="Q4-2023"/>
    <n v="4"/>
    <n v="4"/>
    <n v="1"/>
    <d v="2024-01-01T00:00:00"/>
    <d v="2024-01-01T00:00:00"/>
    <x v="0"/>
    <x v="6"/>
    <s v="Cape Town"/>
    <s v="Education"/>
    <x v="2"/>
    <s v="A. Patel"/>
    <s v="Printers"/>
    <x v="536"/>
    <n v="1141.8"/>
    <n v="1255.98"/>
    <n v="2318.7399999999998"/>
    <s v="High"/>
    <n v="0.107"/>
    <n v="0.1"/>
    <s v=""/>
    <n v="32"/>
    <n v="38.4"/>
    <n v="36537.599999999999"/>
    <n v="1616102.6546600002"/>
    <n v="159729.76139999999"/>
    <n v="9.8836395658049539E-2"/>
    <s v="A"/>
    <n v="48229.631999999998"/>
    <n v="80135.654399999999"/>
    <n v="66260.314239999992"/>
    <n v="29722.714239999994"/>
    <n v="31906.022400000002"/>
    <n v="0.44857490612468304"/>
  </r>
  <r>
    <s v="ORD-2024-999607"/>
    <s v="999607"/>
    <n v="2024"/>
    <d v="2023-01-13T00:00:00"/>
    <x v="2"/>
    <d v="2024-01-12T00:00:00"/>
    <s v="Jan-2024"/>
    <x v="1"/>
    <s v="Q1-2024"/>
    <n v="17"/>
    <n v="17"/>
    <n v="0"/>
    <d v="2024-01-29T00:00:00"/>
    <d v="2024-01-29T00:00:00"/>
    <x v="3"/>
    <x v="11"/>
    <s v="Chicago"/>
    <s v="Education"/>
    <x v="2"/>
    <s v="A. Patel"/>
    <s v="Printers"/>
    <x v="537"/>
    <n v="493.76"/>
    <n v="543.13600000000008"/>
    <n v="625.04"/>
    <s v="Low"/>
    <n v="0.25800000000000001"/>
    <n v="0.1"/>
    <s v=""/>
    <n v="10"/>
    <n v="12"/>
    <n v="4937.6000000000004"/>
    <n v="1616102.6546600002"/>
    <n v="164367.5582"/>
    <n v="0.10170613712318916"/>
    <s v="A"/>
    <n v="6517.6320000000014"/>
    <n v="6750.4319999999998"/>
    <n v="4637.7968000000001"/>
    <n v="-299.80320000000029"/>
    <n v="232.79999999999836"/>
    <n v="-6.464345311549663E-2"/>
  </r>
  <r>
    <s v="ORD-2024-872291"/>
    <s v="872291"/>
    <n v="2024"/>
    <d v="2023-01-29T00:00:00"/>
    <x v="2"/>
    <d v="2024-01-08T00:00:00"/>
    <s v="Jan-2024"/>
    <x v="1"/>
    <s v="Q1-2024"/>
    <n v="4"/>
    <n v="4"/>
    <n v="1"/>
    <d v="2024-01-12T00:00:00"/>
    <d v="2024-01-12T00:00:00"/>
    <x v="1"/>
    <x v="1"/>
    <s v="Bengaluru"/>
    <s v="Corporate"/>
    <x v="0"/>
    <s v="E. Garcia"/>
    <s v="Printers"/>
    <x v="538"/>
    <n v="802.32"/>
    <n v="882.55200000000013"/>
    <n v="602.34"/>
    <s v="Low"/>
    <n v="0.12"/>
    <n v="0.1"/>
    <s v=""/>
    <n v="25"/>
    <n v="30"/>
    <n v="20058"/>
    <n v="1616102.6546600002"/>
    <n v="177619.03820000001"/>
    <n v="0.10990578951642645"/>
    <s v="A"/>
    <n v="26476.560000000005"/>
    <n v="16263.18"/>
    <n v="13251.48"/>
    <n v="-6806.52"/>
    <n v="-10213.380000000005"/>
    <n v="-0.51364224977134632"/>
  </r>
  <r>
    <s v="ORD-2024-201376"/>
    <s v="201376"/>
    <n v="2024"/>
    <d v="2023-01-20T00:00:00"/>
    <x v="3"/>
    <d v="2024-02-18T00:00:00"/>
    <s v="Feb-2024"/>
    <x v="0"/>
    <s v="Q1-2024"/>
    <n v="15"/>
    <n v="15"/>
    <n v="0"/>
    <d v="2024-03-04T00:00:00"/>
    <d v="2024-03-04T00:00:00"/>
    <x v="0"/>
    <x v="8"/>
    <s v="Kisumu"/>
    <s v="Education"/>
    <x v="0"/>
    <s v="K. Singh"/>
    <s v="Printers"/>
    <x v="539"/>
    <n v="928.68"/>
    <n v="1021.548"/>
    <n v="2145.17"/>
    <s v="High"/>
    <n v="0.13600000000000001"/>
    <n v="0.1"/>
    <s v=""/>
    <n v="16"/>
    <n v="19.2"/>
    <n v="14858.88"/>
    <n v="1616102.6546600002"/>
    <n v="207273.86828"/>
    <n v="0.12825538506624556"/>
    <s v="A"/>
    <n v="19613.721600000001"/>
    <n v="37068.537600000003"/>
    <n v="29654.83008"/>
    <n v="14795.950080000001"/>
    <n v="17454.816000000003"/>
    <n v="0.49893896003062177"/>
  </r>
  <r>
    <s v="ORD-2024-892173"/>
    <s v="892173"/>
    <n v="2024"/>
    <d v="2023-01-07T00:00:00"/>
    <x v="3"/>
    <d v="2024-01-18T00:00:00"/>
    <s v="Jan-2024"/>
    <x v="1"/>
    <s v="Q1-2024"/>
    <n v="16"/>
    <n v="16"/>
    <n v="0"/>
    <d v="2024-02-03T00:00:00"/>
    <d v="2024-02-03T00:00:00"/>
    <x v="0"/>
    <x v="6"/>
    <s v="Cape Town"/>
    <s v="Non-Profit"/>
    <x v="2"/>
    <s v="L. Okafor"/>
    <s v="Printers"/>
    <x v="540"/>
    <n v="666.23"/>
    <n v="732.85300000000007"/>
    <n v="1382.91"/>
    <s v="Medium"/>
    <n v="0.17599999999999999"/>
    <n v="0.1"/>
    <s v=""/>
    <n v="13"/>
    <n v="15.6"/>
    <n v="8660.99"/>
    <n v="1616102.6546600002"/>
    <n v="222087.60019999999"/>
    <n v="0.1374217161017679"/>
    <s v="A"/>
    <n v="11432.506800000001"/>
    <n v="19416.056400000001"/>
    <n v="14813.731920000002"/>
    <n v="6152.7419200000022"/>
    <n v="7983.5496000000003"/>
    <n v="0.41534043907553048"/>
  </r>
  <r>
    <s v="ORD-2024-129345"/>
    <s v="129345"/>
    <n v="2024"/>
    <d v="2023-01-29T00:00:00"/>
    <x v="3"/>
    <d v="2024-02-18T00:00:00"/>
    <s v="Feb-2024"/>
    <x v="0"/>
    <s v="Q1-2024"/>
    <n v="14"/>
    <n v="14"/>
    <n v="0"/>
    <d v="2024-03-03T00:00:00"/>
    <d v="2024-03-03T00:00:00"/>
    <x v="3"/>
    <x v="9"/>
    <s v="Brasília"/>
    <s v="Enterprise"/>
    <x v="2"/>
    <s v="A. Patel"/>
    <s v="Printers"/>
    <x v="541"/>
    <n v="624.23"/>
    <n v="686.65300000000002"/>
    <n v="1318.37"/>
    <s v="Medium"/>
    <n v="0.21"/>
    <n v="0.1"/>
    <s v=""/>
    <n v="37"/>
    <n v="44.4"/>
    <n v="23096.510000000002"/>
    <n v="1616102.6546600002"/>
    <n v="260623.55529999998"/>
    <n v="0.16126670824312866"/>
    <s v="A"/>
    <n v="30487.393199999999"/>
    <n v="52682.06519999999"/>
    <n v="38535.955099999999"/>
    <n v="15439.445099999997"/>
    <n v="22194.671999999991"/>
    <n v="0.40065038118128793"/>
  </r>
  <r>
    <s v="ORD-2024-331408"/>
    <s v="331408"/>
    <n v="2024"/>
    <d v="2023-01-13T00:00:00"/>
    <x v="3"/>
    <d v="2024-02-01T00:00:00"/>
    <s v="Feb-2024"/>
    <x v="0"/>
    <s v="Q1-2024"/>
    <n v="0"/>
    <n v="0"/>
    <n v="1"/>
    <d v="2024-02-01T00:00:00"/>
    <d v="2024-02-01T00:00:00"/>
    <x v="3"/>
    <x v="11"/>
    <s v="Austin"/>
    <s v="Consumer"/>
    <x v="2"/>
    <s v="H. Kim"/>
    <s v="Printers"/>
    <x v="542"/>
    <n v="714.43"/>
    <n v="785.87300000000005"/>
    <n v="1595.52"/>
    <s v="Medium"/>
    <n v="0.19400000000000001"/>
    <n v="0.1"/>
    <s v=""/>
    <n v="14"/>
    <n v="16.8"/>
    <n v="10002.019999999999"/>
    <n v="1616102.6546600002"/>
    <n v="278627.40297999996"/>
    <n v="0.17240699541986601"/>
    <s v="A"/>
    <n v="13202.666400000002"/>
    <n v="24124.2624"/>
    <n v="18003.847679999999"/>
    <n v="8001.8276800000003"/>
    <n v="10921.595999999998"/>
    <n v="0.44445097638151093"/>
  </r>
  <r>
    <s v="ORD-2024-890180"/>
    <s v="890180"/>
    <n v="2024"/>
    <d v="2023-01-10T00:00:00"/>
    <x v="3"/>
    <d v="2024-01-20T00:00:00"/>
    <s v="Jan-2024"/>
    <x v="1"/>
    <s v="Q1-2024"/>
    <n v="24"/>
    <n v="24"/>
    <n v="0"/>
    <d v="2024-02-13T00:00:00"/>
    <d v="2024-02-13T00:00:00"/>
    <x v="2"/>
    <x v="5"/>
    <s v="Marseille"/>
    <s v="Corporate"/>
    <x v="1"/>
    <s v="H. Kim"/>
    <s v="Printers"/>
    <x v="543"/>
    <n v="643.53"/>
    <n v="707.88300000000004"/>
    <n v="1439.01"/>
    <s v="Medium"/>
    <n v="0"/>
    <n v="0"/>
    <s v=""/>
    <n v="15"/>
    <n v="18"/>
    <n v="9652.9499999999989"/>
    <n v="1616102.6546600002"/>
    <n v="300212.55297999998"/>
    <n v="0.18576329425259155"/>
    <s v="A"/>
    <n v="12741.894"/>
    <n v="25902.18"/>
    <n v="21585.15"/>
    <n v="11932.200000000003"/>
    <n v="13160.286"/>
    <n v="0.55279671440782208"/>
  </r>
  <r>
    <s v="ORD-2024-885858"/>
    <s v="885858"/>
    <n v="2024"/>
    <d v="2023-01-10T00:00:00"/>
    <x v="3"/>
    <d v="2024-01-10T00:00:00"/>
    <s v="Jan-2024"/>
    <x v="1"/>
    <s v="Q1-2024"/>
    <n v="13"/>
    <n v="13"/>
    <n v="0"/>
    <d v="2024-01-23T00:00:00"/>
    <d v="2024-01-23T00:00:00"/>
    <x v="2"/>
    <x v="5"/>
    <s v="Marseille"/>
    <s v="Corporate"/>
    <x v="0"/>
    <s v="A. Patel"/>
    <s v="Printers"/>
    <x v="544"/>
    <n v="720"/>
    <n v="792.00000000000011"/>
    <n v="907.59"/>
    <s v="Medium"/>
    <n v="0.154"/>
    <n v="0.1"/>
    <s v=""/>
    <n v="10"/>
    <n v="12"/>
    <n v="7200"/>
    <n v="1616102.6546600002"/>
    <n v="307890.76437999995"/>
    <n v="0.1905143608867933"/>
    <s v="A"/>
    <n v="9504.0000000000018"/>
    <n v="9801.9719999999998"/>
    <n v="7678.2113999999992"/>
    <n v="478.21139999999923"/>
    <n v="297.97199999999793"/>
    <n v="6.2281614179052078E-2"/>
  </r>
  <r>
    <s v="ORD-2024-468655"/>
    <s v="468655"/>
    <n v="2024"/>
    <d v="2023-01-12T00:00:00"/>
    <x v="4"/>
    <d v="2024-02-19T00:00:00"/>
    <s v="Feb-2024"/>
    <x v="0"/>
    <s v="Q1-2024"/>
    <n v="16"/>
    <n v="16"/>
    <n v="0"/>
    <d v="2024-03-06T00:00:00"/>
    <d v="2024-03-06T00:00:00"/>
    <x v="1"/>
    <x v="4"/>
    <s v="Beijing"/>
    <s v="Education"/>
    <x v="3"/>
    <s v="O. Wang"/>
    <s v="Printers"/>
    <x v="545"/>
    <n v="1477.84"/>
    <n v="1625.624"/>
    <n v="3197.47"/>
    <s v="High"/>
    <n v="0.24299999999999999"/>
    <n v="0.1"/>
    <s v=""/>
    <n v="24"/>
    <n v="28.799999999999997"/>
    <n v="35468.159999999996"/>
    <n v="1616102.6546600002"/>
    <n v="365982.39933999995"/>
    <n v="0.22645987139783286"/>
    <s v="A"/>
    <n v="46817.971199999993"/>
    <n v="82878.422399999981"/>
    <n v="58091.634960000003"/>
    <n v="22623.474960000007"/>
    <n v="36060.451199999989"/>
    <n v="0.38944462443823091"/>
  </r>
  <r>
    <s v="ORD-2024-356812"/>
    <s v="356812"/>
    <n v="2024"/>
    <d v="2023-01-22T00:00:00"/>
    <x v="4"/>
    <d v="2024-03-07T00:00:00"/>
    <s v="Mar-2024"/>
    <x v="4"/>
    <s v="Q1-2024"/>
    <n v="27"/>
    <n v="27"/>
    <n v="0"/>
    <d v="2024-04-03T00:00:00"/>
    <d v="2024-04-03T00:00:00"/>
    <x v="2"/>
    <x v="7"/>
    <s v="Frankfurt"/>
    <s v="Corporate"/>
    <x v="0"/>
    <s v="M. Rossi"/>
    <s v="Printers"/>
    <x v="546"/>
    <n v="738.16"/>
    <n v="811.976"/>
    <n v="956.49"/>
    <s v="Medium"/>
    <n v="0.152"/>
    <n v="0.1"/>
    <s v=""/>
    <n v="5"/>
    <n v="6"/>
    <n v="3690.7999999999997"/>
    <n v="1616102.6546600002"/>
    <n v="370037.91693999997"/>
    <n v="0.22896931446341165"/>
    <s v="A"/>
    <n v="4871.8559999999998"/>
    <n v="5165.0460000000003"/>
    <n v="4055.5175999999997"/>
    <n v="364.71759999999995"/>
    <n v="293.19000000000051"/>
    <n v="8.9931208780847108E-2"/>
  </r>
  <r>
    <s v="ORD-2024-364080"/>
    <s v="364080"/>
    <n v="2024"/>
    <d v="2023-01-20T00:00:00"/>
    <x v="5"/>
    <d v="2024-04-16T00:00:00"/>
    <s v="Apr-2024"/>
    <x v="2"/>
    <s v="Q2-2024"/>
    <n v="11"/>
    <n v="11"/>
    <n v="0"/>
    <d v="2024-04-27T00:00:00"/>
    <d v="2024-04-27T00:00:00"/>
    <x v="0"/>
    <x v="8"/>
    <s v="Nakuru"/>
    <s v="Enterprise"/>
    <x v="4"/>
    <s v="D. Smith"/>
    <s v="Printers"/>
    <x v="547"/>
    <n v="401.3"/>
    <n v="441.43000000000006"/>
    <n v="826.47"/>
    <s v="Medium"/>
    <n v="0.22500000000000001"/>
    <n v="0.1"/>
    <s v=""/>
    <n v="13"/>
    <n v="15.6"/>
    <n v="5216.9000000000005"/>
    <n v="1616102.6546600002"/>
    <n v="378364.60218999995"/>
    <n v="0.23412163893116136"/>
    <s v="A"/>
    <n v="6886.3080000000009"/>
    <n v="11603.638800000001"/>
    <n v="8326.6852500000005"/>
    <n v="3109.7852499999999"/>
    <n v="4717.3307999999997"/>
    <n v="0.37347217489696755"/>
  </r>
  <r>
    <s v="ORD-2024-792137"/>
    <s v="792137"/>
    <n v="2024"/>
    <d v="2023-01-02T00:00:00"/>
    <x v="5"/>
    <d v="2024-03-02T00:00:00"/>
    <s v="Mar-2024"/>
    <x v="4"/>
    <s v="Q1-2024"/>
    <n v="14"/>
    <n v="14"/>
    <n v="0"/>
    <d v="2024-03-16T00:00:00"/>
    <d v="2024-03-16T00:00:00"/>
    <x v="3"/>
    <x v="10"/>
    <s v="Vancouver"/>
    <s v="Non-Profit"/>
    <x v="0"/>
    <s v="O. Wang"/>
    <s v="Printers"/>
    <x v="548"/>
    <n v="248.24"/>
    <n v="273.06400000000002"/>
    <n v="464.05"/>
    <s v="Low"/>
    <n v="0.16900000000000001"/>
    <n v="0.1"/>
    <s v=""/>
    <n v="11"/>
    <n v="13.2"/>
    <n v="2730.6400000000003"/>
    <n v="1616102.6546600002"/>
    <n v="382606.48323999997"/>
    <n v="0.23674639858845706"/>
    <s v="A"/>
    <n v="3604.4448000000002"/>
    <n v="5512.9139999999998"/>
    <n v="4241.88105"/>
    <n v="1511.2410499999996"/>
    <n v="1908.4691999999995"/>
    <n v="0.3562667203975462"/>
  </r>
  <r>
    <s v="ORD-2024-332076"/>
    <s v="332076"/>
    <n v="2024"/>
    <d v="2023-01-10T00:00:00"/>
    <x v="5"/>
    <d v="2024-04-09T00:00:00"/>
    <s v="Apr-2024"/>
    <x v="2"/>
    <s v="Q2-2024"/>
    <n v="9"/>
    <n v="9"/>
    <n v="0"/>
    <d v="2024-04-18T00:00:00"/>
    <d v="2024-04-18T00:00:00"/>
    <x v="2"/>
    <x v="5"/>
    <s v="Lyon"/>
    <s v="Consumer"/>
    <x v="4"/>
    <s v="E. Garcia"/>
    <s v="Printers"/>
    <x v="549"/>
    <n v="1288.8499999999999"/>
    <n v="1417.7350000000001"/>
    <n v="2751.84"/>
    <s v="High"/>
    <n v="0.158"/>
    <n v="0.1"/>
    <s v=""/>
    <n v="7"/>
    <n v="8.4"/>
    <n v="9021.9499999999989"/>
    <n v="1616102.6546600002"/>
    <n v="398825.82819999999"/>
    <n v="0.24678248442324721"/>
    <s v="A"/>
    <n v="11908.974000000002"/>
    <n v="20803.910400000001"/>
    <n v="16219.34496"/>
    <n v="7197.3949600000014"/>
    <n v="8894.9363999999987"/>
    <n v="0.44375373837538756"/>
  </r>
  <r>
    <s v="ORD-2024-834983"/>
    <s v="834983"/>
    <n v="2024"/>
    <d v="2023-01-10T00:00:00"/>
    <x v="5"/>
    <d v="2024-03-16T00:00:00"/>
    <s v="Mar-2024"/>
    <x v="4"/>
    <s v="Q1-2024"/>
    <n v="28"/>
    <n v="28"/>
    <n v="0"/>
    <d v="2024-04-13T00:00:00"/>
    <d v="2024-04-13T00:00:00"/>
    <x v="2"/>
    <x v="5"/>
    <s v="Paris"/>
    <s v="Small Business"/>
    <x v="4"/>
    <s v="K. Singh"/>
    <s v="Printers"/>
    <x v="550"/>
    <n v="287.61"/>
    <n v="316.37100000000004"/>
    <n v="628.54"/>
    <s v="Low"/>
    <n v="0.13500000000000001"/>
    <n v="0.1"/>
    <s v=""/>
    <n v="21"/>
    <n v="25.2"/>
    <n v="6039.81"/>
    <n v="1616102.6546600002"/>
    <n v="410243.2573"/>
    <n v="0.2538472764196455"/>
    <s v="A"/>
    <n v="7972.5492000000004"/>
    <n v="14255.287199999999"/>
    <n v="11417.429099999999"/>
    <n v="5377.619099999999"/>
    <n v="6282.7379999999985"/>
    <n v="0.47100087531964613"/>
  </r>
  <r>
    <s v="ORD-2024-599522"/>
    <s v="599522"/>
    <n v="2024"/>
    <d v="2023-01-15T00:00:00"/>
    <x v="6"/>
    <d v="2024-04-19T00:00:00"/>
    <s v="Apr-2024"/>
    <x v="2"/>
    <s v="Q2-2024"/>
    <n v="17"/>
    <n v="17"/>
    <n v="0"/>
    <d v="2024-05-06T00:00:00"/>
    <d v="2024-05-06T00:00:00"/>
    <x v="0"/>
    <x v="0"/>
    <s v="Port Harcourt"/>
    <s v="Non-Profit"/>
    <x v="4"/>
    <s v="A. Patel"/>
    <s v="Printers"/>
    <x v="551"/>
    <n v="865.33"/>
    <n v="951.86300000000017"/>
    <n v="1395.64"/>
    <s v="Medium"/>
    <n v="0.17499999999999999"/>
    <n v="0.1"/>
    <s v=""/>
    <n v="13"/>
    <n v="15.6"/>
    <n v="11249.29"/>
    <n v="1616102.6546600002"/>
    <n v="425211.4963"/>
    <n v="0.26310921219881112"/>
    <s v="A"/>
    <n v="14849.062800000002"/>
    <n v="19594.785599999999"/>
    <n v="14968.239"/>
    <n v="3718.9489999999987"/>
    <n v="4745.7227999999977"/>
    <n v="0.24845601409758347"/>
  </r>
  <r>
    <s v="ORD-2024-973420"/>
    <s v="973420"/>
    <n v="2024"/>
    <d v="2023-01-19T00:00:00"/>
    <x v="6"/>
    <d v="2024-05-12T00:00:00"/>
    <s v="May-2024"/>
    <x v="5"/>
    <s v="Q2-2024"/>
    <n v="12"/>
    <n v="12"/>
    <n v="0"/>
    <d v="2024-05-24T00:00:00"/>
    <d v="2024-05-24T00:00:00"/>
    <x v="2"/>
    <x v="2"/>
    <s v="Manchester"/>
    <s v="Education"/>
    <x v="3"/>
    <s v="K. Singh"/>
    <s v="Printers"/>
    <x v="552"/>
    <n v="111.02"/>
    <n v="122.122"/>
    <n v="172.88"/>
    <s v="Low"/>
    <n v="0.19700000000000001"/>
    <n v="0.1"/>
    <s v=""/>
    <n v="29"/>
    <n v="34.799999999999997"/>
    <n v="3219.58"/>
    <n v="1616102.6546600002"/>
    <n v="429237.35285999998"/>
    <n v="0.26560030182631189"/>
    <s v="A"/>
    <n v="4249.8455999999996"/>
    <n v="5414.6015999999991"/>
    <n v="4025.8565599999993"/>
    <n v="806.27655999999934"/>
    <n v="1164.7559999999994"/>
    <n v="0.20027453735212053"/>
  </r>
  <r>
    <s v="ORD-2024-970848"/>
    <s v="970848"/>
    <n v="2024"/>
    <d v="2023-01-07T00:00:00"/>
    <x v="7"/>
    <d v="2024-05-23T00:00:00"/>
    <s v="May-2024"/>
    <x v="5"/>
    <s v="Q2-2024"/>
    <n v="11"/>
    <n v="11"/>
    <n v="0"/>
    <d v="2024-06-03T00:00:00"/>
    <d v="2024-06-03T00:00:00"/>
    <x v="0"/>
    <x v="6"/>
    <s v="Johannesburg"/>
    <s v="Small Business"/>
    <x v="2"/>
    <s v="F. Müller"/>
    <s v="Printers"/>
    <x v="553"/>
    <n v="180.89"/>
    <n v="198.97900000000001"/>
    <n v="249.57"/>
    <s v="Low"/>
    <n v="2.1999999999999999E-2"/>
    <n v="2.1999999999999999E-2"/>
    <s v=""/>
    <n v="8"/>
    <n v="9.6"/>
    <n v="1447.12"/>
    <n v="1616102.6546600002"/>
    <n v="431189.98853999999"/>
    <n v="0.26680853923274744"/>
    <s v="A"/>
    <n v="1910.1984"/>
    <n v="2343.162816"/>
    <n v="1952.6356799999999"/>
    <n v="505.51567999999997"/>
    <n v="432.96441600000003"/>
    <n v="0.25888888806948362"/>
  </r>
  <r>
    <s v="ORD-2024-134084"/>
    <s v="134084"/>
    <n v="2024"/>
    <d v="2023-01-12T00:00:00"/>
    <x v="7"/>
    <d v="2024-06-04T00:00:00"/>
    <s v="Jun-2024"/>
    <x v="6"/>
    <s v="Q2-2024"/>
    <n v="12"/>
    <n v="12"/>
    <n v="0"/>
    <d v="2024-06-16T00:00:00"/>
    <d v="2024-06-16T00:00:00"/>
    <x v="1"/>
    <x v="4"/>
    <s v="Shanghai"/>
    <s v="Corporate"/>
    <x v="1"/>
    <s v="J. Njeri"/>
    <s v="Printers"/>
    <x v="554"/>
    <n v="918.42"/>
    <n v="1010.2620000000001"/>
    <n v="1511.71"/>
    <s v="Medium"/>
    <n v="0.02"/>
    <n v="0.02"/>
    <s v=""/>
    <n v="8"/>
    <n v="9.6"/>
    <n v="7347.36"/>
    <n v="1616102.6546600002"/>
    <n v="443041.79493999999"/>
    <n v="0.27414211198929578"/>
    <s v="A"/>
    <n v="9698.5151999999998"/>
    <n v="14222.167679999999"/>
    <n v="11851.806399999999"/>
    <n v="4504.4463999999998"/>
    <n v="4523.6524799999988"/>
    <n v="0.38006412254590999"/>
  </r>
  <r>
    <s v="ORD-2024-375848"/>
    <s v="375848"/>
    <n v="2024"/>
    <d v="2023-01-10T00:00:00"/>
    <x v="7"/>
    <d v="2024-05-18T00:00:00"/>
    <s v="May-2024"/>
    <x v="5"/>
    <s v="Q2-2024"/>
    <n v="3"/>
    <n v="3"/>
    <n v="1"/>
    <d v="2024-05-21T00:00:00"/>
    <d v="2024-05-21T00:00:00"/>
    <x v="2"/>
    <x v="5"/>
    <s v="Marseille"/>
    <s v="Non-Profit"/>
    <x v="3"/>
    <s v="D. Smith"/>
    <s v="Printers"/>
    <x v="555"/>
    <n v="663.66"/>
    <n v="730.02600000000007"/>
    <n v="824.26"/>
    <s v="Medium"/>
    <n v="0.23899999999999999"/>
    <n v="0.1"/>
    <s v=""/>
    <n v="11"/>
    <n v="13.2"/>
    <n v="7300.2599999999993"/>
    <n v="1616102.6546600002"/>
    <n v="449941.67540000001"/>
    <n v="0.27841156878407569"/>
    <s v="A"/>
    <n v="9636.3432000000012"/>
    <n v="9792.2088000000003"/>
    <n v="6899.8804600000003"/>
    <n v="-400.379539999999"/>
    <n v="155.86559999999918"/>
    <n v="-5.8027025587048933E-2"/>
  </r>
  <r>
    <s v="ORD-2024-389102"/>
    <s v="389102"/>
    <n v="2024"/>
    <d v="2023-01-02T00:00:00"/>
    <x v="8"/>
    <d v="2024-06-15T00:00:00"/>
    <s v="Jun-2024"/>
    <x v="6"/>
    <s v="Q2-2024"/>
    <n v="21"/>
    <n v="21"/>
    <n v="0"/>
    <d v="2024-07-06T00:00:00"/>
    <d v="2024-07-06T00:00:00"/>
    <x v="3"/>
    <x v="10"/>
    <s v="Toronto"/>
    <s v="Enterprise"/>
    <x v="2"/>
    <s v="L. Okafor"/>
    <s v="Printers"/>
    <x v="556"/>
    <n v="817.23"/>
    <n v="898.95300000000009"/>
    <n v="1467.17"/>
    <s v="Medium"/>
    <n v="0.245"/>
    <n v="0.1"/>
    <s v=""/>
    <n v="9"/>
    <n v="10.799999999999999"/>
    <n v="7355.07"/>
    <n v="1616102.6546600002"/>
    <n v="459911.09555000003"/>
    <n v="0.28458037255483459"/>
    <s v="A"/>
    <n v="9708.6923999999999"/>
    <n v="14260.892400000001"/>
    <n v="9969.4201499999999"/>
    <n v="2614.3501500000002"/>
    <n v="4552.2000000000007"/>
    <n v="0.26223693160328893"/>
  </r>
  <r>
    <s v="ORD-2024-626750"/>
    <s v="626750"/>
    <n v="2024"/>
    <d v="2023-01-13T00:00:00"/>
    <x v="9"/>
    <d v="2024-08-12T00:00:00"/>
    <s v="Aug-2024"/>
    <x v="8"/>
    <s v="Q3-2024"/>
    <n v="3"/>
    <n v="3"/>
    <n v="1"/>
    <d v="2024-08-15T00:00:00"/>
    <d v="2024-08-15T00:00:00"/>
    <x v="3"/>
    <x v="11"/>
    <s v="Chicago"/>
    <s v="Corporate"/>
    <x v="3"/>
    <s v="D. Smith"/>
    <s v="Printers"/>
    <x v="557"/>
    <n v="850.7"/>
    <n v="935.7700000000001"/>
    <n v="1118.56"/>
    <s v="Medium"/>
    <n v="0.18"/>
    <n v="0.1"/>
    <s v=""/>
    <n v="19"/>
    <n v="22.8"/>
    <n v="16163.300000000001"/>
    <n v="1616102.6546600002"/>
    <n v="477338.26035000006"/>
    <n v="0.29536382418134427"/>
    <s v="A"/>
    <n v="21335.556000000004"/>
    <n v="22952.851199999997"/>
    <n v="17427.164800000002"/>
    <n v="1263.8648000000012"/>
    <n v="1617.2951999999932"/>
    <n v="7.2522685962090688E-2"/>
  </r>
  <r>
    <s v="ORD-2024-301260"/>
    <s v="301260"/>
    <n v="2024"/>
    <d v="2023-01-13T00:00:00"/>
    <x v="9"/>
    <d v="2024-07-29T00:00:00"/>
    <s v="Jul-2024"/>
    <x v="7"/>
    <s v="Q3-2024"/>
    <n v="2"/>
    <n v="2"/>
    <n v="1"/>
    <d v="2024-07-31T00:00:00"/>
    <d v="2024-07-31T00:00:00"/>
    <x v="3"/>
    <x v="11"/>
    <s v="New York"/>
    <s v="Education"/>
    <x v="3"/>
    <s v="I. Johnson"/>
    <s v="Printers"/>
    <x v="558"/>
    <n v="798.97"/>
    <n v="878.86700000000008"/>
    <n v="1814.06"/>
    <s v="High"/>
    <n v="0.122"/>
    <n v="0.1"/>
    <s v=""/>
    <n v="16"/>
    <n v="19.2"/>
    <n v="12783.52"/>
    <n v="1616102.6546600002"/>
    <n v="502822.17523000005"/>
    <n v="0.31113257179556147"/>
    <s v="A"/>
    <n v="16874.2464"/>
    <n v="31346.9568"/>
    <n v="25483.91488"/>
    <n v="12700.39488"/>
    <n v="14472.7104"/>
    <n v="0.49836906691159061"/>
  </r>
  <r>
    <s v="ORD-2024-207792"/>
    <s v="207792"/>
    <n v="2024"/>
    <d v="2023-03-03T00:00:00"/>
    <x v="9"/>
    <d v="2024-09-03T00:00:00"/>
    <s v="Sept-2024"/>
    <x v="11"/>
    <s v="Q3-2024"/>
    <n v="4"/>
    <n v="4"/>
    <n v="1"/>
    <d v="2024-09-07T00:00:00"/>
    <d v="2024-09-07T00:00:00"/>
    <x v="1"/>
    <x v="3"/>
    <s v="Tokyo"/>
    <s v="Small Business"/>
    <x v="2"/>
    <s v="N. Brown"/>
    <s v="Printers"/>
    <x v="559"/>
    <n v="43.23"/>
    <n v="47.552999999999997"/>
    <n v="94.78"/>
    <s v="Low"/>
    <n v="9.0999999999999998E-2"/>
    <n v="9.0999999999999998E-2"/>
    <s v=""/>
    <n v="55"/>
    <n v="66"/>
    <n v="2377.6499999999996"/>
    <n v="1616102.6546600002"/>
    <n v="507560.70133000007"/>
    <n v="0.31406464178897225"/>
    <s v="A"/>
    <n v="3138.4979999999996"/>
    <n v="5686.2313200000008"/>
    <n v="4738.5261"/>
    <n v="2360.8761000000004"/>
    <n v="2547.7333200000012"/>
    <n v="0.49823005090127082"/>
  </r>
  <r>
    <s v="ORD-2024-687100"/>
    <s v="687100"/>
    <n v="2024"/>
    <d v="2023-01-20T00:00:00"/>
    <x v="30"/>
    <d v="2024-09-10T00:00:00"/>
    <s v="Sept-2024"/>
    <x v="11"/>
    <s v="Q3-2024"/>
    <n v="27"/>
    <n v="27"/>
    <n v="0"/>
    <d v="2024-10-07T00:00:00"/>
    <d v="2024-10-07T00:00:00"/>
    <x v="0"/>
    <x v="8"/>
    <s v="Kisumu"/>
    <s v="Consumer"/>
    <x v="1"/>
    <s v="L. Okafor"/>
    <s v="Printers"/>
    <x v="560"/>
    <n v="1248.3900000000001"/>
    <n v="1373.2290000000003"/>
    <n v="1805.11"/>
    <s v="High"/>
    <n v="0.20300000000000001"/>
    <n v="0.1"/>
    <s v=""/>
    <n v="11"/>
    <n v="13.2"/>
    <n v="13732.29"/>
    <n v="1616102.6546600002"/>
    <n v="523386.10070000007"/>
    <n v="0.32385696489689347"/>
    <s v="A"/>
    <n v="18126.622800000001"/>
    <n v="21444.7068"/>
    <n v="15825.399369999997"/>
    <n v="2093.1093699999965"/>
    <n v="3318.0839999999989"/>
    <n v="0.13226265707820786"/>
  </r>
  <r>
    <s v="ORD-2024-423853"/>
    <s v="423853"/>
    <n v="2024"/>
    <d v="2023-01-15T00:00:00"/>
    <x v="30"/>
    <d v="2024-09-03T00:00:00"/>
    <s v="Sept-2024"/>
    <x v="11"/>
    <s v="Q3-2024"/>
    <n v="5"/>
    <n v="5"/>
    <n v="1"/>
    <d v="2024-09-08T00:00:00"/>
    <d v="2024-09-08T00:00:00"/>
    <x v="0"/>
    <x v="0"/>
    <s v="Lagos"/>
    <s v="Small Business"/>
    <x v="0"/>
    <s v="K. Singh"/>
    <s v="Printers"/>
    <x v="561"/>
    <n v="197.63"/>
    <n v="217.393"/>
    <n v="325.79000000000002"/>
    <s v="Low"/>
    <n v="0.11600000000000001"/>
    <n v="0.1"/>
    <s v=""/>
    <n v="10"/>
    <n v="12"/>
    <n v="1976.3"/>
    <n v="1616102.6546600002"/>
    <n v="526266.0843000001"/>
    <n v="0.32563901976308385"/>
    <s v="A"/>
    <n v="2608.7159999999999"/>
    <n v="3518.5320000000006"/>
    <n v="2879.9836"/>
    <n v="903.68360000000007"/>
    <n v="909.81600000000071"/>
    <n v="0.31378081458519419"/>
  </r>
  <r>
    <s v="ORD-2024-777623"/>
    <s v="777623"/>
    <n v="2024"/>
    <d v="2023-01-29T00:00:00"/>
    <x v="30"/>
    <d v="2024-09-19T00:00:00"/>
    <s v="Sept-2024"/>
    <x v="11"/>
    <s v="Q3-2024"/>
    <n v="25"/>
    <n v="25"/>
    <n v="0"/>
    <d v="2024-10-14T00:00:00"/>
    <d v="2024-10-14T00:00:00"/>
    <x v="3"/>
    <x v="9"/>
    <s v="Rio de Janeiro"/>
    <s v="Small Business"/>
    <x v="1"/>
    <s v="K. Singh"/>
    <s v="Printers"/>
    <x v="562"/>
    <n v="386.96"/>
    <n v="425.65600000000001"/>
    <n v="937.46"/>
    <s v="Medium"/>
    <n v="0.26600000000000001"/>
    <n v="0.1"/>
    <s v=""/>
    <n v="41"/>
    <n v="49.199999999999996"/>
    <n v="15865.359999999999"/>
    <n v="1616102.6546600002"/>
    <n v="554478.00554000016"/>
    <n v="0.34309578289545761"/>
    <s v="A"/>
    <n v="20942.2752"/>
    <n v="41510.728799999997"/>
    <n v="28211.92124"/>
    <n v="12346.561240000001"/>
    <n v="20568.453599999997"/>
    <n v="0.43763631462626335"/>
  </r>
  <r>
    <s v="ORD-2024-550400"/>
    <s v="550400"/>
    <n v="2024"/>
    <d v="2023-01-02T00:00:00"/>
    <x v="30"/>
    <d v="2024-08-19T00:00:00"/>
    <s v="Aug-2024"/>
    <x v="8"/>
    <s v="Q3-2024"/>
    <n v="14"/>
    <n v="14"/>
    <n v="0"/>
    <d v="2024-09-02T00:00:00"/>
    <d v="2024-09-02T00:00:00"/>
    <x v="3"/>
    <x v="10"/>
    <s v="Toronto"/>
    <s v="Consumer"/>
    <x v="2"/>
    <s v="C. Otieno"/>
    <s v="Printers"/>
    <x v="563"/>
    <n v="1337.01"/>
    <n v="1470.711"/>
    <n v="1269.78"/>
    <s v="Medium"/>
    <n v="0.16"/>
    <n v="0.1"/>
    <s v=""/>
    <n v="7"/>
    <n v="8.4"/>
    <n v="9359.07"/>
    <n v="1616102.6546600002"/>
    <n v="561944.31194000016"/>
    <n v="0.34771572852729671"/>
    <s v="A"/>
    <n v="12353.972400000001"/>
    <n v="9599.5367999999999"/>
    <n v="7466.3063999999986"/>
    <n v="-1892.7636000000011"/>
    <n v="-2754.4356000000007"/>
    <n v="-0.25350735672996244"/>
  </r>
  <r>
    <s v="ORD-2024-988736"/>
    <s v="988736"/>
    <n v="2024"/>
    <d v="2023-01-12T00:00:00"/>
    <x v="30"/>
    <d v="2024-09-09T00:00:00"/>
    <s v="Sept-2024"/>
    <x v="11"/>
    <s v="Q3-2024"/>
    <n v="22"/>
    <n v="22"/>
    <n v="0"/>
    <d v="2024-10-01T00:00:00"/>
    <d v="2024-10-01T00:00:00"/>
    <x v="1"/>
    <x v="4"/>
    <s v="Shenzhen"/>
    <s v="Consumer"/>
    <x v="0"/>
    <s v="L. Okafor"/>
    <s v="Printers"/>
    <x v="564"/>
    <n v="1166.18"/>
    <n v="1282.7980000000002"/>
    <n v="1335.02"/>
    <s v="Medium"/>
    <n v="0.128"/>
    <n v="0.1"/>
    <s v=""/>
    <n v="6"/>
    <n v="7.1999999999999993"/>
    <n v="6997.08"/>
    <n v="1616102.6546600002"/>
    <n v="568929.13658000017"/>
    <n v="0.35203774645100927"/>
    <s v="A"/>
    <n v="9236.1455999999998"/>
    <n v="8650.9295999999995"/>
    <n v="6984.8246399999998"/>
    <n v="-12.25536000000011"/>
    <n v="-585.21600000000035"/>
    <n v="-1.7545694604582242E-3"/>
  </r>
  <r>
    <s v="ORD-2024-307849"/>
    <s v="307849"/>
    <n v="2024"/>
    <d v="2023-01-10T00:00:00"/>
    <x v="30"/>
    <d v="2024-08-10T00:00:00"/>
    <s v="Aug-2024"/>
    <x v="8"/>
    <s v="Q3-2024"/>
    <n v="28"/>
    <n v="28"/>
    <n v="0"/>
    <d v="2024-09-07T00:00:00"/>
    <d v="2024-09-07T00:00:00"/>
    <x v="2"/>
    <x v="5"/>
    <s v="Marseille"/>
    <s v="Non-Profit"/>
    <x v="0"/>
    <s v="F. Müller"/>
    <s v="Printers"/>
    <x v="565"/>
    <n v="229.96"/>
    <n v="252.95600000000002"/>
    <n v="564.26"/>
    <s v="Low"/>
    <n v="0.105"/>
    <n v="0.1"/>
    <s v=""/>
    <n v="5"/>
    <n v="6"/>
    <n v="1149.8"/>
    <n v="1616102.6546600002"/>
    <n v="571454.20008000021"/>
    <n v="0.35360018649324243"/>
    <s v="A"/>
    <n v="1517.7360000000001"/>
    <n v="3047.0039999999999"/>
    <n v="2525.0635000000002"/>
    <n v="1375.2635000000002"/>
    <n v="1529.2679999999998"/>
    <n v="0.54464511486542821"/>
  </r>
  <r>
    <s v="ORD-2024-745424"/>
    <s v="745424"/>
    <n v="2024"/>
    <d v="2023-01-22T00:00:00"/>
    <x v="30"/>
    <d v="2024-08-22T00:00:00"/>
    <s v="Aug-2024"/>
    <x v="8"/>
    <s v="Q3-2024"/>
    <n v="13"/>
    <n v="13"/>
    <n v="0"/>
    <d v="2024-09-04T00:00:00"/>
    <d v="2024-09-04T00:00:00"/>
    <x v="2"/>
    <x v="7"/>
    <s v="Frankfurt"/>
    <s v="Non-Profit"/>
    <x v="1"/>
    <s v="L. Okafor"/>
    <s v="Printers"/>
    <x v="566"/>
    <n v="90.04"/>
    <n v="99.044000000000011"/>
    <n v="194.62"/>
    <s v="Low"/>
    <n v="4.2999999999999997E-2"/>
    <n v="4.2999999999999997E-2"/>
    <s v=""/>
    <n v="32"/>
    <n v="38.4"/>
    <n v="2881.28"/>
    <n v="1616102.6546600002"/>
    <n v="577414.24296000018"/>
    <n v="0.35728809756919683"/>
    <s v="A"/>
    <n v="3803.2896000000001"/>
    <n v="7152.0514559999992"/>
    <n v="5960.04288"/>
    <n v="3078.7628799999998"/>
    <n v="3348.7618559999992"/>
    <n v="0.51656723650954672"/>
  </r>
  <r>
    <s v="ORD-2023-701153"/>
    <s v="701153"/>
    <n v="2023"/>
    <d v="2023-01-22T00:00:00"/>
    <x v="10"/>
    <d v="2023-04-14T00:00:00"/>
    <s v="Apr-2023"/>
    <x v="2"/>
    <s v="Q2-2023"/>
    <n v="29"/>
    <n v="29"/>
    <n v="0"/>
    <d v="2023-05-13T00:00:00"/>
    <d v="2023-05-13T00:00:00"/>
    <x v="2"/>
    <x v="7"/>
    <s v="Frankfurt"/>
    <s v="Consumer"/>
    <x v="0"/>
    <s v="J. Njeri"/>
    <s v="Printers"/>
    <x v="567"/>
    <n v="1320.33"/>
    <n v="1452.3630000000001"/>
    <n v="2645.23"/>
    <s v="High"/>
    <n v="0.155"/>
    <n v="0.1"/>
    <s v=""/>
    <n v="25"/>
    <n v="30"/>
    <n v="33008.25"/>
    <n v="1616102.6546600002"/>
    <n v="633294.72671000019"/>
    <n v="0.39186540835379935"/>
    <s v="A"/>
    <n v="43570.89"/>
    <n v="71421.209999999992"/>
    <n v="55880.483749999999"/>
    <n v="22872.233749999999"/>
    <n v="27850.319999999992"/>
    <n v="0.40930629470436536"/>
  </r>
  <r>
    <s v="ORD-2023-294716"/>
    <s v="294716"/>
    <n v="2023"/>
    <d v="2023-01-19T00:00:00"/>
    <x v="10"/>
    <d v="2023-04-10T00:00:00"/>
    <s v="Apr-2023"/>
    <x v="2"/>
    <s v="Q2-2023"/>
    <n v="15"/>
    <n v="15"/>
    <n v="0"/>
    <d v="2023-04-25T00:00:00"/>
    <d v="2023-04-25T00:00:00"/>
    <x v="2"/>
    <x v="2"/>
    <s v="London"/>
    <s v="Small Business"/>
    <x v="1"/>
    <s v="D. Smith"/>
    <s v="Printers"/>
    <x v="568"/>
    <n v="405.66"/>
    <n v="446.22600000000006"/>
    <n v="962.51"/>
    <s v="Medium"/>
    <n v="0.19"/>
    <n v="0.1"/>
    <s v=""/>
    <n v="7"/>
    <n v="8.4"/>
    <n v="2839.6200000000003"/>
    <n v="1616102.6546600002"/>
    <n v="638752.15841000015"/>
    <n v="0.39524231741601984"/>
    <s v="A"/>
    <n v="3748.2984000000006"/>
    <n v="7276.5756000000001"/>
    <n v="5457.4317000000001"/>
    <n v="2617.8116999999997"/>
    <n v="3528.2771999999995"/>
    <n v="0.47967832561239376"/>
  </r>
  <r>
    <s v="ORD-2023-868734"/>
    <s v="868734"/>
    <n v="2023"/>
    <d v="2023-01-19T00:00:00"/>
    <x v="10"/>
    <d v="2023-04-06T00:00:00"/>
    <s v="Apr-2023"/>
    <x v="2"/>
    <s v="Q2-2023"/>
    <n v="21"/>
    <n v="21"/>
    <n v="0"/>
    <d v="2023-04-27T00:00:00"/>
    <d v="2023-04-27T00:00:00"/>
    <x v="2"/>
    <x v="2"/>
    <s v="Manchester"/>
    <s v="Enterprise"/>
    <x v="2"/>
    <s v="I. Johnson"/>
    <s v="Printers"/>
    <x v="569"/>
    <n v="1084.79"/>
    <n v="1193.269"/>
    <n v="2484.9899999999998"/>
    <s v="High"/>
    <n v="3.4000000000000002E-2"/>
    <n v="3.4000000000000002E-2"/>
    <s v=""/>
    <n v="18"/>
    <n v="21.599999999999998"/>
    <n v="19526.22"/>
    <n v="1616102.6546600002"/>
    <n v="681961.16453000018"/>
    <n v="0.42197886536698553"/>
    <s v="A"/>
    <n v="25774.610399999998"/>
    <n v="51850.807343999993"/>
    <n v="43209.006119999991"/>
    <n v="23682.78611999999"/>
    <n v="26076.196943999996"/>
    <n v="0.54809837685755114"/>
  </r>
  <r>
    <s v="ORD-2024-510520"/>
    <s v="510520"/>
    <n v="2024"/>
    <d v="2023-01-02T00:00:00"/>
    <x v="11"/>
    <d v="2024-09-25T00:00:00"/>
    <s v="Sept-2024"/>
    <x v="11"/>
    <s v="Q3-2024"/>
    <n v="8"/>
    <n v="8"/>
    <n v="0"/>
    <d v="2024-10-03T00:00:00"/>
    <d v="2024-10-03T00:00:00"/>
    <x v="3"/>
    <x v="10"/>
    <s v="Toronto"/>
    <s v="Consumer"/>
    <x v="4"/>
    <s v="E. Garcia"/>
    <s v="Printers"/>
    <x v="570"/>
    <n v="558.19000000000005"/>
    <n v="614.00900000000013"/>
    <n v="1031.6400000000001"/>
    <s v="Medium"/>
    <n v="0"/>
    <n v="0"/>
    <s v=""/>
    <n v="21"/>
    <n v="25.2"/>
    <n v="11721.990000000002"/>
    <n v="1616102.6546600002"/>
    <n v="703625.60453000013"/>
    <n v="0.43538422667712939"/>
    <s v="A"/>
    <n v="15473.026800000003"/>
    <n v="25997.328000000001"/>
    <n v="21664.440000000002"/>
    <n v="9942.4500000000007"/>
    <n v="10524.301199999998"/>
    <n v="0.45892947152107322"/>
  </r>
  <r>
    <s v="ORD-2024-720756"/>
    <s v="720756"/>
    <n v="2024"/>
    <d v="2023-01-12T00:00:00"/>
    <x v="11"/>
    <d v="2024-10-11T00:00:00"/>
    <s v="Oct-2024"/>
    <x v="9"/>
    <s v="Q4-2024"/>
    <n v="29"/>
    <n v="29"/>
    <n v="0"/>
    <d v="2024-11-09T00:00:00"/>
    <d v="2024-11-09T00:00:00"/>
    <x v="1"/>
    <x v="4"/>
    <s v="Shanghai"/>
    <s v="Non-Profit"/>
    <x v="4"/>
    <s v="F. Müller"/>
    <s v="Printers"/>
    <x v="571"/>
    <n v="391.64"/>
    <n v="430.80400000000003"/>
    <n v="504.76"/>
    <s v="Low"/>
    <n v="4.0000000000000001E-3"/>
    <n v="4.0000000000000001E-3"/>
    <s v=""/>
    <n v="13"/>
    <n v="15.6"/>
    <n v="5091.32"/>
    <n v="1616102.6546600002"/>
    <n v="710161.23701000016"/>
    <n v="0.43942829681163148"/>
    <s v="A"/>
    <n v="6720.5424000000003"/>
    <n v="7842.7589759999992"/>
    <n v="6535.6324800000002"/>
    <n v="1444.3124800000005"/>
    <n v="1122.2165759999989"/>
    <n v="0.22099046793402319"/>
  </r>
  <r>
    <s v="ORD-2024-998320"/>
    <s v="998320"/>
    <n v="2024"/>
    <d v="2023-01-20T00:00:00"/>
    <x v="31"/>
    <d v="2024-10-25T00:00:00"/>
    <s v="Oct-2024"/>
    <x v="9"/>
    <s v="Q4-2024"/>
    <n v="20"/>
    <n v="20"/>
    <n v="0"/>
    <d v="2024-11-14T00:00:00"/>
    <d v="2024-11-14T00:00:00"/>
    <x v="0"/>
    <x v="8"/>
    <s v="Mombasa"/>
    <s v="Corporate"/>
    <x v="0"/>
    <s v="H. Kim"/>
    <s v="Printers"/>
    <x v="572"/>
    <n v="1396.48"/>
    <n v="1536.1280000000002"/>
    <n v="3204.5"/>
    <s v="High"/>
    <n v="0.318"/>
    <n v="0.1"/>
    <s v="&gt;0.3"/>
    <n v="14"/>
    <n v="16.8"/>
    <n v="19550.72"/>
    <n v="1616102.6546600002"/>
    <n v="740757.80301000015"/>
    <n v="0.45836061272100481"/>
    <s v="A"/>
    <n v="25806.950400000005"/>
    <n v="48452.040000000008"/>
    <n v="30596.565999999999"/>
    <n v="11045.845999999998"/>
    <n v="22645.089600000003"/>
    <n v="0.36101587348070363"/>
  </r>
  <r>
    <s v="ORD-2024-333192"/>
    <s v="333192"/>
    <n v="2024"/>
    <d v="2023-01-20T00:00:00"/>
    <x v="31"/>
    <d v="2024-10-29T00:00:00"/>
    <s v="Oct-2024"/>
    <x v="9"/>
    <s v="Q4-2024"/>
    <n v="6"/>
    <n v="6"/>
    <n v="1"/>
    <d v="2024-11-04T00:00:00"/>
    <d v="2024-11-04T00:00:00"/>
    <x v="0"/>
    <x v="8"/>
    <s v="Nairobi"/>
    <s v="Corporate"/>
    <x v="2"/>
    <s v="M. Rossi"/>
    <s v="Printers"/>
    <x v="573"/>
    <n v="805.81"/>
    <n v="886.39099999999996"/>
    <n v="1823.04"/>
    <s v="High"/>
    <n v="0"/>
    <n v="0"/>
    <s v=""/>
    <n v="11"/>
    <n v="13.2"/>
    <n v="8863.91"/>
    <n v="1616102.6546600002"/>
    <n v="760811.24301000009"/>
    <n v="0.47076913141390853"/>
    <s v="A"/>
    <n v="11700.361199999999"/>
    <n v="24064.127999999997"/>
    <n v="20053.439999999999"/>
    <n v="11189.529999999999"/>
    <n v="12363.766799999998"/>
    <n v="0.55798556257679477"/>
  </r>
  <r>
    <s v="ORD-2024-358795"/>
    <s v="358795"/>
    <n v="2024"/>
    <d v="2023-01-15T00:00:00"/>
    <x v="31"/>
    <d v="2024-10-23T00:00:00"/>
    <s v="Oct-2024"/>
    <x v="9"/>
    <s v="Q4-2024"/>
    <n v="-1"/>
    <n v="15"/>
    <n v="0"/>
    <d v="2024-10-22T00:00:00"/>
    <d v="2024-11-07T00:00:00"/>
    <x v="0"/>
    <x v="0"/>
    <s v="Port Harcourt"/>
    <s v="Education"/>
    <x v="4"/>
    <s v="J. Njeri"/>
    <s v="Printers"/>
    <x v="574"/>
    <n v="1084.3900000000001"/>
    <n v="1192.8290000000002"/>
    <n v="759.33"/>
    <s v="Low"/>
    <n v="0.23699999999999999"/>
    <n v="0.1"/>
    <s v=""/>
    <n v="31"/>
    <n v="37.199999999999996"/>
    <n v="33616.090000000004"/>
    <n v="1616102.6546600002"/>
    <n v="778771.67550000013"/>
    <n v="0.48188255446176476"/>
    <s v="A"/>
    <n v="44373.238799999999"/>
    <n v="25422.368399999999"/>
    <n v="17960.432489999999"/>
    <n v="-15655.657510000005"/>
    <n v="-18950.8704"/>
    <n v="-0.87167486187856302"/>
  </r>
  <r>
    <s v="ORD-2024-225829"/>
    <s v="225829"/>
    <n v="2024"/>
    <d v="2023-01-29T00:00:00"/>
    <x v="31"/>
    <d v="2024-11-07T00:00:00"/>
    <s v="Nov-2024"/>
    <x v="10"/>
    <s v="Q4-2024"/>
    <n v="19"/>
    <n v="19"/>
    <n v="0"/>
    <d v="2024-11-26T00:00:00"/>
    <d v="2024-11-26T00:00:00"/>
    <x v="3"/>
    <x v="9"/>
    <s v="Rio de Janeiro"/>
    <s v="Non-Profit"/>
    <x v="2"/>
    <s v="J. Njeri"/>
    <s v="Printers"/>
    <x v="575"/>
    <n v="55.35"/>
    <n v="60.885000000000005"/>
    <n v="128.68"/>
    <s v="Low"/>
    <n v="0.128"/>
    <n v="0.1"/>
    <s v=""/>
    <n v="10"/>
    <n v="12"/>
    <n v="553.5"/>
    <n v="1616102.6546600002"/>
    <n v="779893.76510000008"/>
    <n v="0.48257687273218181"/>
    <s v="A"/>
    <n v="730.62000000000012"/>
    <n v="1389.7440000000001"/>
    <n v="1122.0896000000002"/>
    <n v="568.58960000000025"/>
    <n v="659.12400000000002"/>
    <n v="0.50672388372550647"/>
  </r>
  <r>
    <s v="ORD-2024-381197"/>
    <s v="381197"/>
    <n v="2024"/>
    <d v="2023-01-22T00:00:00"/>
    <x v="31"/>
    <d v="2024-11-01T00:00:00"/>
    <s v="Nov-2024"/>
    <x v="10"/>
    <s v="Q4-2024"/>
    <n v="11"/>
    <n v="11"/>
    <n v="0"/>
    <d v="2024-11-12T00:00:00"/>
    <d v="2024-11-12T00:00:00"/>
    <x v="2"/>
    <x v="7"/>
    <s v="Frankfurt"/>
    <s v="Consumer"/>
    <x v="4"/>
    <s v="B. Chen"/>
    <s v="Printers"/>
    <x v="576"/>
    <n v="599.84"/>
    <n v="659.82400000000007"/>
    <n v="1330.85"/>
    <s v="Medium"/>
    <n v="0.115"/>
    <n v="0.1"/>
    <s v=""/>
    <n v="11"/>
    <n v="13.2"/>
    <n v="6598.2400000000007"/>
    <n v="1616102.6546600002"/>
    <n v="792849.58985000011"/>
    <n v="0.49059358176526341"/>
    <s v="A"/>
    <n v="8709.6768000000011"/>
    <n v="15810.497999999998"/>
    <n v="12955.824749999998"/>
    <n v="6357.5847499999973"/>
    <n v="7100.8211999999967"/>
    <n v="0.49071246892252063"/>
  </r>
  <r>
    <s v="ORD-2024-925626"/>
    <s v="925626"/>
    <n v="2024"/>
    <d v="2023-01-19T00:00:00"/>
    <x v="31"/>
    <d v="2024-11-04T00:00:00"/>
    <s v="Nov-2024"/>
    <x v="10"/>
    <s v="Q4-2024"/>
    <n v="1"/>
    <n v="1"/>
    <n v="1"/>
    <d v="2024-11-05T00:00:00"/>
    <d v="2024-11-05T00:00:00"/>
    <x v="2"/>
    <x v="2"/>
    <s v="London"/>
    <s v="Corporate"/>
    <x v="1"/>
    <s v="M. Rossi"/>
    <s v="Printers"/>
    <x v="577"/>
    <n v="840.68"/>
    <n v="924.74800000000005"/>
    <n v="1493.53"/>
    <s v="Medium"/>
    <n v="0"/>
    <n v="0"/>
    <s v=""/>
    <n v="27"/>
    <n v="32.4"/>
    <n v="22698.359999999997"/>
    <n v="1616102.6546600002"/>
    <n v="833174.89985000016"/>
    <n v="0.51554577764448117"/>
    <s v="A"/>
    <n v="29961.835200000001"/>
    <n v="48390.371999999996"/>
    <n v="40325.31"/>
    <n v="17626.95"/>
    <n v="18428.536799999994"/>
    <n v="0.43711877230454027"/>
  </r>
  <r>
    <s v="ORD-2024-266562"/>
    <s v="266562"/>
    <n v="2024"/>
    <d v="2023-01-20T00:00:00"/>
    <x v="12"/>
    <d v="2024-11-27T00:00:00"/>
    <s v="Nov-2024"/>
    <x v="10"/>
    <s v="Q4-2024"/>
    <n v="27"/>
    <n v="27"/>
    <n v="0"/>
    <d v="2024-12-24T00:00:00"/>
    <d v="2024-12-24T00:00:00"/>
    <x v="0"/>
    <x v="8"/>
    <s v="Mombasa"/>
    <s v="Corporate"/>
    <x v="2"/>
    <s v="B. Chen"/>
    <s v="Printers"/>
    <x v="578"/>
    <n v="143.33000000000001"/>
    <n v="157.66300000000004"/>
    <n v="233.51"/>
    <s v="Low"/>
    <n v="0.16300000000000001"/>
    <n v="0.1"/>
    <s v=""/>
    <n v="14"/>
    <n v="16.8"/>
    <n v="2006.6200000000001"/>
    <n v="1616102.6546600002"/>
    <n v="835911.17003000015"/>
    <n v="0.5172389065878128"/>
    <s v="A"/>
    <n v="2648.7384000000006"/>
    <n v="3530.6711999999998"/>
    <n v="2736.27018"/>
    <n v="729.65017999999986"/>
    <n v="881.93279999999913"/>
    <n v="0.26665867476580835"/>
  </r>
  <r>
    <s v="ORD-2024-371409"/>
    <s v="371409"/>
    <n v="2024"/>
    <d v="2023-01-02T00:00:00"/>
    <x v="12"/>
    <d v="2024-11-17T00:00:00"/>
    <s v="Nov-2024"/>
    <x v="10"/>
    <s v="Q4-2024"/>
    <n v="11"/>
    <n v="11"/>
    <n v="0"/>
    <d v="2024-11-28T00:00:00"/>
    <d v="2024-11-28T00:00:00"/>
    <x v="3"/>
    <x v="10"/>
    <s v="Vancouver"/>
    <s v="Consumer"/>
    <x v="2"/>
    <s v="A. Patel"/>
    <s v="Printers"/>
    <x v="579"/>
    <n v="1008.16"/>
    <n v="1108.9760000000001"/>
    <n v="2077.5"/>
    <s v="High"/>
    <n v="7.3999999999999996E-2"/>
    <n v="7.3999999999999996E-2"/>
    <s v=""/>
    <n v="15"/>
    <n v="18"/>
    <n v="15122.4"/>
    <n v="1616102.6546600002"/>
    <n v="864767.64503000013"/>
    <n v="0.53509450190955354"/>
    <s v="A"/>
    <n v="19961.568000000003"/>
    <n v="34627.770000000004"/>
    <n v="28856.475000000002"/>
    <n v="13734.075000000003"/>
    <n v="14666.202000000001"/>
    <n v="0.47594430712691005"/>
  </r>
  <r>
    <s v="ORD-2024-390951"/>
    <s v="390951"/>
    <n v="2024"/>
    <d v="2023-01-29T00:00:00"/>
    <x v="12"/>
    <d v="2024-12-20T00:00:00"/>
    <s v="Dec-2024"/>
    <x v="3"/>
    <s v="Q4-2024"/>
    <n v="25"/>
    <n v="25"/>
    <n v="0"/>
    <d v="2025-01-14T00:00:00"/>
    <d v="2025-01-14T00:00:00"/>
    <x v="1"/>
    <x v="1"/>
    <s v="Delhi"/>
    <s v="Small Business"/>
    <x v="1"/>
    <s v="M. Rossi"/>
    <s v="Printers"/>
    <x v="580"/>
    <n v="1361.34"/>
    <n v="1497.4739999999999"/>
    <n v="1737.9"/>
    <s v="High"/>
    <n v="7.6999999999999999E-2"/>
    <n v="7.6999999999999999E-2"/>
    <s v=""/>
    <n v="14"/>
    <n v="16.8"/>
    <n v="19058.759999999998"/>
    <n v="1616102.6546600002"/>
    <n v="887224.78883000009"/>
    <n v="0.54899036659070188"/>
    <s v="A"/>
    <n v="25157.563200000001"/>
    <n v="26948.572560000001"/>
    <n v="22457.143800000002"/>
    <n v="3398.3838000000032"/>
    <n v="1791.00936"/>
    <n v="0.15132751654731813"/>
  </r>
  <r>
    <s v="ORD-2025-415018"/>
    <s v="415018"/>
    <n v="2025"/>
    <d v="2023-03-03T00:00:00"/>
    <x v="12"/>
    <d v="2025-01-22T00:00:00"/>
    <s v="Jan-2025"/>
    <x v="1"/>
    <s v="Q1-2025"/>
    <n v="13"/>
    <n v="13"/>
    <n v="0"/>
    <d v="2025-02-04T00:00:00"/>
    <d v="2025-02-04T00:00:00"/>
    <x v="1"/>
    <x v="3"/>
    <s v="Tokyo"/>
    <s v="Small Business"/>
    <x v="2"/>
    <s v="L. Okafor"/>
    <s v="Printers"/>
    <x v="581"/>
    <n v="122.29"/>
    <n v="134.51900000000001"/>
    <n v="224.95"/>
    <s v="Low"/>
    <n v="0.153"/>
    <n v="0.1"/>
    <s v=""/>
    <n v="28"/>
    <n v="33.6"/>
    <n v="3424.1200000000003"/>
    <n v="1616102.6546600002"/>
    <n v="892559.70303000009"/>
    <n v="0.55229146518404737"/>
    <s v="A"/>
    <n v="4519.8384000000005"/>
    <n v="6802.4880000000003"/>
    <n v="5334.9141999999993"/>
    <n v="1910.7941999999989"/>
    <n v="2282.6495999999997"/>
    <n v="0.3581677471026618"/>
  </r>
  <r>
    <s v="ORD-2024-788105"/>
    <s v="788105"/>
    <n v="2024"/>
    <d v="2023-01-10T00:00:00"/>
    <x v="12"/>
    <d v="2024-11-30T00:00:00"/>
    <s v="Nov-2024"/>
    <x v="10"/>
    <s v="Q4-2024"/>
    <n v="30"/>
    <n v="30"/>
    <n v="0"/>
    <d v="2024-12-30T00:00:00"/>
    <d v="2024-12-30T00:00:00"/>
    <x v="2"/>
    <x v="5"/>
    <s v="Marseille"/>
    <s v="Consumer"/>
    <x v="3"/>
    <s v="F. Müller"/>
    <s v="Printers"/>
    <x v="582"/>
    <n v="117.64"/>
    <n v="129.40400000000002"/>
    <n v="175.67"/>
    <s v="Low"/>
    <n v="0"/>
    <n v="0"/>
    <s v=""/>
    <n v="10"/>
    <n v="12"/>
    <n v="1176.4000000000001"/>
    <n v="1616102.6546600002"/>
    <n v="894316.40303000004"/>
    <n v="0.55337846296536686"/>
    <s v="A"/>
    <n v="1552.8480000000004"/>
    <n v="2108.04"/>
    <n v="1756.6999999999998"/>
    <n v="580.29999999999973"/>
    <n v="555.19199999999955"/>
    <n v="0.33033528775545046"/>
  </r>
  <r>
    <s v="ORD-2024-783321"/>
    <s v="783321"/>
    <n v="2024"/>
    <d v="2023-01-10T00:00:00"/>
    <x v="12"/>
    <d v="2024-11-20T00:00:00"/>
    <s v="Nov-2024"/>
    <x v="10"/>
    <s v="Q4-2024"/>
    <n v="25"/>
    <n v="25"/>
    <n v="0"/>
    <d v="2024-12-15T00:00:00"/>
    <d v="2024-12-15T00:00:00"/>
    <x v="2"/>
    <x v="5"/>
    <s v="Paris"/>
    <s v="Corporate"/>
    <x v="4"/>
    <s v="G. Dubois"/>
    <s v="Printers"/>
    <x v="583"/>
    <n v="1203.58"/>
    <n v="1323.9380000000001"/>
    <n v="1856.16"/>
    <s v="High"/>
    <n v="0.129"/>
    <n v="0.1"/>
    <s v=""/>
    <n v="22"/>
    <n v="26.4"/>
    <n v="26478.76"/>
    <n v="1616102.6546600002"/>
    <n v="929884.14095000003"/>
    <n v="0.57538680372109863"/>
    <s v="A"/>
    <n v="34951.963199999998"/>
    <n v="44102.361599999997"/>
    <n v="35567.737920000007"/>
    <n v="9088.9779200000085"/>
    <n v="9150.3983999999982"/>
    <n v="0.25553994860295032"/>
  </r>
  <r>
    <s v="ORD-2024-866535"/>
    <s v="866535"/>
    <n v="2024"/>
    <d v="2023-01-22T00:00:00"/>
    <x v="12"/>
    <d v="2024-12-04T00:00:00"/>
    <s v="Dec-2024"/>
    <x v="3"/>
    <s v="Q4-2024"/>
    <n v="8"/>
    <n v="8"/>
    <n v="0"/>
    <d v="2024-12-12T00:00:00"/>
    <d v="2024-12-12T00:00:00"/>
    <x v="2"/>
    <x v="7"/>
    <s v="Frankfurt"/>
    <s v="Enterprise"/>
    <x v="3"/>
    <s v="B. Chen"/>
    <s v="Printers"/>
    <x v="584"/>
    <n v="72.06"/>
    <n v="79.266000000000005"/>
    <n v="122.74"/>
    <s v="Low"/>
    <n v="0.23799999999999999"/>
    <n v="0.1"/>
    <s v=""/>
    <n v="8"/>
    <n v="9.6"/>
    <n v="576.48"/>
    <n v="1616102.6546600002"/>
    <n v="930632.36398999998"/>
    <n v="0.57584978361772987"/>
    <s v="A"/>
    <n v="760.95360000000005"/>
    <n v="1060.4735999999998"/>
    <n v="748.22303999999997"/>
    <n v="171.74303999999995"/>
    <n v="299.51999999999975"/>
    <n v="0.22953455162246802"/>
  </r>
  <r>
    <s v="ORD-2024-164288"/>
    <s v="164288"/>
    <n v="2024"/>
    <d v="2023-01-13T00:00:00"/>
    <x v="13"/>
    <d v="2024-12-21T00:00:00"/>
    <s v="Dec-2024"/>
    <x v="3"/>
    <s v="Q4-2024"/>
    <n v="5"/>
    <n v="5"/>
    <n v="1"/>
    <d v="2024-12-26T00:00:00"/>
    <d v="2024-12-26T00:00:00"/>
    <x v="3"/>
    <x v="11"/>
    <s v="San Francisco"/>
    <s v="Consumer"/>
    <x v="3"/>
    <s v="M. Rossi"/>
    <s v="Printers"/>
    <x v="585"/>
    <n v="699.57"/>
    <n v="769.52700000000016"/>
    <n v="572.71"/>
    <s v="Low"/>
    <n v="0.192"/>
    <n v="0.1"/>
    <s v=""/>
    <n v="26"/>
    <n v="31.2"/>
    <n v="18188.82"/>
    <n v="1616102.6546600002"/>
    <n v="942663.85566999996"/>
    <n v="0.58329454069755238"/>
    <s v="A"/>
    <n v="24009.242400000003"/>
    <n v="16081.6968"/>
    <n v="12031.491680000001"/>
    <n v="-6157.3283199999987"/>
    <n v="-7927.5456000000031"/>
    <n v="-0.51176765805651114"/>
  </r>
  <r>
    <s v="ORD-2024-206081"/>
    <s v="206081"/>
    <n v="2024"/>
    <d v="2023-01-10T00:00:00"/>
    <x v="13"/>
    <d v="2024-12-10T00:00:00"/>
    <s v="Dec-2024"/>
    <x v="3"/>
    <s v="Q4-2024"/>
    <n v="29"/>
    <n v="29"/>
    <n v="0"/>
    <d v="2025-01-08T00:00:00"/>
    <d v="2025-01-08T00:00:00"/>
    <x v="2"/>
    <x v="5"/>
    <s v="Marseille"/>
    <s v="Small Business"/>
    <x v="1"/>
    <s v="K. Singh"/>
    <s v="Printers"/>
    <x v="586"/>
    <n v="891.08"/>
    <n v="980.1880000000001"/>
    <n v="1040.0999999999999"/>
    <s v="Medium"/>
    <n v="0.109"/>
    <n v="0.1"/>
    <s v=""/>
    <n v="28"/>
    <n v="33.6"/>
    <n v="24950.240000000002"/>
    <n v="1616102.6546600002"/>
    <n v="968612.27046999999"/>
    <n v="0.59935070812304247"/>
    <s v="A"/>
    <n v="32934.316800000008"/>
    <n v="31452.624"/>
    <n v="25948.414799999995"/>
    <n v="998.17479999999341"/>
    <n v="-1481.692800000008"/>
    <n v="3.8467660074556598E-2"/>
  </r>
  <r>
    <s v="ORD-2025-460466"/>
    <s v="460466"/>
    <n v="2025"/>
    <d v="2023-01-15T00:00:00"/>
    <x v="14"/>
    <d v="2025-02-07T00:00:00"/>
    <s v="Feb-2025"/>
    <x v="0"/>
    <s v="Q1-2025"/>
    <n v="9"/>
    <n v="9"/>
    <n v="0"/>
    <d v="2025-02-16T00:00:00"/>
    <d v="2025-02-16T00:00:00"/>
    <x v="0"/>
    <x v="0"/>
    <s v="Lagos"/>
    <s v="Small Business"/>
    <x v="2"/>
    <s v="C. Otieno"/>
    <s v="Printers"/>
    <x v="587"/>
    <n v="90.68"/>
    <n v="99.748000000000019"/>
    <n v="118.17"/>
    <s v="Low"/>
    <n v="0.13500000000000001"/>
    <n v="0.1"/>
    <s v=""/>
    <n v="21"/>
    <n v="25.2"/>
    <n v="1904.2800000000002"/>
    <n v="1616102.6546600002"/>
    <n v="970758.82851999998"/>
    <n v="0.60067893937358252"/>
    <s v="A"/>
    <n v="2513.6496000000002"/>
    <n v="2680.0956000000001"/>
    <n v="2146.5580500000001"/>
    <n v="242.27804999999989"/>
    <n v="166.44599999999991"/>
    <n v="0.11286815653552899"/>
  </r>
  <r>
    <s v="ORD-2025-683247"/>
    <s v="683247"/>
    <n v="2025"/>
    <d v="2023-03-03T00:00:00"/>
    <x v="14"/>
    <d v="2025-03-10T00:00:00"/>
    <s v="Mar-2025"/>
    <x v="4"/>
    <s v="Q1-2025"/>
    <n v="25"/>
    <n v="25"/>
    <n v="0"/>
    <d v="2025-04-04T00:00:00"/>
    <d v="2025-04-04T00:00:00"/>
    <x v="1"/>
    <x v="3"/>
    <s v="Osaka"/>
    <s v="Corporate"/>
    <x v="0"/>
    <s v="H. Kim"/>
    <s v="Printers"/>
    <x v="588"/>
    <n v="783.72"/>
    <n v="862.0920000000001"/>
    <n v="1355.94"/>
    <s v="Medium"/>
    <n v="0.187"/>
    <n v="0.1"/>
    <s v=""/>
    <n v="4"/>
    <n v="4.8"/>
    <n v="3134.88"/>
    <n v="1616102.6546600002"/>
    <n v="975168.34539999999"/>
    <n v="0.60340742748495657"/>
    <s v="A"/>
    <n v="4138.0416000000005"/>
    <n v="5857.6607999999997"/>
    <n v="4409.5168800000001"/>
    <n v="1274.63688"/>
    <n v="1719.6191999999992"/>
    <n v="0.28906497348525856"/>
  </r>
  <r>
    <s v="ORD-2025-532859"/>
    <s v="532859"/>
    <n v="2025"/>
    <d v="2023-03-03T00:00:00"/>
    <x v="14"/>
    <d v="2025-03-11T00:00:00"/>
    <s v="Mar-2025"/>
    <x v="4"/>
    <s v="Q1-2025"/>
    <n v="16"/>
    <n v="16"/>
    <n v="0"/>
    <d v="2025-03-27T00:00:00"/>
    <d v="2025-03-27T00:00:00"/>
    <x v="1"/>
    <x v="3"/>
    <s v="Tokyo"/>
    <s v="Enterprise"/>
    <x v="2"/>
    <s v="B. Chen"/>
    <s v="Printers"/>
    <x v="589"/>
    <n v="1317.58"/>
    <n v="1449.338"/>
    <n v="1897.74"/>
    <s v="High"/>
    <n v="8.1000000000000003E-2"/>
    <n v="8.1000000000000003E-2"/>
    <s v=""/>
    <n v="6"/>
    <n v="7.1999999999999993"/>
    <n v="7905.48"/>
    <n v="1616102.6546600002"/>
    <n v="985632.48375999997"/>
    <n v="0.60988234931608343"/>
    <s v="A"/>
    <n v="10435.2336"/>
    <n v="12556.966032"/>
    <n v="10464.138360000001"/>
    <n v="2558.6583600000013"/>
    <n v="2121.7324320000007"/>
    <n v="0.24451687009230266"/>
  </r>
  <r>
    <s v="ORD-2025-752845"/>
    <s v="752845"/>
    <n v="2025"/>
    <d v="2023-01-29T00:00:00"/>
    <x v="16"/>
    <d v="2025-03-30T00:00:00"/>
    <s v="Mar-2025"/>
    <x v="4"/>
    <s v="Q1-2025"/>
    <n v="8"/>
    <n v="8"/>
    <n v="0"/>
    <d v="2025-04-07T00:00:00"/>
    <d v="2025-04-07T00:00:00"/>
    <x v="3"/>
    <x v="9"/>
    <s v="São Paulo"/>
    <s v="Non-Profit"/>
    <x v="0"/>
    <s v="L. Okafor"/>
    <s v="Printers"/>
    <x v="590"/>
    <n v="71.62"/>
    <n v="78.782000000000011"/>
    <n v="118.37"/>
    <s v="Low"/>
    <n v="0.156"/>
    <n v="0.1"/>
    <s v=""/>
    <n v="11"/>
    <n v="13.2"/>
    <n v="787.82"/>
    <n v="1616102.6546600002"/>
    <n v="986731.43083999993"/>
    <n v="0.61056234762982364"/>
    <s v="A"/>
    <n v="1039.9224000000002"/>
    <n v="1406.2356"/>
    <n v="1098.9470800000001"/>
    <n v="311.12708000000009"/>
    <n v="366.31319999999982"/>
    <n v="0.28311379652603474"/>
  </r>
  <r>
    <s v="ORD-2025-222035"/>
    <s v="222035"/>
    <n v="2025"/>
    <d v="2023-01-12T00:00:00"/>
    <x v="16"/>
    <d v="2025-03-14T00:00:00"/>
    <s v="Mar-2025"/>
    <x v="4"/>
    <s v="Q1-2025"/>
    <n v="25"/>
    <n v="25"/>
    <n v="0"/>
    <d v="2025-04-08T00:00:00"/>
    <d v="2025-04-08T00:00:00"/>
    <x v="1"/>
    <x v="4"/>
    <s v="Shanghai"/>
    <s v="Corporate"/>
    <x v="2"/>
    <s v="D. Smith"/>
    <s v="Printers"/>
    <x v="591"/>
    <n v="80.59"/>
    <n v="88.649000000000015"/>
    <n v="157.82"/>
    <s v="Low"/>
    <n v="0.217"/>
    <n v="0.1"/>
    <s v=""/>
    <n v="6"/>
    <n v="7.1999999999999993"/>
    <n v="483.54"/>
    <n v="1616102.6546600002"/>
    <n v="987472.86919999996"/>
    <n v="0.61102112935254538"/>
    <s v="A"/>
    <n v="638.27280000000007"/>
    <n v="1022.6735999999999"/>
    <n v="741.43835999999999"/>
    <n v="257.89835999999997"/>
    <n v="384.40079999999978"/>
    <n v="0.34783519967863541"/>
  </r>
  <r>
    <s v="ORD-2025-752192"/>
    <s v="752192"/>
    <n v="2025"/>
    <d v="2023-03-03T00:00:00"/>
    <x v="16"/>
    <d v="2025-05-16T00:00:00"/>
    <s v="May-2025"/>
    <x v="5"/>
    <s v="Q2-2025"/>
    <n v="2"/>
    <n v="2"/>
    <n v="1"/>
    <d v="2025-05-18T00:00:00"/>
    <d v="2025-05-18T00:00:00"/>
    <x v="1"/>
    <x v="3"/>
    <s v="Tokyo"/>
    <s v="Enterprise"/>
    <x v="1"/>
    <s v="J. Njeri"/>
    <s v="Printers"/>
    <x v="592"/>
    <n v="1144.3800000000001"/>
    <n v="1258.8180000000002"/>
    <n v="2755.04"/>
    <s v="High"/>
    <n v="0.15"/>
    <n v="0.1"/>
    <s v=""/>
    <n v="17"/>
    <n v="20.399999999999999"/>
    <n v="19454.460000000003"/>
    <n v="1616102.6546600002"/>
    <n v="1027283.1971999999"/>
    <n v="0.63565466849389118"/>
    <s v="A"/>
    <n v="25679.887200000001"/>
    <n v="50582.534399999997"/>
    <n v="39810.328000000001"/>
    <n v="20355.867999999999"/>
    <n v="24902.647199999996"/>
    <n v="0.51132128326096682"/>
  </r>
  <r>
    <s v="ORD-2025-947929"/>
    <s v="947929"/>
    <n v="2025"/>
    <d v="2023-01-22T00:00:00"/>
    <x v="16"/>
    <d v="2025-03-23T00:00:00"/>
    <s v="Mar-2025"/>
    <x v="4"/>
    <s v="Q1-2025"/>
    <n v="10"/>
    <n v="10"/>
    <n v="0"/>
    <d v="2025-04-02T00:00:00"/>
    <d v="2025-04-02T00:00:00"/>
    <x v="2"/>
    <x v="7"/>
    <s v="Berlin"/>
    <s v="Enterprise"/>
    <x v="4"/>
    <s v="E. Garcia"/>
    <s v="Printers"/>
    <x v="593"/>
    <n v="663.61"/>
    <n v="729.97100000000012"/>
    <n v="1002.11"/>
    <s v="Medium"/>
    <n v="4.5999999999999999E-2"/>
    <n v="4.5999999999999999E-2"/>
    <s v=""/>
    <n v="17"/>
    <n v="20.399999999999999"/>
    <n v="11281.37"/>
    <n v="1616102.6546600002"/>
    <n v="1043535.41718"/>
    <n v="0.64571109648943781"/>
    <s v="A"/>
    <n v="14891.408400000002"/>
    <n v="19502.663975999996"/>
    <n v="16252.219979999998"/>
    <n v="4970.8499799999972"/>
    <n v="4611.2555759999941"/>
    <n v="0.30585667595670812"/>
  </r>
  <r>
    <s v="ORD-2025-269934"/>
    <s v="269934"/>
    <n v="2025"/>
    <d v="2023-01-19T00:00:00"/>
    <x v="16"/>
    <d v="2025-04-04T00:00:00"/>
    <s v="Apr-2025"/>
    <x v="2"/>
    <s v="Q2-2025"/>
    <n v="6"/>
    <n v="6"/>
    <n v="1"/>
    <d v="2025-04-10T00:00:00"/>
    <d v="2025-04-10T00:00:00"/>
    <x v="2"/>
    <x v="2"/>
    <s v="Birmingham"/>
    <s v="Non-Profit"/>
    <x v="0"/>
    <s v="N. Brown"/>
    <s v="Printers"/>
    <x v="594"/>
    <n v="290.14"/>
    <n v="319.154"/>
    <n v="250.73"/>
    <s v="Low"/>
    <n v="3.4000000000000002E-2"/>
    <n v="3.4000000000000002E-2"/>
    <s v=""/>
    <n v="17"/>
    <n v="20.399999999999999"/>
    <n v="4932.38"/>
    <n v="1616102.6546600002"/>
    <n v="1047652.90524"/>
    <n v="0.64825888517608299"/>
    <s v="A"/>
    <n v="6510.7415999999994"/>
    <n v="4940.9856719999998"/>
    <n v="4117.4880599999997"/>
    <n v="-814.89194000000043"/>
    <n v="-1569.7559279999996"/>
    <n v="-0.19790997038131072"/>
  </r>
  <r>
    <s v="ORD-2025-246470"/>
    <s v="246470"/>
    <n v="2025"/>
    <d v="2023-01-02T00:00:00"/>
    <x v="17"/>
    <d v="2025-04-16T00:00:00"/>
    <s v="Apr-2025"/>
    <x v="2"/>
    <s v="Q2-2025"/>
    <n v="30"/>
    <n v="30"/>
    <n v="0"/>
    <d v="2025-05-16T00:00:00"/>
    <d v="2025-05-16T00:00:00"/>
    <x v="3"/>
    <x v="10"/>
    <s v="Montreal"/>
    <s v="Enterprise"/>
    <x v="2"/>
    <s v="K. Singh"/>
    <s v="Printers"/>
    <x v="595"/>
    <n v="763.32"/>
    <n v="839.65200000000016"/>
    <n v="568.29"/>
    <s v="Low"/>
    <n v="0.13100000000000001"/>
    <n v="0.1"/>
    <s v=""/>
    <n v="16"/>
    <n v="19.2"/>
    <n v="12213.12"/>
    <n v="1616102.6546600002"/>
    <n v="1055554.4094"/>
    <n v="0.65314811924621841"/>
    <s v="A"/>
    <n v="16121.318400000002"/>
    <n v="9820.0511999999999"/>
    <n v="7901.5041599999995"/>
    <n v="-4311.6158400000013"/>
    <n v="-6301.267200000002"/>
    <n v="-0.54567026134426555"/>
  </r>
  <r>
    <s v="ORD-2025-866565"/>
    <s v="866565"/>
    <n v="2025"/>
    <d v="2023-01-29T00:00:00"/>
    <x v="17"/>
    <d v="2025-05-12T00:00:00"/>
    <s v="May-2025"/>
    <x v="5"/>
    <s v="Q2-2025"/>
    <n v="14"/>
    <n v="14"/>
    <n v="0"/>
    <d v="2025-05-26T00:00:00"/>
    <d v="2025-05-26T00:00:00"/>
    <x v="1"/>
    <x v="1"/>
    <s v="Hyderabad"/>
    <s v="Corporate"/>
    <x v="3"/>
    <s v="G. Dubois"/>
    <s v="Printers"/>
    <x v="596"/>
    <n v="320.12"/>
    <n v="352.13200000000006"/>
    <n v="594.41999999999996"/>
    <s v="Low"/>
    <n v="0.104"/>
    <n v="0.1"/>
    <s v=""/>
    <n v="18"/>
    <n v="21.599999999999998"/>
    <n v="5762.16"/>
    <n v="1616102.6546600002"/>
    <n v="1065141.2151599999"/>
    <n v="0.6590801717259025"/>
    <s v="A"/>
    <n v="7606.0512000000008"/>
    <n v="11555.524799999999"/>
    <n v="9586.8057599999993"/>
    <n v="3824.6457599999994"/>
    <n v="3949.4735999999984"/>
    <n v="0.39894891538931104"/>
  </r>
  <r>
    <s v="ORD-2025-874124"/>
    <s v="874124"/>
    <n v="2025"/>
    <d v="2023-01-02T00:00:00"/>
    <x v="18"/>
    <d v="2025-05-14T00:00:00"/>
    <s v="May-2025"/>
    <x v="5"/>
    <s v="Q2-2025"/>
    <n v="-2"/>
    <n v="15"/>
    <n v="0"/>
    <d v="2025-05-12T00:00:00"/>
    <d v="2025-05-29T00:00:00"/>
    <x v="3"/>
    <x v="10"/>
    <s v="Vancouver"/>
    <s v="Non-Profit"/>
    <x v="2"/>
    <s v="F. Müller"/>
    <s v="Printers"/>
    <x v="597"/>
    <n v="883.5"/>
    <n v="971.85"/>
    <n v="1978.91"/>
    <s v="High"/>
    <n v="5.3999999999999999E-2"/>
    <n v="5.3999999999999999E-2"/>
    <s v=""/>
    <n v="27"/>
    <n v="32.4"/>
    <n v="23854.5"/>
    <n v="1616102.6546600002"/>
    <n v="1115686.5343799999"/>
    <n v="0.69035622901982108"/>
    <s v="A"/>
    <n v="31487.94"/>
    <n v="60654.383064000001"/>
    <n v="50545.319219999998"/>
    <n v="26690.819219999998"/>
    <n v="29166.443064000003"/>
    <n v="0.52805718970390547"/>
  </r>
  <r>
    <s v="ORD-2025-820255"/>
    <s v="820255"/>
    <n v="2025"/>
    <d v="2023-01-22T00:00:00"/>
    <x v="18"/>
    <d v="2025-05-29T00:00:00"/>
    <s v="May-2025"/>
    <x v="5"/>
    <s v="Q2-2025"/>
    <n v="22"/>
    <n v="22"/>
    <n v="0"/>
    <d v="2025-06-20T00:00:00"/>
    <d v="2025-06-20T00:00:00"/>
    <x v="2"/>
    <x v="7"/>
    <s v="Berlin"/>
    <s v="Corporate"/>
    <x v="0"/>
    <s v="A. Patel"/>
    <s v="Printers"/>
    <x v="598"/>
    <n v="483.47"/>
    <n v="531.81700000000012"/>
    <n v="1135.43"/>
    <s v="Medium"/>
    <n v="0.14599999999999999"/>
    <n v="0.1"/>
    <s v=""/>
    <n v="11"/>
    <n v="13.2"/>
    <n v="5318.17"/>
    <n v="1616102.6546600002"/>
    <n v="1126352.7637999998"/>
    <n v="0.69695619925639241"/>
    <s v="A"/>
    <n v="7019.9844000000012"/>
    <n v="13488.9084"/>
    <n v="10666.229420000001"/>
    <n v="5348.0594200000014"/>
    <n v="6468.9239999999991"/>
    <n v="0.50140112399719983"/>
  </r>
  <r>
    <s v="ORD-2025-698069"/>
    <s v="698069"/>
    <n v="2025"/>
    <d v="2023-01-02T00:00:00"/>
    <x v="19"/>
    <d v="2025-06-03T00:00:00"/>
    <s v="Jun-2025"/>
    <x v="6"/>
    <s v="Q2-2025"/>
    <n v="7"/>
    <n v="7"/>
    <n v="1"/>
    <d v="2025-06-10T00:00:00"/>
    <d v="2025-06-10T00:00:00"/>
    <x v="3"/>
    <x v="10"/>
    <s v="Toronto"/>
    <s v="Consumer"/>
    <x v="2"/>
    <s v="O. Wang"/>
    <s v="Printers"/>
    <x v="599"/>
    <n v="75.180000000000007"/>
    <n v="82.698000000000008"/>
    <n v="53.45"/>
    <s v="Low"/>
    <n v="0.157"/>
    <n v="0.1"/>
    <s v=""/>
    <n v="17"/>
    <n v="20.399999999999999"/>
    <n v="1278.0600000000002"/>
    <n v="1616102.6546600002"/>
    <n v="1127118.7557499998"/>
    <n v="0.69743017406720731"/>
    <s v="A"/>
    <n v="1687.0391999999999"/>
    <n v="981.34199999999987"/>
    <n v="765.99195000000009"/>
    <n v="-512.06805000000008"/>
    <n v="-705.69720000000007"/>
    <n v="-0.66850317421743144"/>
  </r>
  <r>
    <s v="ORD-2025-306903"/>
    <s v="306903"/>
    <n v="2025"/>
    <d v="2023-01-02T00:00:00"/>
    <x v="19"/>
    <d v="2025-06-24T00:00:00"/>
    <s v="Jun-2025"/>
    <x v="6"/>
    <s v="Q2-2025"/>
    <n v="29"/>
    <n v="29"/>
    <n v="0"/>
    <d v="2025-07-23T00:00:00"/>
    <d v="2025-07-23T00:00:00"/>
    <x v="3"/>
    <x v="10"/>
    <s v="Vancouver"/>
    <s v="Non-Profit"/>
    <x v="3"/>
    <s v="I. Johnson"/>
    <s v="Printers"/>
    <x v="600"/>
    <n v="255.4"/>
    <n v="280.94000000000005"/>
    <n v="322.70999999999998"/>
    <s v="Low"/>
    <n v="0.115"/>
    <n v="0.1"/>
    <s v=""/>
    <n v="16"/>
    <n v="19.2"/>
    <n v="4086.4"/>
    <n v="1616102.6546600002"/>
    <n v="1131688.3293499998"/>
    <n v="0.70025770088725414"/>
    <s v="A"/>
    <n v="5394.0480000000007"/>
    <n v="5576.4287999999997"/>
    <n v="4569.5735999999997"/>
    <n v="483.17359999999962"/>
    <n v="182.380799999999"/>
    <n v="0.10573713048412212"/>
  </r>
  <r>
    <s v="ORD-2025-150713"/>
    <s v="150713"/>
    <n v="2025"/>
    <d v="2023-01-19T00:00:00"/>
    <x v="19"/>
    <d v="2025-07-11T00:00:00"/>
    <s v="Jul-2025"/>
    <x v="7"/>
    <s v="Q3-2025"/>
    <n v="5"/>
    <n v="5"/>
    <n v="1"/>
    <d v="2025-07-16T00:00:00"/>
    <d v="2025-07-16T00:00:00"/>
    <x v="2"/>
    <x v="2"/>
    <s v="London"/>
    <s v="Enterprise"/>
    <x v="4"/>
    <s v="K. Singh"/>
    <s v="Printers"/>
    <x v="601"/>
    <n v="930.03"/>
    <n v="1023.033"/>
    <n v="1086.68"/>
    <s v="Medium"/>
    <n v="0.109"/>
    <n v="0.1"/>
    <s v=""/>
    <n v="26"/>
    <n v="31.2"/>
    <n v="24180.78"/>
    <n v="1616102.6546600002"/>
    <n v="1156862.3582299999"/>
    <n v="0.71583469954350365"/>
    <s v="A"/>
    <n v="31918.6296"/>
    <n v="30513.974400000006"/>
    <n v="25174.028880000002"/>
    <n v="993.24888000000283"/>
    <n v="-1404.6551999999938"/>
    <n v="3.9455300728168656E-2"/>
  </r>
  <r>
    <s v="ORD-2023-931633"/>
    <s v="931633"/>
    <n v="2023"/>
    <d v="2023-01-20T00:00:00"/>
    <x v="20"/>
    <d v="2023-05-14T00:00:00"/>
    <s v="May-2023"/>
    <x v="5"/>
    <s v="Q2-2023"/>
    <n v="8"/>
    <n v="8"/>
    <n v="0"/>
    <d v="2023-05-22T00:00:00"/>
    <d v="2023-05-22T00:00:00"/>
    <x v="0"/>
    <x v="8"/>
    <s v="Mombasa"/>
    <s v="Small Business"/>
    <x v="2"/>
    <s v="F. Müller"/>
    <s v="Printers"/>
    <x v="602"/>
    <n v="432.01"/>
    <n v="475.21100000000001"/>
    <n v="913.78"/>
    <s v="Medium"/>
    <n v="4.9000000000000002E-2"/>
    <n v="4.9000000000000002E-2"/>
    <s v=""/>
    <n v="12"/>
    <n v="14.399999999999999"/>
    <n v="5184.12"/>
    <n v="1616102.6546600002"/>
    <n v="1167290.4155899999"/>
    <n v="0.72228729544137615"/>
    <s v="A"/>
    <n v="6843.0383999999995"/>
    <n v="12513.668831999998"/>
    <n v="10428.057360000001"/>
    <n v="5243.9373600000008"/>
    <n v="5670.6304319999981"/>
    <n v="0.50286809699711899"/>
  </r>
  <r>
    <s v="ORD-2023-588455"/>
    <s v="588455"/>
    <n v="2023"/>
    <d v="2023-01-29T00:00:00"/>
    <x v="20"/>
    <d v="2023-05-23T00:00:00"/>
    <s v="May-2023"/>
    <x v="5"/>
    <s v="Q2-2023"/>
    <n v="2"/>
    <n v="2"/>
    <n v="1"/>
    <d v="2023-05-25T00:00:00"/>
    <d v="2023-05-25T00:00:00"/>
    <x v="3"/>
    <x v="9"/>
    <s v="Rio de Janeiro"/>
    <s v="Enterprise"/>
    <x v="1"/>
    <s v="M. Rossi"/>
    <s v="Printers"/>
    <x v="603"/>
    <n v="690.49"/>
    <n v="759.5390000000001"/>
    <n v="1290.29"/>
    <s v="Medium"/>
    <n v="4.2000000000000003E-2"/>
    <n v="4.2000000000000003E-2"/>
    <s v=""/>
    <n v="22"/>
    <n v="26.4"/>
    <n v="15190.78"/>
    <n v="1616102.6546600002"/>
    <n v="1194484.5676299999"/>
    <n v="0.73911429090579561"/>
    <s v="A"/>
    <n v="20051.829600000001"/>
    <n v="32632.982447999995"/>
    <n v="27194.152039999997"/>
    <n v="12003.372039999997"/>
    <n v="12581.152847999994"/>
    <n v="0.44139534199647718"/>
  </r>
  <r>
    <s v="ORD-2023-664790"/>
    <s v="664790"/>
    <n v="2023"/>
    <d v="2023-01-13T00:00:00"/>
    <x v="20"/>
    <d v="2023-04-16T00:00:00"/>
    <s v="Apr-2023"/>
    <x v="2"/>
    <s v="Q2-2023"/>
    <n v="7"/>
    <n v="7"/>
    <n v="1"/>
    <d v="2023-04-23T00:00:00"/>
    <d v="2023-04-23T00:00:00"/>
    <x v="3"/>
    <x v="11"/>
    <s v="Austin"/>
    <s v="Corporate"/>
    <x v="2"/>
    <s v="O. Wang"/>
    <s v="Printers"/>
    <x v="604"/>
    <n v="1099.1500000000001"/>
    <n v="1209.0650000000003"/>
    <n v="1431.37"/>
    <s v="Medium"/>
    <n v="0.104"/>
    <n v="0.1"/>
    <s v=""/>
    <n v="8"/>
    <n v="9.6"/>
    <n v="8793.2000000000007"/>
    <n v="1616102.6546600002"/>
    <n v="1204744.6277900001"/>
    <n v="0.74546293474374448"/>
    <s v="A"/>
    <n v="11607.024000000003"/>
    <n v="12367.036799999998"/>
    <n v="10260.060159999999"/>
    <n v="1466.8601599999984"/>
    <n v="760.01279999999497"/>
    <n v="0.14296798821109433"/>
  </r>
  <r>
    <s v="ORD-2025-949776"/>
    <s v="949776"/>
    <n v="2025"/>
    <d v="2023-01-29T00:00:00"/>
    <x v="21"/>
    <d v="2025-08-14T00:00:00"/>
    <s v="Aug-2025"/>
    <x v="8"/>
    <s v="Q3-2025"/>
    <n v="28"/>
    <n v="28"/>
    <n v="0"/>
    <d v="2025-09-11T00:00:00"/>
    <d v="2025-09-11T00:00:00"/>
    <x v="3"/>
    <x v="9"/>
    <s v="São Paulo"/>
    <s v="Non-Profit"/>
    <x v="0"/>
    <s v="F. Müller"/>
    <s v="Printers"/>
    <x v="605"/>
    <n v="1203.02"/>
    <n v="1323.3220000000001"/>
    <n v="2439.33"/>
    <s v="High"/>
    <n v="0"/>
    <n v="0"/>
    <s v=""/>
    <n v="18"/>
    <n v="21.599999999999998"/>
    <n v="21654.36"/>
    <n v="1616102.6546600002"/>
    <n v="1248652.56779"/>
    <n v="0.77263196381092181"/>
    <s v="A"/>
    <n v="28583.7552"/>
    <n v="52689.527999999991"/>
    <n v="43907.94"/>
    <n v="22253.58"/>
    <n v="24105.772799999992"/>
    <n v="0.50682359500354612"/>
  </r>
  <r>
    <s v="ORD-2025-289139"/>
    <s v="289139"/>
    <n v="2025"/>
    <d v="2023-01-13T00:00:00"/>
    <x v="21"/>
    <d v="2025-08-10T00:00:00"/>
    <s v="Aug-2025"/>
    <x v="8"/>
    <s v="Q3-2025"/>
    <n v="20"/>
    <n v="20"/>
    <n v="0"/>
    <d v="2025-08-30T00:00:00"/>
    <d v="2025-08-30T00:00:00"/>
    <x v="3"/>
    <x v="11"/>
    <s v="San Francisco"/>
    <s v="Corporate"/>
    <x v="3"/>
    <s v="K. Singh"/>
    <s v="Printers"/>
    <x v="606"/>
    <n v="933.29"/>
    <n v="1026.6190000000001"/>
    <n v="1456.81"/>
    <s v="Medium"/>
    <n v="0.123"/>
    <n v="0.1"/>
    <s v=""/>
    <n v="13"/>
    <n v="15.6"/>
    <n v="12132.77"/>
    <n v="1616102.6546600002"/>
    <n v="1265261.6586"/>
    <n v="0.78290921368864952"/>
    <s v="A"/>
    <n v="16015.256400000002"/>
    <n v="20453.612399999998"/>
    <n v="16609.090809999998"/>
    <n v="4476.3208099999974"/>
    <n v="4438.3559999999961"/>
    <n v="0.26951028573489977"/>
  </r>
  <r>
    <s v="ORD-2025-789245"/>
    <s v="789245"/>
    <n v="2025"/>
    <d v="2023-01-19T00:00:00"/>
    <x v="21"/>
    <d v="2025-07-23T00:00:00"/>
    <s v="Jul-2025"/>
    <x v="7"/>
    <s v="Q3-2025"/>
    <n v="25"/>
    <n v="25"/>
    <n v="0"/>
    <d v="2025-08-17T00:00:00"/>
    <d v="2025-08-17T00:00:00"/>
    <x v="2"/>
    <x v="2"/>
    <s v="Birmingham"/>
    <s v="Education"/>
    <x v="4"/>
    <s v="I. Johnson"/>
    <s v="Printers"/>
    <x v="607"/>
    <n v="1142.06"/>
    <n v="1256.2660000000001"/>
    <n v="1455"/>
    <s v="Medium"/>
    <n v="7.8E-2"/>
    <n v="7.8E-2"/>
    <s v=""/>
    <n v="28"/>
    <n v="33.6"/>
    <n v="31977.68"/>
    <n v="1616102.6546600002"/>
    <n v="1302823.9386"/>
    <n v="0.80615172238182564"/>
    <s v="B"/>
    <n v="42210.537600000003"/>
    <n v="45074.736000000004"/>
    <n v="37562.28"/>
    <n v="5584.5999999999985"/>
    <n v="2864.1984000000011"/>
    <n v="0.1486757459877302"/>
  </r>
  <r>
    <s v="ORD-2025-652467"/>
    <s v="652467"/>
    <n v="2025"/>
    <d v="2023-01-12T00:00:00"/>
    <x v="22"/>
    <d v="2025-08-21T00:00:00"/>
    <s v="Aug-2025"/>
    <x v="8"/>
    <s v="Q3-2025"/>
    <n v="22"/>
    <n v="22"/>
    <n v="0"/>
    <d v="2025-09-12T00:00:00"/>
    <d v="2025-09-12T00:00:00"/>
    <x v="1"/>
    <x v="4"/>
    <s v="Shenzhen"/>
    <s v="Education"/>
    <x v="1"/>
    <s v="B. Chen"/>
    <s v="Printers"/>
    <x v="608"/>
    <n v="352.66"/>
    <n v="387.92600000000004"/>
    <n v="411.18"/>
    <s v="Low"/>
    <n v="0.17299999999999999"/>
    <n v="0.1"/>
    <s v=""/>
    <n v="13"/>
    <n v="15.6"/>
    <n v="4584.58"/>
    <n v="1616102.6546600002"/>
    <n v="1307244.5347800001"/>
    <n v="0.80888706606018257"/>
    <s v="B"/>
    <n v="6051.6456000000007"/>
    <n v="5772.9672"/>
    <n v="4420.5961799999995"/>
    <n v="-163.98382000000038"/>
    <n v="-278.67840000000069"/>
    <n v="-3.7095408248758066E-2"/>
  </r>
  <r>
    <s v="ORD-2025-898022"/>
    <s v="898022"/>
    <n v="2025"/>
    <d v="2023-01-02T00:00:00"/>
    <x v="32"/>
    <d v="2025-09-02T00:00:00"/>
    <s v="Sept-2025"/>
    <x v="11"/>
    <s v="Q3-2025"/>
    <n v="9"/>
    <n v="9"/>
    <n v="0"/>
    <d v="2025-09-11T00:00:00"/>
    <d v="2025-09-11T00:00:00"/>
    <x v="3"/>
    <x v="10"/>
    <s v="Toronto"/>
    <s v="Corporate"/>
    <x v="2"/>
    <s v="M. Rossi"/>
    <s v="Printers"/>
    <x v="609"/>
    <n v="1207.6300000000001"/>
    <n v="1328.3930000000003"/>
    <n v="921.68"/>
    <s v="Medium"/>
    <n v="0.19600000000000001"/>
    <n v="0.1"/>
    <s v=""/>
    <n v="17"/>
    <n v="20.399999999999999"/>
    <n v="20529.710000000003"/>
    <n v="1616102.6546600002"/>
    <n v="1319842.0570200002"/>
    <n v="0.81668206732676385"/>
    <s v="B"/>
    <n v="27099.217200000003"/>
    <n v="16922.0448"/>
    <n v="12597.52224"/>
    <n v="-7932.1877600000025"/>
    <n v="-10177.172400000003"/>
    <n v="-0.62966253274897988"/>
  </r>
  <r>
    <s v="ORD-2023-374486"/>
    <s v="374486"/>
    <n v="2023"/>
    <d v="2023-01-29T00:00:00"/>
    <x v="23"/>
    <d v="2023-06-24T00:00:00"/>
    <s v="Jun-2023"/>
    <x v="6"/>
    <s v="Q2-2023"/>
    <n v="-1"/>
    <n v="15"/>
    <n v="0"/>
    <d v="2023-06-23T00:00:00"/>
    <d v="2023-07-09T00:00:00"/>
    <x v="3"/>
    <x v="9"/>
    <s v="Rio de Janeiro"/>
    <s v="Non-Profit"/>
    <x v="1"/>
    <s v="E. Garcia"/>
    <s v="Printers"/>
    <x v="610"/>
    <n v="804.01"/>
    <n v="884.41100000000006"/>
    <n v="1405.07"/>
    <s v="Medium"/>
    <n v="9.6000000000000002E-2"/>
    <n v="9.6000000000000002E-2"/>
    <s v=""/>
    <n v="8"/>
    <n v="9.6"/>
    <n v="6432.08"/>
    <n v="1616102.6546600002"/>
    <n v="1330003.5232600002"/>
    <n v="0.82296970395102143"/>
    <s v="B"/>
    <n v="8490.3456000000006"/>
    <n v="12193.759488"/>
    <n v="10161.46624"/>
    <n v="3729.3862399999998"/>
    <n v="3703.4138879999991"/>
    <n v="0.36701260939287439"/>
  </r>
  <r>
    <s v="ORD-2023-184577"/>
    <s v="184577"/>
    <n v="2023"/>
    <d v="2023-01-12T00:00:00"/>
    <x v="23"/>
    <d v="2023-05-17T00:00:00"/>
    <s v="May-2023"/>
    <x v="5"/>
    <s v="Q2-2023"/>
    <n v="17"/>
    <n v="17"/>
    <n v="0"/>
    <d v="2023-06-03T00:00:00"/>
    <d v="2023-06-03T00:00:00"/>
    <x v="1"/>
    <x v="4"/>
    <s v="Beijing"/>
    <s v="Non-Profit"/>
    <x v="2"/>
    <s v="M. Rossi"/>
    <s v="Printers"/>
    <x v="611"/>
    <n v="979.59"/>
    <n v="1077.5490000000002"/>
    <n v="2210.94"/>
    <s v="High"/>
    <n v="0.15"/>
    <n v="0.1"/>
    <s v=""/>
    <n v="11"/>
    <n v="13.2"/>
    <n v="10775.49"/>
    <n v="1616102.6546600002"/>
    <n v="1350675.8122600003"/>
    <n v="0.83576114943277469"/>
    <s v="B"/>
    <n v="14223.646800000002"/>
    <n v="26265.967199999999"/>
    <n v="20672.289000000001"/>
    <n v="9896.7990000000009"/>
    <n v="12042.320399999997"/>
    <n v="0.47874712858358359"/>
  </r>
  <r>
    <s v="ORD-2023-386663"/>
    <s v="386663"/>
    <n v="2023"/>
    <d v="2023-01-19T00:00:00"/>
    <x v="23"/>
    <d v="2023-06-05T00:00:00"/>
    <s v="Jun-2023"/>
    <x v="6"/>
    <s v="Q2-2023"/>
    <n v="23"/>
    <n v="23"/>
    <n v="0"/>
    <d v="2023-06-28T00:00:00"/>
    <d v="2023-06-28T00:00:00"/>
    <x v="2"/>
    <x v="2"/>
    <s v="Birmingham"/>
    <s v="Corporate"/>
    <x v="0"/>
    <s v="K. Singh"/>
    <s v="Printers"/>
    <x v="612"/>
    <n v="605.82000000000005"/>
    <n v="666.40200000000016"/>
    <n v="771.12"/>
    <s v="Low"/>
    <n v="0.13200000000000001"/>
    <n v="0.1"/>
    <s v=""/>
    <n v="19"/>
    <n v="22.8"/>
    <n v="11510.580000000002"/>
    <n v="1616102.6546600002"/>
    <n v="1363393.1233000003"/>
    <n v="0.84363027272350744"/>
    <s v="B"/>
    <n v="15193.965600000003"/>
    <n v="15823.3824"/>
    <n v="12717.311040000001"/>
    <n v="1206.7310399999988"/>
    <n v="629.41679999999724"/>
    <n v="9.4888851597986767E-2"/>
  </r>
  <r>
    <s v="ORD-2023-128295"/>
    <s v="128295"/>
    <n v="2023"/>
    <d v="2023-01-15T00:00:00"/>
    <x v="24"/>
    <d v="2023-06-23T00:00:00"/>
    <s v="Jun-2023"/>
    <x v="6"/>
    <s v="Q2-2023"/>
    <n v="10"/>
    <n v="10"/>
    <n v="0"/>
    <d v="2023-07-03T00:00:00"/>
    <d v="2023-07-03T00:00:00"/>
    <x v="0"/>
    <x v="0"/>
    <s v="Abuja"/>
    <s v="Consumer"/>
    <x v="4"/>
    <s v="J. Njeri"/>
    <s v="Printers"/>
    <x v="613"/>
    <n v="337.75"/>
    <n v="371.52500000000003"/>
    <n v="548.89"/>
    <s v="Low"/>
    <n v="0"/>
    <n v="0"/>
    <s v=""/>
    <n v="13"/>
    <n v="15.6"/>
    <n v="4390.75"/>
    <n v="1616102.6546600002"/>
    <n v="1370528.6933000004"/>
    <n v="0.84804556774169504"/>
    <s v="B"/>
    <n v="5795.79"/>
    <n v="8562.6839999999993"/>
    <n v="7135.57"/>
    <n v="2744.8199999999997"/>
    <n v="2766.8939999999993"/>
    <n v="0.38466723751571352"/>
  </r>
  <r>
    <s v="ORD-2023-769774"/>
    <s v="769774"/>
    <n v="2023"/>
    <d v="2023-01-02T00:00:00"/>
    <x v="24"/>
    <d v="2023-06-13T00:00:00"/>
    <s v="Jun-2023"/>
    <x v="6"/>
    <s v="Q2-2023"/>
    <n v="11"/>
    <n v="11"/>
    <n v="0"/>
    <d v="2023-06-24T00:00:00"/>
    <d v="2023-06-24T00:00:00"/>
    <x v="3"/>
    <x v="10"/>
    <s v="Toronto"/>
    <s v="Corporate"/>
    <x v="4"/>
    <s v="C. Otieno"/>
    <s v="Printers"/>
    <x v="614"/>
    <n v="247.07"/>
    <n v="271.77699999999999"/>
    <n v="495.19"/>
    <s v="Low"/>
    <n v="2.8000000000000001E-2"/>
    <n v="2.8000000000000001E-2"/>
    <s v=""/>
    <n v="4"/>
    <n v="4.8"/>
    <n v="988.28"/>
    <n v="1616102.6546600002"/>
    <n v="1372453.9920200005"/>
    <n v="0.84923688978701717"/>
    <s v="B"/>
    <n v="1304.5295999999998"/>
    <n v="2310.3584639999999"/>
    <n v="1925.29872"/>
    <n v="937.01872000000003"/>
    <n v="1005.8288640000001"/>
    <n v="0.48668744764968214"/>
  </r>
  <r>
    <s v="ORD-2023-651638"/>
    <s v="651638"/>
    <n v="2023"/>
    <d v="2023-01-13T00:00:00"/>
    <x v="24"/>
    <d v="2023-06-17T00:00:00"/>
    <s v="Jun-2023"/>
    <x v="6"/>
    <s v="Q2-2023"/>
    <n v="7"/>
    <n v="7"/>
    <n v="1"/>
    <d v="2023-06-24T00:00:00"/>
    <d v="2023-06-24T00:00:00"/>
    <x v="3"/>
    <x v="11"/>
    <s v="San Francisco"/>
    <s v="Corporate"/>
    <x v="1"/>
    <s v="I. Johnson"/>
    <s v="Printers"/>
    <x v="615"/>
    <n v="313.99"/>
    <n v="345.38900000000001"/>
    <n v="454.42"/>
    <s v="Low"/>
    <n v="0.129"/>
    <n v="0.1"/>
    <s v=""/>
    <n v="9"/>
    <n v="10.799999999999999"/>
    <n v="2825.91"/>
    <n v="1616102.6546600002"/>
    <n v="1376016.1904000004"/>
    <n v="0.85144108044887168"/>
    <s v="B"/>
    <n v="3730.2011999999995"/>
    <n v="4416.9624000000003"/>
    <n v="3562.1983800000003"/>
    <n v="736.28838000000042"/>
    <n v="686.76120000000083"/>
    <n v="0.20669493988147858"/>
  </r>
  <r>
    <s v="ORD-2023-109927"/>
    <s v="109927"/>
    <n v="2023"/>
    <d v="2023-01-29T00:00:00"/>
    <x v="24"/>
    <d v="2023-07-22T00:00:00"/>
    <s v="Jul-2023"/>
    <x v="7"/>
    <s v="Q3-2023"/>
    <n v="-1"/>
    <n v="15"/>
    <n v="0"/>
    <d v="2023-07-21T00:00:00"/>
    <d v="2023-08-06T00:00:00"/>
    <x v="1"/>
    <x v="1"/>
    <s v="Delhi"/>
    <s v="Small Business"/>
    <x v="2"/>
    <s v="E. Garcia"/>
    <s v="Printers"/>
    <x v="616"/>
    <n v="946.99"/>
    <n v="1041.6890000000001"/>
    <n v="2132.19"/>
    <s v="High"/>
    <n v="0.16500000000000001"/>
    <n v="0.1"/>
    <s v=""/>
    <n v="7"/>
    <n v="8.4"/>
    <n v="6628.93"/>
    <n v="1616102.6546600002"/>
    <n v="1388478.8409500003"/>
    <n v="0.85915262681262783"/>
    <s v="B"/>
    <n v="8750.1876000000011"/>
    <n v="16119.356400000001"/>
    <n v="12462.65055"/>
    <n v="5833.72055"/>
    <n v="7369.1687999999995"/>
    <n v="0.46809629513362228"/>
  </r>
  <r>
    <s v="ORD-2023-568013"/>
    <s v="568013"/>
    <n v="2023"/>
    <d v="2023-03-03T00:00:00"/>
    <x v="25"/>
    <d v="2023-09-30T00:00:00"/>
    <s v="Sept-2023"/>
    <x v="11"/>
    <s v="Q3-2023"/>
    <n v="30"/>
    <n v="30"/>
    <n v="0"/>
    <d v="2023-10-30T00:00:00"/>
    <d v="2023-10-30T00:00:00"/>
    <x v="1"/>
    <x v="3"/>
    <s v="Tokyo"/>
    <s v="Enterprise"/>
    <x v="4"/>
    <s v="D. Smith"/>
    <s v="Printers"/>
    <x v="617"/>
    <n v="649.13"/>
    <n v="714.04300000000001"/>
    <n v="975.43"/>
    <s v="Medium"/>
    <n v="0.157"/>
    <n v="0.1"/>
    <s v=""/>
    <n v="27"/>
    <n v="32.4"/>
    <n v="17526.509999999998"/>
    <n v="1616102.6546600002"/>
    <n v="1410680.6031800003"/>
    <n v="0.87289046838227169"/>
    <s v="B"/>
    <n v="23134.993200000001"/>
    <n v="28443.538799999998"/>
    <n v="22201.762229999997"/>
    <n v="4675.2522299999982"/>
    <n v="5308.5455999999976"/>
    <n v="0.21058023149543473"/>
  </r>
  <r>
    <s v="ORD-2023-292714"/>
    <s v="292714"/>
    <n v="2023"/>
    <d v="2023-01-10T00:00:00"/>
    <x v="25"/>
    <d v="2023-07-10T00:00:00"/>
    <s v="Jul-2023"/>
    <x v="7"/>
    <s v="Q3-2023"/>
    <n v="22"/>
    <n v="22"/>
    <n v="0"/>
    <d v="2023-08-01T00:00:00"/>
    <d v="2023-08-01T00:00:00"/>
    <x v="2"/>
    <x v="5"/>
    <s v="Marseille"/>
    <s v="Consumer"/>
    <x v="3"/>
    <s v="B. Chen"/>
    <s v="Printers"/>
    <x v="618"/>
    <n v="1303.56"/>
    <n v="1433.9160000000002"/>
    <n v="1791.37"/>
    <s v="High"/>
    <n v="0.126"/>
    <n v="0.1"/>
    <s v=""/>
    <n v="22"/>
    <n v="26.4"/>
    <n v="28678.32"/>
    <n v="1616102.6546600002"/>
    <n v="1445125.0655400003"/>
    <n v="0.89420375702806421"/>
    <s v="B"/>
    <n v="37855.382400000002"/>
    <n v="42562.951199999996"/>
    <n v="34444.462359999998"/>
    <n v="5766.142359999998"/>
    <n v="4707.5687999999936"/>
    <n v="0.16740404596055358"/>
  </r>
  <r>
    <s v="ORD-2023-640022"/>
    <s v="640022"/>
    <n v="2023"/>
    <d v="2023-01-07T00:00:00"/>
    <x v="26"/>
    <d v="2023-08-24T00:00:00"/>
    <s v="Aug-2023"/>
    <x v="8"/>
    <s v="Q3-2023"/>
    <n v="27"/>
    <n v="27"/>
    <n v="0"/>
    <d v="2023-09-20T00:00:00"/>
    <d v="2023-09-20T00:00:00"/>
    <x v="0"/>
    <x v="6"/>
    <s v="Durban"/>
    <s v="Small Business"/>
    <x v="3"/>
    <s v="M. Rossi"/>
    <s v="Printers"/>
    <x v="619"/>
    <n v="1399.64"/>
    <n v="1539.6040000000003"/>
    <n v="3342.11"/>
    <s v="High"/>
    <n v="0"/>
    <n v="0"/>
    <s v=""/>
    <n v="10"/>
    <n v="12"/>
    <n v="13996.400000000001"/>
    <n v="1616102.6546600002"/>
    <n v="1478546.1655400004"/>
    <n v="0.91488381711189048"/>
    <s v="B"/>
    <n v="18475.248000000003"/>
    <n v="40105.32"/>
    <n v="33421.1"/>
    <n v="19424.699999999997"/>
    <n v="21630.071999999996"/>
    <n v="0.58121067229983447"/>
  </r>
  <r>
    <s v="ORD-2023-343322"/>
    <s v="343322"/>
    <n v="2023"/>
    <d v="2023-01-02T00:00:00"/>
    <x v="26"/>
    <d v="2023-08-19T00:00:00"/>
    <s v="Aug-2023"/>
    <x v="8"/>
    <s v="Q3-2023"/>
    <n v="24"/>
    <n v="24"/>
    <n v="0"/>
    <d v="2023-09-12T00:00:00"/>
    <d v="2023-09-12T00:00:00"/>
    <x v="3"/>
    <x v="10"/>
    <s v="Vancouver"/>
    <s v="Enterprise"/>
    <x v="1"/>
    <s v="I. Johnson"/>
    <s v="Printers"/>
    <x v="620"/>
    <n v="1183.95"/>
    <n v="1302.3450000000003"/>
    <n v="1503.53"/>
    <s v="Medium"/>
    <n v="0.24099999999999999"/>
    <n v="0.1"/>
    <s v=""/>
    <n v="16"/>
    <n v="19.2"/>
    <n v="18943.2"/>
    <n v="1616102.6546600002"/>
    <n v="1496805.0338600003"/>
    <n v="0.92618190406654699"/>
    <s v="B"/>
    <n v="25005.024000000005"/>
    <n v="25980.9984"/>
    <n v="18258.868320000001"/>
    <n v="-684.33167999999932"/>
    <n v="975.97439999999551"/>
    <n v="-3.7479413729623705E-2"/>
  </r>
  <r>
    <s v="ORD-2023-987081"/>
    <s v="987081"/>
    <n v="2023"/>
    <d v="2023-01-02T00:00:00"/>
    <x v="26"/>
    <d v="2023-08-29T00:00:00"/>
    <s v="Aug-2023"/>
    <x v="8"/>
    <s v="Q3-2023"/>
    <n v="15"/>
    <n v="15"/>
    <n v="0"/>
    <d v="2023-09-13T00:00:00"/>
    <d v="2023-09-13T00:00:00"/>
    <x v="3"/>
    <x v="10"/>
    <s v="Vancouver"/>
    <s v="Small Business"/>
    <x v="3"/>
    <s v="O. Wang"/>
    <s v="Printers"/>
    <x v="621"/>
    <n v="1287.6400000000001"/>
    <n v="1416.4040000000002"/>
    <n v="2717.15"/>
    <s v="High"/>
    <n v="3.2000000000000001E-2"/>
    <n v="3.2000000000000001E-2"/>
    <s v=""/>
    <n v="7"/>
    <n v="8.4"/>
    <n v="9013.4800000000014"/>
    <n v="1616102.6546600002"/>
    <n v="1515216.4422600004"/>
    <n v="0.93757437863919324"/>
    <s v="B"/>
    <n v="11897.793600000003"/>
    <n v="22093.69008"/>
    <n v="18411.4084"/>
    <n v="9397.9283999999989"/>
    <n v="10195.896479999998"/>
    <n v="0.51044049405802105"/>
  </r>
  <r>
    <s v="ORD-2023-517216"/>
    <s v="517216"/>
    <n v="2023"/>
    <d v="2023-01-29T00:00:00"/>
    <x v="26"/>
    <d v="2023-09-19T00:00:00"/>
    <s v="Sept-2023"/>
    <x v="11"/>
    <s v="Q3-2023"/>
    <n v="19"/>
    <n v="19"/>
    <n v="0"/>
    <d v="2023-10-08T00:00:00"/>
    <d v="2023-10-08T00:00:00"/>
    <x v="1"/>
    <x v="1"/>
    <s v="Bengaluru"/>
    <s v="Education"/>
    <x v="0"/>
    <s v="J. Njeri"/>
    <s v="Printers"/>
    <x v="622"/>
    <n v="385.32"/>
    <n v="423.85200000000003"/>
    <n v="606.76"/>
    <s v="Low"/>
    <n v="8.5999999999999993E-2"/>
    <n v="8.5999999999999993E-2"/>
    <s v=""/>
    <n v="8"/>
    <n v="9.6"/>
    <n v="3082.56"/>
    <n v="1616102.6546600002"/>
    <n v="1519653.0713800003"/>
    <n v="0.94031964306110793"/>
    <s v="B"/>
    <n v="4068.9792000000002"/>
    <n v="5323.9549440000001"/>
    <n v="4436.6291200000005"/>
    <n v="1354.0691200000006"/>
    <n v="1254.9757439999998"/>
    <n v="0.30520223425842735"/>
  </r>
  <r>
    <s v="ORD-2023-243704"/>
    <s v="243704"/>
    <n v="2023"/>
    <d v="2023-01-10T00:00:00"/>
    <x v="26"/>
    <d v="2023-08-29T00:00:00"/>
    <s v="Aug-2023"/>
    <x v="8"/>
    <s v="Q3-2023"/>
    <n v="21"/>
    <n v="21"/>
    <n v="0"/>
    <d v="2023-09-19T00:00:00"/>
    <d v="2023-09-19T00:00:00"/>
    <x v="2"/>
    <x v="5"/>
    <s v="Lyon"/>
    <s v="Small Business"/>
    <x v="0"/>
    <s v="B. Chen"/>
    <s v="Printers"/>
    <x v="623"/>
    <n v="784.46"/>
    <n v="862.90600000000006"/>
    <n v="1843.51"/>
    <s v="High"/>
    <n v="0.13800000000000001"/>
    <n v="0.1"/>
    <s v=""/>
    <n v="23"/>
    <n v="27.599999999999998"/>
    <n v="18042.580000000002"/>
    <n v="1616102.6546600002"/>
    <n v="1556202.5006400002"/>
    <n v="0.96293542749448546"/>
    <s v="C"/>
    <n v="23816.205600000001"/>
    <n v="45792.788399999998"/>
    <n v="36549.429260000004"/>
    <n v="18506.849260000003"/>
    <n v="21976.582799999996"/>
    <n v="0.50635125184441798"/>
  </r>
  <r>
    <s v="ORD-2023-664749"/>
    <s v="664749"/>
    <n v="2023"/>
    <d v="2023-01-19T00:00:00"/>
    <x v="26"/>
    <d v="2023-08-27T00:00:00"/>
    <s v="Aug-2023"/>
    <x v="8"/>
    <s v="Q3-2023"/>
    <n v="15"/>
    <n v="15"/>
    <n v="0"/>
    <d v="2023-09-11T00:00:00"/>
    <d v="2023-09-11T00:00:00"/>
    <x v="2"/>
    <x v="2"/>
    <s v="London"/>
    <s v="Consumer"/>
    <x v="3"/>
    <s v="N. Brown"/>
    <s v="Printers"/>
    <x v="624"/>
    <n v="943.79"/>
    <n v="1038.1690000000001"/>
    <n v="1913.76"/>
    <s v="High"/>
    <n v="9.0999999999999998E-2"/>
    <n v="9.0999999999999998E-2"/>
    <s v=""/>
    <n v="9"/>
    <n v="10.799999999999999"/>
    <n v="8494.11"/>
    <n v="1616102.6546600002"/>
    <n v="1571858.9712000003"/>
    <n v="0.97262322208776519"/>
    <s v="C"/>
    <n v="11212.225200000001"/>
    <n v="18787.764671999998"/>
    <n v="15656.47056"/>
    <n v="7162.3605599999992"/>
    <n v="7575.5394719999967"/>
    <n v="0.45746967891338081"/>
  </r>
  <r>
    <s v="ORD-2023-166668"/>
    <s v="166668"/>
    <n v="2023"/>
    <d v="2023-01-12T00:00:00"/>
    <x v="27"/>
    <d v="2023-10-05T00:00:00"/>
    <s v="Oct-2023"/>
    <x v="9"/>
    <s v="Q4-2023"/>
    <n v="26"/>
    <n v="26"/>
    <n v="0"/>
    <d v="2023-10-31T00:00:00"/>
    <d v="2023-10-31T00:00:00"/>
    <x v="1"/>
    <x v="4"/>
    <s v="Shanghai"/>
    <s v="Consumer"/>
    <x v="4"/>
    <s v="J. Njeri"/>
    <s v="Printers"/>
    <x v="625"/>
    <n v="649.91"/>
    <n v="714.90100000000007"/>
    <n v="1360.12"/>
    <s v="Medium"/>
    <n v="0.19400000000000001"/>
    <n v="0.1"/>
    <s v=""/>
    <n v="9"/>
    <n v="10.799999999999999"/>
    <n v="5849.19"/>
    <n v="1616102.6546600002"/>
    <n v="1581725.2816800002"/>
    <n v="0.97872822442258012"/>
    <s v="C"/>
    <n v="7720.9308000000001"/>
    <n v="13220.366399999997"/>
    <n v="9866.3104799999983"/>
    <n v="4017.1204799999987"/>
    <n v="5499.4355999999971"/>
    <n v="0.40715528749506769"/>
  </r>
  <r>
    <s v="ORD-2023-192324"/>
    <s v="192324"/>
    <n v="2023"/>
    <d v="2023-01-10T00:00:00"/>
    <x v="27"/>
    <d v="2023-09-14T00:00:00"/>
    <s v="Sept-2023"/>
    <x v="11"/>
    <s v="Q3-2023"/>
    <n v="2"/>
    <n v="2"/>
    <n v="1"/>
    <d v="2023-09-16T00:00:00"/>
    <d v="2023-09-16T00:00:00"/>
    <x v="2"/>
    <x v="5"/>
    <s v="Lyon"/>
    <s v="Non-Profit"/>
    <x v="0"/>
    <s v="B. Chen"/>
    <s v="Printers"/>
    <x v="626"/>
    <n v="376.83"/>
    <n v="414.51300000000003"/>
    <n v="732.88"/>
    <s v="Low"/>
    <n v="0.188"/>
    <n v="0.1"/>
    <s v=""/>
    <n v="25"/>
    <n v="30"/>
    <n v="9420.75"/>
    <n v="1616102.6546600002"/>
    <n v="1596602.7456800002"/>
    <n v="0.98793399112131119"/>
    <s v="C"/>
    <n v="12435.390000000001"/>
    <n v="19787.760000000002"/>
    <n v="14877.464000000002"/>
    <n v="5456.7140000000018"/>
    <n v="7352.3700000000008"/>
    <n v="0.36677716040852132"/>
  </r>
  <r>
    <s v="ORD-2023-925146"/>
    <s v="925146"/>
    <n v="2023"/>
    <d v="2023-01-12T00:00:00"/>
    <x v="28"/>
    <d v="2023-10-15T00:00:00"/>
    <s v="Oct-2023"/>
    <x v="9"/>
    <s v="Q4-2023"/>
    <n v="29"/>
    <n v="29"/>
    <n v="0"/>
    <d v="2023-11-13T00:00:00"/>
    <d v="2023-11-13T00:00:00"/>
    <x v="1"/>
    <x v="4"/>
    <s v="Shenzhen"/>
    <s v="Non-Profit"/>
    <x v="2"/>
    <s v="J. Njeri"/>
    <s v="Printers"/>
    <x v="627"/>
    <n v="986.44"/>
    <n v="1085.0840000000001"/>
    <n v="790.61"/>
    <s v="Low"/>
    <n v="7.1999999999999995E-2"/>
    <n v="7.1999999999999995E-2"/>
    <s v=""/>
    <n v="6"/>
    <n v="7.1999999999999993"/>
    <n v="5918.64"/>
    <n v="1616102.6546600002"/>
    <n v="1601004.8621600003"/>
    <n v="0.99065790006812637"/>
    <s v="C"/>
    <n v="7812.6048000000001"/>
    <n v="5282.5397760000005"/>
    <n v="4402.1164799999997"/>
    <n v="-1516.5235200000006"/>
    <n v="-2530.0650239999995"/>
    <n v="-0.34449872621271499"/>
  </r>
  <r>
    <s v="ORD-2023-824839"/>
    <s v="824839"/>
    <n v="2023"/>
    <d v="2023-03-03T00:00:00"/>
    <x v="28"/>
    <d v="2023-12-06T00:00:00"/>
    <s v="Dec-2023"/>
    <x v="3"/>
    <s v="Q4-2023"/>
    <n v="25"/>
    <n v="25"/>
    <n v="0"/>
    <d v="2023-12-31T00:00:00"/>
    <d v="2023-12-31T00:00:00"/>
    <x v="1"/>
    <x v="3"/>
    <s v="Osaka"/>
    <s v="Consumer"/>
    <x v="1"/>
    <s v="L. Okafor"/>
    <s v="Printers"/>
    <x v="628"/>
    <n v="663.03"/>
    <n v="729.33300000000008"/>
    <n v="813.51"/>
    <s v="Low"/>
    <n v="0.10199999999999999"/>
    <n v="0.1"/>
    <s v=""/>
    <n v="15"/>
    <n v="18"/>
    <n v="9945.4499999999989"/>
    <n v="1616102.6546600002"/>
    <n v="1611962.8418600003"/>
    <n v="0.99743839737651385"/>
    <s v="C"/>
    <n v="13127.994000000002"/>
    <n v="13178.862000000001"/>
    <n v="10957.9797"/>
    <n v="1012.529700000001"/>
    <n v="50.867999999998574"/>
    <n v="9.2401129379715952E-2"/>
  </r>
  <r>
    <s v="ORD-2023-596758"/>
    <s v="596758"/>
    <n v="2023"/>
    <d v="2023-03-03T00:00:00"/>
    <x v="28"/>
    <d v="2023-12-07T00:00:00"/>
    <s v="Dec-2023"/>
    <x v="3"/>
    <s v="Q4-2023"/>
    <n v="-2"/>
    <n v="15"/>
    <n v="0"/>
    <d v="2023-12-05T00:00:00"/>
    <d v="2023-12-22T00:00:00"/>
    <x v="1"/>
    <x v="3"/>
    <s v="Tokyo"/>
    <s v="Non-Profit"/>
    <x v="3"/>
    <s v="H. Kim"/>
    <s v="Printers"/>
    <x v="629"/>
    <n v="1097.5899999999999"/>
    <n v="1207.3489999999999"/>
    <n v="845.55"/>
    <s v="Medium"/>
    <n v="0.184"/>
    <n v="0.1"/>
    <s v=""/>
    <n v="6"/>
    <n v="7.1999999999999993"/>
    <n v="6585.5399999999991"/>
    <n v="1616102.6546600002"/>
    <n v="1616102.6546600002"/>
    <n v="1"/>
    <s v="C"/>
    <n v="8692.9127999999982"/>
    <n v="5479.1639999999998"/>
    <n v="4139.8127999999997"/>
    <n v="-2445.7271999999994"/>
    <n v="-3213.7487999999985"/>
    <n v="-0.59078207594314402"/>
  </r>
  <r>
    <m/>
    <m/>
    <m/>
    <m/>
    <x v="33"/>
    <m/>
    <m/>
    <x v="12"/>
    <m/>
    <m/>
    <m/>
    <m/>
    <m/>
    <m/>
    <x v="4"/>
    <x v="12"/>
    <m/>
    <m/>
    <x v="5"/>
    <m/>
    <m/>
    <x v="630"/>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C95675-35EE-4AC4-BCEC-C22E22155FD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B32" firstHeaderRow="1" firstDataRow="1" firstDataCol="1"/>
  <pivotFields count="42">
    <pivotField showAll="0"/>
    <pivotField showAll="0"/>
    <pivotField showAll="0"/>
    <pivotField showAll="0"/>
    <pivotField showAll="0"/>
    <pivotField showAll="0"/>
    <pivotField showAll="0"/>
    <pivotField axis="axisRow" showAll="0">
      <items count="14">
        <item x="1"/>
        <item x="0"/>
        <item x="4"/>
        <item x="2"/>
        <item x="5"/>
        <item x="6"/>
        <item x="7"/>
        <item x="8"/>
        <item x="11"/>
        <item x="9"/>
        <item x="10"/>
        <item x="3"/>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Revenue" fld="38" baseField="7" baseItem="0" numFmtId="2"/>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7E3F04-D7D4-4D9B-BE8D-20DE5E3AD80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colHeaderCaption="cohorts">
  <location ref="A3:AI17" firstHeaderRow="1" firstDataRow="2" firstDataCol="1"/>
  <pivotFields count="42">
    <pivotField showAll="0"/>
    <pivotField showAll="0"/>
    <pivotField showAll="0"/>
    <pivotField showAll="0"/>
    <pivotField axis="axisCol" showAll="0">
      <items count="35">
        <item x="0"/>
        <item x="1"/>
        <item x="10"/>
        <item x="20"/>
        <item x="23"/>
        <item x="24"/>
        <item x="25"/>
        <item x="26"/>
        <item x="27"/>
        <item x="28"/>
        <item x="29"/>
        <item x="2"/>
        <item x="3"/>
        <item x="4"/>
        <item x="5"/>
        <item x="6"/>
        <item x="7"/>
        <item x="8"/>
        <item x="9"/>
        <item x="30"/>
        <item x="11"/>
        <item x="31"/>
        <item x="12"/>
        <item x="13"/>
        <item x="14"/>
        <item x="15"/>
        <item x="16"/>
        <item x="17"/>
        <item x="18"/>
        <item x="19"/>
        <item x="21"/>
        <item x="22"/>
        <item x="32"/>
        <item x="33"/>
        <item t="default"/>
      </items>
    </pivotField>
    <pivotField showAll="0"/>
    <pivotField showAll="0"/>
    <pivotField showAll="0"/>
    <pivotField showAll="0"/>
    <pivotField showAll="0"/>
    <pivotField showAll="0"/>
    <pivotField showAll="0"/>
    <pivotField showAll="0"/>
    <pivotField showAll="0"/>
    <pivotField showAll="0"/>
    <pivotField axis="axisRow" multipleItemSelectionAllowed="1" showAll="0">
      <items count="14">
        <item x="9"/>
        <item x="10"/>
        <item x="4"/>
        <item x="5"/>
        <item x="7"/>
        <item x="1"/>
        <item x="3"/>
        <item x="8"/>
        <item x="0"/>
        <item x="6"/>
        <item x="2"/>
        <item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5"/>
  </rowFields>
  <rowItems count="13">
    <i>
      <x/>
    </i>
    <i>
      <x v="1"/>
    </i>
    <i>
      <x v="2"/>
    </i>
    <i>
      <x v="3"/>
    </i>
    <i>
      <x v="4"/>
    </i>
    <i>
      <x v="5"/>
    </i>
    <i>
      <x v="6"/>
    </i>
    <i>
      <x v="7"/>
    </i>
    <i>
      <x v="8"/>
    </i>
    <i>
      <x v="9"/>
    </i>
    <i>
      <x v="10"/>
    </i>
    <i>
      <x v="11"/>
    </i>
    <i t="grand">
      <x/>
    </i>
  </rowItems>
  <colFields count="1">
    <field x="4"/>
  </colFields>
  <col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colItems>
  <dataFields count="1">
    <dataField name="Sum of gross_revenue" fld="38" baseField="14" baseItem="6"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234B92-6EC6-4F40-A8D3-A61763BB549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G7" firstHeaderRow="1" firstDataRow="2" firstDataCol="1"/>
  <pivotFields count="42">
    <pivotField showAll="0"/>
    <pivotField showAll="0"/>
    <pivotField showAll="0"/>
    <pivotField numFmtId="14" showAll="0"/>
    <pivotField numFmtId="1" showAll="0"/>
    <pivotField numFmtId="14" showAll="0"/>
    <pivotField showAll="0"/>
    <pivotField numFmtId="1" showAll="0">
      <items count="13">
        <item x="1"/>
        <item x="0"/>
        <item x="4"/>
        <item x="2"/>
        <item x="5"/>
        <item x="6"/>
        <item x="7"/>
        <item x="8"/>
        <item x="11"/>
        <item x="9"/>
        <item x="10"/>
        <item x="3"/>
        <item t="default"/>
      </items>
    </pivotField>
    <pivotField showAll="0"/>
    <pivotField numFmtId="1" showAll="0"/>
    <pivotField numFmtId="1" showAll="0"/>
    <pivotField numFmtId="1" showAll="0"/>
    <pivotField numFmtId="14" showAll="0"/>
    <pivotField numFmtId="14" showAll="0"/>
    <pivotField axis="axisRow" showAll="0">
      <items count="5">
        <item x="0"/>
        <item x="3"/>
        <item x="1"/>
        <item x="2"/>
        <item t="default"/>
      </items>
    </pivotField>
    <pivotField showAll="0">
      <items count="13">
        <item x="9"/>
        <item x="10"/>
        <item x="4"/>
        <item x="5"/>
        <item x="7"/>
        <item x="1"/>
        <item x="3"/>
        <item x="8"/>
        <item x="0"/>
        <item x="6"/>
        <item x="2"/>
        <item x="11"/>
        <item t="default"/>
      </items>
    </pivotField>
    <pivotField showAll="0"/>
    <pivotField showAll="0"/>
    <pivotField axis="axisCol" showAll="0">
      <items count="7">
        <item x="0"/>
        <item x="2"/>
        <item x="3"/>
        <item x="4"/>
        <item x="1"/>
        <item m="1" x="5"/>
        <item t="default"/>
      </items>
    </pivotField>
    <pivotField showAll="0">
      <items count="17">
        <item x="3"/>
        <item x="1"/>
        <item x="9"/>
        <item x="0"/>
        <item x="12"/>
        <item x="5"/>
        <item x="2"/>
        <item x="8"/>
        <item x="13"/>
        <item x="10"/>
        <item x="11"/>
        <item x="4"/>
        <item x="6"/>
        <item x="14"/>
        <item x="7"/>
        <item m="1" x="15"/>
        <item t="default"/>
      </items>
    </pivotField>
    <pivotField showAll="0">
      <items count="8">
        <item x="0"/>
        <item x="1"/>
        <item x="2"/>
        <item x="3"/>
        <item x="4"/>
        <item x="5"/>
        <item x="6"/>
        <item t="default"/>
      </items>
    </pivotField>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numFmtId="2" showAll="0"/>
    <pivotField showAll="0"/>
    <pivotField showAll="0"/>
    <pivotField numFmtId="2" showAll="0"/>
    <pivotField dataField="1" numFmtId="2" showAll="0"/>
    <pivotField numFmtId="2" showAll="0"/>
    <pivotField numFmtId="2" showAll="0"/>
    <pivotField numFmtId="2" showAll="0"/>
  </pivotFields>
  <rowFields count="1">
    <field x="14"/>
  </rowFields>
  <rowItems count="5">
    <i>
      <x/>
    </i>
    <i>
      <x v="1"/>
    </i>
    <i>
      <x v="2"/>
    </i>
    <i>
      <x v="3"/>
    </i>
    <i t="grand">
      <x/>
    </i>
  </rowItems>
  <colFields count="1">
    <field x="18"/>
  </colFields>
  <colItems count="6">
    <i>
      <x/>
    </i>
    <i>
      <x v="1"/>
    </i>
    <i>
      <x v="2"/>
    </i>
    <i>
      <x v="3"/>
    </i>
    <i>
      <x v="4"/>
    </i>
    <i t="grand">
      <x/>
    </i>
  </colItems>
  <dataFields count="1">
    <dataField name="Sum of gross_revenue" fld="3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C943A1-D298-495A-B4F6-73C775134B3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Z33" firstHeaderRow="1" firstDataRow="3" firstDataCol="1"/>
  <pivotFields count="42">
    <pivotField showAll="0" defaultSubtotal="0"/>
    <pivotField dataField="1" showAll="0" defaultSubtotal="0"/>
    <pivotField axis="axisRow" showAll="0" defaultSubtotal="0">
      <items count="3">
        <item x="0"/>
        <item x="1"/>
        <item x="2"/>
      </items>
    </pivotField>
    <pivotField numFmtId="14" showAll="0" defaultSubtotal="0"/>
    <pivotField numFmtId="1" showAll="0" defaultSubtotal="0"/>
    <pivotField numFmtId="14" showAll="0" defaultSubtotal="0"/>
    <pivotField showAll="0" defaultSubtotal="0"/>
    <pivotField numFmtId="1" showAll="0" defaultSubtotal="0">
      <items count="12">
        <item x="1"/>
        <item x="0"/>
        <item x="4"/>
        <item x="2"/>
        <item x="5"/>
        <item x="6"/>
        <item x="7"/>
        <item x="8"/>
        <item x="11"/>
        <item x="9"/>
        <item x="10"/>
        <item x="3"/>
      </items>
    </pivotField>
    <pivotField showAll="0" defaultSubtotal="0"/>
    <pivotField numFmtId="1" showAll="0" defaultSubtotal="0"/>
    <pivotField numFmtId="1" showAll="0" defaultSubtotal="0"/>
    <pivotField dataField="1" numFmtId="1" subtotalTop="0" showAll="0" defaultSubtotal="0"/>
    <pivotField numFmtId="14" showAll="0" defaultSubtotal="0"/>
    <pivotField numFmtId="14" showAll="0" defaultSubtotal="0"/>
    <pivotField axis="axisCol" showAll="0" defaultSubtotal="0">
      <items count="4">
        <item x="0"/>
        <item x="3"/>
        <item x="1"/>
        <item x="2"/>
      </items>
    </pivotField>
    <pivotField showAll="0" defaultSubtotal="0">
      <items count="12">
        <item x="9"/>
        <item x="10"/>
        <item x="4"/>
        <item x="5"/>
        <item x="7"/>
        <item x="1"/>
        <item x="3"/>
        <item x="8"/>
        <item x="0"/>
        <item x="6"/>
        <item x="2"/>
        <item x="11"/>
      </items>
    </pivotField>
    <pivotField showAll="0" defaultSubtotal="0"/>
    <pivotField showAll="0" defaultSubtotal="0"/>
    <pivotField axis="axisRow" showAll="0" defaultSubtotal="0">
      <items count="6">
        <item x="0"/>
        <item x="2"/>
        <item x="3"/>
        <item x="4"/>
        <item x="1"/>
        <item m="1" x="5"/>
      </items>
    </pivotField>
    <pivotField showAll="0" defaultSubtotal="0">
      <items count="16">
        <item x="3"/>
        <item x="1"/>
        <item x="9"/>
        <item x="0"/>
        <item x="12"/>
        <item x="5"/>
        <item x="2"/>
        <item x="8"/>
        <item x="13"/>
        <item x="10"/>
        <item x="11"/>
        <item x="4"/>
        <item x="6"/>
        <item x="14"/>
        <item x="7"/>
        <item m="1" x="15"/>
      </items>
    </pivotField>
    <pivotField showAll="0" defaultSubtotal="0">
      <items count="7">
        <item x="0"/>
        <item x="1"/>
        <item x="2"/>
        <item x="3"/>
        <item x="4"/>
        <item x="5"/>
        <item x="6"/>
      </items>
    </pivotField>
    <pivotField showAll="0" defaultSubtotal="0"/>
    <pivotField showAll="0" defaultSubtotal="0"/>
    <pivotField subtotalTop="0" showAll="0" defaultSubtotal="0"/>
    <pivotField showAll="0" defaultSubtotal="0"/>
    <pivotField showAll="0" defaultSubtotal="0"/>
    <pivotField showAll="0" defaultSubtotal="0"/>
    <pivotField numFmtId="2" subtotalTop="0" showAll="0" defaultSubtotal="0"/>
    <pivotField showAll="0" defaultSubtotal="0"/>
    <pivotField showAll="0" defaultSubtotal="0"/>
    <pivotField subtotalTop="0" showAll="0" defaultSubtotal="0"/>
    <pivotField showAll="0" defaultSubtotal="0"/>
    <pivotField showAll="0" defaultSubtotal="0"/>
    <pivotField showAll="0" defaultSubtotal="0"/>
    <pivotField numFmtId="2" showAll="0" defaultSubtotal="0"/>
    <pivotField showAll="0" defaultSubtotal="0"/>
    <pivotField subtotalTop="0" showAll="0" defaultSubtotal="0"/>
    <pivotField numFmtId="2" subtotalTop="0" showAll="0" defaultSubtotal="0"/>
    <pivotField dataField="1" numFmtId="2" showAll="0" defaultSubtotal="0"/>
    <pivotField dataField="1" numFmtId="2" showAll="0" defaultSubtotal="0"/>
    <pivotField numFmtId="2" subtotalTop="0" showAll="0" defaultSubtotal="0"/>
    <pivotField dataField="1" numFmtId="2" subtotalTop="0" showAll="0" defaultSubtotal="0"/>
  </pivotFields>
  <rowFields count="2">
    <field x="18"/>
    <field x="2"/>
  </rowFields>
  <rowItems count="21">
    <i>
      <x/>
    </i>
    <i r="1">
      <x/>
    </i>
    <i r="1">
      <x v="1"/>
    </i>
    <i r="1">
      <x v="2"/>
    </i>
    <i>
      <x v="1"/>
    </i>
    <i r="1">
      <x/>
    </i>
    <i r="1">
      <x v="1"/>
    </i>
    <i r="1">
      <x v="2"/>
    </i>
    <i>
      <x v="2"/>
    </i>
    <i r="1">
      <x/>
    </i>
    <i r="1">
      <x v="1"/>
    </i>
    <i r="1">
      <x v="2"/>
    </i>
    <i>
      <x v="3"/>
    </i>
    <i r="1">
      <x/>
    </i>
    <i r="1">
      <x v="1"/>
    </i>
    <i r="1">
      <x v="2"/>
    </i>
    <i>
      <x v="4"/>
    </i>
    <i r="1">
      <x/>
    </i>
    <i r="1">
      <x v="1"/>
    </i>
    <i r="1">
      <x v="2"/>
    </i>
    <i t="grand">
      <x/>
    </i>
  </rowItems>
  <colFields count="2">
    <field x="14"/>
    <field x="-2"/>
  </colFields>
  <colItems count="25">
    <i>
      <x/>
      <x/>
    </i>
    <i r="1" i="1">
      <x v="1"/>
    </i>
    <i r="1" i="2">
      <x v="2"/>
    </i>
    <i r="1" i="3">
      <x v="3"/>
    </i>
    <i r="1" i="4">
      <x v="4"/>
    </i>
    <i>
      <x v="1"/>
      <x/>
    </i>
    <i r="1" i="1">
      <x v="1"/>
    </i>
    <i r="1" i="2">
      <x v="2"/>
    </i>
    <i r="1" i="3">
      <x v="3"/>
    </i>
    <i r="1" i="4">
      <x v="4"/>
    </i>
    <i>
      <x v="2"/>
      <x/>
    </i>
    <i r="1" i="1">
      <x v="1"/>
    </i>
    <i r="1" i="2">
      <x v="2"/>
    </i>
    <i r="1" i="3">
      <x v="3"/>
    </i>
    <i r="1" i="4">
      <x v="4"/>
    </i>
    <i>
      <x v="3"/>
      <x/>
    </i>
    <i r="1" i="1">
      <x v="1"/>
    </i>
    <i r="1" i="2">
      <x v="2"/>
    </i>
    <i r="1" i="3">
      <x v="3"/>
    </i>
    <i r="1" i="4">
      <x v="4"/>
    </i>
    <i t="grand">
      <x/>
    </i>
    <i t="grand" i="1">
      <x/>
    </i>
    <i t="grand" i="2">
      <x/>
    </i>
    <i t="grand" i="3">
      <x/>
    </i>
    <i t="grand" i="4">
      <x/>
    </i>
  </colItems>
  <dataFields count="5">
    <dataField name="Sum of gross_revenue" fld="38" baseField="0" baseItem="0" numFmtId="2"/>
    <dataField name="Count of short_order_id" fld="1" subtotal="count" baseField="0" baseItem="0"/>
    <dataField name="Sum of lead_proxy" fld="11" baseField="0" baseItem="0" numFmtId="1"/>
    <dataField name="Sum of gross_profit" fld="39" baseField="0" baseItem="0" numFmtId="2"/>
    <dataField name="Average of Margin %" fld="41"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419339-94CF-4C7B-8484-C5124DFBA82F}"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45:B55" firstHeaderRow="1" firstDataRow="1" firstDataCol="1"/>
  <pivotFields count="4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632">
        <item x="9"/>
        <item x="53"/>
        <item x="87"/>
        <item x="32"/>
        <item x="70"/>
        <item x="46"/>
        <item x="77"/>
        <item x="78"/>
        <item x="51"/>
        <item x="44"/>
        <item x="38"/>
        <item x="60"/>
        <item x="27"/>
        <item x="52"/>
        <item x="65"/>
        <item x="47"/>
        <item x="62"/>
        <item x="35"/>
        <item x="17"/>
        <item x="10"/>
        <item x="80"/>
        <item x="50"/>
        <item x="68"/>
        <item x="25"/>
        <item x="13"/>
        <item x="76"/>
        <item x="6"/>
        <item x="48"/>
        <item x="69"/>
        <item x="81"/>
        <item x="82"/>
        <item x="79"/>
        <item x="2"/>
        <item x="21"/>
        <item x="66"/>
        <item x="73"/>
        <item x="49"/>
        <item x="41"/>
        <item x="43"/>
        <item x="84"/>
        <item x="59"/>
        <item x="23"/>
        <item x="39"/>
        <item x="64"/>
        <item x="1"/>
        <item x="75"/>
        <item x="26"/>
        <item x="83"/>
        <item x="37"/>
        <item x="42"/>
        <item x="16"/>
        <item x="63"/>
        <item x="85"/>
        <item x="67"/>
        <item x="40"/>
        <item x="34"/>
        <item x="7"/>
        <item x="30"/>
        <item x="11"/>
        <item x="5"/>
        <item x="24"/>
        <item x="61"/>
        <item x="31"/>
        <item x="74"/>
        <item x="14"/>
        <item x="12"/>
        <item x="18"/>
        <item x="3"/>
        <item x="22"/>
        <item x="55"/>
        <item x="8"/>
        <item x="56"/>
        <item x="54"/>
        <item x="71"/>
        <item x="0"/>
        <item x="86"/>
        <item x="36"/>
        <item x="19"/>
        <item x="58"/>
        <item x="29"/>
        <item x="28"/>
        <item x="20"/>
        <item x="57"/>
        <item x="72"/>
        <item x="45"/>
        <item x="33"/>
        <item x="4"/>
        <item x="15"/>
        <item x="175"/>
        <item x="125"/>
        <item x="136"/>
        <item x="150"/>
        <item x="165"/>
        <item x="99"/>
        <item x="92"/>
        <item x="118"/>
        <item x="89"/>
        <item x="93"/>
        <item x="131"/>
        <item x="115"/>
        <item x="176"/>
        <item x="173"/>
        <item x="133"/>
        <item x="101"/>
        <item x="123"/>
        <item x="88"/>
        <item x="156"/>
        <item x="147"/>
        <item x="119"/>
        <item x="105"/>
        <item x="141"/>
        <item x="111"/>
        <item x="139"/>
        <item x="135"/>
        <item x="144"/>
        <item x="142"/>
        <item x="117"/>
        <item x="130"/>
        <item x="124"/>
        <item x="148"/>
        <item x="149"/>
        <item x="95"/>
        <item x="128"/>
        <item x="163"/>
        <item x="94"/>
        <item x="177"/>
        <item x="155"/>
        <item x="160"/>
        <item x="129"/>
        <item x="140"/>
        <item x="96"/>
        <item x="164"/>
        <item x="171"/>
        <item x="161"/>
        <item x="121"/>
        <item x="153"/>
        <item x="146"/>
        <item x="138"/>
        <item x="116"/>
        <item x="98"/>
        <item x="113"/>
        <item x="159"/>
        <item x="174"/>
        <item x="114"/>
        <item x="143"/>
        <item x="107"/>
        <item x="167"/>
        <item x="110"/>
        <item x="162"/>
        <item x="132"/>
        <item x="166"/>
        <item x="158"/>
        <item x="137"/>
        <item x="172"/>
        <item x="169"/>
        <item x="154"/>
        <item x="120"/>
        <item x="106"/>
        <item x="109"/>
        <item x="112"/>
        <item x="126"/>
        <item x="97"/>
        <item x="108"/>
        <item x="122"/>
        <item x="103"/>
        <item x="151"/>
        <item x="168"/>
        <item x="90"/>
        <item x="134"/>
        <item x="170"/>
        <item x="91"/>
        <item x="157"/>
        <item x="104"/>
        <item x="102"/>
        <item x="145"/>
        <item x="152"/>
        <item x="127"/>
        <item x="100"/>
        <item x="199"/>
        <item x="251"/>
        <item x="235"/>
        <item x="237"/>
        <item x="183"/>
        <item x="231"/>
        <item x="236"/>
        <item x="201"/>
        <item x="258"/>
        <item x="207"/>
        <item x="247"/>
        <item x="229"/>
        <item x="242"/>
        <item x="257"/>
        <item x="192"/>
        <item x="238"/>
        <item x="194"/>
        <item x="186"/>
        <item x="219"/>
        <item x="246"/>
        <item x="244"/>
        <item x="232"/>
        <item x="181"/>
        <item x="226"/>
        <item x="240"/>
        <item x="188"/>
        <item x="254"/>
        <item x="182"/>
        <item x="222"/>
        <item x="248"/>
        <item x="243"/>
        <item x="209"/>
        <item x="225"/>
        <item x="179"/>
        <item x="200"/>
        <item x="250"/>
        <item x="230"/>
        <item x="184"/>
        <item x="252"/>
        <item x="202"/>
        <item x="198"/>
        <item x="215"/>
        <item x="214"/>
        <item x="189"/>
        <item x="191"/>
        <item x="211"/>
        <item x="213"/>
        <item x="249"/>
        <item x="239"/>
        <item x="204"/>
        <item x="253"/>
        <item x="221"/>
        <item x="205"/>
        <item x="185"/>
        <item x="228"/>
        <item x="224"/>
        <item x="255"/>
        <item x="217"/>
        <item x="234"/>
        <item x="245"/>
        <item x="212"/>
        <item x="208"/>
        <item x="223"/>
        <item x="220"/>
        <item x="216"/>
        <item x="190"/>
        <item x="197"/>
        <item x="178"/>
        <item x="193"/>
        <item x="218"/>
        <item x="233"/>
        <item x="227"/>
        <item x="256"/>
        <item x="196"/>
        <item x="203"/>
        <item x="241"/>
        <item x="180"/>
        <item x="206"/>
        <item x="210"/>
        <item x="187"/>
        <item x="195"/>
        <item x="345"/>
        <item x="305"/>
        <item x="287"/>
        <item x="312"/>
        <item x="285"/>
        <item x="266"/>
        <item x="313"/>
        <item x="299"/>
        <item x="336"/>
        <item x="265"/>
        <item x="286"/>
        <item x="330"/>
        <item x="350"/>
        <item x="272"/>
        <item x="331"/>
        <item x="263"/>
        <item x="264"/>
        <item x="323"/>
        <item x="290"/>
        <item x="332"/>
        <item x="320"/>
        <item x="337"/>
        <item x="333"/>
        <item x="346"/>
        <item x="276"/>
        <item x="321"/>
        <item x="294"/>
        <item x="267"/>
        <item x="347"/>
        <item x="271"/>
        <item x="309"/>
        <item x="283"/>
        <item x="268"/>
        <item x="334"/>
        <item x="343"/>
        <item x="300"/>
        <item x="277"/>
        <item x="298"/>
        <item x="306"/>
        <item x="329"/>
        <item x="316"/>
        <item x="314"/>
        <item x="328"/>
        <item x="311"/>
        <item x="304"/>
        <item x="292"/>
        <item x="327"/>
        <item x="318"/>
        <item x="289"/>
        <item x="344"/>
        <item x="278"/>
        <item x="349"/>
        <item x="275"/>
        <item x="324"/>
        <item x="326"/>
        <item x="269"/>
        <item x="281"/>
        <item x="288"/>
        <item x="310"/>
        <item x="295"/>
        <item x="262"/>
        <item x="279"/>
        <item x="340"/>
        <item x="282"/>
        <item x="319"/>
        <item x="274"/>
        <item x="315"/>
        <item x="259"/>
        <item x="348"/>
        <item x="351"/>
        <item x="293"/>
        <item x="325"/>
        <item x="335"/>
        <item x="342"/>
        <item x="308"/>
        <item x="303"/>
        <item x="273"/>
        <item x="307"/>
        <item x="280"/>
        <item x="284"/>
        <item x="352"/>
        <item x="302"/>
        <item x="291"/>
        <item x="296"/>
        <item x="270"/>
        <item x="341"/>
        <item x="322"/>
        <item x="261"/>
        <item x="339"/>
        <item x="317"/>
        <item x="338"/>
        <item x="301"/>
        <item x="260"/>
        <item x="297"/>
        <item x="385"/>
        <item x="372"/>
        <item x="422"/>
        <item x="361"/>
        <item x="417"/>
        <item x="367"/>
        <item x="414"/>
        <item x="423"/>
        <item x="425"/>
        <item x="416"/>
        <item x="411"/>
        <item x="394"/>
        <item x="438"/>
        <item x="400"/>
        <item x="386"/>
        <item x="374"/>
        <item x="424"/>
        <item x="413"/>
        <item x="437"/>
        <item x="359"/>
        <item x="398"/>
        <item x="388"/>
        <item x="429"/>
        <item x="391"/>
        <item x="435"/>
        <item x="412"/>
        <item x="401"/>
        <item x="357"/>
        <item x="408"/>
        <item x="432"/>
        <item x="390"/>
        <item x="407"/>
        <item x="418"/>
        <item x="426"/>
        <item x="370"/>
        <item x="436"/>
        <item x="354"/>
        <item x="373"/>
        <item x="378"/>
        <item x="393"/>
        <item x="365"/>
        <item x="379"/>
        <item x="430"/>
        <item x="360"/>
        <item x="362"/>
        <item x="419"/>
        <item x="387"/>
        <item x="406"/>
        <item x="431"/>
        <item x="396"/>
        <item x="371"/>
        <item x="410"/>
        <item x="377"/>
        <item x="363"/>
        <item x="353"/>
        <item x="420"/>
        <item x="399"/>
        <item x="409"/>
        <item x="384"/>
        <item x="427"/>
        <item x="375"/>
        <item x="405"/>
        <item x="355"/>
        <item x="366"/>
        <item x="395"/>
        <item x="380"/>
        <item x="415"/>
        <item x="382"/>
        <item x="403"/>
        <item x="397"/>
        <item x="389"/>
        <item x="402"/>
        <item x="368"/>
        <item x="356"/>
        <item x="434"/>
        <item x="381"/>
        <item x="421"/>
        <item x="428"/>
        <item x="369"/>
        <item x="364"/>
        <item x="376"/>
        <item x="358"/>
        <item x="404"/>
        <item x="392"/>
        <item x="383"/>
        <item x="433"/>
        <item x="485"/>
        <item x="511"/>
        <item x="518"/>
        <item x="507"/>
        <item x="482"/>
        <item x="449"/>
        <item x="472"/>
        <item x="477"/>
        <item x="516"/>
        <item x="521"/>
        <item x="439"/>
        <item x="515"/>
        <item x="468"/>
        <item x="459"/>
        <item x="525"/>
        <item x="498"/>
        <item x="489"/>
        <item x="513"/>
        <item x="480"/>
        <item x="487"/>
        <item x="446"/>
        <item x="467"/>
        <item x="440"/>
        <item x="452"/>
        <item x="500"/>
        <item x="499"/>
        <item x="493"/>
        <item x="502"/>
        <item x="491"/>
        <item x="519"/>
        <item x="454"/>
        <item x="461"/>
        <item x="486"/>
        <item x="488"/>
        <item x="490"/>
        <item x="475"/>
        <item x="444"/>
        <item x="517"/>
        <item x="450"/>
        <item x="441"/>
        <item x="453"/>
        <item x="448"/>
        <item x="505"/>
        <item x="508"/>
        <item x="504"/>
        <item x="455"/>
        <item x="496"/>
        <item x="495"/>
        <item x="484"/>
        <item x="526"/>
        <item x="466"/>
        <item x="474"/>
        <item x="479"/>
        <item x="492"/>
        <item x="443"/>
        <item x="509"/>
        <item x="464"/>
        <item x="463"/>
        <item x="458"/>
        <item x="512"/>
        <item x="478"/>
        <item x="473"/>
        <item x="445"/>
        <item x="503"/>
        <item x="476"/>
        <item x="501"/>
        <item x="465"/>
        <item x="451"/>
        <item x="447"/>
        <item x="460"/>
        <item x="471"/>
        <item x="481"/>
        <item x="520"/>
        <item x="497"/>
        <item x="483"/>
        <item x="522"/>
        <item x="442"/>
        <item x="494"/>
        <item x="469"/>
        <item x="523"/>
        <item x="506"/>
        <item x="457"/>
        <item x="524"/>
        <item x="510"/>
        <item x="462"/>
        <item x="514"/>
        <item x="456"/>
        <item x="470"/>
        <item x="531"/>
        <item x="549"/>
        <item x="561"/>
        <item x="565"/>
        <item x="603"/>
        <item x="609"/>
        <item x="579"/>
        <item x="618"/>
        <item x="529"/>
        <item x="536"/>
        <item x="555"/>
        <item x="617"/>
        <item x="587"/>
        <item x="611"/>
        <item x="606"/>
        <item x="577"/>
        <item x="616"/>
        <item x="597"/>
        <item x="576"/>
        <item x="613"/>
        <item x="547"/>
        <item x="562"/>
        <item x="558"/>
        <item x="581"/>
        <item x="564"/>
        <item x="572"/>
        <item x="593"/>
        <item x="612"/>
        <item x="600"/>
        <item x="553"/>
        <item x="559"/>
        <item x="554"/>
        <item x="582"/>
        <item x="626"/>
        <item x="556"/>
        <item x="532"/>
        <item x="619"/>
        <item x="528"/>
        <item x="585"/>
        <item x="566"/>
        <item x="573"/>
        <item x="542"/>
        <item x="583"/>
        <item x="627"/>
        <item x="622"/>
        <item x="568"/>
        <item x="624"/>
        <item x="589"/>
        <item x="541"/>
        <item x="584"/>
        <item x="578"/>
        <item x="557"/>
        <item x="571"/>
        <item x="601"/>
        <item x="552"/>
        <item x="591"/>
        <item x="607"/>
        <item x="560"/>
        <item x="592"/>
        <item x="595"/>
        <item x="527"/>
        <item x="545"/>
        <item x="599"/>
        <item x="610"/>
        <item x="625"/>
        <item x="615"/>
        <item x="538"/>
        <item x="540"/>
        <item x="544"/>
        <item x="586"/>
        <item x="546"/>
        <item x="567"/>
        <item x="530"/>
        <item x="623"/>
        <item x="539"/>
        <item x="551"/>
        <item x="534"/>
        <item x="535"/>
        <item x="548"/>
        <item x="614"/>
        <item x="628"/>
        <item x="608"/>
        <item x="629"/>
        <item x="543"/>
        <item x="537"/>
        <item x="594"/>
        <item x="550"/>
        <item x="590"/>
        <item x="596"/>
        <item x="569"/>
        <item x="604"/>
        <item x="574"/>
        <item x="580"/>
        <item x="602"/>
        <item x="605"/>
        <item x="570"/>
        <item x="533"/>
        <item x="620"/>
        <item x="598"/>
        <item x="563"/>
        <item x="588"/>
        <item x="575"/>
        <item x="621"/>
        <item x="6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1"/>
  </rowFields>
  <rowItems count="10">
    <i>
      <x v="117"/>
    </i>
    <i>
      <x v="171"/>
    </i>
    <i>
      <x v="207"/>
    </i>
    <i>
      <x v="248"/>
    </i>
    <i>
      <x v="270"/>
    </i>
    <i>
      <x v="319"/>
    </i>
    <i>
      <x v="323"/>
    </i>
    <i>
      <x v="368"/>
    </i>
    <i>
      <x v="403"/>
    </i>
    <i>
      <x v="405"/>
    </i>
  </rowItems>
  <colItems count="1">
    <i/>
  </colItems>
  <dataFields count="1">
    <dataField name="Sum of gross_revenue" fld="3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A7F62E-ED17-407E-897F-89315917D959}"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8:F43" firstHeaderRow="1" firstDataRow="2" firstDataCol="1"/>
  <pivotFields count="4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3"/>
        <item x="1"/>
        <item x="2"/>
        <item x="4"/>
        <item t="default"/>
      </items>
    </pivotField>
    <pivotField showAll="0"/>
    <pivotField showAll="0"/>
    <pivotField showAll="0"/>
    <pivotField axis="axisCol" showAll="0">
      <items count="7">
        <item x="0"/>
        <item x="2"/>
        <item x="3"/>
        <item x="4"/>
        <item x="1"/>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4"/>
  </rowFields>
  <rowItems count="4">
    <i>
      <x/>
    </i>
    <i>
      <x v="1"/>
    </i>
    <i>
      <x v="2"/>
    </i>
    <i>
      <x v="3"/>
    </i>
  </rowItems>
  <colFields count="1">
    <field x="18"/>
  </colFields>
  <colItems count="5">
    <i>
      <x/>
    </i>
    <i>
      <x v="1"/>
    </i>
    <i>
      <x v="2"/>
    </i>
    <i>
      <x v="3"/>
    </i>
    <i>
      <x v="4"/>
    </i>
  </colItems>
  <dataFields count="1">
    <dataField name="Sum of gross_profit" fld="39" baseField="0" baseItem="0"/>
  </dataFields>
  <chartFormats count="10">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0" format="2" series="1">
      <pivotArea type="data" outline="0" fieldPosition="0">
        <references count="2">
          <reference field="4294967294" count="1" selected="0">
            <x v="0"/>
          </reference>
          <reference field="18" count="1" selected="0">
            <x v="2"/>
          </reference>
        </references>
      </pivotArea>
    </chartFormat>
    <chartFormat chart="0" format="3" series="1">
      <pivotArea type="data" outline="0" fieldPosition="0">
        <references count="2">
          <reference field="4294967294" count="1" selected="0">
            <x v="0"/>
          </reference>
          <reference field="18" count="1" selected="0">
            <x v="3"/>
          </reference>
        </references>
      </pivotArea>
    </chartFormat>
    <chartFormat chart="0" format="4" series="1">
      <pivotArea type="data" outline="0" fieldPosition="0">
        <references count="2">
          <reference field="4294967294" count="1" selected="0">
            <x v="0"/>
          </reference>
          <reference field="18" count="1" selected="0">
            <x v="4"/>
          </reference>
        </references>
      </pivotArea>
    </chartFormat>
    <chartFormat chart="5" format="10" series="1">
      <pivotArea type="data" outline="0" fieldPosition="0">
        <references count="2">
          <reference field="4294967294" count="1" selected="0">
            <x v="0"/>
          </reference>
          <reference field="18" count="1" selected="0">
            <x v="0"/>
          </reference>
        </references>
      </pivotArea>
    </chartFormat>
    <chartFormat chart="5" format="11" series="1">
      <pivotArea type="data" outline="0" fieldPosition="0">
        <references count="2">
          <reference field="4294967294" count="1" selected="0">
            <x v="0"/>
          </reference>
          <reference field="18" count="1" selected="0">
            <x v="1"/>
          </reference>
        </references>
      </pivotArea>
    </chartFormat>
    <chartFormat chart="5" format="12" series="1">
      <pivotArea type="data" outline="0" fieldPosition="0">
        <references count="2">
          <reference field="4294967294" count="1" selected="0">
            <x v="0"/>
          </reference>
          <reference field="18" count="1" selected="0">
            <x v="2"/>
          </reference>
        </references>
      </pivotArea>
    </chartFormat>
    <chartFormat chart="5" format="13" series="1">
      <pivotArea type="data" outline="0" fieldPosition="0">
        <references count="2">
          <reference field="4294967294" count="1" selected="0">
            <x v="0"/>
          </reference>
          <reference field="18" count="1" selected="0">
            <x v="3"/>
          </reference>
        </references>
      </pivotArea>
    </chartFormat>
    <chartFormat chart="5" format="14" series="1">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0EB55D-400C-479F-8704-A33F0AB258CC}" sourceName="Region">
  <pivotTables>
    <pivotTable tabId="7" name="PivotTable6"/>
    <pivotTable tabId="7" name="PivotTable5"/>
  </pivotTables>
  <data>
    <tabular pivotCacheId="1368335517">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4960FA4-FA55-4337-877C-92D69E46A13E}" sourceName="Country">
  <pivotTables>
    <pivotTable tabId="7" name="PivotTable6"/>
    <pivotTable tabId="7" name="PivotTable5"/>
  </pivotTables>
  <data>
    <tabular pivotCacheId="1368335517">
      <items count="12">
        <i x="9" s="1"/>
        <i x="10" s="1"/>
        <i x="4" s="1"/>
        <i x="5" s="1"/>
        <i x="7" s="1"/>
        <i x="1" s="1"/>
        <i x="3" s="1"/>
        <i x="8" s="1"/>
        <i x="0" s="1"/>
        <i x="6" s="1"/>
        <i x="2"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E2625E5-9C32-462C-975C-25EEE90BB2B1}" sourceName="Channel">
  <pivotTables>
    <pivotTable tabId="7" name="PivotTable6"/>
    <pivotTable tabId="7" name="PivotTable5"/>
  </pivotTables>
  <data>
    <tabular pivotCacheId="1368335517">
      <items count="6">
        <i x="0" s="1"/>
        <i x="2" s="1"/>
        <i x="3" s="1"/>
        <i x="4" s="1"/>
        <i x="1"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6E01446E-F300-4A9E-8623-34F51B861278}" sourceName="ProductCategory">
  <pivotTables>
    <pivotTable tabId="7" name="PivotTable6"/>
    <pivotTable tabId="7" name="PivotTable5"/>
  </pivotTables>
  <data>
    <tabular pivotCacheId="1368335517">
      <items count="7">
        <i x="0" s="1"/>
        <i x="1" s="1"/>
        <i x="2" s="1"/>
        <i x="3" s="1"/>
        <i x="4" s="1"/>
        <i x="5"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6CE2B9E1-5CE8-4CE9-8E06-8EBF43697364}" sourceName="months">
  <pivotTables>
    <pivotTable tabId="7" name="PivotTable6"/>
    <pivotTable tabId="7" name="PivotTable5"/>
  </pivotTables>
  <data>
    <tabular pivotCacheId="1368335517">
      <items count="12">
        <i x="1" s="1"/>
        <i x="0" s="1"/>
        <i x="4" s="1"/>
        <i x="2" s="1"/>
        <i x="5" s="1"/>
        <i x="6" s="1"/>
        <i x="7" s="1"/>
        <i x="8" s="1"/>
        <i x="11" s="1"/>
        <i x="9" s="1"/>
        <i x="1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51FBE116-6AB7-4006-AEE2-D751CF63652A}" sourceName="Salesperson">
  <pivotTables>
    <pivotTable tabId="7" name="PivotTable6"/>
    <pivotTable tabId="7" name="PivotTable5"/>
  </pivotTables>
  <data>
    <tabular pivotCacheId="1368335517">
      <items count="16">
        <i x="3" s="1"/>
        <i x="1" s="1"/>
        <i x="9" s="1"/>
        <i x="0" s="1"/>
        <i x="12" s="1"/>
        <i x="5" s="1"/>
        <i x="2" s="1"/>
        <i x="8" s="1"/>
        <i x="13" s="1"/>
        <i x="10" s="1"/>
        <i x="11" s="1"/>
        <i x="4" s="1"/>
        <i x="6" s="1"/>
        <i x="14" s="1"/>
        <i x="7" s="1"/>
        <i x="1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8CDC555-7241-45EA-9300-C8CA671A84EA}" cache="Slicer_Region" caption="Region" rowHeight="241300"/>
  <slicer name="Country" xr10:uid="{8C426F3A-A253-4F1D-8038-6BF155E24588}" cache="Slicer_Country" caption="Country" startItem="5" rowHeight="241300"/>
  <slicer name="Channel" xr10:uid="{6EBBF64C-C52B-4C95-A7CD-9109218F6345}" cache="Slicer_Channel" caption="Channel" rowHeight="241300"/>
  <slicer name="ProductCategory" xr10:uid="{4DFA526A-D28E-4652-8B2A-8036A95DB0C4}" cache="Slicer_ProductCategory" caption="ProductCategory" rowHeight="241300"/>
  <slicer name="months" xr10:uid="{86B188B6-85F6-4F14-9287-C58618C441C6}" cache="Slicer_months" caption="months" rowHeight="241300"/>
  <slicer name="Salesperson" xr10:uid="{D32440A6-1434-4C6D-81AB-3D78168ACE9A}" cache="Slicer_Salesperson" caption="Salespers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F101099-257A-4EDF-87B1-C00C65A12847}" cache="Slicer_Region" caption="Region" rowHeight="241300"/>
  <slicer name="Country 1" xr10:uid="{CB4093CC-E096-4CAB-B61D-E2F75E7D5A10}" cache="Slicer_Country" caption="Country" startItem="5" rowHeight="241300"/>
  <slicer name="Channel 1" xr10:uid="{6BB1524C-161F-4A27-8DB0-2EC9EB411719}" cache="Slicer_Channel" caption="Channel" rowHeight="241300"/>
  <slicer name="ProductCategory 1" xr10:uid="{568BA3E5-D89B-42D5-B6D4-C29C972DF3C3}" cache="Slicer_ProductCategory" caption="ProductCategory" rowHeight="241300"/>
  <slicer name="months 1" xr10:uid="{88B240FC-8FCA-424A-BC58-CA96544DF2E3}" cache="Slicer_months" caption="months" rowHeight="241300"/>
  <slicer name="Salesperson 1" xr10:uid="{D2605EA9-68E6-408A-817A-F0FA5B1CD1AB}" cache="Slicer_Salesperson" caption="Salespers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69ED4A-AC7D-4313-9FF2-F8095F716420}" name="Table1" displayName="Table1" ref="A1:AP633" totalsRowShown="0" headerRowDxfId="35" headerRowBorderDxfId="34" tableBorderDxfId="33">
  <autoFilter ref="A1:AP633" xr:uid="{D869ED4A-AC7D-4313-9FF2-F8095F716420}"/>
  <sortState xmlns:xlrd2="http://schemas.microsoft.com/office/spreadsheetml/2017/richdata2" ref="A2:AP633">
    <sortCondition ref="U1:U633"/>
  </sortState>
  <tableColumns count="42">
    <tableColumn id="1" xr3:uid="{D569ACCB-09CF-4870-92A4-1FFDC288A694}" name="OrderID"/>
    <tableColumn id="16" xr3:uid="{C693B783-EE86-45D9-9121-45CF2F4D4A7F}" name="short_order_id" dataDxfId="32">
      <calculatedColumnFormula>_xlfn.TEXTAFTER(Table1[[#This Row],[OrderID]],"-",2)</calculatedColumnFormula>
    </tableColumn>
    <tableColumn id="17" xr3:uid="{07074750-A4B5-4756-B2FE-FEE631712432}" name="order_year" dataDxfId="31">
      <calculatedColumnFormula>YEAR(Table1[[#This Row],[OrderDate]])</calculatedColumnFormula>
    </tableColumn>
    <tableColumn id="33" xr3:uid="{2FD21344-B239-495E-BD11-99D3BED8815F}" name="first_time_orders" dataDxfId="30">
      <calculatedColumnFormula>_xlfn.MINIFS(F:F,P:P,Table1[[#This Row],[Country]])</calculatedColumnFormula>
    </tableColumn>
    <tableColumn id="23" xr3:uid="{0967492D-542E-47C6-8026-98236A3A099C}" name="Cohort" dataDxfId="29">
      <calculatedColumnFormula>DATEDIF(Table1[[#This Row],[first_time_orders]],Table1[[#This Row],[OrderDate]],"m")</calculatedColumnFormula>
    </tableColumn>
    <tableColumn id="2" xr3:uid="{C3FC9C6F-D7C5-4AB9-AD99-A2279F3155A4}" name="OrderDate" dataDxfId="28"/>
    <tableColumn id="18" xr3:uid="{E4BA0608-401D-4BA5-B6B4-C476202D8EB8}" name="MMM-YYYY" dataDxfId="27">
      <calculatedColumnFormula>TEXT(Table1[[#This Row],[OrderDate]],"MMM-YYYY")</calculatedColumnFormula>
    </tableColumn>
    <tableColumn id="19" xr3:uid="{BC97941C-2162-4F01-99E7-6439DFFE8B66}" name="months" dataDxfId="26">
      <calculatedColumnFormula>MONTH(Table1[[#This Row],[OrderDate]])</calculatedColumnFormula>
    </tableColumn>
    <tableColumn id="20" xr3:uid="{D7F2E6DC-1854-4E57-ACB6-899BE4170EDE}" name="quarters" dataDxfId="25">
      <calculatedColumnFormula>"Q"&amp;ROUNDUP(Table1[[#This Row],[months]]/3,0)&amp;"-"&amp;Table1[[#This Row],[order_year]]</calculatedColumnFormula>
    </tableColumn>
    <tableColumn id="21" xr3:uid="{BE2233E7-D982-4EFB-A977-EADEC23B658F}" name="lead_time" dataDxfId="24">
      <calculatedColumnFormula>Table1[[#This Row],[RequiredDate]]-Table1[[#This Row],[OrderDate]]</calculatedColumnFormula>
    </tableColumn>
    <tableColumn id="22" xr3:uid="{55B9B6E3-A496-45D6-967B-7EA13602EB56}" name="adj_lead_time" dataDxfId="23">
      <calculatedColumnFormula>IF(Table1[[#This Row],[lead_time]]&lt;0,MEDIAN(J:J),Table1[[#This Row],[lead_time]])</calculatedColumnFormula>
    </tableColumn>
    <tableColumn id="38" xr3:uid="{6C1CC33C-FDAD-4BDF-AC71-915670D7C1CC}" name="lead_proxy" dataDxfId="22">
      <calculatedColumnFormula>IF(Table1[[#This Row],[adj_lead_time]]&lt;=7,1,0)</calculatedColumnFormula>
    </tableColumn>
    <tableColumn id="3" xr3:uid="{24BA6772-C8FC-4142-B588-503B36D08E37}" name="RequiredDate" dataDxfId="21"/>
    <tableColumn id="25" xr3:uid="{74A83703-3397-45B3-90AE-03082A49D7FC}" name="adj_required_date" dataDxfId="20">
      <calculatedColumnFormula>IF(Table1[[#This Row],[lead_time]]&lt;0,(Table1[[#This Row],[OrderDate]]+Table1[[#This Row],[adj_lead_time]]),Table1[[#This Row],[RequiredDate]])</calculatedColumnFormula>
    </tableColumn>
    <tableColumn id="4" xr3:uid="{90A59964-CAB7-48FF-A4C9-C424BB6C8B90}" name="Region"/>
    <tableColumn id="5" xr3:uid="{F16E9832-2B22-4BA5-83A2-EE77C5454FBC}" name="Country"/>
    <tableColumn id="6" xr3:uid="{16F37A1E-63DD-4B97-9F33-B4B466D1AFC1}" name="City"/>
    <tableColumn id="7" xr3:uid="{C78944A6-B110-4612-9156-FAFEC9A10112}" name="CustomerSegment"/>
    <tableColumn id="8" xr3:uid="{4C26CEEE-91C4-461C-9039-D2FB5A620451}" name="Channel"/>
    <tableColumn id="9" xr3:uid="{F50D4169-8395-45BC-8E2F-C85414E21F3D}" name="Salesperson"/>
    <tableColumn id="10" xr3:uid="{9DB12238-CD24-48EC-8CE1-06F900F731CC}" name="ProductCategory"/>
    <tableColumn id="11" xr3:uid="{4A55F636-0866-4D47-8D4C-AE8E7DF2B43D}" name="SKU"/>
    <tableColumn id="12" xr3:uid="{E1D1C879-26A9-4BA6-8E0B-D8DEDCE9EB04}" name="UnitCost"/>
    <tableColumn id="39" xr3:uid="{5DAA2841-CE38-4814-A3F5-89FF310CBF23}" name="adj_unit_cost" dataDxfId="19">
      <calculatedColumnFormula>Table1[[#This Row],[UnitCost]]*(1+'scenario modeling'!$B$3)</calculatedColumnFormula>
    </tableColumn>
    <tableColumn id="13" xr3:uid="{4A9929F2-164B-4B7D-A77A-C403C400F7A1}" name="UnitPrice"/>
    <tableColumn id="32" xr3:uid="{EA4A6A0D-5639-4CAA-A359-8742564F1FFC}" name="price_band" dataDxfId="18">
      <calculatedColumnFormula>IF(Table1[[#This Row],[UnitPrice]]&lt;=Quantiles!$B$2,Quantiles!$A$2,IF(Table1[[#This Row],[UnitPrice]]&lt;=Quantiles!$B$3,Quantiles!$A$3,Quantiles!$A$4))</calculatedColumnFormula>
    </tableColumn>
    <tableColumn id="14" xr3:uid="{D5DF85D7-5CCE-43C0-A371-250EA758DA79}" name="DiscountPct"/>
    <tableColumn id="24" xr3:uid="{14B09A97-F161-4D54-9F68-47BCBAD70C53}" name="cap_adjusted_discount" dataDxfId="17">
      <calculatedColumnFormula>MIN(Table1[[#This Row],[DiscountPct]],'scenario modeling'!$B$2)</calculatedColumnFormula>
    </tableColumn>
    <tableColumn id="27" xr3:uid="{B8DDA4AE-7F27-4613-B9F3-A926B9AF3D2E}" name="discount&gt;30%" dataDxfId="16">
      <calculatedColumnFormula>IF(Table1[[#This Row],[DiscountPct]]&gt;0.3, "&gt;0.3","")</calculatedColumnFormula>
    </tableColumn>
    <tableColumn id="15" xr3:uid="{E552A32C-B136-428F-8D50-71C7029E9BC9}" name="Quantity"/>
    <tableColumn id="40" xr3:uid="{BBAC133A-172D-4BC3-BB01-F22C3D54DEBA}" name="scenario_quantity" dataDxfId="15">
      <calculatedColumnFormula>Table1[[#This Row],[Quantity]]*(1+'scenario modeling'!$B$4)</calculatedColumnFormula>
    </tableColumn>
    <tableColumn id="28" xr3:uid="{E2BDBC82-9F7F-44F4-82E4-40E4A2F3DC1E}" name="cost_of_goods" dataDxfId="14">
      <calculatedColumnFormula>Table1[[#This Row],[UnitCost]]*Table1[[#This Row],[Quantity]]</calculatedColumnFormula>
    </tableColumn>
    <tableColumn id="34" xr3:uid="{5CB5ED0A-39D5-4882-9A54-FE907AF8ED7E}" name="Category_revenue" dataDxfId="13">
      <calculatedColumnFormula>SUMIF($U:U,Table1[[#This Row],[ProductCategory]],$AM:AM)</calculatedColumnFormula>
    </tableColumn>
    <tableColumn id="35" xr3:uid="{EC35D260-1CB9-4585-B137-EC9C156C5795}" name="Cumulative_revenue" dataDxfId="12">
      <calculatedColumnFormula>SUMIFS($AM$2:AM2,$U$2:U2,U2)</calculatedColumnFormula>
    </tableColumn>
    <tableColumn id="37" xr3:uid="{D1FE6CDE-8C28-4EF7-BF60-81F53A971AF6}" name="cumulative_pct" dataDxfId="11">
      <calculatedColumnFormula>Table1[[#This Row],[Cumulative_revenue]]/Table1[[#This Row],[Category_revenue]]</calculatedColumnFormula>
    </tableColumn>
    <tableColumn id="36" xr3:uid="{623FDCCF-5D7F-46F6-8C7B-B63F2F8A7E49}" name="ABC" dataDxfId="10">
      <calculatedColumnFormula>IF(Table1[[#This Row],[cumulative_pct]]&lt;=0.8,"A",IF(Table1[[#This Row],[cumulative_pct]]&lt;=0.95,"B","C"))</calculatedColumnFormula>
    </tableColumn>
    <tableColumn id="42" xr3:uid="{FC09864E-BD0A-47E9-864B-CED4E14ADBAA}" name="Scenario_unit_cost" dataDxfId="9">
      <calculatedColumnFormula>Table1[[#This Row],[adj_unit_cost]]*Table1[[#This Row],[scenario_quantity]]</calculatedColumnFormula>
    </tableColumn>
    <tableColumn id="41" xr3:uid="{22D0F4F7-DAD5-4363-995A-C1D12BEC8AAB}" name="scenario_revenue" dataDxfId="8">
      <calculatedColumnFormula>Table1[[#This Row],[UnitPrice]]*Table1[[#This Row],[scenario_quantity]]*(1-Table1[[#This Row],[cap_adjusted_discount]])</calculatedColumnFormula>
    </tableColumn>
    <tableColumn id="26" xr3:uid="{26C9D570-FB58-4228-9863-C91230D4027D}" name="gross_revenue" dataDxfId="7">
      <calculatedColumnFormula>Table1[[#This Row],[UnitPrice]]*Table1[[#This Row],[Quantity]]*(1-Table1[[#This Row],[DiscountPct]])</calculatedColumnFormula>
    </tableColumn>
    <tableColumn id="31" xr3:uid="{1BD392F0-F329-481A-BD71-DB9C5387DF04}" name="gross_profit" dataDxfId="6">
      <calculatedColumnFormula>Table1[[#This Row],[gross_revenue]]-Table1[[#This Row],[cost_of_goods]]</calculatedColumnFormula>
    </tableColumn>
    <tableColumn id="29" xr3:uid="{64DA3C76-CDC4-49AB-9170-AC05E4916B4B}" name="scenario_profit" dataDxfId="5">
      <calculatedColumnFormula>Table1[[#This Row],[scenario_revenue]]-Table1[[#This Row],[Scenario_unit_cost]]</calculatedColumnFormula>
    </tableColumn>
    <tableColumn id="30" xr3:uid="{32BBCF9D-BEBF-44C2-B1F0-2150D04D7E3F}" name="Margin %" dataDxfId="4">
      <calculatedColumnFormula>IF(Table1[[#This Row],[gross_revenue]]=0,0,Table1[[#This Row],[gross_profit]]/Table1[[#This Row],[gross_revenue]])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7F0D0DA-8E79-4F92-938C-11E58CD002AB}">
  <we:reference id="wa200009404" version="1.0.0.8" store="en-US" storeType="OMEX"/>
  <we:alternateReferences>
    <we:reference id="wa200009404" version="1.0.0.8" store="en-US" storeType="OMEX"/>
  </we:alternateReferences>
  <we:properties>
    <we:property name="claude.fileId" value="&quot;da0567c1-a2e2-47e2-9788-88351ba8b7f2&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1.xml"/><Relationship Id="rId5" Type="http://schemas.openxmlformats.org/officeDocument/2006/relationships/drawing" Target="../drawings/drawing3.xml"/><Relationship Id="rId4"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3"/>
  <sheetViews>
    <sheetView workbookViewId="0"/>
  </sheetViews>
  <sheetFormatPr defaultRowHeight="14.5" x14ac:dyDescent="0.35"/>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s="2">
        <v>45362</v>
      </c>
      <c r="C2" s="2">
        <v>45388</v>
      </c>
      <c r="D2" t="s">
        <v>646</v>
      </c>
      <c r="E2" t="s">
        <v>650</v>
      </c>
      <c r="F2" t="s">
        <v>662</v>
      </c>
      <c r="G2" t="s">
        <v>701</v>
      </c>
      <c r="H2" t="s">
        <v>707</v>
      </c>
      <c r="I2" t="s">
        <v>712</v>
      </c>
      <c r="J2" t="s">
        <v>727</v>
      </c>
      <c r="K2" t="s">
        <v>734</v>
      </c>
      <c r="L2">
        <v>279.24</v>
      </c>
      <c r="M2">
        <v>608.9</v>
      </c>
      <c r="N2">
        <v>0.112</v>
      </c>
      <c r="O2">
        <v>9</v>
      </c>
    </row>
    <row r="3" spans="1:15" x14ac:dyDescent="0.35">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x14ac:dyDescent="0.35">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x14ac:dyDescent="0.35">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x14ac:dyDescent="0.35">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x14ac:dyDescent="0.35">
      <c r="A7" t="s">
        <v>20</v>
      </c>
      <c r="B7" s="2">
        <v>44928</v>
      </c>
      <c r="C7" s="2">
        <v>44931</v>
      </c>
      <c r="D7" t="s">
        <v>648</v>
      </c>
      <c r="E7" t="s">
        <v>653</v>
      </c>
      <c r="F7" t="s">
        <v>667</v>
      </c>
      <c r="G7" t="s">
        <v>701</v>
      </c>
      <c r="H7" t="s">
        <v>710</v>
      </c>
      <c r="I7" t="s">
        <v>717</v>
      </c>
      <c r="J7" t="s">
        <v>731</v>
      </c>
      <c r="K7" t="s">
        <v>739</v>
      </c>
      <c r="L7">
        <v>315.87</v>
      </c>
      <c r="M7">
        <v>591.67999999999995</v>
      </c>
      <c r="N7">
        <v>0</v>
      </c>
      <c r="O7">
        <v>7</v>
      </c>
    </row>
    <row r="8" spans="1:15" x14ac:dyDescent="0.35">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x14ac:dyDescent="0.35">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x14ac:dyDescent="0.35">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x14ac:dyDescent="0.35">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x14ac:dyDescent="0.35">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x14ac:dyDescent="0.35">
      <c r="A13" t="s">
        <v>26</v>
      </c>
      <c r="B13" s="2">
        <v>45660</v>
      </c>
      <c r="C13" s="2">
        <v>45680</v>
      </c>
      <c r="D13" t="s">
        <v>647</v>
      </c>
      <c r="E13" t="s">
        <v>652</v>
      </c>
      <c r="F13" t="s">
        <v>666</v>
      </c>
      <c r="G13" t="s">
        <v>701</v>
      </c>
      <c r="H13" t="s">
        <v>710</v>
      </c>
      <c r="I13" t="s">
        <v>721</v>
      </c>
      <c r="J13" t="s">
        <v>730</v>
      </c>
      <c r="K13" t="s">
        <v>745</v>
      </c>
      <c r="L13">
        <v>908.6</v>
      </c>
      <c r="M13">
        <v>691.37</v>
      </c>
      <c r="N13">
        <v>0.25</v>
      </c>
      <c r="O13">
        <v>20</v>
      </c>
    </row>
    <row r="14" spans="1:15" x14ac:dyDescent="0.35">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x14ac:dyDescent="0.35">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x14ac:dyDescent="0.35">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x14ac:dyDescent="0.35">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x14ac:dyDescent="0.35">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x14ac:dyDescent="0.35">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x14ac:dyDescent="0.35">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x14ac:dyDescent="0.35">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x14ac:dyDescent="0.35">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x14ac:dyDescent="0.35">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x14ac:dyDescent="0.35">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x14ac:dyDescent="0.35">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x14ac:dyDescent="0.35">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x14ac:dyDescent="0.35">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x14ac:dyDescent="0.35">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x14ac:dyDescent="0.35">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x14ac:dyDescent="0.35">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x14ac:dyDescent="0.35">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x14ac:dyDescent="0.35">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x14ac:dyDescent="0.35">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x14ac:dyDescent="0.35">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x14ac:dyDescent="0.35">
      <c r="A35" t="s">
        <v>48</v>
      </c>
      <c r="B35" s="2">
        <v>45400</v>
      </c>
      <c r="C35" s="2">
        <v>45420</v>
      </c>
      <c r="D35" t="s">
        <v>649</v>
      </c>
      <c r="E35" t="s">
        <v>658</v>
      </c>
      <c r="F35" t="s">
        <v>683</v>
      </c>
      <c r="G35" t="s">
        <v>703</v>
      </c>
      <c r="I35" t="s">
        <v>726</v>
      </c>
      <c r="J35" t="s">
        <v>731</v>
      </c>
      <c r="K35" t="s">
        <v>767</v>
      </c>
      <c r="L35">
        <v>645.33000000000004</v>
      </c>
      <c r="M35">
        <v>1321.85</v>
      </c>
      <c r="N35">
        <v>0</v>
      </c>
      <c r="O35">
        <v>10</v>
      </c>
    </row>
    <row r="36" spans="1:15" x14ac:dyDescent="0.35">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x14ac:dyDescent="0.35">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x14ac:dyDescent="0.35">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x14ac:dyDescent="0.35">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x14ac:dyDescent="0.35">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x14ac:dyDescent="0.35">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x14ac:dyDescent="0.35">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x14ac:dyDescent="0.35">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x14ac:dyDescent="0.35">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x14ac:dyDescent="0.35">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x14ac:dyDescent="0.35">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x14ac:dyDescent="0.35">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x14ac:dyDescent="0.35">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x14ac:dyDescent="0.35">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x14ac:dyDescent="0.35">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x14ac:dyDescent="0.35">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x14ac:dyDescent="0.35">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x14ac:dyDescent="0.35">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x14ac:dyDescent="0.35">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x14ac:dyDescent="0.35">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x14ac:dyDescent="0.35">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x14ac:dyDescent="0.35">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x14ac:dyDescent="0.35">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x14ac:dyDescent="0.35">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x14ac:dyDescent="0.35">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x14ac:dyDescent="0.35">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x14ac:dyDescent="0.35">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x14ac:dyDescent="0.35">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x14ac:dyDescent="0.35">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x14ac:dyDescent="0.35">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x14ac:dyDescent="0.35">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x14ac:dyDescent="0.35">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x14ac:dyDescent="0.35">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x14ac:dyDescent="0.35">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x14ac:dyDescent="0.35">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x14ac:dyDescent="0.35">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x14ac:dyDescent="0.35">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x14ac:dyDescent="0.35">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x14ac:dyDescent="0.35">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x14ac:dyDescent="0.35">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x14ac:dyDescent="0.35">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x14ac:dyDescent="0.35">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x14ac:dyDescent="0.35">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x14ac:dyDescent="0.35">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x14ac:dyDescent="0.35">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x14ac:dyDescent="0.35">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x14ac:dyDescent="0.35">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x14ac:dyDescent="0.35">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x14ac:dyDescent="0.35">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x14ac:dyDescent="0.35">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x14ac:dyDescent="0.35">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x14ac:dyDescent="0.35">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x14ac:dyDescent="0.35">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x14ac:dyDescent="0.35">
      <c r="A89" t="s">
        <v>102</v>
      </c>
      <c r="B89" s="2">
        <v>45876</v>
      </c>
      <c r="C89" s="2">
        <v>45888</v>
      </c>
      <c r="D89" t="s">
        <v>646</v>
      </c>
      <c r="E89" t="s">
        <v>650</v>
      </c>
      <c r="F89" t="s">
        <v>678</v>
      </c>
      <c r="G89" t="s">
        <v>701</v>
      </c>
      <c r="I89" t="s">
        <v>724</v>
      </c>
      <c r="J89" t="s">
        <v>727</v>
      </c>
      <c r="K89" t="s">
        <v>821</v>
      </c>
      <c r="L89">
        <v>601.51</v>
      </c>
      <c r="M89">
        <v>679.35</v>
      </c>
      <c r="N89">
        <v>0.188</v>
      </c>
      <c r="O89">
        <v>3</v>
      </c>
    </row>
    <row r="90" spans="1:15" x14ac:dyDescent="0.35">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x14ac:dyDescent="0.35">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x14ac:dyDescent="0.35">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x14ac:dyDescent="0.35">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x14ac:dyDescent="0.35">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x14ac:dyDescent="0.35">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x14ac:dyDescent="0.35">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x14ac:dyDescent="0.35">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x14ac:dyDescent="0.35">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x14ac:dyDescent="0.35">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x14ac:dyDescent="0.35">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x14ac:dyDescent="0.35">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x14ac:dyDescent="0.35">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x14ac:dyDescent="0.35">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x14ac:dyDescent="0.35">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x14ac:dyDescent="0.35">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x14ac:dyDescent="0.35">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x14ac:dyDescent="0.35">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x14ac:dyDescent="0.35">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x14ac:dyDescent="0.35">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x14ac:dyDescent="0.35">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x14ac:dyDescent="0.35">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x14ac:dyDescent="0.35">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x14ac:dyDescent="0.35">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x14ac:dyDescent="0.35">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x14ac:dyDescent="0.35">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x14ac:dyDescent="0.35">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x14ac:dyDescent="0.35">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x14ac:dyDescent="0.35">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x14ac:dyDescent="0.35">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x14ac:dyDescent="0.35">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x14ac:dyDescent="0.35">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x14ac:dyDescent="0.35">
      <c r="A122" t="s">
        <v>135</v>
      </c>
      <c r="B122" s="2">
        <v>45827</v>
      </c>
      <c r="C122" s="2">
        <v>45850</v>
      </c>
      <c r="D122" t="s">
        <v>649</v>
      </c>
      <c r="E122" t="s">
        <v>658</v>
      </c>
      <c r="G122" t="s">
        <v>703</v>
      </c>
      <c r="H122" t="s">
        <v>711</v>
      </c>
      <c r="J122" t="s">
        <v>729</v>
      </c>
      <c r="K122" t="s">
        <v>854</v>
      </c>
      <c r="L122">
        <v>801.24</v>
      </c>
      <c r="M122">
        <v>1959.09</v>
      </c>
      <c r="N122">
        <v>0.123</v>
      </c>
      <c r="O122">
        <v>23</v>
      </c>
    </row>
    <row r="123" spans="1:15" x14ac:dyDescent="0.35">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x14ac:dyDescent="0.35">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x14ac:dyDescent="0.35">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x14ac:dyDescent="0.35">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x14ac:dyDescent="0.35">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x14ac:dyDescent="0.35">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x14ac:dyDescent="0.35">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x14ac:dyDescent="0.35">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x14ac:dyDescent="0.35">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x14ac:dyDescent="0.35">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x14ac:dyDescent="0.35">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x14ac:dyDescent="0.35">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x14ac:dyDescent="0.35">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x14ac:dyDescent="0.35">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x14ac:dyDescent="0.35">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x14ac:dyDescent="0.35">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x14ac:dyDescent="0.35">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x14ac:dyDescent="0.35">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x14ac:dyDescent="0.35">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x14ac:dyDescent="0.35">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x14ac:dyDescent="0.35">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x14ac:dyDescent="0.35">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x14ac:dyDescent="0.35">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x14ac:dyDescent="0.35">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x14ac:dyDescent="0.35">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x14ac:dyDescent="0.35">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x14ac:dyDescent="0.35">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x14ac:dyDescent="0.35">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x14ac:dyDescent="0.35">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x14ac:dyDescent="0.35">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x14ac:dyDescent="0.35">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x14ac:dyDescent="0.35">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x14ac:dyDescent="0.35">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x14ac:dyDescent="0.35">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x14ac:dyDescent="0.35">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x14ac:dyDescent="0.35">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x14ac:dyDescent="0.35">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x14ac:dyDescent="0.35">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x14ac:dyDescent="0.35">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x14ac:dyDescent="0.35">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x14ac:dyDescent="0.35">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x14ac:dyDescent="0.35">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x14ac:dyDescent="0.35">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x14ac:dyDescent="0.35">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x14ac:dyDescent="0.35">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x14ac:dyDescent="0.35">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x14ac:dyDescent="0.35">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x14ac:dyDescent="0.35">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x14ac:dyDescent="0.35">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x14ac:dyDescent="0.35">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x14ac:dyDescent="0.35">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x14ac:dyDescent="0.35">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x14ac:dyDescent="0.35">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x14ac:dyDescent="0.35">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x14ac:dyDescent="0.35">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x14ac:dyDescent="0.35">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x14ac:dyDescent="0.35">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x14ac:dyDescent="0.35">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x14ac:dyDescent="0.35">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x14ac:dyDescent="0.35">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x14ac:dyDescent="0.35">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x14ac:dyDescent="0.35">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x14ac:dyDescent="0.35">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x14ac:dyDescent="0.35">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x14ac:dyDescent="0.35">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x14ac:dyDescent="0.35">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x14ac:dyDescent="0.35">
      <c r="A189" t="s">
        <v>144</v>
      </c>
      <c r="B189" s="2">
        <v>44955</v>
      </c>
      <c r="C189" s="2">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x14ac:dyDescent="0.35">
      <c r="A190" t="s">
        <v>202</v>
      </c>
      <c r="B190" s="2">
        <v>45126</v>
      </c>
      <c r="C190" s="2">
        <v>45138</v>
      </c>
      <c r="D190" t="s">
        <v>648</v>
      </c>
      <c r="E190" t="s">
        <v>655</v>
      </c>
      <c r="F190" t="s">
        <v>692</v>
      </c>
      <c r="G190" t="s">
        <v>701</v>
      </c>
      <c r="H190" t="s">
        <v>707</v>
      </c>
      <c r="I190" t="s">
        <v>712</v>
      </c>
      <c r="J190" t="s">
        <v>732</v>
      </c>
      <c r="K190" t="s">
        <v>922</v>
      </c>
      <c r="L190">
        <v>1334.64</v>
      </c>
      <c r="M190">
        <v>2273.42</v>
      </c>
      <c r="N190">
        <v>0.11799999999999999</v>
      </c>
      <c r="O190">
        <v>14</v>
      </c>
    </row>
    <row r="191" spans="1:15" x14ac:dyDescent="0.35">
      <c r="A191" t="s">
        <v>203</v>
      </c>
      <c r="B191" s="2">
        <v>45431</v>
      </c>
      <c r="C191" s="2">
        <v>45451</v>
      </c>
      <c r="D191" t="s">
        <v>648</v>
      </c>
      <c r="E191" t="s">
        <v>655</v>
      </c>
      <c r="F191" t="s">
        <v>672</v>
      </c>
      <c r="G191" t="s">
        <v>705</v>
      </c>
      <c r="H191" t="s">
        <v>707</v>
      </c>
      <c r="I191" t="s">
        <v>718</v>
      </c>
      <c r="J191" t="s">
        <v>732</v>
      </c>
      <c r="K191" t="s">
        <v>923</v>
      </c>
      <c r="L191">
        <v>1075.9000000000001</v>
      </c>
      <c r="M191">
        <v>1242.1500000000001</v>
      </c>
      <c r="N191">
        <v>1.2E-2</v>
      </c>
      <c r="O191">
        <v>7</v>
      </c>
    </row>
    <row r="192" spans="1:15" x14ac:dyDescent="0.35">
      <c r="A192" t="s">
        <v>204</v>
      </c>
      <c r="B192" s="2">
        <v>45325</v>
      </c>
      <c r="C192" s="2">
        <v>45341</v>
      </c>
      <c r="D192" t="s">
        <v>647</v>
      </c>
      <c r="E192" t="s">
        <v>659</v>
      </c>
      <c r="F192" t="s">
        <v>676</v>
      </c>
      <c r="G192" t="s">
        <v>705</v>
      </c>
      <c r="H192" t="s">
        <v>708</v>
      </c>
      <c r="I192" t="s">
        <v>722</v>
      </c>
      <c r="J192" t="s">
        <v>731</v>
      </c>
      <c r="K192" t="s">
        <v>924</v>
      </c>
      <c r="L192">
        <v>993.75</v>
      </c>
      <c r="M192">
        <v>1310.29</v>
      </c>
      <c r="N192">
        <v>0.215</v>
      </c>
      <c r="O192">
        <v>19</v>
      </c>
    </row>
    <row r="193" spans="1:15" x14ac:dyDescent="0.35">
      <c r="A193" t="s">
        <v>205</v>
      </c>
      <c r="B193" s="2">
        <v>45146</v>
      </c>
      <c r="C193" s="2">
        <v>45160</v>
      </c>
      <c r="D193" t="s">
        <v>649</v>
      </c>
      <c r="E193" t="s">
        <v>658</v>
      </c>
      <c r="F193" t="s">
        <v>674</v>
      </c>
      <c r="G193" t="s">
        <v>703</v>
      </c>
      <c r="H193" t="s">
        <v>711</v>
      </c>
      <c r="I193" t="s">
        <v>725</v>
      </c>
      <c r="J193" t="s">
        <v>732</v>
      </c>
      <c r="K193" t="s">
        <v>925</v>
      </c>
      <c r="L193">
        <v>446.69</v>
      </c>
      <c r="M193">
        <v>967.25</v>
      </c>
      <c r="N193">
        <v>9.4E-2</v>
      </c>
      <c r="O193">
        <v>10</v>
      </c>
    </row>
    <row r="194" spans="1:15" x14ac:dyDescent="0.35">
      <c r="A194" t="s">
        <v>206</v>
      </c>
      <c r="B194" s="2">
        <v>45516</v>
      </c>
      <c r="C194" s="2">
        <v>45538</v>
      </c>
      <c r="D194" t="s">
        <v>648</v>
      </c>
      <c r="E194" t="s">
        <v>660</v>
      </c>
      <c r="F194" t="s">
        <v>697</v>
      </c>
      <c r="G194" t="s">
        <v>704</v>
      </c>
      <c r="H194" t="s">
        <v>710</v>
      </c>
      <c r="I194" t="s">
        <v>714</v>
      </c>
      <c r="J194" t="s">
        <v>731</v>
      </c>
      <c r="K194" t="s">
        <v>926</v>
      </c>
      <c r="L194">
        <v>797.8</v>
      </c>
      <c r="M194">
        <v>886.22</v>
      </c>
      <c r="N194">
        <v>0.23599999999999999</v>
      </c>
      <c r="O194">
        <v>36</v>
      </c>
    </row>
    <row r="195" spans="1:15" x14ac:dyDescent="0.35">
      <c r="A195" t="s">
        <v>207</v>
      </c>
      <c r="B195" s="2">
        <v>45214</v>
      </c>
      <c r="C195" s="2">
        <v>45243</v>
      </c>
      <c r="D195" t="s">
        <v>647</v>
      </c>
      <c r="E195" t="s">
        <v>659</v>
      </c>
      <c r="F195" t="s">
        <v>676</v>
      </c>
      <c r="G195" t="s">
        <v>703</v>
      </c>
      <c r="H195" t="s">
        <v>710</v>
      </c>
      <c r="I195" t="s">
        <v>713</v>
      </c>
      <c r="J195" t="s">
        <v>728</v>
      </c>
      <c r="K195" t="s">
        <v>927</v>
      </c>
      <c r="L195">
        <v>986.44</v>
      </c>
      <c r="M195">
        <v>790.61</v>
      </c>
      <c r="N195">
        <v>7.1999999999999995E-2</v>
      </c>
      <c r="O195">
        <v>6</v>
      </c>
    </row>
    <row r="196" spans="1:15" x14ac:dyDescent="0.35">
      <c r="A196" t="s">
        <v>208</v>
      </c>
      <c r="B196" s="2">
        <v>45050</v>
      </c>
      <c r="C196" s="2">
        <v>45072</v>
      </c>
      <c r="D196" t="s">
        <v>648</v>
      </c>
      <c r="E196" t="s">
        <v>660</v>
      </c>
      <c r="F196" t="s">
        <v>686</v>
      </c>
      <c r="G196" t="s">
        <v>706</v>
      </c>
      <c r="H196" t="s">
        <v>708</v>
      </c>
      <c r="I196" t="s">
        <v>713</v>
      </c>
      <c r="J196" t="s">
        <v>729</v>
      </c>
      <c r="K196" t="s">
        <v>928</v>
      </c>
      <c r="L196">
        <v>249.71</v>
      </c>
      <c r="M196">
        <v>361.33</v>
      </c>
      <c r="N196">
        <v>9.4E-2</v>
      </c>
      <c r="O196">
        <v>12</v>
      </c>
    </row>
    <row r="197" spans="1:15" x14ac:dyDescent="0.35">
      <c r="A197" t="s">
        <v>209</v>
      </c>
      <c r="B197" s="2">
        <v>45557</v>
      </c>
      <c r="C197" s="2">
        <v>45566</v>
      </c>
      <c r="D197" t="s">
        <v>648</v>
      </c>
      <c r="E197" t="s">
        <v>655</v>
      </c>
      <c r="F197" t="s">
        <v>670</v>
      </c>
      <c r="G197" t="s">
        <v>703</v>
      </c>
      <c r="H197" t="s">
        <v>708</v>
      </c>
      <c r="I197" t="s">
        <v>723</v>
      </c>
      <c r="J197" t="s">
        <v>732</v>
      </c>
      <c r="K197" t="s">
        <v>929</v>
      </c>
      <c r="L197">
        <v>1378.8</v>
      </c>
      <c r="M197">
        <v>1952.04</v>
      </c>
      <c r="N197">
        <v>0.159</v>
      </c>
      <c r="O197">
        <v>19</v>
      </c>
    </row>
    <row r="198" spans="1:15" x14ac:dyDescent="0.35">
      <c r="A198" t="s">
        <v>210</v>
      </c>
      <c r="B198" s="2">
        <v>45588</v>
      </c>
      <c r="C198" s="2">
        <v>45610</v>
      </c>
      <c r="D198" t="s">
        <v>647</v>
      </c>
      <c r="E198" t="s">
        <v>652</v>
      </c>
      <c r="F198" t="s">
        <v>666</v>
      </c>
      <c r="G198" t="s">
        <v>703</v>
      </c>
      <c r="H198" t="s">
        <v>711</v>
      </c>
      <c r="I198" t="s">
        <v>717</v>
      </c>
      <c r="J198" t="s">
        <v>730</v>
      </c>
      <c r="K198" t="s">
        <v>930</v>
      </c>
      <c r="L198">
        <v>1406.4</v>
      </c>
      <c r="M198">
        <v>1564.76</v>
      </c>
      <c r="N198">
        <v>0.185</v>
      </c>
      <c r="O198">
        <v>17</v>
      </c>
    </row>
    <row r="199" spans="1:15" x14ac:dyDescent="0.35">
      <c r="A199" t="s">
        <v>211</v>
      </c>
      <c r="B199" s="2">
        <v>45333</v>
      </c>
      <c r="C199" s="2">
        <v>45354</v>
      </c>
      <c r="D199" t="s">
        <v>646</v>
      </c>
      <c r="E199" t="s">
        <v>650</v>
      </c>
      <c r="F199" t="s">
        <v>662</v>
      </c>
      <c r="G199" t="s">
        <v>706</v>
      </c>
      <c r="H199" t="s">
        <v>708</v>
      </c>
      <c r="I199" t="s">
        <v>717</v>
      </c>
      <c r="J199" t="s">
        <v>730</v>
      </c>
      <c r="K199" t="s">
        <v>931</v>
      </c>
      <c r="L199">
        <v>516.86</v>
      </c>
      <c r="M199">
        <v>852.54</v>
      </c>
      <c r="N199">
        <v>5.0999999999999997E-2</v>
      </c>
      <c r="O199">
        <v>14</v>
      </c>
    </row>
    <row r="200" spans="1:15" x14ac:dyDescent="0.35">
      <c r="A200" t="s">
        <v>212</v>
      </c>
      <c r="B200" s="2">
        <v>44956</v>
      </c>
      <c r="C200" s="2">
        <v>44978</v>
      </c>
      <c r="D200" t="s">
        <v>649</v>
      </c>
      <c r="E200" t="s">
        <v>656</v>
      </c>
      <c r="F200" t="s">
        <v>684</v>
      </c>
      <c r="G200" t="s">
        <v>705</v>
      </c>
      <c r="H200" t="s">
        <v>709</v>
      </c>
      <c r="I200" t="s">
        <v>715</v>
      </c>
      <c r="J200" t="s">
        <v>729</v>
      </c>
      <c r="K200" t="s">
        <v>932</v>
      </c>
      <c r="L200">
        <v>1142.8800000000001</v>
      </c>
      <c r="M200">
        <v>1465.29</v>
      </c>
      <c r="N200">
        <v>0.186</v>
      </c>
      <c r="O200">
        <v>7</v>
      </c>
    </row>
    <row r="201" spans="1:15" x14ac:dyDescent="0.35">
      <c r="A201" t="s">
        <v>213</v>
      </c>
      <c r="B201" s="2">
        <v>45030</v>
      </c>
      <c r="C201" s="2">
        <v>45059</v>
      </c>
      <c r="D201" t="s">
        <v>649</v>
      </c>
      <c r="E201" t="s">
        <v>656</v>
      </c>
      <c r="F201" t="s">
        <v>698</v>
      </c>
      <c r="G201" t="s">
        <v>704</v>
      </c>
      <c r="H201" t="s">
        <v>711</v>
      </c>
      <c r="I201" t="s">
        <v>713</v>
      </c>
      <c r="J201" t="s">
        <v>728</v>
      </c>
      <c r="K201" t="s">
        <v>933</v>
      </c>
      <c r="L201">
        <v>1320.33</v>
      </c>
      <c r="M201">
        <v>2645.23</v>
      </c>
      <c r="N201">
        <v>0.155</v>
      </c>
      <c r="O201">
        <v>25</v>
      </c>
    </row>
    <row r="202" spans="1:15" x14ac:dyDescent="0.35">
      <c r="A202" t="s">
        <v>214</v>
      </c>
      <c r="B202" s="2">
        <v>44939</v>
      </c>
      <c r="C202" s="2">
        <v>44945</v>
      </c>
      <c r="D202" t="s">
        <v>648</v>
      </c>
      <c r="E202" t="s">
        <v>660</v>
      </c>
      <c r="F202" t="s">
        <v>677</v>
      </c>
      <c r="G202" t="s">
        <v>701</v>
      </c>
      <c r="H202" t="s">
        <v>711</v>
      </c>
      <c r="I202" t="s">
        <v>722</v>
      </c>
      <c r="J202" t="s">
        <v>730</v>
      </c>
      <c r="K202" t="s">
        <v>934</v>
      </c>
      <c r="L202">
        <v>833.57</v>
      </c>
      <c r="M202">
        <v>881.57</v>
      </c>
      <c r="N202">
        <v>5.7000000000000002E-2</v>
      </c>
      <c r="O202">
        <v>18</v>
      </c>
    </row>
    <row r="203" spans="1:15" x14ac:dyDescent="0.35">
      <c r="A203" t="s">
        <v>215</v>
      </c>
      <c r="B203" s="2">
        <v>45303</v>
      </c>
      <c r="C203" s="2">
        <v>45320</v>
      </c>
      <c r="D203" t="s">
        <v>648</v>
      </c>
      <c r="E203" t="s">
        <v>660</v>
      </c>
      <c r="F203" t="s">
        <v>677</v>
      </c>
      <c r="G203" t="s">
        <v>702</v>
      </c>
      <c r="H203" t="s">
        <v>710</v>
      </c>
      <c r="I203" t="s">
        <v>720</v>
      </c>
      <c r="J203" t="s">
        <v>728</v>
      </c>
      <c r="K203" t="s">
        <v>935</v>
      </c>
      <c r="L203">
        <v>493.76</v>
      </c>
      <c r="M203">
        <v>625.04</v>
      </c>
      <c r="N203">
        <v>0.25800000000000001</v>
      </c>
      <c r="O203">
        <v>10</v>
      </c>
    </row>
    <row r="204" spans="1:15" x14ac:dyDescent="0.35">
      <c r="A204" t="s">
        <v>216</v>
      </c>
      <c r="B204" s="2">
        <v>45153</v>
      </c>
      <c r="C204" s="2">
        <v>45176</v>
      </c>
      <c r="D204" t="s">
        <v>648</v>
      </c>
      <c r="E204" t="s">
        <v>660</v>
      </c>
      <c r="F204" t="s">
        <v>700</v>
      </c>
      <c r="G204" t="s">
        <v>706</v>
      </c>
      <c r="H204" t="s">
        <v>708</v>
      </c>
      <c r="I204" t="s">
        <v>723</v>
      </c>
      <c r="J204" t="s">
        <v>730</v>
      </c>
      <c r="K204" t="s">
        <v>936</v>
      </c>
      <c r="L204">
        <v>590.33000000000004</v>
      </c>
      <c r="M204">
        <v>973.04</v>
      </c>
      <c r="N204">
        <v>0</v>
      </c>
      <c r="O204">
        <v>26</v>
      </c>
    </row>
    <row r="205" spans="1:15" x14ac:dyDescent="0.35">
      <c r="A205" t="s">
        <v>217</v>
      </c>
      <c r="B205" s="2">
        <v>44946</v>
      </c>
      <c r="C205" s="2">
        <v>44960</v>
      </c>
      <c r="D205" t="s">
        <v>646</v>
      </c>
      <c r="E205" t="s">
        <v>650</v>
      </c>
      <c r="F205" t="s">
        <v>662</v>
      </c>
      <c r="G205" t="s">
        <v>701</v>
      </c>
      <c r="H205" t="s">
        <v>707</v>
      </c>
      <c r="I205" t="s">
        <v>724</v>
      </c>
      <c r="J205" t="s">
        <v>729</v>
      </c>
      <c r="K205" t="s">
        <v>937</v>
      </c>
      <c r="L205">
        <v>884.36</v>
      </c>
      <c r="M205">
        <v>1545.34</v>
      </c>
      <c r="N205">
        <v>0.24299999999999999</v>
      </c>
      <c r="O205">
        <v>41</v>
      </c>
    </row>
    <row r="206" spans="1:15" x14ac:dyDescent="0.35">
      <c r="A206" t="s">
        <v>218</v>
      </c>
      <c r="B206" s="2">
        <v>45692</v>
      </c>
      <c r="C206" s="2">
        <v>45713</v>
      </c>
      <c r="D206" t="s">
        <v>649</v>
      </c>
      <c r="E206" t="s">
        <v>658</v>
      </c>
      <c r="F206" t="s">
        <v>674</v>
      </c>
      <c r="G206" t="s">
        <v>701</v>
      </c>
      <c r="H206" t="s">
        <v>709</v>
      </c>
      <c r="I206" t="s">
        <v>726</v>
      </c>
      <c r="J206" t="s">
        <v>732</v>
      </c>
      <c r="K206" t="s">
        <v>938</v>
      </c>
      <c r="L206">
        <v>1016.32</v>
      </c>
      <c r="M206">
        <v>2253.42</v>
      </c>
      <c r="N206">
        <v>5.5E-2</v>
      </c>
      <c r="O206">
        <v>12</v>
      </c>
    </row>
    <row r="207" spans="1:15" x14ac:dyDescent="0.35">
      <c r="A207" t="s">
        <v>219</v>
      </c>
      <c r="B207" s="2">
        <v>45035</v>
      </c>
      <c r="C207" s="2">
        <v>45044</v>
      </c>
      <c r="D207" t="s">
        <v>649</v>
      </c>
      <c r="E207" t="s">
        <v>656</v>
      </c>
      <c r="F207" t="s">
        <v>671</v>
      </c>
      <c r="G207" t="s">
        <v>702</v>
      </c>
      <c r="H207" t="s">
        <v>708</v>
      </c>
      <c r="I207" t="s">
        <v>718</v>
      </c>
      <c r="J207" t="s">
        <v>732</v>
      </c>
      <c r="K207" t="s">
        <v>939</v>
      </c>
      <c r="L207">
        <v>1178.42</v>
      </c>
      <c r="M207">
        <v>2446.56</v>
      </c>
      <c r="N207">
        <v>2.9000000000000001E-2</v>
      </c>
      <c r="O207">
        <v>11</v>
      </c>
    </row>
    <row r="208" spans="1:15" x14ac:dyDescent="0.35">
      <c r="A208" t="s">
        <v>220</v>
      </c>
      <c r="B208" s="2">
        <v>45109</v>
      </c>
      <c r="C208" s="2">
        <v>45139</v>
      </c>
      <c r="D208" t="s">
        <v>649</v>
      </c>
      <c r="E208" t="s">
        <v>658</v>
      </c>
      <c r="F208" t="s">
        <v>674</v>
      </c>
      <c r="G208" t="s">
        <v>705</v>
      </c>
      <c r="H208" t="s">
        <v>707</v>
      </c>
      <c r="I208" t="s">
        <v>717</v>
      </c>
      <c r="J208" t="s">
        <v>727</v>
      </c>
      <c r="K208" t="s">
        <v>940</v>
      </c>
      <c r="L208">
        <v>137.46</v>
      </c>
      <c r="M208">
        <v>188.3</v>
      </c>
      <c r="N208">
        <v>3.7999999999999999E-2</v>
      </c>
      <c r="O208">
        <v>37</v>
      </c>
    </row>
    <row r="209" spans="1:15" x14ac:dyDescent="0.35">
      <c r="A209" t="s">
        <v>221</v>
      </c>
      <c r="B209" s="2">
        <v>45678</v>
      </c>
      <c r="C209" s="2">
        <v>45702</v>
      </c>
      <c r="D209" t="s">
        <v>646</v>
      </c>
      <c r="E209" t="s">
        <v>650</v>
      </c>
      <c r="F209" t="s">
        <v>664</v>
      </c>
      <c r="G209" t="s">
        <v>705</v>
      </c>
      <c r="H209" t="s">
        <v>707</v>
      </c>
      <c r="I209" t="s">
        <v>713</v>
      </c>
      <c r="J209" t="s">
        <v>733</v>
      </c>
      <c r="K209" t="s">
        <v>941</v>
      </c>
      <c r="L209">
        <v>1030.44</v>
      </c>
      <c r="M209">
        <v>2562.84</v>
      </c>
      <c r="N209">
        <v>0.14799999999999999</v>
      </c>
      <c r="O209">
        <v>13</v>
      </c>
    </row>
    <row r="210" spans="1:15" x14ac:dyDescent="0.35">
      <c r="A210" t="s">
        <v>222</v>
      </c>
      <c r="B210" s="2">
        <v>45545</v>
      </c>
      <c r="C210" s="2">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x14ac:dyDescent="0.35">
      <c r="A211" t="s">
        <v>223</v>
      </c>
      <c r="B211" s="2">
        <v>45859</v>
      </c>
      <c r="C211" s="2">
        <v>45876</v>
      </c>
      <c r="D211" t="s">
        <v>646</v>
      </c>
      <c r="E211" t="s">
        <v>651</v>
      </c>
      <c r="F211" t="s">
        <v>665</v>
      </c>
      <c r="G211" t="s">
        <v>706</v>
      </c>
      <c r="H211" t="s">
        <v>711</v>
      </c>
      <c r="I211" t="s">
        <v>724</v>
      </c>
      <c r="J211" t="s">
        <v>733</v>
      </c>
      <c r="K211" t="s">
        <v>943</v>
      </c>
      <c r="L211">
        <v>1204.95</v>
      </c>
      <c r="M211">
        <v>2065.73</v>
      </c>
      <c r="N211">
        <v>0.13600000000000001</v>
      </c>
      <c r="O211">
        <v>10</v>
      </c>
    </row>
    <row r="212" spans="1:15" x14ac:dyDescent="0.35">
      <c r="A212" t="s">
        <v>224</v>
      </c>
      <c r="B212" s="2">
        <v>45567</v>
      </c>
      <c r="C212" s="2">
        <v>45588</v>
      </c>
      <c r="D212" t="s">
        <v>646</v>
      </c>
      <c r="E212" t="s">
        <v>661</v>
      </c>
      <c r="F212" t="s">
        <v>687</v>
      </c>
      <c r="G212" t="s">
        <v>701</v>
      </c>
      <c r="H212" t="s">
        <v>709</v>
      </c>
      <c r="I212" t="s">
        <v>720</v>
      </c>
      <c r="J212" t="s">
        <v>727</v>
      </c>
      <c r="K212" t="s">
        <v>944</v>
      </c>
      <c r="L212">
        <v>1095.6099999999999</v>
      </c>
      <c r="M212">
        <v>2366.5100000000002</v>
      </c>
      <c r="N212">
        <v>0.152</v>
      </c>
      <c r="O212">
        <v>9</v>
      </c>
    </row>
    <row r="213" spans="1:15" x14ac:dyDescent="0.35">
      <c r="A213" t="s">
        <v>225</v>
      </c>
      <c r="B213" s="2">
        <v>45852</v>
      </c>
      <c r="C213" s="2">
        <v>45873</v>
      </c>
      <c r="D213" t="s">
        <v>648</v>
      </c>
      <c r="E213" t="s">
        <v>653</v>
      </c>
      <c r="F213" t="s">
        <v>681</v>
      </c>
      <c r="G213" t="s">
        <v>704</v>
      </c>
      <c r="H213" t="s">
        <v>708</v>
      </c>
      <c r="I213" t="s">
        <v>722</v>
      </c>
      <c r="J213" t="s">
        <v>732</v>
      </c>
      <c r="K213" t="s">
        <v>945</v>
      </c>
      <c r="L213">
        <v>90.3</v>
      </c>
      <c r="M213">
        <v>131.76</v>
      </c>
      <c r="N213">
        <v>0.10199999999999999</v>
      </c>
      <c r="O213">
        <v>15</v>
      </c>
    </row>
    <row r="214" spans="1:15" x14ac:dyDescent="0.35">
      <c r="A214" t="s">
        <v>226</v>
      </c>
      <c r="B214" s="2">
        <v>45544</v>
      </c>
      <c r="C214" s="2">
        <v>45566</v>
      </c>
      <c r="D214" t="s">
        <v>647</v>
      </c>
      <c r="E214" t="s">
        <v>659</v>
      </c>
      <c r="F214" t="s">
        <v>676</v>
      </c>
      <c r="G214" t="s">
        <v>704</v>
      </c>
      <c r="H214" t="s">
        <v>711</v>
      </c>
      <c r="I214" t="s">
        <v>716</v>
      </c>
      <c r="J214" t="s">
        <v>728</v>
      </c>
      <c r="K214" t="s">
        <v>946</v>
      </c>
      <c r="L214">
        <v>1166.18</v>
      </c>
      <c r="M214">
        <v>1335.02</v>
      </c>
      <c r="N214">
        <v>0.128</v>
      </c>
      <c r="O214">
        <v>6</v>
      </c>
    </row>
    <row r="215" spans="1:15" x14ac:dyDescent="0.35">
      <c r="A215" t="s">
        <v>227</v>
      </c>
      <c r="B215" s="2">
        <v>45686</v>
      </c>
      <c r="C215" s="2">
        <v>45694</v>
      </c>
      <c r="D215" t="s">
        <v>646</v>
      </c>
      <c r="E215" t="s">
        <v>650</v>
      </c>
      <c r="F215" t="s">
        <v>662</v>
      </c>
      <c r="G215" t="s">
        <v>702</v>
      </c>
      <c r="H215" t="s">
        <v>707</v>
      </c>
      <c r="I215" t="s">
        <v>717</v>
      </c>
      <c r="J215" t="s">
        <v>730</v>
      </c>
      <c r="K215" t="s">
        <v>947</v>
      </c>
      <c r="L215">
        <v>1445.27</v>
      </c>
      <c r="M215">
        <v>2691.45</v>
      </c>
      <c r="N215">
        <v>0</v>
      </c>
      <c r="O215">
        <v>9</v>
      </c>
    </row>
    <row r="216" spans="1:15" x14ac:dyDescent="0.35">
      <c r="A216" t="s">
        <v>228</v>
      </c>
      <c r="B216" s="2">
        <v>45240</v>
      </c>
      <c r="C216" s="2">
        <v>45258</v>
      </c>
      <c r="D216" t="s">
        <v>648</v>
      </c>
      <c r="E216" t="s">
        <v>655</v>
      </c>
      <c r="F216" t="s">
        <v>672</v>
      </c>
      <c r="G216" t="s">
        <v>702</v>
      </c>
      <c r="H216" t="s">
        <v>709</v>
      </c>
      <c r="I216" t="s">
        <v>716</v>
      </c>
      <c r="J216" t="s">
        <v>733</v>
      </c>
      <c r="K216" t="s">
        <v>948</v>
      </c>
      <c r="L216">
        <v>388.51</v>
      </c>
      <c r="M216">
        <v>776.46</v>
      </c>
      <c r="N216">
        <v>0.157</v>
      </c>
      <c r="O216">
        <v>12</v>
      </c>
    </row>
    <row r="217" spans="1:15" x14ac:dyDescent="0.35">
      <c r="A217" t="s">
        <v>229</v>
      </c>
      <c r="B217" s="2">
        <v>45351</v>
      </c>
      <c r="C217" s="2">
        <v>45381</v>
      </c>
      <c r="D217" t="s">
        <v>647</v>
      </c>
      <c r="E217" t="s">
        <v>652</v>
      </c>
      <c r="F217" t="s">
        <v>694</v>
      </c>
      <c r="G217" t="s">
        <v>705</v>
      </c>
      <c r="H217" t="s">
        <v>711</v>
      </c>
      <c r="I217" t="s">
        <v>714</v>
      </c>
      <c r="J217" t="s">
        <v>729</v>
      </c>
      <c r="K217" t="s">
        <v>949</v>
      </c>
      <c r="L217">
        <v>231.11</v>
      </c>
      <c r="M217">
        <v>318.17</v>
      </c>
      <c r="N217">
        <v>0.20100000000000001</v>
      </c>
      <c r="O217">
        <v>60</v>
      </c>
    </row>
    <row r="218" spans="1:15" x14ac:dyDescent="0.35">
      <c r="A218" t="s">
        <v>230</v>
      </c>
      <c r="B218" s="2">
        <v>45280</v>
      </c>
      <c r="C218" s="2">
        <v>45305</v>
      </c>
      <c r="D218" t="s">
        <v>647</v>
      </c>
      <c r="E218" t="s">
        <v>654</v>
      </c>
      <c r="F218" t="s">
        <v>691</v>
      </c>
      <c r="G218" t="s">
        <v>703</v>
      </c>
      <c r="H218" t="s">
        <v>709</v>
      </c>
      <c r="I218" t="s">
        <v>716</v>
      </c>
      <c r="J218" t="s">
        <v>732</v>
      </c>
      <c r="K218" t="s">
        <v>950</v>
      </c>
      <c r="L218">
        <v>1085.6099999999999</v>
      </c>
      <c r="M218">
        <v>1246.4100000000001</v>
      </c>
      <c r="N218">
        <v>0.113</v>
      </c>
      <c r="O218">
        <v>7</v>
      </c>
    </row>
    <row r="219" spans="1:15" x14ac:dyDescent="0.35">
      <c r="A219" t="s">
        <v>231</v>
      </c>
      <c r="B219" s="2">
        <v>44948</v>
      </c>
      <c r="C219" s="2">
        <v>44947</v>
      </c>
      <c r="D219" t="s">
        <v>649</v>
      </c>
      <c r="E219" t="s">
        <v>656</v>
      </c>
      <c r="F219" t="s">
        <v>684</v>
      </c>
      <c r="G219" t="s">
        <v>701</v>
      </c>
      <c r="H219" t="s">
        <v>711</v>
      </c>
      <c r="I219" t="s">
        <v>721</v>
      </c>
      <c r="J219" t="s">
        <v>732</v>
      </c>
      <c r="K219" t="s">
        <v>951</v>
      </c>
      <c r="L219">
        <v>150.86000000000001</v>
      </c>
      <c r="M219">
        <v>346.96</v>
      </c>
      <c r="N219">
        <v>0.19600000000000001</v>
      </c>
      <c r="O219">
        <v>8</v>
      </c>
    </row>
    <row r="220" spans="1:15" x14ac:dyDescent="0.35">
      <c r="A220" t="s">
        <v>232</v>
      </c>
      <c r="B220" s="2">
        <v>45576</v>
      </c>
      <c r="C220" s="2">
        <v>45605</v>
      </c>
      <c r="D220" t="s">
        <v>647</v>
      </c>
      <c r="E220" t="s">
        <v>659</v>
      </c>
      <c r="F220" t="s">
        <v>685</v>
      </c>
      <c r="G220" t="s">
        <v>703</v>
      </c>
      <c r="H220" t="s">
        <v>708</v>
      </c>
      <c r="I220" t="s">
        <v>721</v>
      </c>
      <c r="J220" t="s">
        <v>728</v>
      </c>
      <c r="K220" t="s">
        <v>952</v>
      </c>
      <c r="L220">
        <v>391.64</v>
      </c>
      <c r="M220">
        <v>504.76</v>
      </c>
      <c r="N220">
        <v>4.0000000000000001E-3</v>
      </c>
      <c r="O220">
        <v>13</v>
      </c>
    </row>
    <row r="221" spans="1:15" x14ac:dyDescent="0.35">
      <c r="A221" t="s">
        <v>233</v>
      </c>
      <c r="B221" s="2">
        <v>45554</v>
      </c>
      <c r="C221" s="2">
        <v>45579</v>
      </c>
      <c r="D221" t="s">
        <v>648</v>
      </c>
      <c r="E221" t="s">
        <v>655</v>
      </c>
      <c r="F221" t="s">
        <v>692</v>
      </c>
      <c r="G221" t="s">
        <v>705</v>
      </c>
      <c r="H221" t="s">
        <v>707</v>
      </c>
      <c r="I221" t="s">
        <v>723</v>
      </c>
      <c r="J221" t="s">
        <v>728</v>
      </c>
      <c r="K221" t="s">
        <v>953</v>
      </c>
      <c r="L221">
        <v>386.96</v>
      </c>
      <c r="M221">
        <v>937.46</v>
      </c>
      <c r="N221">
        <v>0.26600000000000001</v>
      </c>
      <c r="O221">
        <v>41</v>
      </c>
    </row>
    <row r="222" spans="1:15" x14ac:dyDescent="0.35">
      <c r="A222" t="s">
        <v>234</v>
      </c>
      <c r="B222" s="2">
        <v>45894</v>
      </c>
      <c r="C222" s="2">
        <v>45924</v>
      </c>
      <c r="D222" t="s">
        <v>646</v>
      </c>
      <c r="E222" t="s">
        <v>650</v>
      </c>
      <c r="F222" t="s">
        <v>664</v>
      </c>
      <c r="G222" t="s">
        <v>704</v>
      </c>
      <c r="H222" t="s">
        <v>711</v>
      </c>
      <c r="I222" t="s">
        <v>717</v>
      </c>
      <c r="J222" t="s">
        <v>727</v>
      </c>
      <c r="K222" t="s">
        <v>954</v>
      </c>
      <c r="L222">
        <v>589.14</v>
      </c>
      <c r="M222">
        <v>1300.58</v>
      </c>
      <c r="N222">
        <v>5.5E-2</v>
      </c>
      <c r="O222">
        <v>11</v>
      </c>
    </row>
    <row r="223" spans="1:15" x14ac:dyDescent="0.35">
      <c r="A223" t="s">
        <v>235</v>
      </c>
      <c r="B223" s="2">
        <v>45194</v>
      </c>
      <c r="C223" s="2">
        <v>45201</v>
      </c>
      <c r="D223" t="s">
        <v>648</v>
      </c>
      <c r="E223" t="s">
        <v>660</v>
      </c>
      <c r="F223" t="s">
        <v>700</v>
      </c>
      <c r="G223" t="s">
        <v>702</v>
      </c>
      <c r="H223" t="s">
        <v>709</v>
      </c>
      <c r="I223" t="s">
        <v>714</v>
      </c>
      <c r="J223" t="s">
        <v>733</v>
      </c>
      <c r="K223" t="s">
        <v>955</v>
      </c>
      <c r="L223">
        <v>145.58000000000001</v>
      </c>
      <c r="M223">
        <v>228.15</v>
      </c>
      <c r="N223">
        <v>0.20399999999999999</v>
      </c>
      <c r="O223">
        <v>5</v>
      </c>
    </row>
    <row r="224" spans="1:15" x14ac:dyDescent="0.35">
      <c r="A224" t="s">
        <v>236</v>
      </c>
      <c r="B224" s="2">
        <v>45164</v>
      </c>
      <c r="C224" s="2">
        <v>45179</v>
      </c>
      <c r="D224" t="s">
        <v>646</v>
      </c>
      <c r="E224" t="s">
        <v>661</v>
      </c>
      <c r="F224" t="s">
        <v>695</v>
      </c>
      <c r="G224" t="s">
        <v>703</v>
      </c>
      <c r="H224" t="s">
        <v>711</v>
      </c>
      <c r="I224" t="s">
        <v>725</v>
      </c>
      <c r="J224" t="s">
        <v>727</v>
      </c>
      <c r="K224" t="s">
        <v>956</v>
      </c>
      <c r="L224">
        <v>241.14</v>
      </c>
      <c r="M224">
        <v>496.52</v>
      </c>
      <c r="N224">
        <v>9.2999999999999999E-2</v>
      </c>
      <c r="O224">
        <v>10</v>
      </c>
    </row>
    <row r="225" spans="1:15" x14ac:dyDescent="0.35">
      <c r="A225" t="s">
        <v>237</v>
      </c>
      <c r="B225" s="2">
        <v>45854</v>
      </c>
      <c r="C225" s="2">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x14ac:dyDescent="0.35">
      <c r="A226" t="s">
        <v>238</v>
      </c>
      <c r="B226" s="2">
        <v>45035</v>
      </c>
      <c r="C226" s="2">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x14ac:dyDescent="0.35">
      <c r="A227" t="s">
        <v>239</v>
      </c>
      <c r="B227" s="2">
        <v>45279</v>
      </c>
      <c r="C227" s="2">
        <v>45280</v>
      </c>
      <c r="D227" t="s">
        <v>648</v>
      </c>
      <c r="E227" t="s">
        <v>655</v>
      </c>
      <c r="F227" t="s">
        <v>692</v>
      </c>
      <c r="G227" t="s">
        <v>704</v>
      </c>
      <c r="H227" t="s">
        <v>710</v>
      </c>
      <c r="I227" t="s">
        <v>713</v>
      </c>
      <c r="J227" t="s">
        <v>730</v>
      </c>
      <c r="K227" t="s">
        <v>959</v>
      </c>
      <c r="L227">
        <v>1080.43</v>
      </c>
      <c r="M227">
        <v>2529.15</v>
      </c>
      <c r="N227">
        <v>0.14699999999999999</v>
      </c>
      <c r="O227">
        <v>10</v>
      </c>
    </row>
    <row r="228" spans="1:15" x14ac:dyDescent="0.35">
      <c r="A228" t="s">
        <v>240</v>
      </c>
      <c r="B228" s="2">
        <v>45137</v>
      </c>
      <c r="C228" s="2">
        <v>45145</v>
      </c>
      <c r="D228" t="s">
        <v>647</v>
      </c>
      <c r="E228" t="s">
        <v>652</v>
      </c>
      <c r="F228" t="s">
        <v>694</v>
      </c>
      <c r="G228" t="s">
        <v>702</v>
      </c>
      <c r="H228" t="s">
        <v>709</v>
      </c>
      <c r="I228" t="s">
        <v>720</v>
      </c>
      <c r="J228" t="s">
        <v>729</v>
      </c>
      <c r="K228" t="s">
        <v>960</v>
      </c>
      <c r="L228">
        <v>1352.44</v>
      </c>
      <c r="M228">
        <v>2698.01</v>
      </c>
      <c r="N228">
        <v>0.13100000000000001</v>
      </c>
      <c r="O228">
        <v>13</v>
      </c>
    </row>
    <row r="229" spans="1:15" x14ac:dyDescent="0.35">
      <c r="A229" t="s">
        <v>241</v>
      </c>
      <c r="B229" s="2">
        <v>45203</v>
      </c>
      <c r="C229" s="2">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x14ac:dyDescent="0.35">
      <c r="A230" t="s">
        <v>242</v>
      </c>
      <c r="B230" s="2">
        <v>45879</v>
      </c>
      <c r="C230" s="2">
        <v>45899</v>
      </c>
      <c r="D230" t="s">
        <v>648</v>
      </c>
      <c r="E230" t="s">
        <v>660</v>
      </c>
      <c r="F230" t="s">
        <v>686</v>
      </c>
      <c r="G230" t="s">
        <v>701</v>
      </c>
      <c r="H230" t="s">
        <v>709</v>
      </c>
      <c r="I230" t="s">
        <v>723</v>
      </c>
      <c r="J230" t="s">
        <v>728</v>
      </c>
      <c r="K230" t="s">
        <v>962</v>
      </c>
      <c r="L230">
        <v>933.29</v>
      </c>
      <c r="M230">
        <v>1456.81</v>
      </c>
      <c r="N230">
        <v>0.123</v>
      </c>
      <c r="O230">
        <v>13</v>
      </c>
    </row>
    <row r="231" spans="1:15" x14ac:dyDescent="0.35">
      <c r="A231" t="s">
        <v>243</v>
      </c>
      <c r="B231" s="2">
        <v>44992</v>
      </c>
      <c r="C231" s="2">
        <v>45017</v>
      </c>
      <c r="D231" t="s">
        <v>646</v>
      </c>
      <c r="E231" t="s">
        <v>650</v>
      </c>
      <c r="F231" t="s">
        <v>664</v>
      </c>
      <c r="G231" t="s">
        <v>704</v>
      </c>
      <c r="H231" t="s">
        <v>709</v>
      </c>
      <c r="I231" t="s">
        <v>726</v>
      </c>
      <c r="J231" t="s">
        <v>728</v>
      </c>
      <c r="K231" t="s">
        <v>963</v>
      </c>
      <c r="L231">
        <v>1024.0999999999999</v>
      </c>
      <c r="M231">
        <v>918.19</v>
      </c>
      <c r="N231">
        <v>0.189</v>
      </c>
      <c r="O231">
        <v>10</v>
      </c>
    </row>
    <row r="232" spans="1:15" x14ac:dyDescent="0.35">
      <c r="A232" t="s">
        <v>244</v>
      </c>
      <c r="B232" s="2">
        <v>45069</v>
      </c>
      <c r="C232" s="2">
        <v>45087</v>
      </c>
      <c r="D232" t="s">
        <v>647</v>
      </c>
      <c r="E232" t="s">
        <v>659</v>
      </c>
      <c r="F232" t="s">
        <v>685</v>
      </c>
      <c r="G232" t="s">
        <v>701</v>
      </c>
      <c r="H232" t="s">
        <v>710</v>
      </c>
      <c r="I232" t="s">
        <v>718</v>
      </c>
      <c r="J232" t="s">
        <v>727</v>
      </c>
      <c r="K232" t="s">
        <v>964</v>
      </c>
      <c r="L232">
        <v>54.62</v>
      </c>
      <c r="M232">
        <v>48.94</v>
      </c>
      <c r="N232">
        <v>0.14799999999999999</v>
      </c>
      <c r="O232">
        <v>16</v>
      </c>
    </row>
    <row r="233" spans="1:15" x14ac:dyDescent="0.35">
      <c r="A233" t="s">
        <v>245</v>
      </c>
      <c r="B233" s="2">
        <v>45771</v>
      </c>
      <c r="C233" s="2">
        <v>45783</v>
      </c>
      <c r="D233" t="s">
        <v>648</v>
      </c>
      <c r="E233" t="s">
        <v>655</v>
      </c>
      <c r="F233" t="s">
        <v>672</v>
      </c>
      <c r="G233" t="s">
        <v>704</v>
      </c>
      <c r="H233" t="s">
        <v>708</v>
      </c>
      <c r="I233" t="s">
        <v>712</v>
      </c>
      <c r="J233" t="s">
        <v>730</v>
      </c>
      <c r="K233" t="s">
        <v>965</v>
      </c>
      <c r="L233">
        <v>394.13</v>
      </c>
      <c r="M233">
        <v>932.29</v>
      </c>
      <c r="N233">
        <v>0.109</v>
      </c>
      <c r="O233">
        <v>7</v>
      </c>
    </row>
    <row r="234" spans="1:15" x14ac:dyDescent="0.35">
      <c r="A234" t="s">
        <v>246</v>
      </c>
      <c r="B234" s="2">
        <v>45538</v>
      </c>
      <c r="C234" s="2">
        <v>45543</v>
      </c>
      <c r="D234" t="s">
        <v>646</v>
      </c>
      <c r="E234" t="s">
        <v>651</v>
      </c>
      <c r="F234" t="s">
        <v>665</v>
      </c>
      <c r="G234" t="s">
        <v>705</v>
      </c>
      <c r="H234" t="s">
        <v>711</v>
      </c>
      <c r="I234" t="s">
        <v>723</v>
      </c>
      <c r="J234" t="s">
        <v>728</v>
      </c>
      <c r="K234" t="s">
        <v>966</v>
      </c>
      <c r="L234">
        <v>197.63</v>
      </c>
      <c r="M234">
        <v>325.79000000000002</v>
      </c>
      <c r="N234">
        <v>0.11600000000000001</v>
      </c>
      <c r="O234">
        <v>10</v>
      </c>
    </row>
    <row r="235" spans="1:15" x14ac:dyDescent="0.35">
      <c r="A235" t="s">
        <v>247</v>
      </c>
      <c r="B235" s="2">
        <v>45540</v>
      </c>
      <c r="C235" s="2">
        <v>45560</v>
      </c>
      <c r="D235" t="s">
        <v>647</v>
      </c>
      <c r="E235" t="s">
        <v>652</v>
      </c>
      <c r="F235" t="s">
        <v>666</v>
      </c>
      <c r="G235" t="s">
        <v>706</v>
      </c>
      <c r="H235" t="s">
        <v>710</v>
      </c>
      <c r="I235" t="s">
        <v>726</v>
      </c>
      <c r="J235" t="s">
        <v>732</v>
      </c>
      <c r="K235" t="s">
        <v>967</v>
      </c>
      <c r="L235">
        <v>195.54</v>
      </c>
      <c r="M235">
        <v>405.97</v>
      </c>
      <c r="N235">
        <v>0.187</v>
      </c>
      <c r="O235">
        <v>16</v>
      </c>
    </row>
    <row r="236" spans="1:15" x14ac:dyDescent="0.35">
      <c r="A236" t="s">
        <v>248</v>
      </c>
      <c r="B236" s="2">
        <v>44999</v>
      </c>
      <c r="C236" s="2">
        <v>45015</v>
      </c>
      <c r="D236" t="s">
        <v>646</v>
      </c>
      <c r="E236" t="s">
        <v>661</v>
      </c>
      <c r="F236" t="s">
        <v>695</v>
      </c>
      <c r="G236" t="s">
        <v>704</v>
      </c>
      <c r="H236" t="s">
        <v>710</v>
      </c>
      <c r="I236" t="s">
        <v>723</v>
      </c>
      <c r="J236" t="s">
        <v>727</v>
      </c>
      <c r="K236" t="s">
        <v>968</v>
      </c>
      <c r="L236">
        <v>1309.77</v>
      </c>
      <c r="M236">
        <v>1589.07</v>
      </c>
      <c r="N236">
        <v>0.10199999999999999</v>
      </c>
      <c r="O236">
        <v>10</v>
      </c>
    </row>
    <row r="237" spans="1:15" x14ac:dyDescent="0.35">
      <c r="A237" t="s">
        <v>249</v>
      </c>
      <c r="B237" s="2">
        <v>45302</v>
      </c>
      <c r="C237" s="2">
        <v>45324</v>
      </c>
      <c r="D237" t="s">
        <v>647</v>
      </c>
      <c r="E237" t="s">
        <v>652</v>
      </c>
      <c r="F237" t="s">
        <v>694</v>
      </c>
      <c r="G237" t="s">
        <v>705</v>
      </c>
      <c r="H237" t="s">
        <v>708</v>
      </c>
      <c r="J237" t="s">
        <v>728</v>
      </c>
      <c r="K237" t="s">
        <v>969</v>
      </c>
      <c r="L237">
        <v>1237.68</v>
      </c>
      <c r="M237">
        <v>1432.8</v>
      </c>
      <c r="N237">
        <v>6.8000000000000005E-2</v>
      </c>
      <c r="O237">
        <v>13</v>
      </c>
    </row>
    <row r="238" spans="1:15" x14ac:dyDescent="0.35">
      <c r="A238" t="s">
        <v>250</v>
      </c>
      <c r="B238" s="2">
        <v>45548</v>
      </c>
      <c r="C238" s="2">
        <v>45567</v>
      </c>
      <c r="D238" t="s">
        <v>646</v>
      </c>
      <c r="E238" t="s">
        <v>650</v>
      </c>
      <c r="F238" t="s">
        <v>675</v>
      </c>
      <c r="G238" t="s">
        <v>705</v>
      </c>
      <c r="H238" t="s">
        <v>707</v>
      </c>
      <c r="I238" t="s">
        <v>724</v>
      </c>
      <c r="J238" t="s">
        <v>730</v>
      </c>
      <c r="K238" t="s">
        <v>970</v>
      </c>
      <c r="L238">
        <v>1338.99</v>
      </c>
      <c r="M238">
        <v>1765.76</v>
      </c>
      <c r="N238">
        <v>0.126</v>
      </c>
      <c r="O238">
        <v>24</v>
      </c>
    </row>
    <row r="239" spans="1:15" x14ac:dyDescent="0.35">
      <c r="A239" t="s">
        <v>251</v>
      </c>
      <c r="B239" s="2">
        <v>45855</v>
      </c>
      <c r="C239" s="2">
        <v>45861</v>
      </c>
      <c r="D239" t="s">
        <v>648</v>
      </c>
      <c r="E239" t="s">
        <v>653</v>
      </c>
      <c r="F239" t="s">
        <v>688</v>
      </c>
      <c r="G239" t="s">
        <v>704</v>
      </c>
      <c r="H239" t="s">
        <v>708</v>
      </c>
      <c r="I239" t="s">
        <v>722</v>
      </c>
      <c r="J239" t="s">
        <v>727</v>
      </c>
      <c r="K239" t="s">
        <v>971</v>
      </c>
      <c r="L239">
        <v>1364.89</v>
      </c>
      <c r="M239">
        <v>2757.54</v>
      </c>
      <c r="N239">
        <v>0.17199999999999999</v>
      </c>
      <c r="O239">
        <v>61</v>
      </c>
    </row>
    <row r="240" spans="1:15" x14ac:dyDescent="0.35">
      <c r="A240" t="s">
        <v>252</v>
      </c>
      <c r="B240" s="2">
        <v>45258</v>
      </c>
      <c r="C240" s="2">
        <v>45267</v>
      </c>
      <c r="D240" t="s">
        <v>647</v>
      </c>
      <c r="E240" t="s">
        <v>654</v>
      </c>
      <c r="F240" t="s">
        <v>680</v>
      </c>
      <c r="G240" t="s">
        <v>706</v>
      </c>
      <c r="H240" t="s">
        <v>709</v>
      </c>
      <c r="I240" t="s">
        <v>716</v>
      </c>
      <c r="J240" t="s">
        <v>730</v>
      </c>
      <c r="K240" t="s">
        <v>972</v>
      </c>
      <c r="L240">
        <v>699.33</v>
      </c>
      <c r="M240">
        <v>873.75</v>
      </c>
      <c r="N240">
        <v>0.23499999999999999</v>
      </c>
      <c r="O240">
        <v>10</v>
      </c>
    </row>
    <row r="241" spans="1:15" x14ac:dyDescent="0.35">
      <c r="A241" t="s">
        <v>253</v>
      </c>
      <c r="B241" s="2">
        <v>45381</v>
      </c>
      <c r="C241" s="2">
        <v>45406</v>
      </c>
      <c r="D241" t="s">
        <v>648</v>
      </c>
      <c r="E241" t="s">
        <v>660</v>
      </c>
      <c r="F241" t="s">
        <v>697</v>
      </c>
      <c r="G241" t="s">
        <v>703</v>
      </c>
      <c r="H241" t="s">
        <v>708</v>
      </c>
      <c r="I241" t="s">
        <v>715</v>
      </c>
      <c r="J241" t="s">
        <v>731</v>
      </c>
      <c r="K241" t="s">
        <v>973</v>
      </c>
      <c r="L241">
        <v>160.82</v>
      </c>
      <c r="M241">
        <v>258.52</v>
      </c>
      <c r="N241">
        <v>0.13</v>
      </c>
      <c r="O241">
        <v>17</v>
      </c>
    </row>
    <row r="242" spans="1:15" x14ac:dyDescent="0.35">
      <c r="A242" t="s">
        <v>254</v>
      </c>
      <c r="B242" s="2">
        <v>45188</v>
      </c>
      <c r="C242" s="2">
        <v>45207</v>
      </c>
      <c r="D242" t="s">
        <v>647</v>
      </c>
      <c r="E242" t="s">
        <v>654</v>
      </c>
      <c r="F242" t="s">
        <v>668</v>
      </c>
      <c r="G242" t="s">
        <v>702</v>
      </c>
      <c r="H242" t="s">
        <v>711</v>
      </c>
      <c r="I242" t="s">
        <v>713</v>
      </c>
      <c r="J242" t="s">
        <v>728</v>
      </c>
      <c r="K242" t="s">
        <v>974</v>
      </c>
      <c r="L242">
        <v>385.32</v>
      </c>
      <c r="M242">
        <v>606.76</v>
      </c>
      <c r="N242">
        <v>8.5999999999999993E-2</v>
      </c>
      <c r="O242">
        <v>8</v>
      </c>
    </row>
    <row r="243" spans="1:15" x14ac:dyDescent="0.35">
      <c r="A243" t="s">
        <v>255</v>
      </c>
      <c r="B243" s="2">
        <v>45793</v>
      </c>
      <c r="C243" s="2">
        <v>45804</v>
      </c>
      <c r="D243" t="s">
        <v>647</v>
      </c>
      <c r="E243" t="s">
        <v>659</v>
      </c>
      <c r="F243" t="s">
        <v>699</v>
      </c>
      <c r="G243" t="s">
        <v>706</v>
      </c>
      <c r="H243" t="s">
        <v>708</v>
      </c>
      <c r="I243" t="s">
        <v>721</v>
      </c>
      <c r="J243" t="s">
        <v>730</v>
      </c>
      <c r="K243" t="s">
        <v>975</v>
      </c>
      <c r="L243">
        <v>918.12</v>
      </c>
      <c r="M243">
        <v>1337.69</v>
      </c>
      <c r="N243">
        <v>9.5000000000000001E-2</v>
      </c>
      <c r="O243">
        <v>8</v>
      </c>
    </row>
    <row r="244" spans="1:15" x14ac:dyDescent="0.35">
      <c r="A244" t="s">
        <v>256</v>
      </c>
      <c r="B244" s="2">
        <v>45871</v>
      </c>
      <c r="C244" s="2">
        <v>45877</v>
      </c>
      <c r="D244" t="s">
        <v>647</v>
      </c>
      <c r="E244" t="s">
        <v>652</v>
      </c>
      <c r="F244" t="s">
        <v>666</v>
      </c>
      <c r="G244" t="s">
        <v>704</v>
      </c>
      <c r="H244" t="s">
        <v>711</v>
      </c>
      <c r="I244" t="s">
        <v>725</v>
      </c>
      <c r="J244" t="s">
        <v>731</v>
      </c>
      <c r="K244" t="s">
        <v>976</v>
      </c>
      <c r="L244">
        <v>1225.94</v>
      </c>
      <c r="M244">
        <v>1793.08</v>
      </c>
      <c r="N244">
        <v>0.13600000000000001</v>
      </c>
      <c r="O244">
        <v>22</v>
      </c>
    </row>
    <row r="245" spans="1:15" x14ac:dyDescent="0.35">
      <c r="A245" t="s">
        <v>257</v>
      </c>
      <c r="B245" s="2">
        <v>45630</v>
      </c>
      <c r="C245" s="2">
        <v>45638</v>
      </c>
      <c r="D245" t="s">
        <v>649</v>
      </c>
      <c r="E245" t="s">
        <v>656</v>
      </c>
      <c r="F245" t="s">
        <v>698</v>
      </c>
      <c r="G245" t="s">
        <v>706</v>
      </c>
      <c r="H245" t="s">
        <v>709</v>
      </c>
      <c r="I245" t="s">
        <v>717</v>
      </c>
      <c r="J245" t="s">
        <v>728</v>
      </c>
      <c r="K245" t="s">
        <v>977</v>
      </c>
      <c r="L245">
        <v>72.06</v>
      </c>
      <c r="M245">
        <v>122.74</v>
      </c>
      <c r="N245">
        <v>0.23799999999999999</v>
      </c>
      <c r="O245">
        <v>8</v>
      </c>
    </row>
    <row r="246" spans="1:15" x14ac:dyDescent="0.35">
      <c r="A246" t="s">
        <v>258</v>
      </c>
      <c r="B246" s="2">
        <v>45035</v>
      </c>
      <c r="C246" s="2">
        <v>45044</v>
      </c>
      <c r="D246" t="s">
        <v>648</v>
      </c>
      <c r="E246" t="s">
        <v>655</v>
      </c>
      <c r="F246" t="s">
        <v>692</v>
      </c>
      <c r="G246" t="s">
        <v>701</v>
      </c>
      <c r="H246" t="s">
        <v>710</v>
      </c>
      <c r="I246" t="s">
        <v>724</v>
      </c>
      <c r="J246" t="s">
        <v>730</v>
      </c>
      <c r="K246" t="s">
        <v>978</v>
      </c>
      <c r="L246">
        <v>1013.54</v>
      </c>
      <c r="M246">
        <v>927.93</v>
      </c>
      <c r="N246">
        <v>0.17499999999999999</v>
      </c>
      <c r="O246">
        <v>16</v>
      </c>
    </row>
    <row r="247" spans="1:15" x14ac:dyDescent="0.35">
      <c r="A247" t="s">
        <v>259</v>
      </c>
      <c r="B247" s="2">
        <v>45357</v>
      </c>
      <c r="C247" s="2">
        <v>45377</v>
      </c>
      <c r="D247" t="s">
        <v>646</v>
      </c>
      <c r="E247" t="s">
        <v>651</v>
      </c>
      <c r="F247" t="s">
        <v>663</v>
      </c>
      <c r="G247" t="s">
        <v>704</v>
      </c>
      <c r="H247" t="s">
        <v>709</v>
      </c>
      <c r="I247" t="s">
        <v>714</v>
      </c>
      <c r="J247" t="s">
        <v>730</v>
      </c>
      <c r="K247" t="s">
        <v>979</v>
      </c>
      <c r="L247">
        <v>65.64</v>
      </c>
      <c r="M247">
        <v>151.88</v>
      </c>
      <c r="N247">
        <v>0.16700000000000001</v>
      </c>
      <c r="O247">
        <v>23</v>
      </c>
    </row>
    <row r="248" spans="1:15" x14ac:dyDescent="0.35">
      <c r="A248" t="s">
        <v>260</v>
      </c>
      <c r="B248" s="2">
        <v>45338</v>
      </c>
      <c r="C248" s="2">
        <v>45355</v>
      </c>
      <c r="D248" t="s">
        <v>648</v>
      </c>
      <c r="E248" t="s">
        <v>653</v>
      </c>
      <c r="F248" t="s">
        <v>681</v>
      </c>
      <c r="G248" t="s">
        <v>703</v>
      </c>
      <c r="H248" t="s">
        <v>707</v>
      </c>
      <c r="I248" t="s">
        <v>726</v>
      </c>
      <c r="J248" t="s">
        <v>731</v>
      </c>
      <c r="K248" t="s">
        <v>980</v>
      </c>
      <c r="L248">
        <v>1350.98</v>
      </c>
      <c r="M248">
        <v>2210.4</v>
      </c>
      <c r="N248">
        <v>0.26300000000000001</v>
      </c>
      <c r="O248">
        <v>6</v>
      </c>
    </row>
    <row r="249" spans="1:15" x14ac:dyDescent="0.35">
      <c r="A249" t="s">
        <v>261</v>
      </c>
      <c r="B249" s="2">
        <v>45769</v>
      </c>
      <c r="C249" s="2">
        <v>45779</v>
      </c>
      <c r="D249" t="s">
        <v>649</v>
      </c>
      <c r="E249" t="s">
        <v>656</v>
      </c>
      <c r="F249" t="s">
        <v>671</v>
      </c>
      <c r="G249" t="s">
        <v>701</v>
      </c>
      <c r="H249" t="s">
        <v>709</v>
      </c>
      <c r="I249" t="s">
        <v>712</v>
      </c>
      <c r="J249" t="s">
        <v>732</v>
      </c>
      <c r="K249" t="s">
        <v>981</v>
      </c>
      <c r="L249">
        <v>20.149999999999999</v>
      </c>
      <c r="M249">
        <v>39.74</v>
      </c>
      <c r="N249">
        <v>0.151</v>
      </c>
      <c r="O249">
        <v>18</v>
      </c>
    </row>
    <row r="250" spans="1:15" x14ac:dyDescent="0.35">
      <c r="A250" t="s">
        <v>262</v>
      </c>
      <c r="B250" s="2">
        <v>45604</v>
      </c>
      <c r="C250" s="2">
        <v>45604</v>
      </c>
      <c r="D250" t="s">
        <v>646</v>
      </c>
      <c r="E250" t="s">
        <v>650</v>
      </c>
      <c r="F250" t="s">
        <v>678</v>
      </c>
      <c r="G250" t="s">
        <v>706</v>
      </c>
      <c r="H250" t="s">
        <v>709</v>
      </c>
      <c r="I250" t="s">
        <v>724</v>
      </c>
      <c r="J250" t="s">
        <v>729</v>
      </c>
      <c r="K250" t="s">
        <v>982</v>
      </c>
      <c r="L250">
        <v>803.28</v>
      </c>
      <c r="M250">
        <v>1009</v>
      </c>
      <c r="N250">
        <v>0.11</v>
      </c>
      <c r="O250">
        <v>4</v>
      </c>
    </row>
    <row r="251" spans="1:15" x14ac:dyDescent="0.35">
      <c r="A251" t="s">
        <v>263</v>
      </c>
      <c r="B251" s="2">
        <v>45912</v>
      </c>
      <c r="C251" s="2">
        <v>45930</v>
      </c>
      <c r="D251" t="s">
        <v>647</v>
      </c>
      <c r="E251" t="s">
        <v>652</v>
      </c>
      <c r="F251" t="s">
        <v>694</v>
      </c>
      <c r="G251" t="s">
        <v>703</v>
      </c>
      <c r="H251" t="s">
        <v>709</v>
      </c>
      <c r="I251" t="s">
        <v>721</v>
      </c>
      <c r="J251" t="s">
        <v>732</v>
      </c>
      <c r="K251" t="s">
        <v>983</v>
      </c>
      <c r="L251">
        <v>1212.99</v>
      </c>
      <c r="M251">
        <v>1653.64</v>
      </c>
      <c r="N251">
        <v>0.107</v>
      </c>
      <c r="O251">
        <v>8</v>
      </c>
    </row>
    <row r="252" spans="1:15" x14ac:dyDescent="0.35">
      <c r="A252" t="s">
        <v>264</v>
      </c>
      <c r="B252" s="2">
        <v>45537</v>
      </c>
      <c r="C252" s="2">
        <v>45543</v>
      </c>
      <c r="D252" t="s">
        <v>648</v>
      </c>
      <c r="E252" t="s">
        <v>660</v>
      </c>
      <c r="F252" t="s">
        <v>697</v>
      </c>
      <c r="G252" t="s">
        <v>704</v>
      </c>
      <c r="H252" t="s">
        <v>711</v>
      </c>
      <c r="I252" t="s">
        <v>722</v>
      </c>
      <c r="J252" t="s">
        <v>727</v>
      </c>
      <c r="K252" t="s">
        <v>984</v>
      </c>
      <c r="L252">
        <v>462.94</v>
      </c>
      <c r="M252">
        <v>1015.7</v>
      </c>
      <c r="N252">
        <v>0.14299999999999999</v>
      </c>
      <c r="O252">
        <v>14</v>
      </c>
    </row>
    <row r="253" spans="1:15" x14ac:dyDescent="0.35">
      <c r="A253" t="s">
        <v>265</v>
      </c>
      <c r="B253" s="2">
        <v>44989</v>
      </c>
      <c r="C253" s="2">
        <v>45009</v>
      </c>
      <c r="D253" t="s">
        <v>648</v>
      </c>
      <c r="E253" t="s">
        <v>653</v>
      </c>
      <c r="F253" t="s">
        <v>681</v>
      </c>
      <c r="G253" t="s">
        <v>704</v>
      </c>
      <c r="H253" t="s">
        <v>710</v>
      </c>
      <c r="I253" t="s">
        <v>714</v>
      </c>
      <c r="J253" t="s">
        <v>731</v>
      </c>
      <c r="K253" t="s">
        <v>985</v>
      </c>
      <c r="L253">
        <v>481.71</v>
      </c>
      <c r="M253">
        <v>912.45</v>
      </c>
      <c r="N253">
        <v>0.20300000000000001</v>
      </c>
      <c r="O253">
        <v>24</v>
      </c>
    </row>
    <row r="254" spans="1:15" x14ac:dyDescent="0.35">
      <c r="A254" t="s">
        <v>266</v>
      </c>
      <c r="B254" s="2">
        <v>45366</v>
      </c>
      <c r="C254" s="2">
        <v>45391</v>
      </c>
      <c r="D254" t="s">
        <v>648</v>
      </c>
      <c r="E254" t="s">
        <v>653</v>
      </c>
      <c r="F254" t="s">
        <v>688</v>
      </c>
      <c r="G254" t="s">
        <v>704</v>
      </c>
      <c r="H254" t="s">
        <v>708</v>
      </c>
      <c r="I254" t="s">
        <v>721</v>
      </c>
      <c r="J254" t="s">
        <v>732</v>
      </c>
      <c r="K254" t="s">
        <v>986</v>
      </c>
      <c r="L254">
        <v>648.64</v>
      </c>
      <c r="M254">
        <v>815.19</v>
      </c>
      <c r="N254">
        <v>0.22500000000000001</v>
      </c>
      <c r="O254">
        <v>28</v>
      </c>
    </row>
    <row r="255" spans="1:15" x14ac:dyDescent="0.35">
      <c r="A255" t="s">
        <v>267</v>
      </c>
      <c r="B255" s="2">
        <v>45502</v>
      </c>
      <c r="C255" s="2">
        <v>45504</v>
      </c>
      <c r="D255" t="s">
        <v>648</v>
      </c>
      <c r="E255" t="s">
        <v>660</v>
      </c>
      <c r="F255" t="s">
        <v>700</v>
      </c>
      <c r="G255" t="s">
        <v>702</v>
      </c>
      <c r="H255" t="s">
        <v>709</v>
      </c>
      <c r="I255" t="s">
        <v>714</v>
      </c>
      <c r="J255" t="s">
        <v>728</v>
      </c>
      <c r="K255" t="s">
        <v>987</v>
      </c>
      <c r="L255">
        <v>798.97</v>
      </c>
      <c r="M255">
        <v>1814.06</v>
      </c>
      <c r="N255">
        <v>0.122</v>
      </c>
      <c r="O255">
        <v>16</v>
      </c>
    </row>
    <row r="256" spans="1:15" x14ac:dyDescent="0.35">
      <c r="A256" t="s">
        <v>268</v>
      </c>
      <c r="B256" s="2">
        <v>45592</v>
      </c>
      <c r="C256" s="2">
        <v>45616</v>
      </c>
      <c r="D256" t="s">
        <v>647</v>
      </c>
      <c r="E256" t="s">
        <v>652</v>
      </c>
      <c r="F256" t="s">
        <v>694</v>
      </c>
      <c r="G256" t="s">
        <v>703</v>
      </c>
      <c r="H256" t="s">
        <v>708</v>
      </c>
      <c r="I256" t="s">
        <v>722</v>
      </c>
      <c r="J256" t="s">
        <v>732</v>
      </c>
      <c r="K256" t="s">
        <v>988</v>
      </c>
      <c r="L256">
        <v>317.25</v>
      </c>
      <c r="M256">
        <v>758.92</v>
      </c>
      <c r="N256">
        <v>5.2999999999999999E-2</v>
      </c>
      <c r="O256">
        <v>9</v>
      </c>
    </row>
    <row r="257" spans="1:15" x14ac:dyDescent="0.35">
      <c r="A257" t="s">
        <v>269</v>
      </c>
      <c r="B257" s="2">
        <v>45411</v>
      </c>
      <c r="C257" s="2">
        <v>45431</v>
      </c>
      <c r="D257" t="s">
        <v>649</v>
      </c>
      <c r="E257" t="s">
        <v>656</v>
      </c>
      <c r="F257" t="s">
        <v>698</v>
      </c>
      <c r="G257" t="s">
        <v>706</v>
      </c>
      <c r="H257" t="s">
        <v>709</v>
      </c>
      <c r="I257" t="s">
        <v>712</v>
      </c>
      <c r="J257" t="s">
        <v>731</v>
      </c>
      <c r="K257" t="s">
        <v>989</v>
      </c>
      <c r="L257">
        <v>668.97</v>
      </c>
      <c r="M257">
        <v>1667.44</v>
      </c>
      <c r="N257">
        <v>3.4000000000000002E-2</v>
      </c>
      <c r="O257">
        <v>15</v>
      </c>
    </row>
    <row r="258" spans="1:15" x14ac:dyDescent="0.35">
      <c r="A258" t="s">
        <v>270</v>
      </c>
      <c r="B258" s="2">
        <v>45204</v>
      </c>
      <c r="C258" s="2">
        <v>45205</v>
      </c>
      <c r="D258" t="s">
        <v>647</v>
      </c>
      <c r="E258" t="s">
        <v>654</v>
      </c>
      <c r="F258" t="s">
        <v>668</v>
      </c>
      <c r="G258" t="s">
        <v>703</v>
      </c>
      <c r="H258" t="s">
        <v>708</v>
      </c>
      <c r="I258" t="s">
        <v>714</v>
      </c>
      <c r="J258" t="s">
        <v>727</v>
      </c>
      <c r="K258" t="s">
        <v>990</v>
      </c>
      <c r="L258">
        <v>1470.26</v>
      </c>
      <c r="M258">
        <v>2562.5500000000002</v>
      </c>
      <c r="N258">
        <v>0.17299999999999999</v>
      </c>
      <c r="O258">
        <v>9</v>
      </c>
    </row>
    <row r="259" spans="1:15" x14ac:dyDescent="0.35">
      <c r="A259" t="s">
        <v>271</v>
      </c>
      <c r="B259" s="2">
        <v>45035</v>
      </c>
      <c r="C259" s="2">
        <v>45053</v>
      </c>
      <c r="D259" t="s">
        <v>649</v>
      </c>
      <c r="E259" t="s">
        <v>658</v>
      </c>
      <c r="F259" t="s">
        <v>683</v>
      </c>
      <c r="G259" t="s">
        <v>703</v>
      </c>
      <c r="H259" t="s">
        <v>711</v>
      </c>
      <c r="I259" t="s">
        <v>722</v>
      </c>
      <c r="J259" t="s">
        <v>729</v>
      </c>
      <c r="K259" t="s">
        <v>991</v>
      </c>
      <c r="L259">
        <v>516.96</v>
      </c>
      <c r="M259">
        <v>745.38</v>
      </c>
      <c r="N259">
        <v>0.19700000000000001</v>
      </c>
      <c r="O259">
        <v>4</v>
      </c>
    </row>
    <row r="260" spans="1:15" x14ac:dyDescent="0.35">
      <c r="A260" t="s">
        <v>272</v>
      </c>
      <c r="B260" s="2">
        <v>45835</v>
      </c>
      <c r="C260" s="2">
        <v>45843</v>
      </c>
      <c r="D260" t="s">
        <v>649</v>
      </c>
      <c r="E260" t="s">
        <v>656</v>
      </c>
      <c r="F260" t="s">
        <v>684</v>
      </c>
      <c r="G260" t="s">
        <v>705</v>
      </c>
      <c r="H260" t="s">
        <v>711</v>
      </c>
      <c r="I260" t="s">
        <v>715</v>
      </c>
      <c r="J260" t="s">
        <v>732</v>
      </c>
      <c r="K260" t="s">
        <v>992</v>
      </c>
      <c r="L260">
        <v>314.93</v>
      </c>
      <c r="M260">
        <v>687.95</v>
      </c>
      <c r="N260">
        <v>0.20499999999999999</v>
      </c>
      <c r="O260">
        <v>8</v>
      </c>
    </row>
    <row r="261" spans="1:15" x14ac:dyDescent="0.35">
      <c r="A261" t="s">
        <v>273</v>
      </c>
      <c r="B261" s="2">
        <v>45210</v>
      </c>
      <c r="C261" s="2">
        <v>45212</v>
      </c>
      <c r="D261" t="s">
        <v>648</v>
      </c>
      <c r="E261" t="s">
        <v>655</v>
      </c>
      <c r="F261" t="s">
        <v>672</v>
      </c>
      <c r="G261" t="s">
        <v>704</v>
      </c>
      <c r="H261" t="s">
        <v>710</v>
      </c>
      <c r="J261" t="s">
        <v>733</v>
      </c>
      <c r="K261" t="s">
        <v>993</v>
      </c>
      <c r="L261">
        <v>715.94</v>
      </c>
      <c r="M261">
        <v>550.07000000000005</v>
      </c>
      <c r="N261">
        <v>0.14000000000000001</v>
      </c>
      <c r="O261">
        <v>16</v>
      </c>
    </row>
    <row r="262" spans="1:15" x14ac:dyDescent="0.35">
      <c r="A262" t="s">
        <v>274</v>
      </c>
      <c r="B262" s="2">
        <v>45066</v>
      </c>
      <c r="C262" s="2">
        <v>45084</v>
      </c>
      <c r="D262" t="s">
        <v>646</v>
      </c>
      <c r="E262" t="s">
        <v>651</v>
      </c>
      <c r="F262" t="s">
        <v>663</v>
      </c>
      <c r="G262" t="s">
        <v>706</v>
      </c>
      <c r="H262" t="s">
        <v>710</v>
      </c>
      <c r="I262" t="s">
        <v>718</v>
      </c>
      <c r="J262" t="s">
        <v>727</v>
      </c>
      <c r="K262" t="s">
        <v>994</v>
      </c>
      <c r="L262">
        <v>1120.06</v>
      </c>
      <c r="M262">
        <v>2068.21</v>
      </c>
      <c r="N262">
        <v>7.8E-2</v>
      </c>
      <c r="O262">
        <v>12</v>
      </c>
    </row>
    <row r="263" spans="1:15" x14ac:dyDescent="0.35">
      <c r="A263" t="s">
        <v>275</v>
      </c>
      <c r="B263" s="2">
        <v>45073</v>
      </c>
      <c r="C263" s="2">
        <v>45096</v>
      </c>
      <c r="D263" t="s">
        <v>649</v>
      </c>
      <c r="E263" t="s">
        <v>656</v>
      </c>
      <c r="F263" t="s">
        <v>671</v>
      </c>
      <c r="G263" t="s">
        <v>702</v>
      </c>
      <c r="H263" t="s">
        <v>707</v>
      </c>
      <c r="I263" t="s">
        <v>719</v>
      </c>
      <c r="J263" t="s">
        <v>733</v>
      </c>
      <c r="K263" t="s">
        <v>995</v>
      </c>
      <c r="L263">
        <v>1471.58</v>
      </c>
      <c r="M263">
        <v>2576.65</v>
      </c>
      <c r="N263">
        <v>4.0000000000000001E-3</v>
      </c>
      <c r="O263">
        <v>7</v>
      </c>
    </row>
    <row r="264" spans="1:15" x14ac:dyDescent="0.35">
      <c r="A264" t="s">
        <v>276</v>
      </c>
      <c r="B264" s="2">
        <v>45142</v>
      </c>
      <c r="C264" s="2">
        <v>45162</v>
      </c>
      <c r="D264" t="s">
        <v>648</v>
      </c>
      <c r="E264" t="s">
        <v>655</v>
      </c>
      <c r="F264" t="s">
        <v>672</v>
      </c>
      <c r="G264" t="s">
        <v>703</v>
      </c>
      <c r="H264" t="s">
        <v>711</v>
      </c>
      <c r="J264" t="s">
        <v>729</v>
      </c>
      <c r="K264" t="s">
        <v>996</v>
      </c>
      <c r="L264">
        <v>582.88</v>
      </c>
      <c r="M264">
        <v>1044.1400000000001</v>
      </c>
      <c r="N264">
        <v>0.216</v>
      </c>
      <c r="O264">
        <v>10</v>
      </c>
    </row>
    <row r="265" spans="1:15" x14ac:dyDescent="0.35">
      <c r="A265" t="s">
        <v>277</v>
      </c>
      <c r="B265" s="2">
        <v>45829</v>
      </c>
      <c r="C265" s="2">
        <v>45835</v>
      </c>
      <c r="D265" t="s">
        <v>646</v>
      </c>
      <c r="E265" t="s">
        <v>661</v>
      </c>
      <c r="F265" t="s">
        <v>687</v>
      </c>
      <c r="G265" t="s">
        <v>706</v>
      </c>
      <c r="H265" t="s">
        <v>710</v>
      </c>
      <c r="I265" t="s">
        <v>725</v>
      </c>
      <c r="J265" t="s">
        <v>730</v>
      </c>
      <c r="K265" t="s">
        <v>997</v>
      </c>
      <c r="L265">
        <v>93.91</v>
      </c>
      <c r="M265">
        <v>99.04</v>
      </c>
      <c r="N265">
        <v>5.7000000000000002E-2</v>
      </c>
      <c r="O265">
        <v>6</v>
      </c>
    </row>
    <row r="266" spans="1:15" x14ac:dyDescent="0.35">
      <c r="A266" t="s">
        <v>278</v>
      </c>
      <c r="B266" s="2">
        <v>45763</v>
      </c>
      <c r="C266" s="2">
        <v>45773</v>
      </c>
      <c r="D266" t="s">
        <v>646</v>
      </c>
      <c r="E266" t="s">
        <v>651</v>
      </c>
      <c r="F266" t="s">
        <v>663</v>
      </c>
      <c r="G266" t="s">
        <v>706</v>
      </c>
      <c r="H266" t="s">
        <v>709</v>
      </c>
      <c r="I266" t="s">
        <v>721</v>
      </c>
      <c r="J266" t="s">
        <v>731</v>
      </c>
      <c r="K266" t="s">
        <v>998</v>
      </c>
      <c r="L266">
        <v>1457.44</v>
      </c>
      <c r="M266">
        <v>1996.81</v>
      </c>
      <c r="N266">
        <v>0.126</v>
      </c>
      <c r="O266">
        <v>23</v>
      </c>
    </row>
    <row r="267" spans="1:15" x14ac:dyDescent="0.35">
      <c r="A267" t="s">
        <v>279</v>
      </c>
      <c r="B267" s="2">
        <v>45902</v>
      </c>
      <c r="C267" s="2">
        <v>45911</v>
      </c>
      <c r="D267" t="s">
        <v>648</v>
      </c>
      <c r="E267" t="s">
        <v>653</v>
      </c>
      <c r="F267" t="s">
        <v>667</v>
      </c>
      <c r="G267" t="s">
        <v>701</v>
      </c>
      <c r="H267" t="s">
        <v>710</v>
      </c>
      <c r="I267" t="s">
        <v>724</v>
      </c>
      <c r="J267" t="s">
        <v>728</v>
      </c>
      <c r="K267" t="s">
        <v>999</v>
      </c>
      <c r="L267">
        <v>1207.6300000000001</v>
      </c>
      <c r="M267">
        <v>921.68</v>
      </c>
      <c r="N267">
        <v>0.19600000000000001</v>
      </c>
      <c r="O267">
        <v>17</v>
      </c>
    </row>
    <row r="268" spans="1:15" x14ac:dyDescent="0.35">
      <c r="A268" t="s">
        <v>280</v>
      </c>
      <c r="B268" s="2">
        <v>45573</v>
      </c>
      <c r="C268" s="2">
        <v>45573</v>
      </c>
      <c r="D268" t="s">
        <v>649</v>
      </c>
      <c r="E268" t="s">
        <v>658</v>
      </c>
      <c r="F268" t="s">
        <v>683</v>
      </c>
      <c r="G268" t="s">
        <v>701</v>
      </c>
      <c r="H268" t="s">
        <v>708</v>
      </c>
      <c r="I268" t="s">
        <v>718</v>
      </c>
      <c r="J268" t="s">
        <v>732</v>
      </c>
      <c r="K268" t="s">
        <v>1000</v>
      </c>
      <c r="L268">
        <v>1108.1099999999999</v>
      </c>
      <c r="M268">
        <v>2503.79</v>
      </c>
      <c r="N268">
        <v>0.184</v>
      </c>
      <c r="O268">
        <v>19</v>
      </c>
    </row>
    <row r="269" spans="1:15" x14ac:dyDescent="0.35">
      <c r="A269" t="s">
        <v>281</v>
      </c>
      <c r="B269" s="2">
        <v>45053</v>
      </c>
      <c r="C269" s="2">
        <v>45051</v>
      </c>
      <c r="D269" t="s">
        <v>646</v>
      </c>
      <c r="E269" t="s">
        <v>651</v>
      </c>
      <c r="F269" t="s">
        <v>663</v>
      </c>
      <c r="G269" t="s">
        <v>703</v>
      </c>
      <c r="H269" t="s">
        <v>709</v>
      </c>
      <c r="I269" t="s">
        <v>720</v>
      </c>
      <c r="J269" t="s">
        <v>727</v>
      </c>
      <c r="K269" t="s">
        <v>1001</v>
      </c>
      <c r="L269">
        <v>1269.6500000000001</v>
      </c>
      <c r="M269">
        <v>2462.77</v>
      </c>
      <c r="N269">
        <v>0.107</v>
      </c>
      <c r="O269">
        <v>8</v>
      </c>
    </row>
    <row r="270" spans="1:15" x14ac:dyDescent="0.35">
      <c r="A270" t="s">
        <v>282</v>
      </c>
      <c r="B270" s="2">
        <v>45284</v>
      </c>
      <c r="C270" s="2">
        <v>45292</v>
      </c>
      <c r="D270" t="s">
        <v>648</v>
      </c>
      <c r="E270" t="s">
        <v>655</v>
      </c>
      <c r="F270" t="s">
        <v>670</v>
      </c>
      <c r="G270" t="s">
        <v>702</v>
      </c>
      <c r="H270" t="s">
        <v>711</v>
      </c>
      <c r="I270" t="s">
        <v>712</v>
      </c>
      <c r="J270" t="s">
        <v>730</v>
      </c>
      <c r="K270" t="s">
        <v>1002</v>
      </c>
      <c r="L270">
        <v>526.49</v>
      </c>
      <c r="M270">
        <v>496.2</v>
      </c>
      <c r="N270">
        <v>0</v>
      </c>
      <c r="O270">
        <v>14</v>
      </c>
    </row>
    <row r="271" spans="1:15" x14ac:dyDescent="0.35">
      <c r="A271" t="s">
        <v>283</v>
      </c>
      <c r="B271" s="2">
        <v>45301</v>
      </c>
      <c r="C271" s="2">
        <v>45314</v>
      </c>
      <c r="D271" t="s">
        <v>649</v>
      </c>
      <c r="E271" t="s">
        <v>657</v>
      </c>
      <c r="F271" t="s">
        <v>673</v>
      </c>
      <c r="G271" t="s">
        <v>701</v>
      </c>
      <c r="H271" t="s">
        <v>711</v>
      </c>
      <c r="I271" t="s">
        <v>720</v>
      </c>
      <c r="J271" t="s">
        <v>728</v>
      </c>
      <c r="K271" t="s">
        <v>1003</v>
      </c>
      <c r="L271">
        <v>720</v>
      </c>
      <c r="M271">
        <v>907.59</v>
      </c>
      <c r="N271">
        <v>0.154</v>
      </c>
      <c r="O271">
        <v>10</v>
      </c>
    </row>
    <row r="272" spans="1:15" x14ac:dyDescent="0.35">
      <c r="A272" t="s">
        <v>284</v>
      </c>
      <c r="B272" s="2">
        <v>45141</v>
      </c>
      <c r="C272" s="2">
        <v>45152</v>
      </c>
      <c r="D272" t="s">
        <v>648</v>
      </c>
      <c r="E272" t="s">
        <v>655</v>
      </c>
      <c r="F272" t="s">
        <v>672</v>
      </c>
      <c r="G272" t="s">
        <v>701</v>
      </c>
      <c r="H272" t="s">
        <v>711</v>
      </c>
      <c r="I272" t="s">
        <v>713</v>
      </c>
      <c r="J272" t="s">
        <v>733</v>
      </c>
      <c r="K272" t="s">
        <v>1004</v>
      </c>
      <c r="L272">
        <v>232.73</v>
      </c>
      <c r="M272">
        <v>334.19</v>
      </c>
      <c r="N272">
        <v>0.13400000000000001</v>
      </c>
      <c r="O272">
        <v>25</v>
      </c>
    </row>
    <row r="273" spans="1:15" x14ac:dyDescent="0.35">
      <c r="A273" t="s">
        <v>285</v>
      </c>
      <c r="B273" s="2">
        <v>45707</v>
      </c>
      <c r="C273" s="2">
        <v>45725</v>
      </c>
      <c r="D273" t="s">
        <v>647</v>
      </c>
      <c r="E273" t="s">
        <v>654</v>
      </c>
      <c r="F273" t="s">
        <v>680</v>
      </c>
      <c r="G273" t="s">
        <v>705</v>
      </c>
      <c r="H273" t="s">
        <v>711</v>
      </c>
      <c r="I273" t="s">
        <v>719</v>
      </c>
      <c r="J273" t="s">
        <v>732</v>
      </c>
      <c r="K273" t="s">
        <v>1005</v>
      </c>
      <c r="L273">
        <v>325.87</v>
      </c>
      <c r="M273">
        <v>538.79</v>
      </c>
      <c r="N273">
        <v>0.17399999999999999</v>
      </c>
      <c r="O273">
        <v>16</v>
      </c>
    </row>
    <row r="274" spans="1:15" x14ac:dyDescent="0.35">
      <c r="A274" t="s">
        <v>286</v>
      </c>
      <c r="B274" s="2">
        <v>45382</v>
      </c>
      <c r="C274" s="2">
        <v>45399</v>
      </c>
      <c r="D274" t="s">
        <v>649</v>
      </c>
      <c r="E274" t="s">
        <v>656</v>
      </c>
      <c r="F274" t="s">
        <v>698</v>
      </c>
      <c r="G274" t="s">
        <v>702</v>
      </c>
      <c r="H274" t="s">
        <v>711</v>
      </c>
      <c r="I274" t="s">
        <v>722</v>
      </c>
      <c r="J274" t="s">
        <v>732</v>
      </c>
      <c r="K274" t="s">
        <v>1006</v>
      </c>
      <c r="L274">
        <v>1025.51</v>
      </c>
      <c r="M274">
        <v>1436.54</v>
      </c>
      <c r="N274">
        <v>0.13900000000000001</v>
      </c>
      <c r="O274">
        <v>28</v>
      </c>
    </row>
    <row r="275" spans="1:15" x14ac:dyDescent="0.35">
      <c r="A275" t="s">
        <v>287</v>
      </c>
      <c r="B275" s="2">
        <v>45131</v>
      </c>
      <c r="C275" s="2">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x14ac:dyDescent="0.35">
      <c r="A276" t="s">
        <v>288</v>
      </c>
      <c r="B276" s="2">
        <v>45367</v>
      </c>
      <c r="C276" s="2">
        <v>45395</v>
      </c>
      <c r="D276" t="s">
        <v>649</v>
      </c>
      <c r="E276" t="s">
        <v>657</v>
      </c>
      <c r="F276" t="s">
        <v>690</v>
      </c>
      <c r="G276" t="s">
        <v>705</v>
      </c>
      <c r="H276" t="s">
        <v>708</v>
      </c>
      <c r="I276" t="s">
        <v>723</v>
      </c>
      <c r="J276" t="s">
        <v>728</v>
      </c>
      <c r="K276" t="s">
        <v>1008</v>
      </c>
      <c r="L276">
        <v>287.61</v>
      </c>
      <c r="M276">
        <v>628.54</v>
      </c>
      <c r="N276">
        <v>0.13500000000000001</v>
      </c>
      <c r="O276">
        <v>21</v>
      </c>
    </row>
    <row r="277" spans="1:15" x14ac:dyDescent="0.35">
      <c r="A277" t="s">
        <v>289</v>
      </c>
      <c r="B277" s="2">
        <v>45316</v>
      </c>
      <c r="C277" s="2">
        <v>45318</v>
      </c>
      <c r="D277" t="s">
        <v>648</v>
      </c>
      <c r="E277" t="s">
        <v>655</v>
      </c>
      <c r="F277" t="s">
        <v>670</v>
      </c>
      <c r="G277" t="s">
        <v>703</v>
      </c>
      <c r="H277" t="s">
        <v>709</v>
      </c>
      <c r="I277" t="s">
        <v>725</v>
      </c>
      <c r="J277" t="s">
        <v>731</v>
      </c>
      <c r="K277" t="s">
        <v>1009</v>
      </c>
      <c r="L277">
        <v>1410.97</v>
      </c>
      <c r="M277">
        <v>1650.75</v>
      </c>
      <c r="N277">
        <v>0.13500000000000001</v>
      </c>
      <c r="O277">
        <v>6</v>
      </c>
    </row>
    <row r="278" spans="1:15" x14ac:dyDescent="0.35">
      <c r="A278" t="s">
        <v>290</v>
      </c>
      <c r="B278" s="2">
        <v>45378</v>
      </c>
      <c r="C278" s="2">
        <v>45393</v>
      </c>
      <c r="D278" t="s">
        <v>648</v>
      </c>
      <c r="E278" t="s">
        <v>660</v>
      </c>
      <c r="F278" t="s">
        <v>686</v>
      </c>
      <c r="G278" t="s">
        <v>705</v>
      </c>
      <c r="H278" t="s">
        <v>711</v>
      </c>
      <c r="I278" t="s">
        <v>719</v>
      </c>
      <c r="J278" t="s">
        <v>729</v>
      </c>
      <c r="K278" t="s">
        <v>1010</v>
      </c>
      <c r="L278">
        <v>1338.35</v>
      </c>
      <c r="M278">
        <v>2247.14</v>
      </c>
      <c r="N278">
        <v>0.115</v>
      </c>
      <c r="O278">
        <v>40</v>
      </c>
    </row>
    <row r="279" spans="1:15" x14ac:dyDescent="0.35">
      <c r="A279" t="s">
        <v>291</v>
      </c>
      <c r="B279" s="2">
        <v>45832</v>
      </c>
      <c r="C279" s="2">
        <v>45852</v>
      </c>
      <c r="D279" t="s">
        <v>649</v>
      </c>
      <c r="E279" t="s">
        <v>656</v>
      </c>
      <c r="F279" t="s">
        <v>671</v>
      </c>
      <c r="G279" t="s">
        <v>701</v>
      </c>
      <c r="H279" t="s">
        <v>711</v>
      </c>
      <c r="I279" t="s">
        <v>719</v>
      </c>
      <c r="J279" t="s">
        <v>733</v>
      </c>
      <c r="K279" t="s">
        <v>1011</v>
      </c>
      <c r="L279">
        <v>385.08</v>
      </c>
      <c r="M279">
        <v>893.19</v>
      </c>
      <c r="N279">
        <v>0.151</v>
      </c>
      <c r="O279">
        <v>8</v>
      </c>
    </row>
    <row r="280" spans="1:15" x14ac:dyDescent="0.35">
      <c r="A280" t="s">
        <v>292</v>
      </c>
      <c r="B280" s="2">
        <v>45459</v>
      </c>
      <c r="C280" s="2">
        <v>45476</v>
      </c>
      <c r="D280" t="s">
        <v>646</v>
      </c>
      <c r="E280" t="s">
        <v>661</v>
      </c>
      <c r="F280" t="s">
        <v>682</v>
      </c>
      <c r="G280" t="s">
        <v>706</v>
      </c>
      <c r="H280" t="s">
        <v>709</v>
      </c>
      <c r="I280" t="s">
        <v>721</v>
      </c>
      <c r="J280" t="s">
        <v>730</v>
      </c>
      <c r="K280" t="s">
        <v>1012</v>
      </c>
      <c r="L280">
        <v>1173.83</v>
      </c>
      <c r="M280">
        <v>2328.9</v>
      </c>
      <c r="N280">
        <v>0.12</v>
      </c>
      <c r="O280">
        <v>17</v>
      </c>
    </row>
    <row r="281" spans="1:15" x14ac:dyDescent="0.35">
      <c r="A281" t="s">
        <v>293</v>
      </c>
      <c r="B281" s="2">
        <v>45229</v>
      </c>
      <c r="C281" s="2">
        <v>45244</v>
      </c>
      <c r="D281" t="s">
        <v>647</v>
      </c>
      <c r="E281" t="s">
        <v>654</v>
      </c>
      <c r="F281" t="s">
        <v>668</v>
      </c>
      <c r="G281" t="s">
        <v>701</v>
      </c>
      <c r="H281" t="s">
        <v>708</v>
      </c>
      <c r="I281" t="s">
        <v>721</v>
      </c>
      <c r="J281" t="s">
        <v>731</v>
      </c>
      <c r="K281" t="s">
        <v>1013</v>
      </c>
      <c r="L281">
        <v>953.46</v>
      </c>
      <c r="M281">
        <v>2066.75</v>
      </c>
      <c r="N281">
        <v>0.13800000000000001</v>
      </c>
      <c r="O281">
        <v>5</v>
      </c>
    </row>
    <row r="282" spans="1:15" x14ac:dyDescent="0.35">
      <c r="A282" t="s">
        <v>294</v>
      </c>
      <c r="B282" s="2">
        <v>45092</v>
      </c>
      <c r="C282" s="2">
        <v>45100</v>
      </c>
      <c r="D282" t="s">
        <v>648</v>
      </c>
      <c r="E282" t="s">
        <v>660</v>
      </c>
      <c r="F282" t="s">
        <v>686</v>
      </c>
      <c r="G282" t="s">
        <v>704</v>
      </c>
      <c r="H282" t="s">
        <v>710</v>
      </c>
      <c r="I282" t="s">
        <v>719</v>
      </c>
      <c r="J282" t="s">
        <v>732</v>
      </c>
      <c r="K282" t="s">
        <v>1014</v>
      </c>
      <c r="L282">
        <v>1097.0899999999999</v>
      </c>
      <c r="M282">
        <v>2182.31</v>
      </c>
      <c r="N282">
        <v>0.112</v>
      </c>
      <c r="O282">
        <v>9</v>
      </c>
    </row>
    <row r="283" spans="1:15" x14ac:dyDescent="0.35">
      <c r="A283" t="s">
        <v>295</v>
      </c>
      <c r="B283" s="2">
        <v>45730</v>
      </c>
      <c r="C283" s="2">
        <v>45745</v>
      </c>
      <c r="D283" t="s">
        <v>647</v>
      </c>
      <c r="E283" t="s">
        <v>652</v>
      </c>
      <c r="F283" t="s">
        <v>689</v>
      </c>
      <c r="G283" t="s">
        <v>703</v>
      </c>
      <c r="H283" t="s">
        <v>711</v>
      </c>
      <c r="I283" t="s">
        <v>722</v>
      </c>
      <c r="J283" t="s">
        <v>729</v>
      </c>
      <c r="K283" t="s">
        <v>1015</v>
      </c>
      <c r="L283">
        <v>1106.96</v>
      </c>
      <c r="M283">
        <v>2726.62</v>
      </c>
      <c r="N283">
        <v>0.317</v>
      </c>
      <c r="O283">
        <v>7</v>
      </c>
    </row>
    <row r="284" spans="1:15" x14ac:dyDescent="0.35">
      <c r="A284" t="s">
        <v>296</v>
      </c>
      <c r="B284" s="2">
        <v>45153</v>
      </c>
      <c r="C284" s="2">
        <v>45163</v>
      </c>
      <c r="D284" t="s">
        <v>646</v>
      </c>
      <c r="E284" t="s">
        <v>650</v>
      </c>
      <c r="F284" t="s">
        <v>664</v>
      </c>
      <c r="G284" t="s">
        <v>705</v>
      </c>
      <c r="H284" t="s">
        <v>707</v>
      </c>
      <c r="I284" t="s">
        <v>725</v>
      </c>
      <c r="J284" t="s">
        <v>730</v>
      </c>
      <c r="K284" t="s">
        <v>1016</v>
      </c>
      <c r="L284">
        <v>91.85</v>
      </c>
      <c r="M284">
        <v>111.29</v>
      </c>
      <c r="N284">
        <v>0</v>
      </c>
      <c r="O284">
        <v>6</v>
      </c>
    </row>
    <row r="285" spans="1:15" x14ac:dyDescent="0.35">
      <c r="A285" t="s">
        <v>297</v>
      </c>
      <c r="B285" s="2">
        <v>45794</v>
      </c>
      <c r="C285" s="2">
        <v>45805</v>
      </c>
      <c r="D285" t="s">
        <v>647</v>
      </c>
      <c r="E285" t="s">
        <v>654</v>
      </c>
      <c r="F285" t="s">
        <v>668</v>
      </c>
      <c r="G285" t="s">
        <v>701</v>
      </c>
      <c r="H285" t="s">
        <v>710</v>
      </c>
      <c r="I285" t="s">
        <v>717</v>
      </c>
      <c r="J285" t="s">
        <v>731</v>
      </c>
      <c r="K285" t="s">
        <v>1017</v>
      </c>
      <c r="L285">
        <v>623.4</v>
      </c>
      <c r="M285">
        <v>1100.0899999999999</v>
      </c>
      <c r="N285">
        <v>0.114</v>
      </c>
      <c r="O285">
        <v>12</v>
      </c>
    </row>
    <row r="286" spans="1:15" x14ac:dyDescent="0.35">
      <c r="A286" t="s">
        <v>298</v>
      </c>
      <c r="B286" s="2">
        <v>45304</v>
      </c>
      <c r="C286" s="2">
        <v>45327</v>
      </c>
      <c r="D286" t="s">
        <v>649</v>
      </c>
      <c r="E286" t="s">
        <v>656</v>
      </c>
      <c r="F286" t="s">
        <v>698</v>
      </c>
      <c r="G286" t="s">
        <v>702</v>
      </c>
      <c r="H286" t="s">
        <v>711</v>
      </c>
      <c r="I286" t="s">
        <v>717</v>
      </c>
      <c r="J286" t="s">
        <v>731</v>
      </c>
      <c r="K286" t="s">
        <v>1018</v>
      </c>
      <c r="L286">
        <v>1017.93</v>
      </c>
      <c r="M286">
        <v>1529.14</v>
      </c>
      <c r="N286">
        <v>0.155</v>
      </c>
      <c r="O286">
        <v>12</v>
      </c>
    </row>
    <row r="287" spans="1:15" x14ac:dyDescent="0.35">
      <c r="A287" t="s">
        <v>299</v>
      </c>
      <c r="B287" s="2">
        <v>45101</v>
      </c>
      <c r="C287" s="2">
        <v>45128</v>
      </c>
      <c r="D287" t="s">
        <v>647</v>
      </c>
      <c r="E287" t="s">
        <v>652</v>
      </c>
      <c r="F287" t="s">
        <v>694</v>
      </c>
      <c r="G287" t="s">
        <v>704</v>
      </c>
      <c r="H287" t="s">
        <v>709</v>
      </c>
      <c r="I287" t="s">
        <v>713</v>
      </c>
      <c r="J287" t="s">
        <v>730</v>
      </c>
      <c r="K287" t="s">
        <v>1019</v>
      </c>
      <c r="L287">
        <v>554.76</v>
      </c>
      <c r="M287">
        <v>728.69</v>
      </c>
      <c r="N287">
        <v>0.22</v>
      </c>
      <c r="O287">
        <v>7</v>
      </c>
    </row>
    <row r="288" spans="1:15" x14ac:dyDescent="0.35">
      <c r="A288" t="s">
        <v>300</v>
      </c>
      <c r="B288" s="2">
        <v>45751</v>
      </c>
      <c r="C288" s="2">
        <v>45760</v>
      </c>
      <c r="D288" t="s">
        <v>649</v>
      </c>
      <c r="E288" t="s">
        <v>656</v>
      </c>
      <c r="F288" t="s">
        <v>684</v>
      </c>
      <c r="G288" t="s">
        <v>704</v>
      </c>
      <c r="H288" t="s">
        <v>709</v>
      </c>
      <c r="I288" t="s">
        <v>721</v>
      </c>
      <c r="J288" t="s">
        <v>730</v>
      </c>
      <c r="K288" t="s">
        <v>1020</v>
      </c>
      <c r="L288">
        <v>7.02</v>
      </c>
      <c r="M288">
        <v>6.28</v>
      </c>
      <c r="N288">
        <v>0.13400000000000001</v>
      </c>
      <c r="O288">
        <v>14</v>
      </c>
    </row>
    <row r="289" spans="1:15" x14ac:dyDescent="0.35">
      <c r="A289" t="s">
        <v>301</v>
      </c>
      <c r="B289" s="2">
        <v>45542</v>
      </c>
      <c r="C289" s="2">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x14ac:dyDescent="0.35">
      <c r="A290" t="s">
        <v>302</v>
      </c>
      <c r="B290" s="2">
        <v>45319</v>
      </c>
      <c r="C290" s="2">
        <v>45321</v>
      </c>
      <c r="D290" t="s">
        <v>646</v>
      </c>
      <c r="E290" t="s">
        <v>661</v>
      </c>
      <c r="F290" t="s">
        <v>695</v>
      </c>
      <c r="G290" t="s">
        <v>704</v>
      </c>
      <c r="H290" t="s">
        <v>711</v>
      </c>
      <c r="I290" t="s">
        <v>721</v>
      </c>
      <c r="J290" t="s">
        <v>733</v>
      </c>
      <c r="K290" t="s">
        <v>1022</v>
      </c>
      <c r="L290">
        <v>798.45</v>
      </c>
      <c r="M290">
        <v>1592.02</v>
      </c>
      <c r="N290">
        <v>6.6000000000000003E-2</v>
      </c>
      <c r="O290">
        <v>18</v>
      </c>
    </row>
    <row r="291" spans="1:15" x14ac:dyDescent="0.35">
      <c r="A291" t="s">
        <v>303</v>
      </c>
      <c r="B291" s="2">
        <v>45125</v>
      </c>
      <c r="C291" s="2">
        <v>45148</v>
      </c>
      <c r="D291" t="s">
        <v>646</v>
      </c>
      <c r="E291" t="s">
        <v>661</v>
      </c>
      <c r="F291" t="s">
        <v>682</v>
      </c>
      <c r="G291" t="s">
        <v>705</v>
      </c>
      <c r="H291" t="s">
        <v>707</v>
      </c>
      <c r="I291" t="s">
        <v>716</v>
      </c>
      <c r="J291" t="s">
        <v>727</v>
      </c>
      <c r="K291" t="s">
        <v>1023</v>
      </c>
      <c r="L291">
        <v>1271.56</v>
      </c>
      <c r="M291">
        <v>995.47</v>
      </c>
      <c r="N291">
        <v>0.192</v>
      </c>
      <c r="O291">
        <v>13</v>
      </c>
    </row>
    <row r="292" spans="1:15" x14ac:dyDescent="0.35">
      <c r="A292" t="s">
        <v>304</v>
      </c>
      <c r="B292" s="2">
        <v>45897</v>
      </c>
      <c r="C292" s="2">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x14ac:dyDescent="0.35">
      <c r="A293" t="s">
        <v>305</v>
      </c>
      <c r="B293" s="2">
        <v>45746</v>
      </c>
      <c r="C293" s="2">
        <v>45754</v>
      </c>
      <c r="D293" t="s">
        <v>648</v>
      </c>
      <c r="E293" t="s">
        <v>655</v>
      </c>
      <c r="F293" t="s">
        <v>670</v>
      </c>
      <c r="G293" t="s">
        <v>703</v>
      </c>
      <c r="H293" t="s">
        <v>711</v>
      </c>
      <c r="I293" t="s">
        <v>716</v>
      </c>
      <c r="J293" t="s">
        <v>728</v>
      </c>
      <c r="K293" t="s">
        <v>1025</v>
      </c>
      <c r="L293">
        <v>71.62</v>
      </c>
      <c r="M293">
        <v>118.37</v>
      </c>
      <c r="N293">
        <v>0.156</v>
      </c>
      <c r="O293">
        <v>11</v>
      </c>
    </row>
    <row r="294" spans="1:15" x14ac:dyDescent="0.35">
      <c r="A294" t="s">
        <v>306</v>
      </c>
      <c r="B294" s="2">
        <v>45220</v>
      </c>
      <c r="C294" s="2">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x14ac:dyDescent="0.35">
      <c r="A295" t="s">
        <v>307</v>
      </c>
      <c r="B295" s="2">
        <v>45161</v>
      </c>
      <c r="C295" s="2">
        <v>45191</v>
      </c>
      <c r="D295" t="s">
        <v>649</v>
      </c>
      <c r="E295" t="s">
        <v>658</v>
      </c>
      <c r="F295" t="s">
        <v>683</v>
      </c>
      <c r="G295" t="s">
        <v>704</v>
      </c>
      <c r="H295" t="s">
        <v>710</v>
      </c>
      <c r="I295" t="s">
        <v>719</v>
      </c>
      <c r="J295" t="s">
        <v>733</v>
      </c>
      <c r="K295" t="s">
        <v>1027</v>
      </c>
      <c r="L295">
        <v>209.81</v>
      </c>
      <c r="M295">
        <v>523</v>
      </c>
      <c r="N295">
        <v>5.8999999999999997E-2</v>
      </c>
      <c r="O295">
        <v>15</v>
      </c>
    </row>
    <row r="296" spans="1:15" x14ac:dyDescent="0.35">
      <c r="A296" t="s">
        <v>308</v>
      </c>
      <c r="B296" s="2">
        <v>45758</v>
      </c>
      <c r="C296" s="2">
        <v>45781</v>
      </c>
      <c r="D296" t="s">
        <v>647</v>
      </c>
      <c r="E296" t="s">
        <v>652</v>
      </c>
      <c r="F296" t="s">
        <v>666</v>
      </c>
      <c r="G296" t="s">
        <v>705</v>
      </c>
      <c r="H296" t="s">
        <v>708</v>
      </c>
      <c r="I296" t="s">
        <v>724</v>
      </c>
      <c r="J296" t="s">
        <v>727</v>
      </c>
      <c r="K296" t="s">
        <v>1028</v>
      </c>
      <c r="L296">
        <v>786.2</v>
      </c>
      <c r="M296">
        <v>1075.3</v>
      </c>
      <c r="N296">
        <v>0.08</v>
      </c>
      <c r="O296">
        <v>9</v>
      </c>
    </row>
    <row r="297" spans="1:15" x14ac:dyDescent="0.35">
      <c r="A297" t="s">
        <v>309</v>
      </c>
      <c r="B297" s="2">
        <v>45809</v>
      </c>
      <c r="C297" s="2">
        <v>45835</v>
      </c>
      <c r="D297" t="s">
        <v>649</v>
      </c>
      <c r="E297" t="s">
        <v>656</v>
      </c>
      <c r="F297" t="s">
        <v>684</v>
      </c>
      <c r="G297" t="s">
        <v>704</v>
      </c>
      <c r="H297" t="s">
        <v>710</v>
      </c>
      <c r="I297" t="s">
        <v>718</v>
      </c>
      <c r="J297" t="s">
        <v>731</v>
      </c>
      <c r="K297" t="s">
        <v>1029</v>
      </c>
      <c r="L297">
        <v>1362.31</v>
      </c>
      <c r="M297">
        <v>3294.57</v>
      </c>
      <c r="N297">
        <v>0.113</v>
      </c>
      <c r="O297">
        <v>7</v>
      </c>
    </row>
    <row r="298" spans="1:15" x14ac:dyDescent="0.35">
      <c r="A298" t="s">
        <v>310</v>
      </c>
      <c r="B298" s="2">
        <v>45353</v>
      </c>
      <c r="C298" s="2">
        <v>45367</v>
      </c>
      <c r="D298" t="s">
        <v>648</v>
      </c>
      <c r="E298" t="s">
        <v>653</v>
      </c>
      <c r="F298" t="s">
        <v>688</v>
      </c>
      <c r="G298" t="s">
        <v>703</v>
      </c>
      <c r="H298" t="s">
        <v>711</v>
      </c>
      <c r="I298" t="s">
        <v>719</v>
      </c>
      <c r="J298" t="s">
        <v>728</v>
      </c>
      <c r="K298" t="s">
        <v>1030</v>
      </c>
      <c r="L298">
        <v>248.24</v>
      </c>
      <c r="M298">
        <v>464.05</v>
      </c>
      <c r="N298">
        <v>0.16900000000000001</v>
      </c>
      <c r="O298">
        <v>11</v>
      </c>
    </row>
    <row r="299" spans="1:15" x14ac:dyDescent="0.35">
      <c r="A299" t="s">
        <v>311</v>
      </c>
      <c r="B299" s="2">
        <v>45097</v>
      </c>
      <c r="C299" s="2">
        <v>45115</v>
      </c>
      <c r="D299" t="s">
        <v>648</v>
      </c>
      <c r="E299" t="s">
        <v>660</v>
      </c>
      <c r="F299" t="s">
        <v>697</v>
      </c>
      <c r="G299" t="s">
        <v>703</v>
      </c>
      <c r="H299" t="s">
        <v>711</v>
      </c>
      <c r="I299" t="s">
        <v>721</v>
      </c>
      <c r="J299" t="s">
        <v>732</v>
      </c>
      <c r="K299" t="s">
        <v>1031</v>
      </c>
      <c r="L299">
        <v>337</v>
      </c>
      <c r="M299">
        <v>511.03</v>
      </c>
      <c r="N299">
        <v>0.108</v>
      </c>
      <c r="O299">
        <v>7</v>
      </c>
    </row>
    <row r="300" spans="1:15" x14ac:dyDescent="0.35">
      <c r="A300" t="s">
        <v>312</v>
      </c>
      <c r="B300" s="2">
        <v>45377</v>
      </c>
      <c r="C300" s="2">
        <v>45387</v>
      </c>
      <c r="D300" t="s">
        <v>648</v>
      </c>
      <c r="E300" t="s">
        <v>660</v>
      </c>
      <c r="F300" t="s">
        <v>697</v>
      </c>
      <c r="G300" t="s">
        <v>704</v>
      </c>
      <c r="H300" t="s">
        <v>711</v>
      </c>
      <c r="I300" t="s">
        <v>713</v>
      </c>
      <c r="J300" t="s">
        <v>732</v>
      </c>
      <c r="K300" t="s">
        <v>1032</v>
      </c>
      <c r="L300">
        <v>5.66</v>
      </c>
      <c r="M300">
        <v>4.22</v>
      </c>
      <c r="N300">
        <v>0.11899999999999999</v>
      </c>
      <c r="O300">
        <v>18</v>
      </c>
    </row>
    <row r="301" spans="1:15" x14ac:dyDescent="0.35">
      <c r="A301" t="s">
        <v>313</v>
      </c>
      <c r="B301" s="2">
        <v>45679</v>
      </c>
      <c r="C301" s="2">
        <v>45679</v>
      </c>
      <c r="D301" t="s">
        <v>649</v>
      </c>
      <c r="E301" t="s">
        <v>657</v>
      </c>
      <c r="F301" t="s">
        <v>679</v>
      </c>
      <c r="G301" t="s">
        <v>705</v>
      </c>
      <c r="H301" t="s">
        <v>708</v>
      </c>
      <c r="I301" t="s">
        <v>717</v>
      </c>
      <c r="J301" t="s">
        <v>733</v>
      </c>
      <c r="K301" t="s">
        <v>1033</v>
      </c>
      <c r="L301">
        <v>591.72</v>
      </c>
      <c r="M301">
        <v>577.24</v>
      </c>
      <c r="N301">
        <v>0</v>
      </c>
      <c r="O301">
        <v>22</v>
      </c>
    </row>
    <row r="302" spans="1:15" x14ac:dyDescent="0.35">
      <c r="A302" t="s">
        <v>314</v>
      </c>
      <c r="B302" s="2">
        <v>45787</v>
      </c>
      <c r="C302" s="2">
        <v>45804</v>
      </c>
      <c r="D302" t="s">
        <v>648</v>
      </c>
      <c r="E302" t="s">
        <v>653</v>
      </c>
      <c r="F302" t="s">
        <v>688</v>
      </c>
      <c r="G302" t="s">
        <v>702</v>
      </c>
      <c r="H302" t="s">
        <v>711</v>
      </c>
      <c r="I302" t="s">
        <v>712</v>
      </c>
      <c r="J302" t="s">
        <v>727</v>
      </c>
      <c r="K302" t="s">
        <v>1034</v>
      </c>
      <c r="L302">
        <v>862.89</v>
      </c>
      <c r="M302">
        <v>1426.03</v>
      </c>
      <c r="N302">
        <v>5.6000000000000001E-2</v>
      </c>
      <c r="O302">
        <v>19</v>
      </c>
    </row>
    <row r="303" spans="1:15" x14ac:dyDescent="0.35">
      <c r="A303" t="s">
        <v>315</v>
      </c>
      <c r="B303" s="2">
        <v>45204</v>
      </c>
      <c r="C303" s="2">
        <v>45230</v>
      </c>
      <c r="D303" t="s">
        <v>647</v>
      </c>
      <c r="E303" t="s">
        <v>659</v>
      </c>
      <c r="F303" t="s">
        <v>685</v>
      </c>
      <c r="G303" t="s">
        <v>704</v>
      </c>
      <c r="I303" t="s">
        <v>713</v>
      </c>
      <c r="J303" t="s">
        <v>728</v>
      </c>
      <c r="K303" t="s">
        <v>1035</v>
      </c>
      <c r="L303">
        <v>649.91</v>
      </c>
      <c r="M303">
        <v>1360.12</v>
      </c>
      <c r="N303">
        <v>0.19400000000000001</v>
      </c>
      <c r="O303">
        <v>9</v>
      </c>
    </row>
    <row r="304" spans="1:15" x14ac:dyDescent="0.35">
      <c r="A304" t="s">
        <v>316</v>
      </c>
      <c r="B304" s="2">
        <v>45125</v>
      </c>
      <c r="C304" s="2">
        <v>45129</v>
      </c>
      <c r="D304" t="s">
        <v>648</v>
      </c>
      <c r="E304" t="s">
        <v>655</v>
      </c>
      <c r="F304" t="s">
        <v>670</v>
      </c>
      <c r="G304" t="s">
        <v>704</v>
      </c>
      <c r="H304" t="s">
        <v>711</v>
      </c>
      <c r="I304" t="s">
        <v>721</v>
      </c>
      <c r="J304" t="s">
        <v>729</v>
      </c>
      <c r="K304" t="s">
        <v>1036</v>
      </c>
      <c r="L304">
        <v>1269.55</v>
      </c>
      <c r="M304">
        <v>2071.1</v>
      </c>
      <c r="N304">
        <v>0.129</v>
      </c>
      <c r="O304">
        <v>22</v>
      </c>
    </row>
    <row r="305" spans="1:15" x14ac:dyDescent="0.35">
      <c r="A305" t="s">
        <v>317</v>
      </c>
      <c r="B305" s="2">
        <v>45830</v>
      </c>
      <c r="C305" s="2">
        <v>45846</v>
      </c>
      <c r="D305" t="s">
        <v>649</v>
      </c>
      <c r="E305" t="s">
        <v>658</v>
      </c>
      <c r="F305" t="s">
        <v>683</v>
      </c>
      <c r="G305" t="s">
        <v>702</v>
      </c>
      <c r="H305" t="s">
        <v>711</v>
      </c>
      <c r="I305" t="s">
        <v>720</v>
      </c>
      <c r="J305" t="s">
        <v>730</v>
      </c>
      <c r="K305" t="s">
        <v>1037</v>
      </c>
      <c r="L305">
        <v>892.73</v>
      </c>
      <c r="M305">
        <v>979.84</v>
      </c>
      <c r="N305">
        <v>0.17399999999999999</v>
      </c>
      <c r="O305">
        <v>10</v>
      </c>
    </row>
    <row r="306" spans="1:15" x14ac:dyDescent="0.35">
      <c r="A306" t="s">
        <v>318</v>
      </c>
      <c r="B306" s="2">
        <v>45462</v>
      </c>
      <c r="C306" s="2">
        <v>45463</v>
      </c>
      <c r="D306" t="s">
        <v>646</v>
      </c>
      <c r="E306" t="s">
        <v>650</v>
      </c>
      <c r="F306" t="s">
        <v>662</v>
      </c>
      <c r="G306" t="s">
        <v>705</v>
      </c>
      <c r="H306" t="s">
        <v>711</v>
      </c>
      <c r="I306" t="s">
        <v>713</v>
      </c>
      <c r="J306" t="s">
        <v>731</v>
      </c>
      <c r="K306" t="s">
        <v>1038</v>
      </c>
      <c r="L306">
        <v>231.63</v>
      </c>
      <c r="M306">
        <v>537.39</v>
      </c>
      <c r="N306">
        <v>0.08</v>
      </c>
      <c r="O306">
        <v>12</v>
      </c>
    </row>
    <row r="307" spans="1:15" x14ac:dyDescent="0.35">
      <c r="A307" t="s">
        <v>319</v>
      </c>
      <c r="B307" s="2">
        <v>45756</v>
      </c>
      <c r="C307" s="2">
        <v>45759</v>
      </c>
      <c r="D307" t="s">
        <v>649</v>
      </c>
      <c r="E307" t="s">
        <v>657</v>
      </c>
      <c r="F307" t="s">
        <v>679</v>
      </c>
      <c r="G307" t="s">
        <v>705</v>
      </c>
      <c r="H307" t="s">
        <v>710</v>
      </c>
      <c r="I307" t="s">
        <v>722</v>
      </c>
      <c r="J307" t="s">
        <v>732</v>
      </c>
      <c r="K307" t="s">
        <v>1039</v>
      </c>
      <c r="L307">
        <v>86.68</v>
      </c>
      <c r="M307">
        <v>213.32</v>
      </c>
      <c r="N307">
        <v>3.7999999999999999E-2</v>
      </c>
      <c r="O307">
        <v>8</v>
      </c>
    </row>
    <row r="308" spans="1:15" x14ac:dyDescent="0.35">
      <c r="A308" t="s">
        <v>320</v>
      </c>
      <c r="B308" s="2">
        <v>45741</v>
      </c>
      <c r="C308" s="2">
        <v>45742</v>
      </c>
      <c r="D308" t="s">
        <v>646</v>
      </c>
      <c r="E308" t="s">
        <v>651</v>
      </c>
      <c r="F308" t="s">
        <v>665</v>
      </c>
      <c r="G308" t="s">
        <v>702</v>
      </c>
      <c r="H308" t="s">
        <v>710</v>
      </c>
      <c r="I308" t="s">
        <v>715</v>
      </c>
      <c r="J308" t="s">
        <v>733</v>
      </c>
      <c r="K308" t="s">
        <v>1040</v>
      </c>
      <c r="L308">
        <v>1450.43</v>
      </c>
      <c r="M308">
        <v>1994.67</v>
      </c>
      <c r="N308">
        <v>0.1</v>
      </c>
      <c r="O308">
        <v>24</v>
      </c>
    </row>
    <row r="309" spans="1:15" x14ac:dyDescent="0.35">
      <c r="A309" t="s">
        <v>321</v>
      </c>
      <c r="B309" s="2">
        <v>45795</v>
      </c>
      <c r="C309" s="2">
        <v>45817</v>
      </c>
      <c r="D309" t="s">
        <v>648</v>
      </c>
      <c r="E309" t="s">
        <v>660</v>
      </c>
      <c r="F309" t="s">
        <v>700</v>
      </c>
      <c r="G309" t="s">
        <v>704</v>
      </c>
      <c r="H309" t="s">
        <v>707</v>
      </c>
      <c r="I309" t="s">
        <v>722</v>
      </c>
      <c r="J309" t="s">
        <v>729</v>
      </c>
      <c r="K309" t="s">
        <v>1041</v>
      </c>
      <c r="L309">
        <v>382.96</v>
      </c>
      <c r="M309">
        <v>552.84</v>
      </c>
      <c r="N309">
        <v>0.17599999999999999</v>
      </c>
      <c r="O309">
        <v>8</v>
      </c>
    </row>
    <row r="310" spans="1:15" x14ac:dyDescent="0.35">
      <c r="A310" t="s">
        <v>322</v>
      </c>
      <c r="B310" s="2">
        <v>45679</v>
      </c>
      <c r="C310" s="2">
        <v>45692</v>
      </c>
      <c r="D310" t="s">
        <v>647</v>
      </c>
      <c r="E310" t="s">
        <v>652</v>
      </c>
      <c r="F310" t="s">
        <v>689</v>
      </c>
      <c r="G310" t="s">
        <v>705</v>
      </c>
      <c r="H310" t="s">
        <v>710</v>
      </c>
      <c r="I310" t="s">
        <v>716</v>
      </c>
      <c r="J310" t="s">
        <v>728</v>
      </c>
      <c r="K310" t="s">
        <v>1042</v>
      </c>
      <c r="L310">
        <v>122.29</v>
      </c>
      <c r="M310">
        <v>224.95</v>
      </c>
      <c r="N310">
        <v>0.153</v>
      </c>
      <c r="O310">
        <v>28</v>
      </c>
    </row>
    <row r="311" spans="1:15" x14ac:dyDescent="0.35">
      <c r="A311" t="s">
        <v>323</v>
      </c>
      <c r="B311" s="2">
        <v>44936</v>
      </c>
      <c r="C311" s="2">
        <v>44955</v>
      </c>
      <c r="D311" t="s">
        <v>649</v>
      </c>
      <c r="E311" t="s">
        <v>657</v>
      </c>
      <c r="F311" t="s">
        <v>679</v>
      </c>
      <c r="G311" t="s">
        <v>703</v>
      </c>
      <c r="H311" t="s">
        <v>711</v>
      </c>
      <c r="I311" t="s">
        <v>726</v>
      </c>
      <c r="J311" t="s">
        <v>731</v>
      </c>
      <c r="K311" t="s">
        <v>1043</v>
      </c>
      <c r="L311">
        <v>401.66</v>
      </c>
      <c r="M311">
        <v>772.09</v>
      </c>
      <c r="N311">
        <v>8.8999999999999996E-2</v>
      </c>
      <c r="O311">
        <v>14</v>
      </c>
    </row>
    <row r="312" spans="1:15" x14ac:dyDescent="0.35">
      <c r="A312" t="s">
        <v>324</v>
      </c>
      <c r="B312" s="2">
        <v>45655</v>
      </c>
      <c r="C312" s="2">
        <v>45669</v>
      </c>
      <c r="D312" t="s">
        <v>649</v>
      </c>
      <c r="E312" t="s">
        <v>658</v>
      </c>
      <c r="F312" t="s">
        <v>693</v>
      </c>
      <c r="G312" t="s">
        <v>701</v>
      </c>
      <c r="H312" t="s">
        <v>711</v>
      </c>
      <c r="I312" t="s">
        <v>717</v>
      </c>
      <c r="J312" t="s">
        <v>732</v>
      </c>
      <c r="K312" t="s">
        <v>1044</v>
      </c>
      <c r="L312">
        <v>1399.72</v>
      </c>
      <c r="M312">
        <v>3149.21</v>
      </c>
      <c r="N312">
        <v>0.185</v>
      </c>
      <c r="O312">
        <v>12</v>
      </c>
    </row>
    <row r="313" spans="1:15" x14ac:dyDescent="0.35">
      <c r="A313" t="s">
        <v>325</v>
      </c>
      <c r="B313" s="2">
        <v>45435</v>
      </c>
      <c r="C313" s="2">
        <v>45449</v>
      </c>
      <c r="D313" t="s">
        <v>648</v>
      </c>
      <c r="E313" t="s">
        <v>655</v>
      </c>
      <c r="F313" t="s">
        <v>692</v>
      </c>
      <c r="G313" t="s">
        <v>703</v>
      </c>
      <c r="H313" t="s">
        <v>708</v>
      </c>
      <c r="I313" t="s">
        <v>714</v>
      </c>
      <c r="J313" t="s">
        <v>729</v>
      </c>
      <c r="K313" t="s">
        <v>1045</v>
      </c>
      <c r="L313">
        <v>51.13</v>
      </c>
      <c r="M313">
        <v>57.53</v>
      </c>
      <c r="N313">
        <v>4.4999999999999998E-2</v>
      </c>
      <c r="O313">
        <v>16</v>
      </c>
    </row>
    <row r="314" spans="1:15" x14ac:dyDescent="0.35">
      <c r="A314" t="s">
        <v>326</v>
      </c>
      <c r="B314" s="2">
        <v>45101</v>
      </c>
      <c r="C314" s="2">
        <v>45099</v>
      </c>
      <c r="D314" t="s">
        <v>648</v>
      </c>
      <c r="E314" t="s">
        <v>653</v>
      </c>
      <c r="F314" t="s">
        <v>667</v>
      </c>
      <c r="G314" t="s">
        <v>703</v>
      </c>
      <c r="H314" t="s">
        <v>707</v>
      </c>
      <c r="I314" t="s">
        <v>724</v>
      </c>
      <c r="J314" t="s">
        <v>733</v>
      </c>
      <c r="K314" t="s">
        <v>1046</v>
      </c>
      <c r="L314">
        <v>471.42</v>
      </c>
      <c r="M314">
        <v>824.81</v>
      </c>
      <c r="N314">
        <v>8.7999999999999995E-2</v>
      </c>
      <c r="O314">
        <v>15</v>
      </c>
    </row>
    <row r="315" spans="1:15" x14ac:dyDescent="0.35">
      <c r="A315" t="s">
        <v>327</v>
      </c>
      <c r="B315" s="2">
        <v>45600</v>
      </c>
      <c r="C315" s="2">
        <v>45601</v>
      </c>
      <c r="D315" t="s">
        <v>649</v>
      </c>
      <c r="E315" t="s">
        <v>658</v>
      </c>
      <c r="F315" t="s">
        <v>683</v>
      </c>
      <c r="G315" t="s">
        <v>701</v>
      </c>
      <c r="H315" t="s">
        <v>707</v>
      </c>
      <c r="I315" t="s">
        <v>724</v>
      </c>
      <c r="J315" t="s">
        <v>728</v>
      </c>
      <c r="K315" t="s">
        <v>1047</v>
      </c>
      <c r="L315">
        <v>840.68</v>
      </c>
      <c r="M315">
        <v>1493.53</v>
      </c>
      <c r="N315">
        <v>0</v>
      </c>
      <c r="O315">
        <v>27</v>
      </c>
    </row>
    <row r="316" spans="1:15" x14ac:dyDescent="0.35">
      <c r="A316" t="s">
        <v>328</v>
      </c>
      <c r="B316" s="2">
        <v>45451</v>
      </c>
      <c r="C316" s="2">
        <v>45467</v>
      </c>
      <c r="D316" t="s">
        <v>646</v>
      </c>
      <c r="E316" t="s">
        <v>661</v>
      </c>
      <c r="F316" t="s">
        <v>687</v>
      </c>
      <c r="G316" t="s">
        <v>702</v>
      </c>
      <c r="H316" t="s">
        <v>710</v>
      </c>
      <c r="I316" t="s">
        <v>722</v>
      </c>
      <c r="J316" t="s">
        <v>732</v>
      </c>
      <c r="K316" t="s">
        <v>1048</v>
      </c>
      <c r="L316">
        <v>597.85</v>
      </c>
      <c r="M316">
        <v>741.92</v>
      </c>
      <c r="N316">
        <v>3.1E-2</v>
      </c>
      <c r="O316">
        <v>7</v>
      </c>
    </row>
    <row r="317" spans="1:15" x14ac:dyDescent="0.35">
      <c r="A317" t="s">
        <v>329</v>
      </c>
      <c r="B317" s="2">
        <v>45809</v>
      </c>
      <c r="C317" s="2">
        <v>45814</v>
      </c>
      <c r="D317" t="s">
        <v>649</v>
      </c>
      <c r="E317" t="s">
        <v>657</v>
      </c>
      <c r="F317" t="s">
        <v>690</v>
      </c>
      <c r="G317" t="s">
        <v>704</v>
      </c>
      <c r="H317" t="s">
        <v>710</v>
      </c>
      <c r="I317" t="s">
        <v>715</v>
      </c>
      <c r="J317" t="s">
        <v>727</v>
      </c>
      <c r="K317" t="s">
        <v>1049</v>
      </c>
      <c r="L317">
        <v>379.45</v>
      </c>
      <c r="M317">
        <v>742.23</v>
      </c>
      <c r="N317">
        <v>0.09</v>
      </c>
      <c r="O317">
        <v>13</v>
      </c>
    </row>
    <row r="318" spans="1:15" x14ac:dyDescent="0.35">
      <c r="A318" t="s">
        <v>330</v>
      </c>
      <c r="B318" s="2">
        <v>45052</v>
      </c>
      <c r="C318" s="2">
        <v>45060</v>
      </c>
      <c r="D318" t="s">
        <v>647</v>
      </c>
      <c r="E318" t="s">
        <v>652</v>
      </c>
      <c r="F318" t="s">
        <v>666</v>
      </c>
      <c r="G318" t="s">
        <v>706</v>
      </c>
      <c r="H318" t="s">
        <v>709</v>
      </c>
      <c r="I318" t="s">
        <v>717</v>
      </c>
      <c r="J318" t="s">
        <v>730</v>
      </c>
      <c r="K318" t="s">
        <v>1050</v>
      </c>
      <c r="L318">
        <v>291.18</v>
      </c>
      <c r="M318">
        <v>479.54</v>
      </c>
      <c r="N318">
        <v>0.14099999999999999</v>
      </c>
      <c r="O318">
        <v>22</v>
      </c>
    </row>
    <row r="319" spans="1:15" x14ac:dyDescent="0.35">
      <c r="A319" t="s">
        <v>331</v>
      </c>
      <c r="B319" s="2">
        <v>45244</v>
      </c>
      <c r="C319" s="2">
        <v>45260</v>
      </c>
      <c r="D319" t="s">
        <v>648</v>
      </c>
      <c r="E319" t="s">
        <v>655</v>
      </c>
      <c r="F319" t="s">
        <v>670</v>
      </c>
      <c r="G319" t="s">
        <v>706</v>
      </c>
      <c r="H319" t="s">
        <v>711</v>
      </c>
      <c r="I319" t="s">
        <v>723</v>
      </c>
      <c r="J319" t="s">
        <v>729</v>
      </c>
      <c r="K319" t="s">
        <v>1051</v>
      </c>
      <c r="L319">
        <v>1017.92</v>
      </c>
      <c r="M319">
        <v>1175.25</v>
      </c>
      <c r="N319">
        <v>7.4999999999999997E-2</v>
      </c>
      <c r="O319">
        <v>15</v>
      </c>
    </row>
    <row r="320" spans="1:15" x14ac:dyDescent="0.35">
      <c r="A320" t="s">
        <v>332</v>
      </c>
      <c r="B320" s="2">
        <v>45748</v>
      </c>
      <c r="C320" s="2">
        <v>45774</v>
      </c>
      <c r="D320" t="s">
        <v>648</v>
      </c>
      <c r="E320" t="s">
        <v>660</v>
      </c>
      <c r="F320" t="s">
        <v>686</v>
      </c>
      <c r="G320" t="s">
        <v>701</v>
      </c>
      <c r="H320" t="s">
        <v>711</v>
      </c>
      <c r="I320" t="s">
        <v>714</v>
      </c>
      <c r="J320" t="s">
        <v>732</v>
      </c>
      <c r="K320" t="s">
        <v>1052</v>
      </c>
      <c r="L320">
        <v>156.55000000000001</v>
      </c>
      <c r="M320">
        <v>227.45</v>
      </c>
      <c r="N320">
        <v>1.4E-2</v>
      </c>
      <c r="O320">
        <v>13</v>
      </c>
    </row>
    <row r="321" spans="1:15" x14ac:dyDescent="0.35">
      <c r="A321" t="s">
        <v>333</v>
      </c>
      <c r="B321" s="2">
        <v>45008</v>
      </c>
      <c r="C321" s="2">
        <v>45031</v>
      </c>
      <c r="D321" t="s">
        <v>646</v>
      </c>
      <c r="E321" t="s">
        <v>650</v>
      </c>
      <c r="F321" t="s">
        <v>675</v>
      </c>
      <c r="G321" t="s">
        <v>705</v>
      </c>
      <c r="H321" t="s">
        <v>707</v>
      </c>
      <c r="I321" t="s">
        <v>712</v>
      </c>
      <c r="J321" t="s">
        <v>733</v>
      </c>
      <c r="K321" t="s">
        <v>1053</v>
      </c>
      <c r="L321">
        <v>875.36</v>
      </c>
      <c r="M321">
        <v>1178.6199999999999</v>
      </c>
      <c r="N321">
        <v>0.151</v>
      </c>
      <c r="O321">
        <v>53</v>
      </c>
    </row>
    <row r="322" spans="1:15" x14ac:dyDescent="0.35">
      <c r="A322" t="s">
        <v>334</v>
      </c>
      <c r="B322" s="2">
        <v>45440</v>
      </c>
      <c r="C322" s="2">
        <v>45461</v>
      </c>
      <c r="D322" t="s">
        <v>649</v>
      </c>
      <c r="E322" t="s">
        <v>656</v>
      </c>
      <c r="F322" t="s">
        <v>698</v>
      </c>
      <c r="G322" t="s">
        <v>705</v>
      </c>
      <c r="H322" t="s">
        <v>708</v>
      </c>
      <c r="I322" t="s">
        <v>718</v>
      </c>
      <c r="J322" t="s">
        <v>730</v>
      </c>
      <c r="K322" t="s">
        <v>1054</v>
      </c>
      <c r="L322">
        <v>986.85</v>
      </c>
      <c r="M322">
        <v>2422.1</v>
      </c>
      <c r="N322">
        <v>7.5999999999999998E-2</v>
      </c>
      <c r="O322">
        <v>10</v>
      </c>
    </row>
    <row r="323" spans="1:15" x14ac:dyDescent="0.35">
      <c r="A323" t="s">
        <v>335</v>
      </c>
      <c r="B323" s="2">
        <v>45293</v>
      </c>
      <c r="C323" s="2">
        <v>45292</v>
      </c>
      <c r="D323" t="s">
        <v>648</v>
      </c>
      <c r="E323" t="s">
        <v>660</v>
      </c>
      <c r="F323" t="s">
        <v>677</v>
      </c>
      <c r="G323" t="s">
        <v>702</v>
      </c>
      <c r="H323" t="s">
        <v>709</v>
      </c>
      <c r="I323" t="s">
        <v>717</v>
      </c>
      <c r="J323" t="s">
        <v>729</v>
      </c>
      <c r="K323" t="s">
        <v>1055</v>
      </c>
      <c r="L323">
        <v>404.77</v>
      </c>
      <c r="M323">
        <v>433.88</v>
      </c>
      <c r="N323">
        <v>0.215</v>
      </c>
      <c r="O323">
        <v>22</v>
      </c>
    </row>
    <row r="324" spans="1:15" x14ac:dyDescent="0.35">
      <c r="A324" t="s">
        <v>336</v>
      </c>
      <c r="B324" s="2">
        <v>44985</v>
      </c>
      <c r="C324" s="2">
        <v>44984</v>
      </c>
      <c r="D324" t="s">
        <v>649</v>
      </c>
      <c r="E324" t="s">
        <v>657</v>
      </c>
      <c r="F324" t="s">
        <v>673</v>
      </c>
      <c r="G324" t="s">
        <v>701</v>
      </c>
      <c r="H324" t="s">
        <v>707</v>
      </c>
      <c r="I324" t="s">
        <v>723</v>
      </c>
      <c r="J324" t="s">
        <v>729</v>
      </c>
      <c r="K324" t="s">
        <v>1056</v>
      </c>
      <c r="L324">
        <v>1299.81</v>
      </c>
      <c r="M324">
        <v>3149.13</v>
      </c>
      <c r="N324">
        <v>0.10299999999999999</v>
      </c>
      <c r="O324">
        <v>14</v>
      </c>
    </row>
    <row r="325" spans="1:15" x14ac:dyDescent="0.35">
      <c r="A325" t="s">
        <v>337</v>
      </c>
      <c r="B325" s="2">
        <v>45340</v>
      </c>
      <c r="C325" s="2">
        <v>45362</v>
      </c>
      <c r="D325" t="s">
        <v>648</v>
      </c>
      <c r="E325" t="s">
        <v>655</v>
      </c>
      <c r="F325" t="s">
        <v>670</v>
      </c>
      <c r="G325" t="s">
        <v>704</v>
      </c>
      <c r="H325" t="s">
        <v>708</v>
      </c>
      <c r="I325" t="s">
        <v>720</v>
      </c>
      <c r="J325" t="s">
        <v>727</v>
      </c>
      <c r="K325" t="s">
        <v>1057</v>
      </c>
      <c r="L325">
        <v>80.48</v>
      </c>
      <c r="M325">
        <v>65.650000000000006</v>
      </c>
      <c r="N325">
        <v>0.17599999999999999</v>
      </c>
      <c r="O325">
        <v>13</v>
      </c>
    </row>
    <row r="326" spans="1:15" x14ac:dyDescent="0.35">
      <c r="A326" t="s">
        <v>338</v>
      </c>
      <c r="B326" s="2">
        <v>45544</v>
      </c>
      <c r="C326" s="2">
        <v>45573</v>
      </c>
      <c r="D326" t="s">
        <v>648</v>
      </c>
      <c r="E326" t="s">
        <v>655</v>
      </c>
      <c r="F326" t="s">
        <v>670</v>
      </c>
      <c r="G326" t="s">
        <v>702</v>
      </c>
      <c r="H326" t="s">
        <v>711</v>
      </c>
      <c r="I326" t="s">
        <v>713</v>
      </c>
      <c r="J326" t="s">
        <v>727</v>
      </c>
      <c r="K326" t="s">
        <v>1058</v>
      </c>
      <c r="L326">
        <v>1010.33</v>
      </c>
      <c r="M326">
        <v>2492.14</v>
      </c>
      <c r="N326">
        <v>5.0999999999999997E-2</v>
      </c>
      <c r="O326">
        <v>11</v>
      </c>
    </row>
    <row r="327" spans="1:15" x14ac:dyDescent="0.35">
      <c r="A327" t="s">
        <v>339</v>
      </c>
      <c r="B327" s="2">
        <v>45053</v>
      </c>
      <c r="C327" s="2">
        <v>45075</v>
      </c>
      <c r="D327" t="s">
        <v>646</v>
      </c>
      <c r="E327" t="s">
        <v>661</v>
      </c>
      <c r="F327" t="s">
        <v>687</v>
      </c>
      <c r="G327" t="s">
        <v>702</v>
      </c>
      <c r="H327" t="s">
        <v>710</v>
      </c>
      <c r="I327" t="s">
        <v>723</v>
      </c>
      <c r="J327" t="s">
        <v>733</v>
      </c>
      <c r="K327" t="s">
        <v>1059</v>
      </c>
      <c r="L327">
        <v>653.86</v>
      </c>
      <c r="M327">
        <v>931.84</v>
      </c>
      <c r="N327">
        <v>0.121</v>
      </c>
      <c r="O327">
        <v>12</v>
      </c>
    </row>
    <row r="328" spans="1:15" x14ac:dyDescent="0.35">
      <c r="A328" t="s">
        <v>340</v>
      </c>
      <c r="B328" s="2">
        <v>45303</v>
      </c>
      <c r="C328" s="2">
        <v>45320</v>
      </c>
      <c r="D328" t="s">
        <v>647</v>
      </c>
      <c r="E328" t="s">
        <v>654</v>
      </c>
      <c r="F328" t="s">
        <v>696</v>
      </c>
      <c r="G328" t="s">
        <v>705</v>
      </c>
      <c r="H328" t="s">
        <v>711</v>
      </c>
      <c r="I328" t="s">
        <v>717</v>
      </c>
      <c r="J328" t="s">
        <v>727</v>
      </c>
      <c r="K328" t="s">
        <v>1060</v>
      </c>
      <c r="L328">
        <v>310.02</v>
      </c>
      <c r="M328">
        <v>619.51</v>
      </c>
      <c r="N328">
        <v>4.2000000000000003E-2</v>
      </c>
      <c r="O328">
        <v>4</v>
      </c>
    </row>
    <row r="329" spans="1:15" x14ac:dyDescent="0.35">
      <c r="A329" t="s">
        <v>341</v>
      </c>
      <c r="B329" s="2">
        <v>45087</v>
      </c>
      <c r="C329" s="2">
        <v>45095</v>
      </c>
      <c r="D329" t="s">
        <v>646</v>
      </c>
      <c r="E329" t="s">
        <v>650</v>
      </c>
      <c r="F329" t="s">
        <v>678</v>
      </c>
      <c r="G329" t="s">
        <v>706</v>
      </c>
      <c r="H329" t="s">
        <v>711</v>
      </c>
      <c r="I329" t="s">
        <v>722</v>
      </c>
      <c r="J329" t="s">
        <v>730</v>
      </c>
      <c r="K329" t="s">
        <v>1061</v>
      </c>
      <c r="L329">
        <v>894.23</v>
      </c>
      <c r="M329">
        <v>1421.55</v>
      </c>
      <c r="N329">
        <v>0.109</v>
      </c>
      <c r="O329">
        <v>3</v>
      </c>
    </row>
    <row r="330" spans="1:15" x14ac:dyDescent="0.35">
      <c r="A330" t="s">
        <v>342</v>
      </c>
      <c r="B330" s="2">
        <v>45796</v>
      </c>
      <c r="C330" s="2">
        <v>45794</v>
      </c>
      <c r="D330" t="s">
        <v>648</v>
      </c>
      <c r="E330" t="s">
        <v>655</v>
      </c>
      <c r="F330" t="s">
        <v>670</v>
      </c>
      <c r="G330" t="s">
        <v>705</v>
      </c>
      <c r="H330" t="s">
        <v>710</v>
      </c>
      <c r="I330" t="s">
        <v>716</v>
      </c>
      <c r="J330" t="s">
        <v>732</v>
      </c>
      <c r="K330" t="s">
        <v>1062</v>
      </c>
      <c r="L330">
        <v>383.77</v>
      </c>
      <c r="M330">
        <v>952.56</v>
      </c>
      <c r="N330">
        <v>0.34599999999999997</v>
      </c>
      <c r="O330">
        <v>10</v>
      </c>
    </row>
    <row r="331" spans="1:15" x14ac:dyDescent="0.35">
      <c r="A331" t="s">
        <v>343</v>
      </c>
      <c r="B331" s="2">
        <v>45221</v>
      </c>
      <c r="C331" s="2">
        <v>45246</v>
      </c>
      <c r="D331" t="s">
        <v>648</v>
      </c>
      <c r="E331" t="s">
        <v>653</v>
      </c>
      <c r="F331" t="s">
        <v>667</v>
      </c>
      <c r="G331" t="s">
        <v>705</v>
      </c>
      <c r="H331" t="s">
        <v>709</v>
      </c>
      <c r="I331" t="s">
        <v>714</v>
      </c>
      <c r="J331" t="s">
        <v>731</v>
      </c>
      <c r="K331" t="s">
        <v>1063</v>
      </c>
      <c r="L331">
        <v>1373.31</v>
      </c>
      <c r="M331">
        <v>3154.14</v>
      </c>
      <c r="N331">
        <v>0.2</v>
      </c>
      <c r="O331">
        <v>11</v>
      </c>
    </row>
    <row r="332" spans="1:15" x14ac:dyDescent="0.35">
      <c r="A332" t="s">
        <v>344</v>
      </c>
      <c r="B332" s="2">
        <v>45668</v>
      </c>
      <c r="C332" s="2">
        <v>45680</v>
      </c>
      <c r="D332" t="s">
        <v>648</v>
      </c>
      <c r="E332" t="s">
        <v>660</v>
      </c>
      <c r="F332" t="s">
        <v>697</v>
      </c>
      <c r="G332" t="s">
        <v>704</v>
      </c>
      <c r="H332" t="s">
        <v>710</v>
      </c>
      <c r="I332" t="s">
        <v>722</v>
      </c>
      <c r="J332" t="s">
        <v>730</v>
      </c>
      <c r="K332" t="s">
        <v>1064</v>
      </c>
      <c r="L332">
        <v>100.69</v>
      </c>
      <c r="M332">
        <v>226.14</v>
      </c>
      <c r="N332">
        <v>6.5000000000000002E-2</v>
      </c>
      <c r="O332">
        <v>12</v>
      </c>
    </row>
    <row r="333" spans="1:15" x14ac:dyDescent="0.35">
      <c r="A333" t="s">
        <v>345</v>
      </c>
      <c r="B333" s="2">
        <v>45914</v>
      </c>
      <c r="C333" s="2">
        <v>45926</v>
      </c>
      <c r="D333" t="s">
        <v>649</v>
      </c>
      <c r="E333" t="s">
        <v>658</v>
      </c>
      <c r="F333" t="s">
        <v>683</v>
      </c>
      <c r="G333" t="s">
        <v>705</v>
      </c>
      <c r="H333" t="s">
        <v>711</v>
      </c>
      <c r="I333" t="s">
        <v>725</v>
      </c>
      <c r="J333" t="s">
        <v>729</v>
      </c>
      <c r="K333" t="s">
        <v>1065</v>
      </c>
      <c r="L333">
        <v>425.15</v>
      </c>
      <c r="M333">
        <v>885.92</v>
      </c>
      <c r="N333">
        <v>0.23899999999999999</v>
      </c>
      <c r="O333">
        <v>13</v>
      </c>
    </row>
    <row r="334" spans="1:15" x14ac:dyDescent="0.35">
      <c r="A334" t="s">
        <v>346</v>
      </c>
      <c r="B334" s="2">
        <v>45168</v>
      </c>
      <c r="C334" s="2">
        <v>45172</v>
      </c>
      <c r="D334" t="s">
        <v>647</v>
      </c>
      <c r="E334" t="s">
        <v>654</v>
      </c>
      <c r="F334" t="s">
        <v>680</v>
      </c>
      <c r="G334" t="s">
        <v>705</v>
      </c>
      <c r="H334" t="s">
        <v>709</v>
      </c>
      <c r="I334" t="s">
        <v>716</v>
      </c>
      <c r="J334" t="s">
        <v>733</v>
      </c>
      <c r="K334" t="s">
        <v>1066</v>
      </c>
      <c r="L334">
        <v>1082.25</v>
      </c>
      <c r="M334">
        <v>2433.34</v>
      </c>
      <c r="N334">
        <v>0.27</v>
      </c>
      <c r="O334">
        <v>4</v>
      </c>
    </row>
    <row r="335" spans="1:15" x14ac:dyDescent="0.35">
      <c r="A335" t="s">
        <v>347</v>
      </c>
      <c r="B335" s="2">
        <v>45245</v>
      </c>
      <c r="C335" s="2">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x14ac:dyDescent="0.35">
      <c r="A336" t="s">
        <v>348</v>
      </c>
      <c r="B336" s="2">
        <v>45774</v>
      </c>
      <c r="C336" s="2">
        <v>45804</v>
      </c>
      <c r="D336" t="s">
        <v>647</v>
      </c>
      <c r="E336" t="s">
        <v>654</v>
      </c>
      <c r="G336" t="s">
        <v>706</v>
      </c>
      <c r="H336" t="s">
        <v>709</v>
      </c>
      <c r="I336" t="s">
        <v>722</v>
      </c>
      <c r="J336" t="s">
        <v>730</v>
      </c>
      <c r="K336" t="s">
        <v>1068</v>
      </c>
      <c r="L336">
        <v>481.32</v>
      </c>
      <c r="M336">
        <v>1135.99</v>
      </c>
      <c r="N336">
        <v>0.14499999999999999</v>
      </c>
      <c r="O336">
        <v>5</v>
      </c>
    </row>
    <row r="337" spans="1:15" x14ac:dyDescent="0.35">
      <c r="A337" t="s">
        <v>349</v>
      </c>
      <c r="B337" s="2">
        <v>45391</v>
      </c>
      <c r="C337" s="2">
        <v>45400</v>
      </c>
      <c r="D337" t="s">
        <v>649</v>
      </c>
      <c r="E337" t="s">
        <v>657</v>
      </c>
      <c r="F337" t="s">
        <v>679</v>
      </c>
      <c r="G337" t="s">
        <v>704</v>
      </c>
      <c r="H337" t="s">
        <v>708</v>
      </c>
      <c r="I337" t="s">
        <v>718</v>
      </c>
      <c r="J337" t="s">
        <v>728</v>
      </c>
      <c r="K337" t="s">
        <v>1069</v>
      </c>
      <c r="L337">
        <v>1288.8499999999999</v>
      </c>
      <c r="M337">
        <v>2751.84</v>
      </c>
      <c r="N337">
        <v>0.158</v>
      </c>
      <c r="O337">
        <v>7</v>
      </c>
    </row>
    <row r="338" spans="1:15" x14ac:dyDescent="0.35">
      <c r="A338" t="s">
        <v>350</v>
      </c>
      <c r="B338" s="2">
        <v>45484</v>
      </c>
      <c r="C338" s="2">
        <v>45504</v>
      </c>
      <c r="D338" t="s">
        <v>647</v>
      </c>
      <c r="E338" t="s">
        <v>659</v>
      </c>
      <c r="F338" t="s">
        <v>676</v>
      </c>
      <c r="G338" t="s">
        <v>704</v>
      </c>
      <c r="H338" t="s">
        <v>708</v>
      </c>
      <c r="I338" t="s">
        <v>715</v>
      </c>
      <c r="J338" t="s">
        <v>730</v>
      </c>
      <c r="K338" t="s">
        <v>1070</v>
      </c>
      <c r="L338">
        <v>647.26</v>
      </c>
      <c r="M338">
        <v>1374.72</v>
      </c>
      <c r="N338">
        <v>6.6000000000000003E-2</v>
      </c>
      <c r="O338">
        <v>22</v>
      </c>
    </row>
    <row r="339" spans="1:15" x14ac:dyDescent="0.35">
      <c r="A339" t="s">
        <v>351</v>
      </c>
      <c r="B339" s="2">
        <v>45340</v>
      </c>
      <c r="C339" s="2">
        <v>45354</v>
      </c>
      <c r="D339" t="s">
        <v>648</v>
      </c>
      <c r="E339" t="s">
        <v>655</v>
      </c>
      <c r="G339" t="s">
        <v>706</v>
      </c>
      <c r="H339" t="s">
        <v>710</v>
      </c>
      <c r="I339" t="s">
        <v>720</v>
      </c>
      <c r="J339" t="s">
        <v>728</v>
      </c>
      <c r="K339" t="s">
        <v>1071</v>
      </c>
      <c r="L339">
        <v>624.23</v>
      </c>
      <c r="M339">
        <v>1318.37</v>
      </c>
      <c r="N339">
        <v>0.21</v>
      </c>
      <c r="O339">
        <v>37</v>
      </c>
    </row>
    <row r="340" spans="1:15" x14ac:dyDescent="0.35">
      <c r="A340" t="s">
        <v>352</v>
      </c>
      <c r="B340" s="2">
        <v>45132</v>
      </c>
      <c r="C340" s="2">
        <v>45148</v>
      </c>
      <c r="D340" t="s">
        <v>646</v>
      </c>
      <c r="E340" t="s">
        <v>651</v>
      </c>
      <c r="F340" t="s">
        <v>663</v>
      </c>
      <c r="G340" t="s">
        <v>701</v>
      </c>
      <c r="H340" t="s">
        <v>710</v>
      </c>
      <c r="I340" t="s">
        <v>714</v>
      </c>
      <c r="J340" t="s">
        <v>733</v>
      </c>
      <c r="K340" t="s">
        <v>1072</v>
      </c>
      <c r="L340">
        <v>506.83</v>
      </c>
      <c r="M340">
        <v>441.74</v>
      </c>
      <c r="N340">
        <v>0.24</v>
      </c>
      <c r="O340">
        <v>9</v>
      </c>
    </row>
    <row r="341" spans="1:15" x14ac:dyDescent="0.35">
      <c r="A341" t="s">
        <v>353</v>
      </c>
      <c r="B341" s="2">
        <v>45121</v>
      </c>
      <c r="C341" s="2">
        <v>45128</v>
      </c>
      <c r="D341" t="s">
        <v>646</v>
      </c>
      <c r="E341" t="s">
        <v>661</v>
      </c>
      <c r="F341" t="s">
        <v>687</v>
      </c>
      <c r="G341" t="s">
        <v>706</v>
      </c>
      <c r="H341" t="s">
        <v>709</v>
      </c>
      <c r="J341" t="s">
        <v>732</v>
      </c>
      <c r="K341" t="s">
        <v>1073</v>
      </c>
      <c r="L341">
        <v>620.74</v>
      </c>
      <c r="M341">
        <v>1330.07</v>
      </c>
      <c r="N341">
        <v>0.29899999999999999</v>
      </c>
      <c r="O341">
        <v>28</v>
      </c>
    </row>
    <row r="342" spans="1:15" x14ac:dyDescent="0.35">
      <c r="A342" t="s">
        <v>354</v>
      </c>
      <c r="B342" s="2">
        <v>45131</v>
      </c>
      <c r="C342" s="2">
        <v>45157</v>
      </c>
      <c r="D342" t="s">
        <v>646</v>
      </c>
      <c r="E342" t="s">
        <v>650</v>
      </c>
      <c r="F342" t="s">
        <v>664</v>
      </c>
      <c r="G342" t="s">
        <v>706</v>
      </c>
      <c r="H342" t="s">
        <v>710</v>
      </c>
      <c r="I342" t="s">
        <v>724</v>
      </c>
      <c r="J342" t="s">
        <v>733</v>
      </c>
      <c r="K342" t="s">
        <v>1074</v>
      </c>
      <c r="L342">
        <v>661.45</v>
      </c>
      <c r="M342">
        <v>1634.86</v>
      </c>
      <c r="N342">
        <v>0.56499999999999995</v>
      </c>
      <c r="O342">
        <v>24</v>
      </c>
    </row>
    <row r="343" spans="1:15" x14ac:dyDescent="0.35">
      <c r="A343" t="s">
        <v>355</v>
      </c>
      <c r="B343" s="2">
        <v>45029</v>
      </c>
      <c r="C343" s="2">
        <v>45027</v>
      </c>
      <c r="D343" t="s">
        <v>648</v>
      </c>
      <c r="E343" t="s">
        <v>660</v>
      </c>
      <c r="F343" t="s">
        <v>686</v>
      </c>
      <c r="G343" t="s">
        <v>702</v>
      </c>
      <c r="H343" t="s">
        <v>709</v>
      </c>
      <c r="I343" t="s">
        <v>715</v>
      </c>
      <c r="J343" t="s">
        <v>729</v>
      </c>
      <c r="K343" t="s">
        <v>1075</v>
      </c>
      <c r="L343">
        <v>32.1</v>
      </c>
      <c r="M343">
        <v>70.599999999999994</v>
      </c>
      <c r="N343">
        <v>0.28199999999999997</v>
      </c>
      <c r="O343">
        <v>22</v>
      </c>
    </row>
    <row r="344" spans="1:15" x14ac:dyDescent="0.35">
      <c r="A344" t="s">
        <v>356</v>
      </c>
      <c r="B344" s="2">
        <v>45594</v>
      </c>
      <c r="C344" s="2">
        <v>45600</v>
      </c>
      <c r="D344" t="s">
        <v>646</v>
      </c>
      <c r="E344" t="s">
        <v>650</v>
      </c>
      <c r="F344" t="s">
        <v>664</v>
      </c>
      <c r="G344" t="s">
        <v>701</v>
      </c>
      <c r="H344" t="s">
        <v>710</v>
      </c>
      <c r="I344" t="s">
        <v>724</v>
      </c>
      <c r="J344" t="s">
        <v>728</v>
      </c>
      <c r="K344" t="s">
        <v>1076</v>
      </c>
      <c r="L344">
        <v>805.81</v>
      </c>
      <c r="M344">
        <v>1823.04</v>
      </c>
      <c r="N344">
        <v>0</v>
      </c>
      <c r="O344">
        <v>11</v>
      </c>
    </row>
    <row r="345" spans="1:15" x14ac:dyDescent="0.35">
      <c r="A345" t="s">
        <v>357</v>
      </c>
      <c r="B345" s="2">
        <v>45339</v>
      </c>
      <c r="C345" s="2">
        <v>45355</v>
      </c>
      <c r="D345" t="s">
        <v>647</v>
      </c>
      <c r="E345" t="s">
        <v>654</v>
      </c>
      <c r="F345" t="s">
        <v>680</v>
      </c>
      <c r="G345" t="s">
        <v>705</v>
      </c>
      <c r="H345" t="s">
        <v>709</v>
      </c>
      <c r="I345" t="s">
        <v>721</v>
      </c>
      <c r="J345" t="s">
        <v>730</v>
      </c>
      <c r="K345" t="s">
        <v>1077</v>
      </c>
      <c r="L345">
        <v>1231.8</v>
      </c>
      <c r="M345">
        <v>2015.99</v>
      </c>
      <c r="N345">
        <v>0.26100000000000001</v>
      </c>
      <c r="O345">
        <v>6</v>
      </c>
    </row>
    <row r="346" spans="1:15" x14ac:dyDescent="0.35">
      <c r="A346" t="s">
        <v>358</v>
      </c>
      <c r="B346" s="2">
        <v>45486</v>
      </c>
      <c r="C346" s="2">
        <v>45485</v>
      </c>
      <c r="D346" t="s">
        <v>647</v>
      </c>
      <c r="E346" t="s">
        <v>652</v>
      </c>
      <c r="F346" t="s">
        <v>694</v>
      </c>
      <c r="G346" t="s">
        <v>705</v>
      </c>
      <c r="H346" t="s">
        <v>709</v>
      </c>
      <c r="I346" t="s">
        <v>721</v>
      </c>
      <c r="J346" t="s">
        <v>729</v>
      </c>
      <c r="K346" t="s">
        <v>1078</v>
      </c>
      <c r="L346">
        <v>105.13</v>
      </c>
      <c r="M346">
        <v>244.13</v>
      </c>
      <c r="N346">
        <v>7.0999999999999994E-2</v>
      </c>
      <c r="O346">
        <v>14</v>
      </c>
    </row>
    <row r="347" spans="1:15" x14ac:dyDescent="0.35">
      <c r="A347" t="s">
        <v>359</v>
      </c>
      <c r="B347" s="2">
        <v>45261</v>
      </c>
      <c r="C347" s="2">
        <v>45278</v>
      </c>
      <c r="D347" t="s">
        <v>647</v>
      </c>
      <c r="E347" t="s">
        <v>652</v>
      </c>
      <c r="F347" t="s">
        <v>694</v>
      </c>
      <c r="G347" t="s">
        <v>705</v>
      </c>
      <c r="H347" t="s">
        <v>711</v>
      </c>
      <c r="I347" t="s">
        <v>725</v>
      </c>
      <c r="J347" t="s">
        <v>731</v>
      </c>
      <c r="K347" t="s">
        <v>1079</v>
      </c>
      <c r="L347">
        <v>1495.79</v>
      </c>
      <c r="M347">
        <v>2783.12</v>
      </c>
      <c r="N347">
        <v>0.02</v>
      </c>
      <c r="O347">
        <v>5</v>
      </c>
    </row>
    <row r="348" spans="1:15" x14ac:dyDescent="0.35">
      <c r="A348" t="s">
        <v>360</v>
      </c>
      <c r="B348" s="2">
        <v>45498</v>
      </c>
      <c r="C348" s="2">
        <v>45506</v>
      </c>
      <c r="D348" t="s">
        <v>648</v>
      </c>
      <c r="E348" t="s">
        <v>653</v>
      </c>
      <c r="F348" t="s">
        <v>681</v>
      </c>
      <c r="G348" t="s">
        <v>704</v>
      </c>
      <c r="H348" t="s">
        <v>711</v>
      </c>
      <c r="I348" t="s">
        <v>713</v>
      </c>
      <c r="J348" t="s">
        <v>733</v>
      </c>
      <c r="K348" t="s">
        <v>1080</v>
      </c>
      <c r="L348">
        <v>986.81</v>
      </c>
      <c r="M348">
        <v>2050.31</v>
      </c>
      <c r="N348">
        <v>0.10299999999999999</v>
      </c>
      <c r="O348">
        <v>43</v>
      </c>
    </row>
    <row r="349" spans="1:15" x14ac:dyDescent="0.35">
      <c r="A349" t="s">
        <v>361</v>
      </c>
      <c r="B349" s="2">
        <v>45050</v>
      </c>
      <c r="C349" s="2">
        <v>45062</v>
      </c>
      <c r="D349" t="s">
        <v>646</v>
      </c>
      <c r="E349" t="s">
        <v>651</v>
      </c>
      <c r="F349" t="s">
        <v>669</v>
      </c>
      <c r="G349" t="s">
        <v>705</v>
      </c>
      <c r="H349" t="s">
        <v>709</v>
      </c>
      <c r="I349" t="s">
        <v>713</v>
      </c>
      <c r="J349" t="s">
        <v>730</v>
      </c>
      <c r="K349" t="s">
        <v>1081</v>
      </c>
      <c r="L349">
        <v>77.739999999999995</v>
      </c>
      <c r="M349">
        <v>147.12</v>
      </c>
      <c r="N349">
        <v>0</v>
      </c>
      <c r="O349">
        <v>15</v>
      </c>
    </row>
    <row r="350" spans="1:15" x14ac:dyDescent="0.35">
      <c r="A350" t="s">
        <v>362</v>
      </c>
      <c r="B350" s="2">
        <v>45281</v>
      </c>
      <c r="C350" s="2">
        <v>45297</v>
      </c>
      <c r="D350" t="s">
        <v>646</v>
      </c>
      <c r="E350" t="s">
        <v>651</v>
      </c>
      <c r="G350" t="s">
        <v>701</v>
      </c>
      <c r="H350" t="s">
        <v>709</v>
      </c>
      <c r="I350" t="s">
        <v>723</v>
      </c>
      <c r="J350" t="s">
        <v>727</v>
      </c>
      <c r="K350" t="s">
        <v>1082</v>
      </c>
      <c r="L350">
        <v>932.61</v>
      </c>
      <c r="M350">
        <v>1982.98</v>
      </c>
      <c r="N350">
        <v>0.14399999999999999</v>
      </c>
      <c r="O350">
        <v>16</v>
      </c>
    </row>
    <row r="351" spans="1:15" x14ac:dyDescent="0.35">
      <c r="A351" t="s">
        <v>363</v>
      </c>
      <c r="B351" s="2">
        <v>45825</v>
      </c>
      <c r="C351" s="2">
        <v>45843</v>
      </c>
      <c r="D351" t="s">
        <v>647</v>
      </c>
      <c r="E351" t="s">
        <v>654</v>
      </c>
      <c r="F351" t="s">
        <v>680</v>
      </c>
      <c r="G351" t="s">
        <v>704</v>
      </c>
      <c r="H351" t="s">
        <v>709</v>
      </c>
      <c r="I351" t="s">
        <v>716</v>
      </c>
      <c r="J351" t="s">
        <v>731</v>
      </c>
      <c r="K351" t="s">
        <v>1083</v>
      </c>
      <c r="L351">
        <v>982.93</v>
      </c>
      <c r="M351">
        <v>2299.3000000000002</v>
      </c>
      <c r="N351">
        <v>0.113</v>
      </c>
      <c r="O351">
        <v>6</v>
      </c>
    </row>
    <row r="352" spans="1:15" x14ac:dyDescent="0.35">
      <c r="A352" t="s">
        <v>364</v>
      </c>
      <c r="B352" s="2">
        <v>44980</v>
      </c>
      <c r="C352" s="2">
        <v>44993</v>
      </c>
      <c r="D352" t="s">
        <v>649</v>
      </c>
      <c r="E352" t="s">
        <v>658</v>
      </c>
      <c r="F352" t="s">
        <v>693</v>
      </c>
      <c r="G352" t="s">
        <v>705</v>
      </c>
      <c r="H352" t="s">
        <v>711</v>
      </c>
      <c r="I352" t="s">
        <v>712</v>
      </c>
      <c r="J352" t="s">
        <v>728</v>
      </c>
      <c r="K352" t="s">
        <v>1084</v>
      </c>
      <c r="L352">
        <v>307.37</v>
      </c>
      <c r="M352">
        <v>462.61</v>
      </c>
      <c r="N352">
        <v>0.188</v>
      </c>
      <c r="O352">
        <v>11</v>
      </c>
    </row>
    <row r="353" spans="1:15" x14ac:dyDescent="0.35">
      <c r="A353" t="s">
        <v>365</v>
      </c>
      <c r="B353" s="2">
        <v>45262</v>
      </c>
      <c r="C353" s="2">
        <v>45276</v>
      </c>
      <c r="D353" t="s">
        <v>649</v>
      </c>
      <c r="E353" t="s">
        <v>656</v>
      </c>
      <c r="F353" t="s">
        <v>698</v>
      </c>
      <c r="G353" t="s">
        <v>702</v>
      </c>
      <c r="H353" t="s">
        <v>711</v>
      </c>
      <c r="I353" t="s">
        <v>725</v>
      </c>
      <c r="J353" t="s">
        <v>732</v>
      </c>
      <c r="K353" t="s">
        <v>1085</v>
      </c>
      <c r="L353">
        <v>879.08</v>
      </c>
      <c r="M353">
        <v>1093.3900000000001</v>
      </c>
      <c r="N353">
        <v>0.113</v>
      </c>
      <c r="O353">
        <v>17</v>
      </c>
    </row>
    <row r="354" spans="1:15" x14ac:dyDescent="0.35">
      <c r="A354" t="s">
        <v>366</v>
      </c>
      <c r="B354" s="2">
        <v>45121</v>
      </c>
      <c r="C354" s="2">
        <v>45121</v>
      </c>
      <c r="D354" t="s">
        <v>646</v>
      </c>
      <c r="E354" t="s">
        <v>651</v>
      </c>
      <c r="F354" t="s">
        <v>665</v>
      </c>
      <c r="G354" t="s">
        <v>702</v>
      </c>
      <c r="H354" t="s">
        <v>707</v>
      </c>
      <c r="I354" t="s">
        <v>714</v>
      </c>
      <c r="J354" t="s">
        <v>733</v>
      </c>
      <c r="K354" t="s">
        <v>1086</v>
      </c>
      <c r="L354">
        <v>956.38</v>
      </c>
      <c r="M354">
        <v>1454.22</v>
      </c>
      <c r="N354">
        <v>3.9E-2</v>
      </c>
      <c r="O354">
        <v>19</v>
      </c>
    </row>
    <row r="355" spans="1:15" x14ac:dyDescent="0.35">
      <c r="A355" t="s">
        <v>367</v>
      </c>
      <c r="B355" s="2">
        <v>45512</v>
      </c>
      <c r="C355" s="2">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x14ac:dyDescent="0.35">
      <c r="A356" t="s">
        <v>368</v>
      </c>
      <c r="B356" s="2">
        <v>45603</v>
      </c>
      <c r="C356" s="2">
        <v>45622</v>
      </c>
      <c r="D356" t="s">
        <v>648</v>
      </c>
      <c r="E356" t="s">
        <v>655</v>
      </c>
      <c r="F356" t="s">
        <v>692</v>
      </c>
      <c r="G356" t="s">
        <v>703</v>
      </c>
      <c r="H356" t="s">
        <v>710</v>
      </c>
      <c r="I356" t="s">
        <v>713</v>
      </c>
      <c r="J356" t="s">
        <v>728</v>
      </c>
      <c r="K356" t="s">
        <v>1088</v>
      </c>
      <c r="L356">
        <v>55.35</v>
      </c>
      <c r="M356">
        <v>128.68</v>
      </c>
      <c r="N356">
        <v>0.128</v>
      </c>
      <c r="O356">
        <v>10</v>
      </c>
    </row>
    <row r="357" spans="1:15" x14ac:dyDescent="0.35">
      <c r="A357" t="s">
        <v>369</v>
      </c>
      <c r="B357" s="2">
        <v>45292</v>
      </c>
      <c r="C357" s="2">
        <v>45318</v>
      </c>
      <c r="D357" t="s">
        <v>649</v>
      </c>
      <c r="E357" t="s">
        <v>658</v>
      </c>
      <c r="F357" t="s">
        <v>693</v>
      </c>
      <c r="G357" t="s">
        <v>702</v>
      </c>
      <c r="H357" t="s">
        <v>710</v>
      </c>
      <c r="I357" t="s">
        <v>726</v>
      </c>
      <c r="J357" t="s">
        <v>733</v>
      </c>
      <c r="K357" t="s">
        <v>1089</v>
      </c>
      <c r="L357">
        <v>657.45</v>
      </c>
      <c r="M357">
        <v>1325.96</v>
      </c>
      <c r="N357">
        <v>0.16700000000000001</v>
      </c>
      <c r="O357">
        <v>21</v>
      </c>
    </row>
    <row r="358" spans="1:15" x14ac:dyDescent="0.35">
      <c r="A358" t="s">
        <v>370</v>
      </c>
      <c r="B358" s="2">
        <v>45883</v>
      </c>
      <c r="C358" s="2">
        <v>45911</v>
      </c>
      <c r="D358" t="s">
        <v>648</v>
      </c>
      <c r="E358" t="s">
        <v>655</v>
      </c>
      <c r="F358" t="s">
        <v>670</v>
      </c>
      <c r="G358" t="s">
        <v>703</v>
      </c>
      <c r="H358" t="s">
        <v>711</v>
      </c>
      <c r="I358" t="s">
        <v>721</v>
      </c>
      <c r="J358" t="s">
        <v>728</v>
      </c>
      <c r="K358" t="s">
        <v>1090</v>
      </c>
      <c r="L358">
        <v>1203.02</v>
      </c>
      <c r="M358">
        <v>2439.33</v>
      </c>
      <c r="N358">
        <v>0</v>
      </c>
      <c r="O358">
        <v>18</v>
      </c>
    </row>
    <row r="359" spans="1:15" x14ac:dyDescent="0.35">
      <c r="A359" t="s">
        <v>371</v>
      </c>
      <c r="B359" s="2">
        <v>45385</v>
      </c>
      <c r="C359" s="2">
        <v>45403</v>
      </c>
      <c r="D359" t="s">
        <v>648</v>
      </c>
      <c r="E359" t="s">
        <v>655</v>
      </c>
      <c r="F359" t="s">
        <v>672</v>
      </c>
      <c r="G359" t="s">
        <v>705</v>
      </c>
      <c r="H359" t="s">
        <v>710</v>
      </c>
      <c r="I359" t="s">
        <v>717</v>
      </c>
      <c r="J359" t="s">
        <v>729</v>
      </c>
      <c r="K359" t="s">
        <v>1091</v>
      </c>
      <c r="L359">
        <v>1176.69</v>
      </c>
      <c r="M359">
        <v>2201.54</v>
      </c>
      <c r="N359">
        <v>0.17</v>
      </c>
      <c r="O359">
        <v>27</v>
      </c>
    </row>
    <row r="360" spans="1:15" x14ac:dyDescent="0.35">
      <c r="A360" t="s">
        <v>372</v>
      </c>
      <c r="B360" s="2">
        <v>45621</v>
      </c>
      <c r="C360" s="2">
        <v>45633</v>
      </c>
      <c r="D360" t="s">
        <v>647</v>
      </c>
      <c r="E360" t="s">
        <v>659</v>
      </c>
      <c r="F360" t="s">
        <v>685</v>
      </c>
      <c r="G360" t="s">
        <v>701</v>
      </c>
      <c r="H360" t="s">
        <v>710</v>
      </c>
      <c r="I360" t="s">
        <v>720</v>
      </c>
      <c r="J360" t="s">
        <v>733</v>
      </c>
      <c r="K360" t="s">
        <v>1092</v>
      </c>
      <c r="L360">
        <v>769.9</v>
      </c>
      <c r="M360">
        <v>814.36</v>
      </c>
      <c r="N360">
        <v>0</v>
      </c>
      <c r="O360">
        <v>5</v>
      </c>
    </row>
    <row r="361" spans="1:15" x14ac:dyDescent="0.35">
      <c r="A361" t="s">
        <v>373</v>
      </c>
      <c r="B361" s="2">
        <v>45309</v>
      </c>
      <c r="C361" s="2">
        <v>45325</v>
      </c>
      <c r="D361" t="s">
        <v>646</v>
      </c>
      <c r="E361" t="s">
        <v>661</v>
      </c>
      <c r="F361" t="s">
        <v>695</v>
      </c>
      <c r="G361" t="s">
        <v>703</v>
      </c>
      <c r="H361" t="s">
        <v>710</v>
      </c>
      <c r="I361" t="s">
        <v>716</v>
      </c>
      <c r="J361" t="s">
        <v>728</v>
      </c>
      <c r="K361" t="s">
        <v>1093</v>
      </c>
      <c r="L361">
        <v>666.23</v>
      </c>
      <c r="M361">
        <v>1382.91</v>
      </c>
      <c r="N361">
        <v>0.17599999999999999</v>
      </c>
      <c r="O361">
        <v>13</v>
      </c>
    </row>
    <row r="362" spans="1:15" x14ac:dyDescent="0.35">
      <c r="A362" t="s">
        <v>374</v>
      </c>
      <c r="B362" s="2">
        <v>45466</v>
      </c>
      <c r="C362" s="2">
        <v>45468</v>
      </c>
      <c r="D362" t="s">
        <v>649</v>
      </c>
      <c r="E362" t="s">
        <v>658</v>
      </c>
      <c r="F362" t="s">
        <v>674</v>
      </c>
      <c r="G362" t="s">
        <v>705</v>
      </c>
      <c r="H362" t="s">
        <v>709</v>
      </c>
      <c r="I362" t="s">
        <v>716</v>
      </c>
      <c r="J362" t="s">
        <v>733</v>
      </c>
      <c r="K362" t="s">
        <v>1094</v>
      </c>
      <c r="L362">
        <v>951.44</v>
      </c>
      <c r="M362">
        <v>1646.43</v>
      </c>
      <c r="N362">
        <v>0.11</v>
      </c>
      <c r="O362">
        <v>24</v>
      </c>
    </row>
    <row r="363" spans="1:15" x14ac:dyDescent="0.35">
      <c r="A363" t="s">
        <v>375</v>
      </c>
      <c r="B363" s="2">
        <v>45833</v>
      </c>
      <c r="C363" s="2">
        <v>45848</v>
      </c>
      <c r="D363" t="s">
        <v>649</v>
      </c>
      <c r="E363" t="s">
        <v>658</v>
      </c>
      <c r="F363" t="s">
        <v>674</v>
      </c>
      <c r="G363" t="s">
        <v>703</v>
      </c>
      <c r="H363" t="s">
        <v>709</v>
      </c>
      <c r="I363" t="s">
        <v>726</v>
      </c>
      <c r="J363" t="s">
        <v>730</v>
      </c>
      <c r="K363" t="s">
        <v>1095</v>
      </c>
      <c r="L363">
        <v>546.83000000000004</v>
      </c>
      <c r="M363">
        <v>400.84</v>
      </c>
      <c r="N363">
        <v>7.8E-2</v>
      </c>
      <c r="O363">
        <v>13</v>
      </c>
    </row>
    <row r="364" spans="1:15" x14ac:dyDescent="0.35">
      <c r="A364" t="s">
        <v>376</v>
      </c>
      <c r="B364" s="2">
        <v>45108</v>
      </c>
      <c r="C364" s="2">
        <v>45115</v>
      </c>
      <c r="D364" t="s">
        <v>646</v>
      </c>
      <c r="E364" t="s">
        <v>651</v>
      </c>
      <c r="F364" t="s">
        <v>663</v>
      </c>
      <c r="G364" t="s">
        <v>701</v>
      </c>
      <c r="H364" t="s">
        <v>707</v>
      </c>
      <c r="I364" t="s">
        <v>720</v>
      </c>
      <c r="J364" t="s">
        <v>731</v>
      </c>
      <c r="K364" t="s">
        <v>1096</v>
      </c>
      <c r="L364">
        <v>834.26</v>
      </c>
      <c r="M364">
        <v>1780.56</v>
      </c>
      <c r="N364">
        <v>1.4E-2</v>
      </c>
      <c r="O364">
        <v>47</v>
      </c>
    </row>
    <row r="365" spans="1:15" x14ac:dyDescent="0.35">
      <c r="A365" t="s">
        <v>377</v>
      </c>
      <c r="B365" s="2">
        <v>45360</v>
      </c>
      <c r="C365" s="2">
        <v>45377</v>
      </c>
      <c r="D365" t="s">
        <v>647</v>
      </c>
      <c r="E365" t="s">
        <v>659</v>
      </c>
      <c r="F365" t="s">
        <v>676</v>
      </c>
      <c r="G365" t="s">
        <v>706</v>
      </c>
      <c r="H365" t="s">
        <v>708</v>
      </c>
      <c r="I365" t="s">
        <v>723</v>
      </c>
      <c r="J365" t="s">
        <v>732</v>
      </c>
      <c r="K365" t="s">
        <v>1097</v>
      </c>
      <c r="L365">
        <v>1029.67</v>
      </c>
      <c r="M365">
        <v>1118.43</v>
      </c>
      <c r="N365">
        <v>0.27200000000000002</v>
      </c>
      <c r="O365">
        <v>9</v>
      </c>
    </row>
    <row r="366" spans="1:15" x14ac:dyDescent="0.35">
      <c r="A366" t="s">
        <v>378</v>
      </c>
      <c r="B366" s="2">
        <v>45082</v>
      </c>
      <c r="C366" s="2">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x14ac:dyDescent="0.35">
      <c r="A367" t="s">
        <v>379</v>
      </c>
      <c r="B367" s="2">
        <v>45737</v>
      </c>
      <c r="C367" s="2">
        <v>45756</v>
      </c>
      <c r="D367" t="s">
        <v>647</v>
      </c>
      <c r="E367" t="s">
        <v>652</v>
      </c>
      <c r="F367" t="s">
        <v>689</v>
      </c>
      <c r="G367" t="s">
        <v>705</v>
      </c>
      <c r="H367" t="s">
        <v>710</v>
      </c>
      <c r="I367" t="s">
        <v>718</v>
      </c>
      <c r="J367" t="s">
        <v>727</v>
      </c>
      <c r="K367" t="s">
        <v>1099</v>
      </c>
      <c r="L367">
        <v>1055.45</v>
      </c>
      <c r="M367">
        <v>1210.04</v>
      </c>
      <c r="N367">
        <v>8.9999999999999993E-3</v>
      </c>
      <c r="O367">
        <v>18</v>
      </c>
    </row>
    <row r="368" spans="1:15" x14ac:dyDescent="0.35">
      <c r="A368" t="s">
        <v>380</v>
      </c>
      <c r="B368" s="2">
        <v>45445</v>
      </c>
      <c r="C368" s="2">
        <v>45458</v>
      </c>
      <c r="D368" t="s">
        <v>646</v>
      </c>
      <c r="E368" t="s">
        <v>650</v>
      </c>
      <c r="F368" t="s">
        <v>675</v>
      </c>
      <c r="G368" t="s">
        <v>702</v>
      </c>
      <c r="H368" t="s">
        <v>708</v>
      </c>
      <c r="I368" t="s">
        <v>719</v>
      </c>
      <c r="J368" t="s">
        <v>730</v>
      </c>
      <c r="K368" t="s">
        <v>1100</v>
      </c>
      <c r="L368">
        <v>1295.18</v>
      </c>
      <c r="M368">
        <v>3024.03</v>
      </c>
      <c r="N368">
        <v>0.192</v>
      </c>
      <c r="O368">
        <v>8</v>
      </c>
    </row>
    <row r="369" spans="1:15" x14ac:dyDescent="0.35">
      <c r="A369" t="s">
        <v>381</v>
      </c>
      <c r="B369" s="2">
        <v>45731</v>
      </c>
      <c r="C369" s="2">
        <v>45745</v>
      </c>
      <c r="D369" t="s">
        <v>647</v>
      </c>
      <c r="E369" t="s">
        <v>654</v>
      </c>
      <c r="F369" t="s">
        <v>691</v>
      </c>
      <c r="G369" t="s">
        <v>706</v>
      </c>
      <c r="H369" t="s">
        <v>711</v>
      </c>
      <c r="I369" t="s">
        <v>712</v>
      </c>
      <c r="J369" t="s">
        <v>727</v>
      </c>
      <c r="K369" t="s">
        <v>1101</v>
      </c>
      <c r="L369">
        <v>935.83</v>
      </c>
      <c r="M369">
        <v>2303.46</v>
      </c>
      <c r="N369">
        <v>0.105</v>
      </c>
      <c r="O369">
        <v>9</v>
      </c>
    </row>
    <row r="370" spans="1:15" x14ac:dyDescent="0.35">
      <c r="A370" t="s">
        <v>382</v>
      </c>
      <c r="B370" s="2">
        <v>45194</v>
      </c>
      <c r="C370" s="2">
        <v>45208</v>
      </c>
      <c r="D370" t="s">
        <v>648</v>
      </c>
      <c r="E370" t="s">
        <v>660</v>
      </c>
      <c r="F370" t="s">
        <v>700</v>
      </c>
      <c r="G370" t="s">
        <v>705</v>
      </c>
      <c r="H370" t="s">
        <v>709</v>
      </c>
      <c r="I370" t="s">
        <v>713</v>
      </c>
      <c r="J370" t="s">
        <v>731</v>
      </c>
      <c r="K370" t="s">
        <v>1102</v>
      </c>
      <c r="L370">
        <v>1279.56</v>
      </c>
      <c r="M370">
        <v>3083.8</v>
      </c>
      <c r="N370">
        <v>0.106</v>
      </c>
      <c r="O370">
        <v>5</v>
      </c>
    </row>
    <row r="371" spans="1:15" x14ac:dyDescent="0.35">
      <c r="A371" t="s">
        <v>383</v>
      </c>
      <c r="B371" s="2">
        <v>45832</v>
      </c>
      <c r="C371" s="2">
        <v>45861</v>
      </c>
      <c r="D371" t="s">
        <v>648</v>
      </c>
      <c r="E371" t="s">
        <v>653</v>
      </c>
      <c r="F371" t="s">
        <v>688</v>
      </c>
      <c r="G371" t="s">
        <v>703</v>
      </c>
      <c r="H371" t="s">
        <v>709</v>
      </c>
      <c r="I371" t="s">
        <v>714</v>
      </c>
      <c r="J371" t="s">
        <v>728</v>
      </c>
      <c r="K371" t="s">
        <v>1103</v>
      </c>
      <c r="L371">
        <v>255.4</v>
      </c>
      <c r="M371">
        <v>322.70999999999998</v>
      </c>
      <c r="N371">
        <v>0.115</v>
      </c>
      <c r="O371">
        <v>16</v>
      </c>
    </row>
    <row r="372" spans="1:15" x14ac:dyDescent="0.35">
      <c r="A372" t="s">
        <v>384</v>
      </c>
      <c r="B372" s="2">
        <v>45286</v>
      </c>
      <c r="C372" s="2">
        <v>45294</v>
      </c>
      <c r="D372" t="s">
        <v>649</v>
      </c>
      <c r="E372" t="s">
        <v>657</v>
      </c>
      <c r="F372" t="s">
        <v>679</v>
      </c>
      <c r="G372" t="s">
        <v>705</v>
      </c>
      <c r="H372" t="s">
        <v>707</v>
      </c>
      <c r="I372" t="s">
        <v>724</v>
      </c>
      <c r="J372" t="s">
        <v>731</v>
      </c>
      <c r="K372" t="s">
        <v>1104</v>
      </c>
      <c r="L372">
        <v>492.75</v>
      </c>
      <c r="M372">
        <v>731.29</v>
      </c>
      <c r="N372">
        <v>5.8000000000000003E-2</v>
      </c>
      <c r="O372">
        <v>6</v>
      </c>
    </row>
    <row r="373" spans="1:15" x14ac:dyDescent="0.35">
      <c r="A373" t="s">
        <v>385</v>
      </c>
      <c r="B373" s="2">
        <v>44962</v>
      </c>
      <c r="C373" s="2">
        <v>44985</v>
      </c>
      <c r="D373" t="s">
        <v>648</v>
      </c>
      <c r="E373" t="s">
        <v>660</v>
      </c>
      <c r="F373" t="s">
        <v>697</v>
      </c>
      <c r="G373" t="s">
        <v>703</v>
      </c>
      <c r="H373" t="s">
        <v>710</v>
      </c>
      <c r="I373" t="s">
        <v>716</v>
      </c>
      <c r="J373" t="s">
        <v>730</v>
      </c>
      <c r="K373" t="s">
        <v>1105</v>
      </c>
      <c r="L373">
        <v>1214.49</v>
      </c>
      <c r="M373">
        <v>1533.95</v>
      </c>
      <c r="N373">
        <v>0</v>
      </c>
      <c r="O373">
        <v>11</v>
      </c>
    </row>
    <row r="374" spans="1:15" x14ac:dyDescent="0.35">
      <c r="A374" t="s">
        <v>386</v>
      </c>
      <c r="B374" s="2">
        <v>45022</v>
      </c>
      <c r="C374" s="2">
        <v>45024</v>
      </c>
      <c r="D374" t="s">
        <v>646</v>
      </c>
      <c r="E374" t="s">
        <v>651</v>
      </c>
      <c r="F374" t="s">
        <v>669</v>
      </c>
      <c r="G374" t="s">
        <v>705</v>
      </c>
      <c r="H374" t="s">
        <v>709</v>
      </c>
      <c r="I374" t="s">
        <v>723</v>
      </c>
      <c r="J374" t="s">
        <v>732</v>
      </c>
      <c r="K374" t="s">
        <v>1106</v>
      </c>
      <c r="L374">
        <v>720.35</v>
      </c>
      <c r="M374">
        <v>1571.66</v>
      </c>
      <c r="N374">
        <v>0.107</v>
      </c>
      <c r="O374">
        <v>23</v>
      </c>
    </row>
    <row r="375" spans="1:15" x14ac:dyDescent="0.35">
      <c r="A375" t="s">
        <v>387</v>
      </c>
      <c r="B375" s="2">
        <v>45751</v>
      </c>
      <c r="C375" s="2">
        <v>45757</v>
      </c>
      <c r="D375" t="s">
        <v>649</v>
      </c>
      <c r="E375" t="s">
        <v>658</v>
      </c>
      <c r="F375" t="s">
        <v>674</v>
      </c>
      <c r="G375" t="s">
        <v>703</v>
      </c>
      <c r="H375" t="s">
        <v>711</v>
      </c>
      <c r="I375" t="s">
        <v>725</v>
      </c>
      <c r="J375" t="s">
        <v>728</v>
      </c>
      <c r="K375" t="s">
        <v>1107</v>
      </c>
      <c r="L375">
        <v>290.14</v>
      </c>
      <c r="M375">
        <v>250.73</v>
      </c>
      <c r="N375">
        <v>3.4000000000000002E-2</v>
      </c>
      <c r="O375">
        <v>17</v>
      </c>
    </row>
    <row r="376" spans="1:15" x14ac:dyDescent="0.35">
      <c r="A376" t="s">
        <v>388</v>
      </c>
      <c r="B376" s="2">
        <v>45429</v>
      </c>
      <c r="C376" s="2">
        <v>45439</v>
      </c>
      <c r="D376" t="s">
        <v>648</v>
      </c>
      <c r="E376" t="s">
        <v>660</v>
      </c>
      <c r="F376" t="s">
        <v>697</v>
      </c>
      <c r="G376" t="s">
        <v>703</v>
      </c>
      <c r="H376" t="s">
        <v>708</v>
      </c>
      <c r="I376" t="s">
        <v>712</v>
      </c>
      <c r="J376" t="s">
        <v>730</v>
      </c>
      <c r="K376" t="s">
        <v>1108</v>
      </c>
      <c r="L376">
        <v>1484.23</v>
      </c>
      <c r="M376">
        <v>3472.81</v>
      </c>
      <c r="N376">
        <v>0.25600000000000001</v>
      </c>
      <c r="O376">
        <v>12</v>
      </c>
    </row>
    <row r="377" spans="1:15" x14ac:dyDescent="0.35">
      <c r="A377" t="s">
        <v>389</v>
      </c>
      <c r="B377" s="2">
        <v>45354</v>
      </c>
      <c r="C377" s="2">
        <v>45370</v>
      </c>
      <c r="D377" t="s">
        <v>647</v>
      </c>
      <c r="E377" t="s">
        <v>659</v>
      </c>
      <c r="F377" t="s">
        <v>699</v>
      </c>
      <c r="G377" t="s">
        <v>704</v>
      </c>
      <c r="H377" t="s">
        <v>710</v>
      </c>
      <c r="I377" t="s">
        <v>715</v>
      </c>
      <c r="J377" t="s">
        <v>730</v>
      </c>
      <c r="K377" t="s">
        <v>1109</v>
      </c>
      <c r="L377">
        <v>988.83</v>
      </c>
      <c r="M377">
        <v>1206.04</v>
      </c>
      <c r="N377">
        <v>6.3E-2</v>
      </c>
      <c r="O377">
        <v>34</v>
      </c>
    </row>
    <row r="378" spans="1:15" x14ac:dyDescent="0.35">
      <c r="A378" t="s">
        <v>390</v>
      </c>
      <c r="B378" s="2">
        <v>45835</v>
      </c>
      <c r="C378" s="2">
        <v>45849</v>
      </c>
      <c r="D378" t="s">
        <v>647</v>
      </c>
      <c r="E378" t="s">
        <v>659</v>
      </c>
      <c r="F378" t="s">
        <v>685</v>
      </c>
      <c r="G378" t="s">
        <v>705</v>
      </c>
      <c r="H378" t="s">
        <v>709</v>
      </c>
      <c r="I378" t="s">
        <v>716</v>
      </c>
      <c r="J378" t="s">
        <v>729</v>
      </c>
      <c r="K378" t="s">
        <v>1110</v>
      </c>
      <c r="L378">
        <v>1227.7</v>
      </c>
      <c r="M378">
        <v>2197.23</v>
      </c>
      <c r="N378">
        <v>9.9000000000000005E-2</v>
      </c>
      <c r="O378">
        <v>22</v>
      </c>
    </row>
    <row r="379" spans="1:15" x14ac:dyDescent="0.35">
      <c r="A379" t="s">
        <v>391</v>
      </c>
      <c r="B379" s="2">
        <v>44998</v>
      </c>
      <c r="C379" s="2">
        <v>45020</v>
      </c>
      <c r="D379" t="s">
        <v>646</v>
      </c>
      <c r="E379" t="s">
        <v>661</v>
      </c>
      <c r="F379" t="s">
        <v>687</v>
      </c>
      <c r="G379" t="s">
        <v>705</v>
      </c>
      <c r="H379" t="s">
        <v>707</v>
      </c>
      <c r="I379" t="s">
        <v>720</v>
      </c>
      <c r="J379" t="s">
        <v>727</v>
      </c>
      <c r="K379" t="s">
        <v>1111</v>
      </c>
      <c r="L379">
        <v>1113.7</v>
      </c>
      <c r="M379">
        <v>1620.6</v>
      </c>
      <c r="N379">
        <v>0.13900000000000001</v>
      </c>
      <c r="O379">
        <v>11</v>
      </c>
    </row>
    <row r="380" spans="1:15" x14ac:dyDescent="0.35">
      <c r="A380" t="s">
        <v>392</v>
      </c>
      <c r="B380" s="2">
        <v>45664</v>
      </c>
      <c r="C380" s="2">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x14ac:dyDescent="0.35">
      <c r="A381" t="s">
        <v>393</v>
      </c>
      <c r="B381" s="2">
        <v>45694</v>
      </c>
      <c r="C381" s="2">
        <v>45703</v>
      </c>
      <c r="D381" t="s">
        <v>648</v>
      </c>
      <c r="E381" t="s">
        <v>655</v>
      </c>
      <c r="F381" t="s">
        <v>670</v>
      </c>
      <c r="G381" t="s">
        <v>703</v>
      </c>
      <c r="H381" t="s">
        <v>710</v>
      </c>
      <c r="I381" t="s">
        <v>721</v>
      </c>
      <c r="J381" t="s">
        <v>729</v>
      </c>
      <c r="K381" t="s">
        <v>1113</v>
      </c>
      <c r="L381">
        <v>837.39</v>
      </c>
      <c r="M381">
        <v>1905.42</v>
      </c>
      <c r="N381">
        <v>3.2000000000000001E-2</v>
      </c>
      <c r="O381">
        <v>18</v>
      </c>
    </row>
    <row r="382" spans="1:15" x14ac:dyDescent="0.35">
      <c r="A382" t="s">
        <v>394</v>
      </c>
      <c r="B382" s="2">
        <v>45688</v>
      </c>
      <c r="C382" s="2">
        <v>45705</v>
      </c>
      <c r="D382" t="s">
        <v>649</v>
      </c>
      <c r="E382" t="s">
        <v>658</v>
      </c>
      <c r="F382" t="s">
        <v>683</v>
      </c>
      <c r="G382" t="s">
        <v>706</v>
      </c>
      <c r="H382" t="s">
        <v>707</v>
      </c>
      <c r="I382" t="s">
        <v>722</v>
      </c>
      <c r="J382" t="s">
        <v>727</v>
      </c>
      <c r="K382" t="s">
        <v>812</v>
      </c>
      <c r="L382">
        <v>378.26</v>
      </c>
      <c r="M382">
        <v>541.55999999999995</v>
      </c>
      <c r="N382">
        <v>0.16300000000000001</v>
      </c>
      <c r="O382">
        <v>25</v>
      </c>
    </row>
    <row r="383" spans="1:15" x14ac:dyDescent="0.35">
      <c r="A383" t="s">
        <v>395</v>
      </c>
      <c r="B383" s="2">
        <v>45876</v>
      </c>
      <c r="C383" s="2">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x14ac:dyDescent="0.35">
      <c r="A384" t="s">
        <v>396</v>
      </c>
      <c r="B384" s="2">
        <v>45861</v>
      </c>
      <c r="C384" s="2">
        <v>45886</v>
      </c>
      <c r="D384" t="s">
        <v>649</v>
      </c>
      <c r="E384" t="s">
        <v>658</v>
      </c>
      <c r="F384" t="s">
        <v>674</v>
      </c>
      <c r="G384" t="s">
        <v>702</v>
      </c>
      <c r="H384" t="s">
        <v>708</v>
      </c>
      <c r="I384" t="s">
        <v>714</v>
      </c>
      <c r="J384" t="s">
        <v>728</v>
      </c>
      <c r="K384" t="s">
        <v>1115</v>
      </c>
      <c r="L384">
        <v>1142.06</v>
      </c>
      <c r="M384">
        <v>1455</v>
      </c>
      <c r="N384">
        <v>7.8E-2</v>
      </c>
      <c r="O384">
        <v>28</v>
      </c>
    </row>
    <row r="385" spans="1:15" x14ac:dyDescent="0.35">
      <c r="A385" t="s">
        <v>397</v>
      </c>
      <c r="B385" s="2">
        <v>45097</v>
      </c>
      <c r="C385" s="2">
        <v>45115</v>
      </c>
      <c r="D385" t="s">
        <v>648</v>
      </c>
      <c r="E385" t="s">
        <v>660</v>
      </c>
      <c r="F385" t="s">
        <v>700</v>
      </c>
      <c r="G385" t="s">
        <v>704</v>
      </c>
      <c r="H385" t="s">
        <v>709</v>
      </c>
      <c r="I385" t="s">
        <v>719</v>
      </c>
      <c r="J385" t="s">
        <v>729</v>
      </c>
      <c r="K385" t="s">
        <v>1116</v>
      </c>
      <c r="L385">
        <v>1145.53</v>
      </c>
      <c r="M385">
        <v>1278.3</v>
      </c>
      <c r="N385">
        <v>0.09</v>
      </c>
      <c r="O385">
        <v>41</v>
      </c>
    </row>
    <row r="386" spans="1:15" x14ac:dyDescent="0.35">
      <c r="A386" t="s">
        <v>398</v>
      </c>
      <c r="B386" s="2">
        <v>45491</v>
      </c>
      <c r="C386" s="2">
        <v>45511</v>
      </c>
      <c r="D386" t="s">
        <v>649</v>
      </c>
      <c r="E386" t="s">
        <v>657</v>
      </c>
      <c r="F386" t="s">
        <v>673</v>
      </c>
      <c r="G386" t="s">
        <v>701</v>
      </c>
      <c r="H386" t="s">
        <v>707</v>
      </c>
      <c r="I386" t="s">
        <v>721</v>
      </c>
      <c r="J386" t="s">
        <v>732</v>
      </c>
      <c r="K386" t="s">
        <v>1117</v>
      </c>
      <c r="L386">
        <v>941.35</v>
      </c>
      <c r="M386">
        <v>899.83</v>
      </c>
      <c r="N386">
        <v>5.8000000000000003E-2</v>
      </c>
      <c r="O386">
        <v>18</v>
      </c>
    </row>
    <row r="387" spans="1:15" x14ac:dyDescent="0.35">
      <c r="A387" t="s">
        <v>399</v>
      </c>
      <c r="B387" s="2">
        <v>45066</v>
      </c>
      <c r="C387" s="2">
        <v>45096</v>
      </c>
      <c r="D387" t="s">
        <v>647</v>
      </c>
      <c r="E387" t="s">
        <v>654</v>
      </c>
      <c r="F387" t="s">
        <v>680</v>
      </c>
      <c r="G387" t="s">
        <v>703</v>
      </c>
      <c r="H387" t="s">
        <v>709</v>
      </c>
      <c r="I387" t="s">
        <v>722</v>
      </c>
      <c r="J387" t="s">
        <v>731</v>
      </c>
      <c r="K387" t="s">
        <v>1118</v>
      </c>
      <c r="L387">
        <v>1161.2</v>
      </c>
      <c r="M387">
        <v>878.73</v>
      </c>
      <c r="N387">
        <v>0.19</v>
      </c>
      <c r="O387">
        <v>31</v>
      </c>
    </row>
    <row r="388" spans="1:15" x14ac:dyDescent="0.35">
      <c r="A388" t="s">
        <v>400</v>
      </c>
      <c r="B388" s="2">
        <v>45789</v>
      </c>
      <c r="C388" s="2">
        <v>45803</v>
      </c>
      <c r="D388" t="s">
        <v>647</v>
      </c>
      <c r="E388" t="s">
        <v>654</v>
      </c>
      <c r="F388" t="s">
        <v>696</v>
      </c>
      <c r="G388" t="s">
        <v>701</v>
      </c>
      <c r="H388" t="s">
        <v>709</v>
      </c>
      <c r="I388" t="s">
        <v>715</v>
      </c>
      <c r="J388" t="s">
        <v>728</v>
      </c>
      <c r="K388" t="s">
        <v>1119</v>
      </c>
      <c r="L388">
        <v>320.12</v>
      </c>
      <c r="M388">
        <v>594.41999999999996</v>
      </c>
      <c r="N388">
        <v>0.104</v>
      </c>
      <c r="O388">
        <v>18</v>
      </c>
    </row>
    <row r="389" spans="1:15" x14ac:dyDescent="0.35">
      <c r="A389" t="s">
        <v>401</v>
      </c>
      <c r="B389" s="2">
        <v>45419</v>
      </c>
      <c r="C389" s="2">
        <v>45424</v>
      </c>
      <c r="D389" t="s">
        <v>646</v>
      </c>
      <c r="E389" t="s">
        <v>651</v>
      </c>
      <c r="F389" t="s">
        <v>669</v>
      </c>
      <c r="G389" t="s">
        <v>703</v>
      </c>
      <c r="H389" t="s">
        <v>710</v>
      </c>
      <c r="I389" t="s">
        <v>716</v>
      </c>
      <c r="J389" t="s">
        <v>731</v>
      </c>
      <c r="K389" t="s">
        <v>1120</v>
      </c>
      <c r="L389">
        <v>1163.99</v>
      </c>
      <c r="M389">
        <v>1617.85</v>
      </c>
      <c r="N389">
        <v>0.127</v>
      </c>
      <c r="O389">
        <v>14</v>
      </c>
    </row>
    <row r="390" spans="1:15" x14ac:dyDescent="0.35">
      <c r="A390" t="s">
        <v>402</v>
      </c>
      <c r="B390" s="2">
        <v>45199</v>
      </c>
      <c r="C390" s="2">
        <v>45202</v>
      </c>
      <c r="D390" t="s">
        <v>647</v>
      </c>
      <c r="E390" t="s">
        <v>659</v>
      </c>
      <c r="F390" t="s">
        <v>699</v>
      </c>
      <c r="G390" t="s">
        <v>703</v>
      </c>
      <c r="H390" t="s">
        <v>707</v>
      </c>
      <c r="I390" t="s">
        <v>713</v>
      </c>
      <c r="J390" t="s">
        <v>731</v>
      </c>
      <c r="K390" t="s">
        <v>1121</v>
      </c>
      <c r="L390">
        <v>1019.36</v>
      </c>
      <c r="M390">
        <v>972.91</v>
      </c>
      <c r="N390">
        <v>0.14699999999999999</v>
      </c>
      <c r="O390">
        <v>17</v>
      </c>
    </row>
    <row r="391" spans="1:15" x14ac:dyDescent="0.35">
      <c r="A391" t="s">
        <v>403</v>
      </c>
      <c r="B391" s="2">
        <v>45225</v>
      </c>
      <c r="C391" s="2">
        <v>45235</v>
      </c>
      <c r="D391" t="s">
        <v>646</v>
      </c>
      <c r="E391" t="s">
        <v>661</v>
      </c>
      <c r="F391" t="s">
        <v>695</v>
      </c>
      <c r="G391" t="s">
        <v>703</v>
      </c>
      <c r="H391" t="s">
        <v>708</v>
      </c>
      <c r="I391" t="s">
        <v>714</v>
      </c>
      <c r="J391" t="s">
        <v>731</v>
      </c>
      <c r="K391" t="s">
        <v>1122</v>
      </c>
      <c r="L391">
        <v>20.38</v>
      </c>
      <c r="M391">
        <v>42.56</v>
      </c>
      <c r="N391">
        <v>7.1999999999999995E-2</v>
      </c>
      <c r="O391">
        <v>11</v>
      </c>
    </row>
    <row r="392" spans="1:15" x14ac:dyDescent="0.35">
      <c r="A392" t="s">
        <v>404</v>
      </c>
      <c r="B392" s="2">
        <v>45823</v>
      </c>
      <c r="C392" s="2">
        <v>45838</v>
      </c>
      <c r="D392" t="s">
        <v>646</v>
      </c>
      <c r="E392" t="s">
        <v>661</v>
      </c>
      <c r="F392" t="s">
        <v>682</v>
      </c>
      <c r="G392" t="s">
        <v>705</v>
      </c>
      <c r="H392" t="s">
        <v>711</v>
      </c>
      <c r="I392" t="s">
        <v>712</v>
      </c>
      <c r="J392" t="s">
        <v>732</v>
      </c>
      <c r="K392" t="s">
        <v>1123</v>
      </c>
      <c r="L392">
        <v>1487.59</v>
      </c>
      <c r="M392">
        <v>1480.83</v>
      </c>
      <c r="N392">
        <v>8.9999999999999993E-3</v>
      </c>
      <c r="O392">
        <v>11</v>
      </c>
    </row>
    <row r="393" spans="1:15" x14ac:dyDescent="0.35">
      <c r="A393" t="s">
        <v>405</v>
      </c>
      <c r="B393" s="2">
        <v>45514</v>
      </c>
      <c r="C393" s="2">
        <v>45542</v>
      </c>
      <c r="D393" t="s">
        <v>649</v>
      </c>
      <c r="E393" t="s">
        <v>657</v>
      </c>
      <c r="F393" t="s">
        <v>673</v>
      </c>
      <c r="G393" t="s">
        <v>703</v>
      </c>
      <c r="H393" t="s">
        <v>711</v>
      </c>
      <c r="I393" t="s">
        <v>721</v>
      </c>
      <c r="J393" t="s">
        <v>728</v>
      </c>
      <c r="K393" t="s">
        <v>1124</v>
      </c>
      <c r="L393">
        <v>229.96</v>
      </c>
      <c r="M393">
        <v>564.26</v>
      </c>
      <c r="N393">
        <v>0.105</v>
      </c>
      <c r="O393">
        <v>5</v>
      </c>
    </row>
    <row r="394" spans="1:15" x14ac:dyDescent="0.35">
      <c r="A394" t="s">
        <v>406</v>
      </c>
      <c r="B394" s="2">
        <v>45208</v>
      </c>
      <c r="C394" s="2">
        <v>45225</v>
      </c>
      <c r="D394" t="s">
        <v>647</v>
      </c>
      <c r="E394" t="s">
        <v>659</v>
      </c>
      <c r="F394" t="s">
        <v>685</v>
      </c>
      <c r="G394" t="s">
        <v>704</v>
      </c>
      <c r="H394" t="s">
        <v>709</v>
      </c>
      <c r="I394" t="s">
        <v>712</v>
      </c>
      <c r="J394" t="s">
        <v>727</v>
      </c>
      <c r="K394" t="s">
        <v>1125</v>
      </c>
      <c r="L394">
        <v>1132.03</v>
      </c>
      <c r="M394">
        <v>2137.21</v>
      </c>
      <c r="N394">
        <v>0.35699999999999998</v>
      </c>
      <c r="O394">
        <v>35</v>
      </c>
    </row>
    <row r="395" spans="1:15" x14ac:dyDescent="0.35">
      <c r="A395" t="s">
        <v>407</v>
      </c>
      <c r="B395" s="2">
        <v>45360</v>
      </c>
      <c r="C395" s="2">
        <v>45377</v>
      </c>
      <c r="D395" t="s">
        <v>648</v>
      </c>
      <c r="E395" t="s">
        <v>660</v>
      </c>
      <c r="F395" t="s">
        <v>686</v>
      </c>
      <c r="G395" t="s">
        <v>702</v>
      </c>
      <c r="H395" t="s">
        <v>711</v>
      </c>
      <c r="I395" t="s">
        <v>714</v>
      </c>
      <c r="J395" t="s">
        <v>730</v>
      </c>
      <c r="K395" t="s">
        <v>1126</v>
      </c>
      <c r="L395">
        <v>1137.4100000000001</v>
      </c>
      <c r="M395">
        <v>1680.93</v>
      </c>
      <c r="N395">
        <v>0.254</v>
      </c>
      <c r="O395">
        <v>9</v>
      </c>
    </row>
    <row r="396" spans="1:15" x14ac:dyDescent="0.35">
      <c r="A396" t="s">
        <v>408</v>
      </c>
      <c r="B396" s="2">
        <v>45075</v>
      </c>
      <c r="C396" s="2">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x14ac:dyDescent="0.35">
      <c r="A397" t="s">
        <v>409</v>
      </c>
      <c r="B397" s="2">
        <v>45804</v>
      </c>
      <c r="C397" s="2">
        <v>45816</v>
      </c>
      <c r="D397" t="s">
        <v>647</v>
      </c>
      <c r="E397" t="s">
        <v>652</v>
      </c>
      <c r="F397" t="s">
        <v>666</v>
      </c>
      <c r="G397" t="s">
        <v>701</v>
      </c>
      <c r="H397" t="s">
        <v>707</v>
      </c>
      <c r="I397" t="s">
        <v>722</v>
      </c>
      <c r="J397" t="s">
        <v>733</v>
      </c>
      <c r="K397" t="s">
        <v>1128</v>
      </c>
      <c r="L397">
        <v>653.6</v>
      </c>
      <c r="M397">
        <v>842.09</v>
      </c>
      <c r="N397">
        <v>9.8000000000000004E-2</v>
      </c>
      <c r="O397">
        <v>19</v>
      </c>
    </row>
    <row r="398" spans="1:15" x14ac:dyDescent="0.35">
      <c r="A398" t="s">
        <v>410</v>
      </c>
      <c r="B398" s="2">
        <v>45890</v>
      </c>
      <c r="C398" s="2">
        <v>45914</v>
      </c>
      <c r="D398" t="s">
        <v>649</v>
      </c>
      <c r="E398" t="s">
        <v>656</v>
      </c>
      <c r="F398" t="s">
        <v>671</v>
      </c>
      <c r="G398" t="s">
        <v>703</v>
      </c>
      <c r="H398" t="s">
        <v>708</v>
      </c>
      <c r="I398" t="s">
        <v>720</v>
      </c>
      <c r="J398" t="s">
        <v>732</v>
      </c>
      <c r="K398" t="s">
        <v>1129</v>
      </c>
      <c r="L398">
        <v>1397.67</v>
      </c>
      <c r="M398">
        <v>3131.37</v>
      </c>
      <c r="N398">
        <v>0.10299999999999999</v>
      </c>
      <c r="O398">
        <v>20</v>
      </c>
    </row>
    <row r="399" spans="1:15" x14ac:dyDescent="0.35">
      <c r="A399" t="s">
        <v>411</v>
      </c>
      <c r="B399" s="2">
        <v>45638</v>
      </c>
      <c r="C399" s="2">
        <v>45646</v>
      </c>
      <c r="D399" t="s">
        <v>647</v>
      </c>
      <c r="E399" t="s">
        <v>652</v>
      </c>
      <c r="F399" t="s">
        <v>689</v>
      </c>
      <c r="G399" t="s">
        <v>701</v>
      </c>
      <c r="H399" t="s">
        <v>707</v>
      </c>
      <c r="I399" t="s">
        <v>717</v>
      </c>
      <c r="J399" t="s">
        <v>731</v>
      </c>
      <c r="K399" t="s">
        <v>1130</v>
      </c>
      <c r="L399">
        <v>1202.47</v>
      </c>
      <c r="M399">
        <v>1444.72</v>
      </c>
      <c r="N399">
        <v>0.24099999999999999</v>
      </c>
      <c r="O399">
        <v>17</v>
      </c>
    </row>
    <row r="400" spans="1:15" x14ac:dyDescent="0.35">
      <c r="A400" t="s">
        <v>412</v>
      </c>
      <c r="B400" s="2">
        <v>45914</v>
      </c>
      <c r="C400" s="2">
        <v>45923</v>
      </c>
      <c r="D400" t="s">
        <v>646</v>
      </c>
      <c r="E400" t="s">
        <v>661</v>
      </c>
      <c r="F400" t="s">
        <v>687</v>
      </c>
      <c r="G400" t="s">
        <v>703</v>
      </c>
      <c r="H400" t="s">
        <v>708</v>
      </c>
      <c r="I400" t="s">
        <v>726</v>
      </c>
      <c r="J400" t="s">
        <v>727</v>
      </c>
      <c r="K400" t="s">
        <v>1131</v>
      </c>
      <c r="L400">
        <v>1310.3</v>
      </c>
      <c r="M400">
        <v>2875.8</v>
      </c>
      <c r="N400">
        <v>8.3000000000000004E-2</v>
      </c>
      <c r="O400">
        <v>5</v>
      </c>
    </row>
    <row r="401" spans="1:15" x14ac:dyDescent="0.35">
      <c r="A401" t="s">
        <v>413</v>
      </c>
      <c r="B401" s="2">
        <v>45541</v>
      </c>
      <c r="C401" s="2">
        <v>45569</v>
      </c>
      <c r="D401" t="s">
        <v>646</v>
      </c>
      <c r="E401" t="s">
        <v>661</v>
      </c>
      <c r="F401" t="s">
        <v>695</v>
      </c>
      <c r="G401" t="s">
        <v>701</v>
      </c>
      <c r="H401" t="s">
        <v>709</v>
      </c>
      <c r="I401" t="s">
        <v>726</v>
      </c>
      <c r="J401" t="s">
        <v>732</v>
      </c>
      <c r="K401" t="s">
        <v>1132</v>
      </c>
      <c r="L401">
        <v>1174.17</v>
      </c>
      <c r="M401">
        <v>1641.61</v>
      </c>
      <c r="N401">
        <v>0.122</v>
      </c>
      <c r="O401">
        <v>9</v>
      </c>
    </row>
    <row r="402" spans="1:15" x14ac:dyDescent="0.35">
      <c r="A402" t="s">
        <v>414</v>
      </c>
      <c r="B402" s="2">
        <v>45759</v>
      </c>
      <c r="C402" s="2">
        <v>45777</v>
      </c>
      <c r="D402" t="s">
        <v>646</v>
      </c>
      <c r="E402" t="s">
        <v>650</v>
      </c>
      <c r="F402" t="s">
        <v>662</v>
      </c>
      <c r="G402" t="s">
        <v>701</v>
      </c>
      <c r="H402" t="s">
        <v>709</v>
      </c>
      <c r="I402" t="s">
        <v>721</v>
      </c>
      <c r="J402" t="s">
        <v>729</v>
      </c>
      <c r="K402" t="s">
        <v>1133</v>
      </c>
      <c r="L402">
        <v>1119.04</v>
      </c>
      <c r="M402">
        <v>1299.02</v>
      </c>
      <c r="N402">
        <v>2.5000000000000001E-2</v>
      </c>
      <c r="O402">
        <v>14</v>
      </c>
    </row>
    <row r="403" spans="1:15" x14ac:dyDescent="0.35">
      <c r="A403" t="s">
        <v>415</v>
      </c>
      <c r="B403" s="2">
        <v>45516</v>
      </c>
      <c r="C403" s="2">
        <v>45519</v>
      </c>
      <c r="D403" t="s">
        <v>648</v>
      </c>
      <c r="E403" t="s">
        <v>660</v>
      </c>
      <c r="F403" t="s">
        <v>677</v>
      </c>
      <c r="G403" t="s">
        <v>701</v>
      </c>
      <c r="H403" t="s">
        <v>709</v>
      </c>
      <c r="I403" t="s">
        <v>726</v>
      </c>
      <c r="J403" t="s">
        <v>728</v>
      </c>
      <c r="K403" t="s">
        <v>1134</v>
      </c>
      <c r="L403">
        <v>850.7</v>
      </c>
      <c r="M403">
        <v>1118.56</v>
      </c>
      <c r="N403">
        <v>0.18</v>
      </c>
      <c r="O403">
        <v>19</v>
      </c>
    </row>
    <row r="404" spans="1:15" x14ac:dyDescent="0.35">
      <c r="A404" t="s">
        <v>416</v>
      </c>
      <c r="B404" s="2">
        <v>45601</v>
      </c>
      <c r="C404" s="2">
        <v>45604</v>
      </c>
      <c r="D404" t="s">
        <v>648</v>
      </c>
      <c r="E404" t="s">
        <v>653</v>
      </c>
      <c r="F404" t="s">
        <v>667</v>
      </c>
      <c r="G404" t="s">
        <v>702</v>
      </c>
      <c r="H404" t="s">
        <v>709</v>
      </c>
      <c r="I404" t="s">
        <v>719</v>
      </c>
      <c r="J404" t="s">
        <v>727</v>
      </c>
      <c r="K404" t="s">
        <v>1135</v>
      </c>
      <c r="L404">
        <v>1020.4</v>
      </c>
      <c r="M404">
        <v>1184.71</v>
      </c>
      <c r="N404">
        <v>0.106</v>
      </c>
      <c r="O404">
        <v>16</v>
      </c>
    </row>
    <row r="405" spans="1:15" x14ac:dyDescent="0.35">
      <c r="A405" t="s">
        <v>417</v>
      </c>
      <c r="B405" s="2">
        <v>45497</v>
      </c>
      <c r="C405" s="2">
        <v>45512</v>
      </c>
      <c r="D405" t="s">
        <v>649</v>
      </c>
      <c r="E405" t="s">
        <v>657</v>
      </c>
      <c r="F405" t="s">
        <v>673</v>
      </c>
      <c r="G405" t="s">
        <v>706</v>
      </c>
      <c r="H405" t="s">
        <v>709</v>
      </c>
      <c r="I405" t="s">
        <v>722</v>
      </c>
      <c r="J405" t="s">
        <v>731</v>
      </c>
      <c r="K405" t="s">
        <v>1136</v>
      </c>
      <c r="L405">
        <v>501.5</v>
      </c>
      <c r="M405">
        <v>1201.47</v>
      </c>
      <c r="N405">
        <v>0.126</v>
      </c>
      <c r="O405">
        <v>5</v>
      </c>
    </row>
    <row r="406" spans="1:15" x14ac:dyDescent="0.35">
      <c r="A406" t="s">
        <v>418</v>
      </c>
      <c r="B406" s="2">
        <v>45677</v>
      </c>
      <c r="C406" s="2">
        <v>45691</v>
      </c>
      <c r="D406" t="s">
        <v>648</v>
      </c>
      <c r="E406" t="s">
        <v>655</v>
      </c>
      <c r="F406" t="s">
        <v>672</v>
      </c>
      <c r="G406" t="s">
        <v>706</v>
      </c>
      <c r="H406" t="s">
        <v>709</v>
      </c>
      <c r="I406" t="s">
        <v>721</v>
      </c>
      <c r="J406" t="s">
        <v>727</v>
      </c>
      <c r="K406" t="s">
        <v>1137</v>
      </c>
      <c r="L406">
        <v>974.11</v>
      </c>
      <c r="M406">
        <v>880.99</v>
      </c>
      <c r="N406">
        <v>0.111</v>
      </c>
      <c r="O406">
        <v>10</v>
      </c>
    </row>
    <row r="407" spans="1:15" x14ac:dyDescent="0.35">
      <c r="A407" t="s">
        <v>419</v>
      </c>
      <c r="B407" s="2">
        <v>44991</v>
      </c>
      <c r="C407" s="2">
        <v>45020</v>
      </c>
      <c r="D407" t="s">
        <v>647</v>
      </c>
      <c r="E407" t="s">
        <v>659</v>
      </c>
      <c r="F407" t="s">
        <v>699</v>
      </c>
      <c r="G407" t="s">
        <v>705</v>
      </c>
      <c r="H407" t="s">
        <v>711</v>
      </c>
      <c r="I407" t="s">
        <v>712</v>
      </c>
      <c r="J407" t="s">
        <v>732</v>
      </c>
      <c r="K407" t="s">
        <v>1138</v>
      </c>
      <c r="L407">
        <v>1126.29</v>
      </c>
      <c r="M407">
        <v>2050.87</v>
      </c>
      <c r="N407">
        <v>6.4000000000000001E-2</v>
      </c>
      <c r="O407">
        <v>7</v>
      </c>
    </row>
    <row r="408" spans="1:15" x14ac:dyDescent="0.35">
      <c r="A408" t="s">
        <v>420</v>
      </c>
      <c r="B408" s="2">
        <v>45646</v>
      </c>
      <c r="C408" s="2">
        <v>45671</v>
      </c>
      <c r="D408" t="s">
        <v>647</v>
      </c>
      <c r="E408" t="s">
        <v>654</v>
      </c>
      <c r="F408" t="s">
        <v>680</v>
      </c>
      <c r="G408" t="s">
        <v>705</v>
      </c>
      <c r="H408" t="s">
        <v>707</v>
      </c>
      <c r="I408" t="s">
        <v>724</v>
      </c>
      <c r="J408" t="s">
        <v>728</v>
      </c>
      <c r="K408" t="s">
        <v>1139</v>
      </c>
      <c r="L408">
        <v>1361.34</v>
      </c>
      <c r="M408">
        <v>1737.9</v>
      </c>
      <c r="N408">
        <v>7.6999999999999999E-2</v>
      </c>
      <c r="O408">
        <v>14</v>
      </c>
    </row>
    <row r="409" spans="1:15" x14ac:dyDescent="0.35">
      <c r="A409" t="s">
        <v>421</v>
      </c>
      <c r="B409" s="2">
        <v>45709</v>
      </c>
      <c r="C409" s="2">
        <v>45737</v>
      </c>
      <c r="D409" t="s">
        <v>646</v>
      </c>
      <c r="E409" t="s">
        <v>651</v>
      </c>
      <c r="F409" t="s">
        <v>669</v>
      </c>
      <c r="G409" t="s">
        <v>706</v>
      </c>
      <c r="H409" t="s">
        <v>709</v>
      </c>
      <c r="I409" t="s">
        <v>714</v>
      </c>
      <c r="J409" t="s">
        <v>730</v>
      </c>
      <c r="K409" t="s">
        <v>1140</v>
      </c>
      <c r="L409">
        <v>1437.39</v>
      </c>
      <c r="M409">
        <v>1388.31</v>
      </c>
      <c r="N409">
        <v>0.13800000000000001</v>
      </c>
      <c r="O409">
        <v>18</v>
      </c>
    </row>
    <row r="410" spans="1:15" x14ac:dyDescent="0.35">
      <c r="A410" t="s">
        <v>422</v>
      </c>
      <c r="B410" s="2">
        <v>45724</v>
      </c>
      <c r="C410" s="2">
        <v>45731</v>
      </c>
      <c r="D410" t="s">
        <v>647</v>
      </c>
      <c r="E410" t="s">
        <v>654</v>
      </c>
      <c r="F410" t="s">
        <v>668</v>
      </c>
      <c r="G410" t="s">
        <v>701</v>
      </c>
      <c r="H410" t="s">
        <v>710</v>
      </c>
      <c r="I410" t="s">
        <v>723</v>
      </c>
      <c r="J410" t="s">
        <v>731</v>
      </c>
      <c r="K410" t="s">
        <v>1141</v>
      </c>
      <c r="L410">
        <v>475.66</v>
      </c>
      <c r="M410">
        <v>529.14</v>
      </c>
      <c r="N410">
        <v>0.19600000000000001</v>
      </c>
      <c r="O410">
        <v>11</v>
      </c>
    </row>
    <row r="411" spans="1:15" x14ac:dyDescent="0.35">
      <c r="A411" t="s">
        <v>423</v>
      </c>
      <c r="B411" s="2">
        <v>45276</v>
      </c>
      <c r="C411" s="2">
        <v>45279</v>
      </c>
      <c r="D411" t="s">
        <v>647</v>
      </c>
      <c r="E411" t="s">
        <v>659</v>
      </c>
      <c r="F411" t="s">
        <v>699</v>
      </c>
      <c r="G411" t="s">
        <v>702</v>
      </c>
      <c r="H411" t="s">
        <v>707</v>
      </c>
      <c r="I411" t="s">
        <v>720</v>
      </c>
      <c r="J411" t="s">
        <v>733</v>
      </c>
      <c r="K411" t="s">
        <v>1142</v>
      </c>
      <c r="L411">
        <v>1415.05</v>
      </c>
      <c r="M411">
        <v>1972.38</v>
      </c>
      <c r="N411">
        <v>0</v>
      </c>
      <c r="O411">
        <v>12</v>
      </c>
    </row>
    <row r="412" spans="1:15" x14ac:dyDescent="0.35">
      <c r="A412" t="s">
        <v>424</v>
      </c>
      <c r="B412" s="2">
        <v>45534</v>
      </c>
      <c r="C412" s="2">
        <v>45540</v>
      </c>
      <c r="D412" t="s">
        <v>647</v>
      </c>
      <c r="E412" t="s">
        <v>652</v>
      </c>
      <c r="F412" t="s">
        <v>694</v>
      </c>
      <c r="G412" t="s">
        <v>702</v>
      </c>
      <c r="H412" t="s">
        <v>708</v>
      </c>
      <c r="I412" t="s">
        <v>725</v>
      </c>
      <c r="J412" t="s">
        <v>731</v>
      </c>
      <c r="K412" t="s">
        <v>1143</v>
      </c>
      <c r="L412">
        <v>466.16</v>
      </c>
      <c r="M412">
        <v>876.81</v>
      </c>
      <c r="N412">
        <v>0.24099999999999999</v>
      </c>
      <c r="O412">
        <v>8</v>
      </c>
    </row>
    <row r="413" spans="1:15" x14ac:dyDescent="0.35">
      <c r="A413" t="s">
        <v>425</v>
      </c>
      <c r="B413" s="2">
        <v>45430</v>
      </c>
      <c r="C413" s="2">
        <v>45433</v>
      </c>
      <c r="D413" t="s">
        <v>649</v>
      </c>
      <c r="E413" t="s">
        <v>657</v>
      </c>
      <c r="F413" t="s">
        <v>673</v>
      </c>
      <c r="G413" t="s">
        <v>703</v>
      </c>
      <c r="H413" t="s">
        <v>709</v>
      </c>
      <c r="I413" t="s">
        <v>726</v>
      </c>
      <c r="J413" t="s">
        <v>728</v>
      </c>
      <c r="K413" t="s">
        <v>1144</v>
      </c>
      <c r="L413">
        <v>663.66</v>
      </c>
      <c r="M413">
        <v>824.26</v>
      </c>
      <c r="N413">
        <v>0.23899999999999999</v>
      </c>
      <c r="O413">
        <v>11</v>
      </c>
    </row>
    <row r="414" spans="1:15" x14ac:dyDescent="0.35">
      <c r="A414" t="s">
        <v>426</v>
      </c>
      <c r="B414" s="2">
        <v>45002</v>
      </c>
      <c r="C414" s="2">
        <v>45022</v>
      </c>
      <c r="D414" t="s">
        <v>649</v>
      </c>
      <c r="E414" t="s">
        <v>656</v>
      </c>
      <c r="F414" t="s">
        <v>684</v>
      </c>
      <c r="G414" t="s">
        <v>704</v>
      </c>
      <c r="H414" t="s">
        <v>707</v>
      </c>
      <c r="I414" t="s">
        <v>719</v>
      </c>
      <c r="J414" t="s">
        <v>730</v>
      </c>
      <c r="K414" t="s">
        <v>1145</v>
      </c>
      <c r="L414">
        <v>692.18</v>
      </c>
      <c r="M414">
        <v>1159.3499999999999</v>
      </c>
      <c r="N414">
        <v>0.112</v>
      </c>
      <c r="O414">
        <v>2</v>
      </c>
    </row>
    <row r="415" spans="1:15" x14ac:dyDescent="0.35">
      <c r="A415" t="s">
        <v>427</v>
      </c>
      <c r="B415" s="2">
        <v>45163</v>
      </c>
      <c r="C415" s="2">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x14ac:dyDescent="0.35">
      <c r="A416" t="s">
        <v>428</v>
      </c>
      <c r="B416" s="2">
        <v>45449</v>
      </c>
      <c r="C416" s="2">
        <v>45467</v>
      </c>
      <c r="D416" t="s">
        <v>647</v>
      </c>
      <c r="E416" t="s">
        <v>654</v>
      </c>
      <c r="F416" t="s">
        <v>668</v>
      </c>
      <c r="G416" t="s">
        <v>705</v>
      </c>
      <c r="H416" t="s">
        <v>711</v>
      </c>
      <c r="I416" t="s">
        <v>722</v>
      </c>
      <c r="J416" t="s">
        <v>729</v>
      </c>
      <c r="K416" t="s">
        <v>1147</v>
      </c>
      <c r="L416">
        <v>1253.25</v>
      </c>
      <c r="M416">
        <v>3087.13</v>
      </c>
      <c r="N416">
        <v>7.1999999999999995E-2</v>
      </c>
      <c r="O416">
        <v>11</v>
      </c>
    </row>
    <row r="417" spans="1:15" x14ac:dyDescent="0.35">
      <c r="A417" t="s">
        <v>429</v>
      </c>
      <c r="B417" s="2">
        <v>45167</v>
      </c>
      <c r="C417" s="2">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x14ac:dyDescent="0.35">
      <c r="A418" t="s">
        <v>430</v>
      </c>
      <c r="B418" s="2">
        <v>45626</v>
      </c>
      <c r="C418" s="2">
        <v>45636</v>
      </c>
      <c r="D418" t="s">
        <v>647</v>
      </c>
      <c r="E418" t="s">
        <v>654</v>
      </c>
      <c r="F418" t="s">
        <v>696</v>
      </c>
      <c r="G418" t="s">
        <v>705</v>
      </c>
      <c r="H418" t="s">
        <v>707</v>
      </c>
      <c r="I418" t="s">
        <v>721</v>
      </c>
      <c r="J418" t="s">
        <v>733</v>
      </c>
      <c r="K418" t="s">
        <v>1149</v>
      </c>
      <c r="L418">
        <v>851.49</v>
      </c>
      <c r="M418">
        <v>901.79</v>
      </c>
      <c r="N418">
        <v>0.245</v>
      </c>
      <c r="O418">
        <v>16</v>
      </c>
    </row>
    <row r="419" spans="1:15" x14ac:dyDescent="0.35">
      <c r="A419" t="s">
        <v>431</v>
      </c>
      <c r="B419" s="2">
        <v>45813</v>
      </c>
      <c r="C419" s="2">
        <v>45822</v>
      </c>
      <c r="D419" t="s">
        <v>647</v>
      </c>
      <c r="E419" t="s">
        <v>654</v>
      </c>
      <c r="F419" t="s">
        <v>680</v>
      </c>
      <c r="G419" t="s">
        <v>703</v>
      </c>
      <c r="H419" t="s">
        <v>707</v>
      </c>
      <c r="I419" t="s">
        <v>720</v>
      </c>
      <c r="J419" t="s">
        <v>733</v>
      </c>
      <c r="K419" t="s">
        <v>1150</v>
      </c>
      <c r="L419">
        <v>618.69000000000005</v>
      </c>
      <c r="M419">
        <v>796.15</v>
      </c>
      <c r="N419">
        <v>0.09</v>
      </c>
      <c r="O419">
        <v>11</v>
      </c>
    </row>
    <row r="420" spans="1:15" x14ac:dyDescent="0.35">
      <c r="A420" t="s">
        <v>432</v>
      </c>
      <c r="B420" s="2">
        <v>45730</v>
      </c>
      <c r="C420" s="2">
        <v>45755</v>
      </c>
      <c r="D420" t="s">
        <v>647</v>
      </c>
      <c r="E420" t="s">
        <v>659</v>
      </c>
      <c r="G420" t="s">
        <v>701</v>
      </c>
      <c r="H420" t="s">
        <v>710</v>
      </c>
      <c r="I420" t="s">
        <v>726</v>
      </c>
      <c r="J420" t="s">
        <v>728</v>
      </c>
      <c r="K420" t="s">
        <v>1151</v>
      </c>
      <c r="L420">
        <v>80.59</v>
      </c>
      <c r="M420">
        <v>157.82</v>
      </c>
      <c r="N420">
        <v>0.217</v>
      </c>
      <c r="O420">
        <v>6</v>
      </c>
    </row>
    <row r="421" spans="1:15" x14ac:dyDescent="0.35">
      <c r="A421" t="s">
        <v>433</v>
      </c>
      <c r="B421" s="2">
        <v>45307</v>
      </c>
      <c r="C421" s="2">
        <v>45333</v>
      </c>
      <c r="D421" t="s">
        <v>649</v>
      </c>
      <c r="E421" t="s">
        <v>656</v>
      </c>
      <c r="F421" t="s">
        <v>698</v>
      </c>
      <c r="G421" t="s">
        <v>703</v>
      </c>
      <c r="H421" t="s">
        <v>710</v>
      </c>
      <c r="I421" t="s">
        <v>718</v>
      </c>
      <c r="J421" t="s">
        <v>732</v>
      </c>
      <c r="K421" t="s">
        <v>1152</v>
      </c>
      <c r="L421">
        <v>504.93</v>
      </c>
      <c r="M421">
        <v>819.06</v>
      </c>
      <c r="N421">
        <v>0.22600000000000001</v>
      </c>
      <c r="O421">
        <v>15</v>
      </c>
    </row>
    <row r="422" spans="1:15" x14ac:dyDescent="0.35">
      <c r="A422" t="s">
        <v>434</v>
      </c>
      <c r="B422" s="2">
        <v>45211</v>
      </c>
      <c r="C422" s="2">
        <v>45228</v>
      </c>
      <c r="D422" t="s">
        <v>647</v>
      </c>
      <c r="E422" t="s">
        <v>652</v>
      </c>
      <c r="F422" t="s">
        <v>694</v>
      </c>
      <c r="G422" t="s">
        <v>703</v>
      </c>
      <c r="H422" t="s">
        <v>711</v>
      </c>
      <c r="I422" t="s">
        <v>722</v>
      </c>
      <c r="J422" t="s">
        <v>730</v>
      </c>
      <c r="K422" t="s">
        <v>1153</v>
      </c>
      <c r="L422">
        <v>1102.19</v>
      </c>
      <c r="M422">
        <v>1711.16</v>
      </c>
      <c r="N422">
        <v>0.151</v>
      </c>
      <c r="O422">
        <v>10</v>
      </c>
    </row>
    <row r="423" spans="1:15" x14ac:dyDescent="0.35">
      <c r="A423" t="s">
        <v>435</v>
      </c>
      <c r="B423" s="2">
        <v>45713</v>
      </c>
      <c r="C423" s="2">
        <v>45733</v>
      </c>
      <c r="D423" t="s">
        <v>648</v>
      </c>
      <c r="E423" t="s">
        <v>660</v>
      </c>
      <c r="F423" t="s">
        <v>686</v>
      </c>
      <c r="G423" t="s">
        <v>703</v>
      </c>
      <c r="H423" t="s">
        <v>709</v>
      </c>
      <c r="I423" t="s">
        <v>722</v>
      </c>
      <c r="J423" t="s">
        <v>730</v>
      </c>
      <c r="K423" t="s">
        <v>1154</v>
      </c>
      <c r="L423">
        <v>1205.26</v>
      </c>
      <c r="M423">
        <v>1696.35</v>
      </c>
      <c r="N423">
        <v>1.9E-2</v>
      </c>
      <c r="O423">
        <v>6</v>
      </c>
    </row>
    <row r="424" spans="1:15" x14ac:dyDescent="0.35">
      <c r="A424" t="s">
        <v>436</v>
      </c>
      <c r="B424" s="2">
        <v>45841</v>
      </c>
      <c r="C424" s="2">
        <v>45844</v>
      </c>
      <c r="D424" t="s">
        <v>646</v>
      </c>
      <c r="E424" t="s">
        <v>651</v>
      </c>
      <c r="F424" t="s">
        <v>665</v>
      </c>
      <c r="G424" t="s">
        <v>704</v>
      </c>
      <c r="H424" t="s">
        <v>708</v>
      </c>
      <c r="J424" t="s">
        <v>731</v>
      </c>
      <c r="K424" t="s">
        <v>1155</v>
      </c>
      <c r="L424">
        <v>1313.3</v>
      </c>
      <c r="M424">
        <v>2884.34</v>
      </c>
      <c r="N424">
        <v>0.157</v>
      </c>
      <c r="O424">
        <v>42</v>
      </c>
    </row>
    <row r="425" spans="1:15" x14ac:dyDescent="0.35">
      <c r="A425" t="s">
        <v>437</v>
      </c>
      <c r="B425" s="2">
        <v>45915</v>
      </c>
      <c r="C425" s="2">
        <v>45925</v>
      </c>
      <c r="D425" t="s">
        <v>647</v>
      </c>
      <c r="E425" t="s">
        <v>654</v>
      </c>
      <c r="F425" t="s">
        <v>680</v>
      </c>
      <c r="G425" t="s">
        <v>704</v>
      </c>
      <c r="H425" t="s">
        <v>707</v>
      </c>
      <c r="I425" t="s">
        <v>720</v>
      </c>
      <c r="J425" t="s">
        <v>730</v>
      </c>
      <c r="K425" t="s">
        <v>1156</v>
      </c>
      <c r="L425">
        <v>1488.91</v>
      </c>
      <c r="M425">
        <v>1483.74</v>
      </c>
      <c r="N425">
        <v>0.16800000000000001</v>
      </c>
      <c r="O425">
        <v>24</v>
      </c>
    </row>
    <row r="426" spans="1:15" x14ac:dyDescent="0.35">
      <c r="A426" t="s">
        <v>438</v>
      </c>
      <c r="B426" s="2">
        <v>45341</v>
      </c>
      <c r="C426" s="2">
        <v>45357</v>
      </c>
      <c r="D426" t="s">
        <v>647</v>
      </c>
      <c r="E426" t="s">
        <v>659</v>
      </c>
      <c r="F426" t="s">
        <v>699</v>
      </c>
      <c r="G426" t="s">
        <v>702</v>
      </c>
      <c r="H426" t="s">
        <v>709</v>
      </c>
      <c r="I426" t="s">
        <v>719</v>
      </c>
      <c r="J426" t="s">
        <v>728</v>
      </c>
      <c r="K426" t="s">
        <v>1157</v>
      </c>
      <c r="L426">
        <v>1477.84</v>
      </c>
      <c r="M426">
        <v>3197.47</v>
      </c>
      <c r="N426">
        <v>0.24299999999999999</v>
      </c>
      <c r="O426">
        <v>24</v>
      </c>
    </row>
    <row r="427" spans="1:15" x14ac:dyDescent="0.35">
      <c r="A427" t="s">
        <v>439</v>
      </c>
      <c r="B427" s="2">
        <v>45349</v>
      </c>
      <c r="C427" s="2">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x14ac:dyDescent="0.35">
      <c r="A428" t="s">
        <v>440</v>
      </c>
      <c r="B428" s="2">
        <v>45897</v>
      </c>
      <c r="C428" s="2">
        <v>45905</v>
      </c>
      <c r="D428" t="s">
        <v>646</v>
      </c>
      <c r="E428" t="s">
        <v>651</v>
      </c>
      <c r="F428" t="s">
        <v>663</v>
      </c>
      <c r="G428" t="s">
        <v>705</v>
      </c>
      <c r="H428" t="s">
        <v>709</v>
      </c>
      <c r="I428" t="s">
        <v>718</v>
      </c>
      <c r="J428" t="s">
        <v>731</v>
      </c>
      <c r="K428" t="s">
        <v>1159</v>
      </c>
      <c r="L428">
        <v>1271.0999999999999</v>
      </c>
      <c r="M428">
        <v>1932.42</v>
      </c>
      <c r="N428">
        <v>0.25</v>
      </c>
      <c r="O428">
        <v>21</v>
      </c>
    </row>
    <row r="429" spans="1:15" x14ac:dyDescent="0.35">
      <c r="A429" t="s">
        <v>441</v>
      </c>
      <c r="B429" s="2">
        <v>45522</v>
      </c>
      <c r="C429" s="2">
        <v>45547</v>
      </c>
      <c r="D429" t="s">
        <v>647</v>
      </c>
      <c r="E429" t="s">
        <v>654</v>
      </c>
      <c r="F429" t="s">
        <v>691</v>
      </c>
      <c r="G429" t="s">
        <v>704</v>
      </c>
      <c r="H429" t="s">
        <v>709</v>
      </c>
      <c r="I429" t="s">
        <v>712</v>
      </c>
      <c r="J429" t="s">
        <v>730</v>
      </c>
      <c r="K429" t="s">
        <v>1160</v>
      </c>
      <c r="L429">
        <v>1154.03</v>
      </c>
      <c r="M429">
        <v>1590.36</v>
      </c>
      <c r="N429">
        <v>0.314</v>
      </c>
      <c r="O429">
        <v>18</v>
      </c>
    </row>
    <row r="430" spans="1:15" x14ac:dyDescent="0.35">
      <c r="A430" t="s">
        <v>442</v>
      </c>
      <c r="B430" s="2">
        <v>45347</v>
      </c>
      <c r="C430" s="2">
        <v>45360</v>
      </c>
      <c r="D430" t="s">
        <v>649</v>
      </c>
      <c r="E430" t="s">
        <v>657</v>
      </c>
      <c r="F430" t="s">
        <v>673</v>
      </c>
      <c r="G430" t="s">
        <v>705</v>
      </c>
      <c r="H430" t="s">
        <v>710</v>
      </c>
      <c r="I430" t="s">
        <v>718</v>
      </c>
      <c r="J430" t="s">
        <v>732</v>
      </c>
      <c r="K430" t="s">
        <v>1161</v>
      </c>
      <c r="L430">
        <v>322.44</v>
      </c>
      <c r="M430">
        <v>395.61</v>
      </c>
      <c r="N430">
        <v>0</v>
      </c>
      <c r="O430">
        <v>34</v>
      </c>
    </row>
    <row r="431" spans="1:15" x14ac:dyDescent="0.35">
      <c r="A431" t="s">
        <v>443</v>
      </c>
      <c r="B431" s="2">
        <v>45784</v>
      </c>
      <c r="C431" s="2">
        <v>45790</v>
      </c>
      <c r="D431" t="s">
        <v>647</v>
      </c>
      <c r="E431" t="s">
        <v>654</v>
      </c>
      <c r="F431" t="s">
        <v>668</v>
      </c>
      <c r="G431" t="s">
        <v>706</v>
      </c>
      <c r="H431" t="s">
        <v>711</v>
      </c>
      <c r="I431" t="s">
        <v>713</v>
      </c>
      <c r="J431" t="s">
        <v>730</v>
      </c>
      <c r="K431" t="s">
        <v>1162</v>
      </c>
      <c r="L431">
        <v>935.98</v>
      </c>
      <c r="M431">
        <v>2077.69</v>
      </c>
      <c r="N431">
        <v>0.17499999999999999</v>
      </c>
      <c r="O431">
        <v>24</v>
      </c>
    </row>
    <row r="432" spans="1:15" x14ac:dyDescent="0.35">
      <c r="A432" t="s">
        <v>444</v>
      </c>
      <c r="B432" s="2">
        <v>45597</v>
      </c>
      <c r="C432" s="2">
        <v>45608</v>
      </c>
      <c r="D432" t="s">
        <v>649</v>
      </c>
      <c r="E432" t="s">
        <v>656</v>
      </c>
      <c r="F432" t="s">
        <v>698</v>
      </c>
      <c r="G432" t="s">
        <v>704</v>
      </c>
      <c r="H432" t="s">
        <v>708</v>
      </c>
      <c r="I432" t="s">
        <v>717</v>
      </c>
      <c r="J432" t="s">
        <v>728</v>
      </c>
      <c r="K432" t="s">
        <v>1163</v>
      </c>
      <c r="L432">
        <v>599.84</v>
      </c>
      <c r="M432">
        <v>1330.85</v>
      </c>
      <c r="N432">
        <v>0.115</v>
      </c>
      <c r="O432">
        <v>11</v>
      </c>
    </row>
    <row r="433" spans="1:15" x14ac:dyDescent="0.35">
      <c r="A433" t="s">
        <v>445</v>
      </c>
      <c r="B433" s="2">
        <v>45654</v>
      </c>
      <c r="C433" s="2">
        <v>45665</v>
      </c>
      <c r="D433" t="s">
        <v>647</v>
      </c>
      <c r="E433" t="s">
        <v>659</v>
      </c>
      <c r="F433" t="s">
        <v>676</v>
      </c>
      <c r="G433" t="s">
        <v>706</v>
      </c>
      <c r="H433" t="s">
        <v>708</v>
      </c>
      <c r="I433" t="s">
        <v>723</v>
      </c>
      <c r="J433" t="s">
        <v>731</v>
      </c>
      <c r="K433" t="s">
        <v>1164</v>
      </c>
      <c r="L433">
        <v>1201.31</v>
      </c>
      <c r="M433">
        <v>2764.65</v>
      </c>
      <c r="N433">
        <v>0</v>
      </c>
      <c r="O433">
        <v>21</v>
      </c>
    </row>
    <row r="434" spans="1:15" x14ac:dyDescent="0.35">
      <c r="A434" t="s">
        <v>446</v>
      </c>
      <c r="B434" s="2">
        <v>45220</v>
      </c>
      <c r="C434" s="2">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x14ac:dyDescent="0.35">
      <c r="A435" t="s">
        <v>447</v>
      </c>
      <c r="B435" s="2">
        <v>45636</v>
      </c>
      <c r="C435" s="2">
        <v>45645</v>
      </c>
      <c r="D435" t="s">
        <v>646</v>
      </c>
      <c r="E435" t="s">
        <v>651</v>
      </c>
      <c r="F435" t="s">
        <v>665</v>
      </c>
      <c r="G435" t="s">
        <v>701</v>
      </c>
      <c r="H435" t="s">
        <v>707</v>
      </c>
      <c r="I435" t="s">
        <v>719</v>
      </c>
      <c r="J435" t="s">
        <v>732</v>
      </c>
      <c r="K435" t="s">
        <v>1166</v>
      </c>
      <c r="L435">
        <v>488.68</v>
      </c>
      <c r="M435">
        <v>984.36</v>
      </c>
      <c r="N435">
        <v>5.8999999999999997E-2</v>
      </c>
      <c r="O435">
        <v>14</v>
      </c>
    </row>
    <row r="436" spans="1:15" x14ac:dyDescent="0.35">
      <c r="A436" t="s">
        <v>448</v>
      </c>
      <c r="B436" s="2">
        <v>45542</v>
      </c>
      <c r="C436" s="2">
        <v>45553</v>
      </c>
      <c r="D436" t="s">
        <v>647</v>
      </c>
      <c r="E436" t="s">
        <v>659</v>
      </c>
      <c r="F436" t="s">
        <v>699</v>
      </c>
      <c r="G436" t="s">
        <v>704</v>
      </c>
      <c r="H436" t="s">
        <v>710</v>
      </c>
      <c r="I436" t="s">
        <v>719</v>
      </c>
      <c r="J436" t="s">
        <v>729</v>
      </c>
      <c r="K436" t="s">
        <v>1167</v>
      </c>
      <c r="L436">
        <v>181.74</v>
      </c>
      <c r="M436">
        <v>190.84</v>
      </c>
      <c r="N436">
        <v>0.214</v>
      </c>
      <c r="O436">
        <v>13</v>
      </c>
    </row>
    <row r="437" spans="1:15" x14ac:dyDescent="0.35">
      <c r="A437" t="s">
        <v>449</v>
      </c>
      <c r="B437" s="2">
        <v>45217</v>
      </c>
      <c r="C437" s="2">
        <v>45219</v>
      </c>
      <c r="D437" t="s">
        <v>646</v>
      </c>
      <c r="E437" t="s">
        <v>650</v>
      </c>
      <c r="F437" t="s">
        <v>662</v>
      </c>
      <c r="G437" t="s">
        <v>704</v>
      </c>
      <c r="H437" t="s">
        <v>707</v>
      </c>
      <c r="I437" t="s">
        <v>713</v>
      </c>
      <c r="J437" t="s">
        <v>730</v>
      </c>
      <c r="K437" t="s">
        <v>1168</v>
      </c>
      <c r="L437">
        <v>774.12</v>
      </c>
      <c r="M437">
        <v>908.3</v>
      </c>
      <c r="N437">
        <v>0</v>
      </c>
      <c r="O437">
        <v>30</v>
      </c>
    </row>
    <row r="438" spans="1:15" x14ac:dyDescent="0.35">
      <c r="A438" t="s">
        <v>450</v>
      </c>
      <c r="B438" s="2">
        <v>45650</v>
      </c>
      <c r="C438" s="2">
        <v>45670</v>
      </c>
      <c r="D438" t="s">
        <v>647</v>
      </c>
      <c r="E438" t="s">
        <v>654</v>
      </c>
      <c r="F438" t="s">
        <v>668</v>
      </c>
      <c r="G438" t="s">
        <v>701</v>
      </c>
      <c r="H438" t="s">
        <v>709</v>
      </c>
      <c r="I438" t="s">
        <v>726</v>
      </c>
      <c r="J438" t="s">
        <v>729</v>
      </c>
      <c r="K438" t="s">
        <v>1169</v>
      </c>
      <c r="L438">
        <v>126.15</v>
      </c>
      <c r="M438">
        <v>284.23</v>
      </c>
      <c r="N438">
        <v>0.113</v>
      </c>
      <c r="O438">
        <v>22</v>
      </c>
    </row>
    <row r="439" spans="1:15" x14ac:dyDescent="0.35">
      <c r="A439" t="s">
        <v>451</v>
      </c>
      <c r="B439" s="2">
        <v>45037</v>
      </c>
      <c r="C439" s="2">
        <v>45035</v>
      </c>
      <c r="D439" t="s">
        <v>647</v>
      </c>
      <c r="E439" t="s">
        <v>652</v>
      </c>
      <c r="F439" t="s">
        <v>694</v>
      </c>
      <c r="G439" t="s">
        <v>705</v>
      </c>
      <c r="H439" t="s">
        <v>711</v>
      </c>
      <c r="I439" t="s">
        <v>724</v>
      </c>
      <c r="J439" t="s">
        <v>727</v>
      </c>
      <c r="K439" t="s">
        <v>1170</v>
      </c>
      <c r="L439">
        <v>607.04</v>
      </c>
      <c r="M439">
        <v>1229.3399999999999</v>
      </c>
      <c r="N439">
        <v>0.14699999999999999</v>
      </c>
      <c r="O439">
        <v>7</v>
      </c>
    </row>
    <row r="440" spans="1:15" x14ac:dyDescent="0.35">
      <c r="A440" t="s">
        <v>452</v>
      </c>
      <c r="B440" s="2">
        <v>45290</v>
      </c>
      <c r="C440" s="2">
        <v>45299</v>
      </c>
      <c r="D440" t="s">
        <v>649</v>
      </c>
      <c r="E440" t="s">
        <v>657</v>
      </c>
      <c r="F440" t="s">
        <v>673</v>
      </c>
      <c r="G440" t="s">
        <v>704</v>
      </c>
      <c r="H440" t="s">
        <v>709</v>
      </c>
      <c r="I440" t="s">
        <v>716</v>
      </c>
      <c r="J440" t="s">
        <v>733</v>
      </c>
      <c r="K440" t="s">
        <v>1171</v>
      </c>
      <c r="L440">
        <v>861.1</v>
      </c>
      <c r="M440">
        <v>1224.72</v>
      </c>
      <c r="N440">
        <v>0.17399999999999999</v>
      </c>
      <c r="O440">
        <v>24</v>
      </c>
    </row>
    <row r="441" spans="1:15" x14ac:dyDescent="0.35">
      <c r="A441" t="s">
        <v>453</v>
      </c>
      <c r="B441" s="2">
        <v>44978</v>
      </c>
      <c r="C441" s="2">
        <v>44997</v>
      </c>
      <c r="D441" t="s">
        <v>646</v>
      </c>
      <c r="E441" t="s">
        <v>650</v>
      </c>
      <c r="F441" t="s">
        <v>678</v>
      </c>
      <c r="G441" t="s">
        <v>701</v>
      </c>
      <c r="H441" t="s">
        <v>708</v>
      </c>
      <c r="I441" t="s">
        <v>721</v>
      </c>
      <c r="J441" t="s">
        <v>729</v>
      </c>
      <c r="K441" t="s">
        <v>1172</v>
      </c>
      <c r="L441">
        <v>352.65</v>
      </c>
      <c r="M441">
        <v>485.86</v>
      </c>
      <c r="N441">
        <v>4.1000000000000002E-2</v>
      </c>
      <c r="O441">
        <v>6</v>
      </c>
    </row>
    <row r="442" spans="1:15" x14ac:dyDescent="0.35">
      <c r="A442" t="s">
        <v>454</v>
      </c>
      <c r="B442" s="2">
        <v>45063</v>
      </c>
      <c r="C442" s="2">
        <v>45080</v>
      </c>
      <c r="D442" t="s">
        <v>647</v>
      </c>
      <c r="E442" t="s">
        <v>659</v>
      </c>
      <c r="F442" t="s">
        <v>699</v>
      </c>
      <c r="G442" t="s">
        <v>703</v>
      </c>
      <c r="H442" t="s">
        <v>710</v>
      </c>
      <c r="I442" t="s">
        <v>724</v>
      </c>
      <c r="J442" t="s">
        <v>728</v>
      </c>
      <c r="K442" t="s">
        <v>1173</v>
      </c>
      <c r="L442">
        <v>979.59</v>
      </c>
      <c r="M442">
        <v>2210.94</v>
      </c>
      <c r="N442">
        <v>0.15</v>
      </c>
      <c r="O442">
        <v>11</v>
      </c>
    </row>
    <row r="443" spans="1:15" x14ac:dyDescent="0.35">
      <c r="A443" t="s">
        <v>455</v>
      </c>
      <c r="B443" s="2">
        <v>45374</v>
      </c>
      <c r="C443" s="2">
        <v>45377</v>
      </c>
      <c r="D443" t="s">
        <v>647</v>
      </c>
      <c r="E443" t="s">
        <v>654</v>
      </c>
      <c r="F443" t="s">
        <v>668</v>
      </c>
      <c r="G443" t="s">
        <v>702</v>
      </c>
      <c r="H443" t="s">
        <v>711</v>
      </c>
      <c r="I443" t="s">
        <v>715</v>
      </c>
      <c r="J443" t="s">
        <v>730</v>
      </c>
      <c r="K443" t="s">
        <v>1174</v>
      </c>
      <c r="L443">
        <v>382.21</v>
      </c>
      <c r="M443">
        <v>571.89</v>
      </c>
      <c r="N443">
        <v>0.14799999999999999</v>
      </c>
      <c r="O443">
        <v>26</v>
      </c>
    </row>
    <row r="444" spans="1:15" x14ac:dyDescent="0.35">
      <c r="A444" t="s">
        <v>456</v>
      </c>
      <c r="B444" s="2">
        <v>45189</v>
      </c>
      <c r="C444" s="2">
        <v>45197</v>
      </c>
      <c r="D444" t="s">
        <v>647</v>
      </c>
      <c r="E444" t="s">
        <v>654</v>
      </c>
      <c r="G444" t="s">
        <v>701</v>
      </c>
      <c r="I444" t="s">
        <v>717</v>
      </c>
      <c r="J444" t="s">
        <v>733</v>
      </c>
      <c r="K444" t="s">
        <v>1175</v>
      </c>
      <c r="L444">
        <v>1362.06</v>
      </c>
      <c r="M444">
        <v>3398.37</v>
      </c>
      <c r="N444">
        <v>0.157</v>
      </c>
      <c r="O444">
        <v>11</v>
      </c>
    </row>
    <row r="445" spans="1:15" x14ac:dyDescent="0.35">
      <c r="A445" t="s">
        <v>457</v>
      </c>
      <c r="B445" s="2">
        <v>45526</v>
      </c>
      <c r="C445" s="2">
        <v>45539</v>
      </c>
      <c r="D445" t="s">
        <v>649</v>
      </c>
      <c r="E445" t="s">
        <v>656</v>
      </c>
      <c r="F445" t="s">
        <v>698</v>
      </c>
      <c r="G445" t="s">
        <v>703</v>
      </c>
      <c r="H445" t="s">
        <v>707</v>
      </c>
      <c r="I445" t="s">
        <v>716</v>
      </c>
      <c r="J445" t="s">
        <v>728</v>
      </c>
      <c r="K445" t="s">
        <v>1176</v>
      </c>
      <c r="L445">
        <v>90.04</v>
      </c>
      <c r="M445">
        <v>194.62</v>
      </c>
      <c r="N445">
        <v>4.2999999999999997E-2</v>
      </c>
      <c r="O445">
        <v>32</v>
      </c>
    </row>
    <row r="446" spans="1:15" x14ac:dyDescent="0.35">
      <c r="A446" t="s">
        <v>458</v>
      </c>
      <c r="B446" s="2">
        <v>45560</v>
      </c>
      <c r="C446" s="2">
        <v>45568</v>
      </c>
      <c r="D446" t="s">
        <v>648</v>
      </c>
      <c r="E446" t="s">
        <v>653</v>
      </c>
      <c r="F446" t="s">
        <v>667</v>
      </c>
      <c r="G446" t="s">
        <v>704</v>
      </c>
      <c r="H446" t="s">
        <v>708</v>
      </c>
      <c r="I446" t="s">
        <v>718</v>
      </c>
      <c r="J446" t="s">
        <v>728</v>
      </c>
      <c r="K446" t="s">
        <v>1177</v>
      </c>
      <c r="L446">
        <v>558.19000000000005</v>
      </c>
      <c r="M446">
        <v>1031.6400000000001</v>
      </c>
      <c r="N446">
        <v>0</v>
      </c>
      <c r="O446">
        <v>21</v>
      </c>
    </row>
    <row r="447" spans="1:15" x14ac:dyDescent="0.35">
      <c r="A447" t="s">
        <v>459</v>
      </c>
      <c r="B447" s="2">
        <v>45090</v>
      </c>
      <c r="C447" s="2">
        <v>45101</v>
      </c>
      <c r="D447" t="s">
        <v>648</v>
      </c>
      <c r="E447" t="s">
        <v>653</v>
      </c>
      <c r="F447" t="s">
        <v>667</v>
      </c>
      <c r="G447" t="s">
        <v>701</v>
      </c>
      <c r="H447" t="s">
        <v>708</v>
      </c>
      <c r="I447" t="s">
        <v>712</v>
      </c>
      <c r="J447" t="s">
        <v>728</v>
      </c>
      <c r="K447" t="s">
        <v>1178</v>
      </c>
      <c r="L447">
        <v>247.07</v>
      </c>
      <c r="M447">
        <v>495.19</v>
      </c>
      <c r="N447">
        <v>2.8000000000000001E-2</v>
      </c>
      <c r="O447">
        <v>4</v>
      </c>
    </row>
    <row r="448" spans="1:15" x14ac:dyDescent="0.35">
      <c r="A448" t="s">
        <v>460</v>
      </c>
      <c r="B448" s="2">
        <v>45284</v>
      </c>
      <c r="C448" s="2">
        <v>45304</v>
      </c>
      <c r="D448" t="s">
        <v>647</v>
      </c>
      <c r="E448" t="s">
        <v>652</v>
      </c>
      <c r="F448" t="s">
        <v>694</v>
      </c>
      <c r="G448" t="s">
        <v>702</v>
      </c>
      <c r="H448" t="s">
        <v>711</v>
      </c>
      <c r="I448" t="s">
        <v>717</v>
      </c>
      <c r="J448" t="s">
        <v>731</v>
      </c>
      <c r="K448" t="s">
        <v>1179</v>
      </c>
      <c r="L448">
        <v>625.37</v>
      </c>
      <c r="M448">
        <v>1319.04</v>
      </c>
      <c r="N448">
        <v>7.3999999999999996E-2</v>
      </c>
      <c r="O448">
        <v>8</v>
      </c>
    </row>
    <row r="449" spans="1:15" x14ac:dyDescent="0.35">
      <c r="A449" t="s">
        <v>461</v>
      </c>
      <c r="B449" s="2">
        <v>45746</v>
      </c>
      <c r="C449" s="2">
        <v>45776</v>
      </c>
      <c r="D449" t="s">
        <v>646</v>
      </c>
      <c r="E449" t="s">
        <v>661</v>
      </c>
      <c r="F449" t="s">
        <v>687</v>
      </c>
      <c r="G449" t="s">
        <v>704</v>
      </c>
      <c r="H449" t="s">
        <v>709</v>
      </c>
      <c r="I449" t="s">
        <v>713</v>
      </c>
      <c r="J449" t="s">
        <v>732</v>
      </c>
      <c r="K449" t="s">
        <v>1180</v>
      </c>
      <c r="L449">
        <v>194.6</v>
      </c>
      <c r="M449">
        <v>314.87</v>
      </c>
      <c r="N449">
        <v>0.29299999999999998</v>
      </c>
      <c r="O449">
        <v>25</v>
      </c>
    </row>
    <row r="450" spans="1:15" x14ac:dyDescent="0.35">
      <c r="A450" t="s">
        <v>462</v>
      </c>
      <c r="B450" s="2">
        <v>45446</v>
      </c>
      <c r="C450" s="2">
        <v>45467</v>
      </c>
      <c r="D450" t="s">
        <v>648</v>
      </c>
      <c r="E450" t="s">
        <v>653</v>
      </c>
      <c r="F450" t="s">
        <v>667</v>
      </c>
      <c r="G450" t="s">
        <v>705</v>
      </c>
      <c r="H450" t="s">
        <v>711</v>
      </c>
      <c r="I450" t="s">
        <v>715</v>
      </c>
      <c r="J450" t="s">
        <v>732</v>
      </c>
      <c r="K450" t="s">
        <v>1181</v>
      </c>
      <c r="L450">
        <v>1205.5</v>
      </c>
      <c r="M450">
        <v>2210.17</v>
      </c>
      <c r="N450">
        <v>0.104</v>
      </c>
      <c r="O450">
        <v>23</v>
      </c>
    </row>
    <row r="451" spans="1:15" x14ac:dyDescent="0.35">
      <c r="A451" t="s">
        <v>463</v>
      </c>
      <c r="B451" s="2">
        <v>45454</v>
      </c>
      <c r="C451" s="2">
        <v>45482</v>
      </c>
      <c r="D451" t="s">
        <v>646</v>
      </c>
      <c r="E451" t="s">
        <v>651</v>
      </c>
      <c r="F451" t="s">
        <v>663</v>
      </c>
      <c r="G451" t="s">
        <v>701</v>
      </c>
      <c r="H451" t="s">
        <v>709</v>
      </c>
      <c r="I451" t="s">
        <v>714</v>
      </c>
      <c r="J451" t="s">
        <v>730</v>
      </c>
      <c r="K451" t="s">
        <v>1182</v>
      </c>
      <c r="L451">
        <v>895.54</v>
      </c>
      <c r="M451">
        <v>1045</v>
      </c>
      <c r="N451">
        <v>0.216</v>
      </c>
      <c r="O451">
        <v>15</v>
      </c>
    </row>
    <row r="452" spans="1:15" x14ac:dyDescent="0.35">
      <c r="A452" t="s">
        <v>464</v>
      </c>
      <c r="B452" s="2">
        <v>45129</v>
      </c>
      <c r="C452" s="2">
        <v>45128</v>
      </c>
      <c r="D452" t="s">
        <v>647</v>
      </c>
      <c r="E452" t="s">
        <v>654</v>
      </c>
      <c r="F452" t="s">
        <v>680</v>
      </c>
      <c r="G452" t="s">
        <v>705</v>
      </c>
      <c r="H452" t="s">
        <v>710</v>
      </c>
      <c r="I452" t="s">
        <v>718</v>
      </c>
      <c r="J452" t="s">
        <v>728</v>
      </c>
      <c r="K452" t="s">
        <v>1183</v>
      </c>
      <c r="L452">
        <v>946.99</v>
      </c>
      <c r="M452">
        <v>2132.19</v>
      </c>
      <c r="N452">
        <v>0.16500000000000001</v>
      </c>
      <c r="O452">
        <v>7</v>
      </c>
    </row>
    <row r="453" spans="1:15" x14ac:dyDescent="0.35">
      <c r="A453" t="s">
        <v>465</v>
      </c>
      <c r="B453" s="2">
        <v>44945</v>
      </c>
      <c r="C453" s="2">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x14ac:dyDescent="0.35">
      <c r="A454" t="s">
        <v>466</v>
      </c>
      <c r="B454" s="2">
        <v>45413</v>
      </c>
      <c r="C454" s="2">
        <v>45428</v>
      </c>
      <c r="D454" t="s">
        <v>647</v>
      </c>
      <c r="E454" t="s">
        <v>654</v>
      </c>
      <c r="F454" t="s">
        <v>668</v>
      </c>
      <c r="G454" t="s">
        <v>705</v>
      </c>
      <c r="H454" t="s">
        <v>707</v>
      </c>
      <c r="I454" t="s">
        <v>716</v>
      </c>
      <c r="J454" t="s">
        <v>727</v>
      </c>
      <c r="K454" t="s">
        <v>1185</v>
      </c>
      <c r="L454">
        <v>901.19</v>
      </c>
      <c r="M454">
        <v>2125.44</v>
      </c>
      <c r="N454">
        <v>7.0999999999999994E-2</v>
      </c>
      <c r="O454">
        <v>12</v>
      </c>
    </row>
    <row r="455" spans="1:15" x14ac:dyDescent="0.35">
      <c r="A455" t="s">
        <v>467</v>
      </c>
      <c r="B455" s="2">
        <v>45817</v>
      </c>
      <c r="C455" s="2">
        <v>45832</v>
      </c>
      <c r="D455" t="s">
        <v>647</v>
      </c>
      <c r="E455" t="s">
        <v>652</v>
      </c>
      <c r="F455" t="s">
        <v>694</v>
      </c>
      <c r="G455" t="s">
        <v>701</v>
      </c>
      <c r="H455" t="s">
        <v>711</v>
      </c>
      <c r="I455" t="s">
        <v>717</v>
      </c>
      <c r="J455" t="s">
        <v>730</v>
      </c>
      <c r="K455" t="s">
        <v>1186</v>
      </c>
      <c r="L455">
        <v>400.39</v>
      </c>
      <c r="M455">
        <v>712.75</v>
      </c>
      <c r="N455">
        <v>0.115</v>
      </c>
      <c r="O455">
        <v>19</v>
      </c>
    </row>
    <row r="456" spans="1:15" x14ac:dyDescent="0.35">
      <c r="A456" t="s">
        <v>468</v>
      </c>
      <c r="B456" s="2">
        <v>45070</v>
      </c>
      <c r="C456" s="2">
        <v>45098</v>
      </c>
      <c r="D456" t="s">
        <v>648</v>
      </c>
      <c r="E456" t="s">
        <v>660</v>
      </c>
      <c r="F456" t="s">
        <v>697</v>
      </c>
      <c r="G456" t="s">
        <v>705</v>
      </c>
      <c r="H456" t="s">
        <v>709</v>
      </c>
      <c r="I456" t="s">
        <v>715</v>
      </c>
      <c r="J456" t="s">
        <v>732</v>
      </c>
      <c r="K456" t="s">
        <v>1187</v>
      </c>
      <c r="L456">
        <v>813.97</v>
      </c>
      <c r="M456">
        <v>1568.83</v>
      </c>
      <c r="N456">
        <v>1.7000000000000001E-2</v>
      </c>
      <c r="O456">
        <v>15</v>
      </c>
    </row>
    <row r="457" spans="1:15" x14ac:dyDescent="0.35">
      <c r="A457" t="s">
        <v>469</v>
      </c>
      <c r="B457" s="2">
        <v>45653</v>
      </c>
      <c r="C457" s="2">
        <v>45655</v>
      </c>
      <c r="D457" t="s">
        <v>648</v>
      </c>
      <c r="E457" t="s">
        <v>653</v>
      </c>
      <c r="F457" t="s">
        <v>688</v>
      </c>
      <c r="G457" t="s">
        <v>706</v>
      </c>
      <c r="H457" t="s">
        <v>709</v>
      </c>
      <c r="I457" t="s">
        <v>712</v>
      </c>
      <c r="J457" t="s">
        <v>733</v>
      </c>
      <c r="K457" t="s">
        <v>1188</v>
      </c>
      <c r="L457">
        <v>1146.72</v>
      </c>
      <c r="M457">
        <v>2074.34</v>
      </c>
      <c r="N457">
        <v>0.111</v>
      </c>
      <c r="O457">
        <v>8</v>
      </c>
    </row>
    <row r="458" spans="1:15" x14ac:dyDescent="0.35">
      <c r="A458" t="s">
        <v>470</v>
      </c>
      <c r="B458" s="2">
        <v>45265</v>
      </c>
      <c r="C458" s="2">
        <v>45272</v>
      </c>
      <c r="D458" t="s">
        <v>648</v>
      </c>
      <c r="E458" t="s">
        <v>655</v>
      </c>
      <c r="F458" t="s">
        <v>672</v>
      </c>
      <c r="G458" t="s">
        <v>701</v>
      </c>
      <c r="H458" t="s">
        <v>711</v>
      </c>
      <c r="I458" t="s">
        <v>721</v>
      </c>
      <c r="J458" t="s">
        <v>730</v>
      </c>
      <c r="K458" t="s">
        <v>1189</v>
      </c>
      <c r="L458">
        <v>307.43</v>
      </c>
      <c r="M458">
        <v>495.19</v>
      </c>
      <c r="N458">
        <v>0</v>
      </c>
      <c r="O458">
        <v>42</v>
      </c>
    </row>
    <row r="459" spans="1:15" x14ac:dyDescent="0.35">
      <c r="A459" t="s">
        <v>471</v>
      </c>
      <c r="B459" s="2">
        <v>45048</v>
      </c>
      <c r="C459" s="2">
        <v>45065</v>
      </c>
      <c r="D459" t="s">
        <v>647</v>
      </c>
      <c r="E459" t="s">
        <v>659</v>
      </c>
      <c r="F459" t="s">
        <v>685</v>
      </c>
      <c r="G459" t="s">
        <v>703</v>
      </c>
      <c r="H459" t="s">
        <v>711</v>
      </c>
      <c r="I459" t="s">
        <v>713</v>
      </c>
      <c r="J459" t="s">
        <v>732</v>
      </c>
      <c r="K459" t="s">
        <v>1190</v>
      </c>
      <c r="L459">
        <v>714.28</v>
      </c>
      <c r="M459">
        <v>757.59</v>
      </c>
      <c r="N459">
        <v>0.13600000000000001</v>
      </c>
      <c r="O459">
        <v>12</v>
      </c>
    </row>
    <row r="460" spans="1:15" x14ac:dyDescent="0.35">
      <c r="A460" t="s">
        <v>472</v>
      </c>
      <c r="B460" s="2">
        <v>45260</v>
      </c>
      <c r="C460" s="2">
        <v>45270</v>
      </c>
      <c r="D460" t="s">
        <v>649</v>
      </c>
      <c r="E460" t="s">
        <v>656</v>
      </c>
      <c r="F460" t="s">
        <v>684</v>
      </c>
      <c r="G460" t="s">
        <v>705</v>
      </c>
      <c r="H460" t="s">
        <v>711</v>
      </c>
      <c r="I460" t="s">
        <v>721</v>
      </c>
      <c r="J460" t="s">
        <v>731</v>
      </c>
      <c r="K460" t="s">
        <v>1191</v>
      </c>
      <c r="L460">
        <v>174.74</v>
      </c>
      <c r="M460">
        <v>415.96</v>
      </c>
      <c r="N460">
        <v>0.125</v>
      </c>
      <c r="O460">
        <v>21</v>
      </c>
    </row>
    <row r="461" spans="1:15" x14ac:dyDescent="0.35">
      <c r="A461" t="s">
        <v>473</v>
      </c>
      <c r="B461" s="2">
        <v>45417</v>
      </c>
      <c r="C461" s="2">
        <v>45430</v>
      </c>
      <c r="D461" t="s">
        <v>649</v>
      </c>
      <c r="E461" t="s">
        <v>657</v>
      </c>
      <c r="F461" t="s">
        <v>673</v>
      </c>
      <c r="G461" t="s">
        <v>701</v>
      </c>
      <c r="H461" t="s">
        <v>709</v>
      </c>
      <c r="I461" t="s">
        <v>720</v>
      </c>
      <c r="J461" t="s">
        <v>727</v>
      </c>
      <c r="K461" t="s">
        <v>1192</v>
      </c>
      <c r="L461">
        <v>1264.04</v>
      </c>
      <c r="M461">
        <v>1870.89</v>
      </c>
      <c r="N461">
        <v>0</v>
      </c>
      <c r="O461">
        <v>13</v>
      </c>
    </row>
    <row r="462" spans="1:15" x14ac:dyDescent="0.35">
      <c r="A462" t="s">
        <v>474</v>
      </c>
      <c r="B462" s="2">
        <v>45116</v>
      </c>
      <c r="C462" s="2">
        <v>45126</v>
      </c>
      <c r="D462" t="s">
        <v>647</v>
      </c>
      <c r="E462" t="s">
        <v>652</v>
      </c>
      <c r="F462" t="s">
        <v>689</v>
      </c>
      <c r="G462" t="s">
        <v>706</v>
      </c>
      <c r="H462" t="s">
        <v>710</v>
      </c>
      <c r="I462" t="s">
        <v>725</v>
      </c>
      <c r="J462" t="s">
        <v>727</v>
      </c>
      <c r="K462" t="s">
        <v>1193</v>
      </c>
      <c r="L462">
        <v>141.26</v>
      </c>
      <c r="M462">
        <v>206.88</v>
      </c>
      <c r="N462">
        <v>0.107</v>
      </c>
      <c r="O462">
        <v>9</v>
      </c>
    </row>
    <row r="463" spans="1:15" x14ac:dyDescent="0.35">
      <c r="A463" t="s">
        <v>475</v>
      </c>
      <c r="B463" s="2">
        <v>45063</v>
      </c>
      <c r="C463" s="2">
        <v>45092</v>
      </c>
      <c r="D463" t="s">
        <v>646</v>
      </c>
      <c r="E463" t="s">
        <v>661</v>
      </c>
      <c r="F463" t="s">
        <v>687</v>
      </c>
      <c r="G463" t="s">
        <v>706</v>
      </c>
      <c r="H463" t="s">
        <v>707</v>
      </c>
      <c r="I463" t="s">
        <v>723</v>
      </c>
      <c r="J463" t="s">
        <v>733</v>
      </c>
      <c r="K463" t="s">
        <v>1194</v>
      </c>
      <c r="L463">
        <v>40.89</v>
      </c>
      <c r="M463">
        <v>62.82</v>
      </c>
      <c r="N463">
        <v>0.129</v>
      </c>
      <c r="O463">
        <v>17</v>
      </c>
    </row>
    <row r="464" spans="1:15" x14ac:dyDescent="0.35">
      <c r="A464" t="s">
        <v>476</v>
      </c>
      <c r="B464" s="2">
        <v>45358</v>
      </c>
      <c r="C464" s="2">
        <v>45385</v>
      </c>
      <c r="D464" t="s">
        <v>649</v>
      </c>
      <c r="E464" t="s">
        <v>656</v>
      </c>
      <c r="F464" t="s">
        <v>698</v>
      </c>
      <c r="G464" t="s">
        <v>701</v>
      </c>
      <c r="H464" t="s">
        <v>711</v>
      </c>
      <c r="I464" t="s">
        <v>724</v>
      </c>
      <c r="J464" t="s">
        <v>728</v>
      </c>
      <c r="K464" t="s">
        <v>1195</v>
      </c>
      <c r="L464">
        <v>738.16</v>
      </c>
      <c r="M464">
        <v>956.49</v>
      </c>
      <c r="N464">
        <v>0.152</v>
      </c>
      <c r="O464">
        <v>5</v>
      </c>
    </row>
    <row r="465" spans="1:15" x14ac:dyDescent="0.35">
      <c r="A465" t="s">
        <v>477</v>
      </c>
      <c r="B465" s="2">
        <v>45757</v>
      </c>
      <c r="C465" s="2">
        <v>45766</v>
      </c>
      <c r="D465" t="s">
        <v>646</v>
      </c>
      <c r="E465" t="s">
        <v>661</v>
      </c>
      <c r="F465" t="s">
        <v>687</v>
      </c>
      <c r="G465" t="s">
        <v>706</v>
      </c>
      <c r="I465" t="s">
        <v>715</v>
      </c>
      <c r="J465" t="s">
        <v>729</v>
      </c>
      <c r="K465" t="s">
        <v>1196</v>
      </c>
      <c r="L465">
        <v>113.74</v>
      </c>
      <c r="M465">
        <v>165.7</v>
      </c>
      <c r="N465">
        <v>0.124</v>
      </c>
      <c r="O465">
        <v>13</v>
      </c>
    </row>
    <row r="466" spans="1:15" x14ac:dyDescent="0.35">
      <c r="A466" t="s">
        <v>478</v>
      </c>
      <c r="B466" s="2">
        <v>45865</v>
      </c>
      <c r="C466" s="2">
        <v>45884</v>
      </c>
      <c r="D466" t="s">
        <v>647</v>
      </c>
      <c r="E466" t="s">
        <v>652</v>
      </c>
      <c r="F466" t="s">
        <v>689</v>
      </c>
      <c r="G466" t="s">
        <v>705</v>
      </c>
      <c r="H466" t="s">
        <v>709</v>
      </c>
      <c r="I466" t="s">
        <v>713</v>
      </c>
      <c r="J466" t="s">
        <v>727</v>
      </c>
      <c r="K466" t="s">
        <v>1197</v>
      </c>
      <c r="L466">
        <v>275.43</v>
      </c>
      <c r="M466">
        <v>608.36</v>
      </c>
      <c r="N466">
        <v>0.25700000000000001</v>
      </c>
      <c r="O466">
        <v>4</v>
      </c>
    </row>
    <row r="467" spans="1:15" x14ac:dyDescent="0.35">
      <c r="A467" t="s">
        <v>479</v>
      </c>
      <c r="B467" s="2">
        <v>45618</v>
      </c>
      <c r="C467" s="2">
        <v>45641</v>
      </c>
      <c r="D467" t="s">
        <v>646</v>
      </c>
      <c r="E467" t="s">
        <v>650</v>
      </c>
      <c r="F467" t="s">
        <v>675</v>
      </c>
      <c r="G467" t="s">
        <v>703</v>
      </c>
      <c r="H467" t="s">
        <v>710</v>
      </c>
      <c r="I467" t="s">
        <v>712</v>
      </c>
      <c r="J467" t="s">
        <v>727</v>
      </c>
      <c r="K467" t="s">
        <v>1198</v>
      </c>
      <c r="L467">
        <v>1335.76</v>
      </c>
      <c r="M467">
        <v>2665.91</v>
      </c>
      <c r="N467">
        <v>0.21099999999999999</v>
      </c>
      <c r="O467">
        <v>40</v>
      </c>
    </row>
    <row r="468" spans="1:15" x14ac:dyDescent="0.35">
      <c r="A468" t="s">
        <v>480</v>
      </c>
      <c r="B468" s="2">
        <v>45466</v>
      </c>
      <c r="C468" s="2">
        <v>45471</v>
      </c>
      <c r="D468" t="s">
        <v>646</v>
      </c>
      <c r="E468" t="s">
        <v>651</v>
      </c>
      <c r="F468" t="s">
        <v>663</v>
      </c>
      <c r="G468" t="s">
        <v>703</v>
      </c>
      <c r="H468" t="s">
        <v>711</v>
      </c>
      <c r="I468" t="s">
        <v>724</v>
      </c>
      <c r="J468" t="s">
        <v>733</v>
      </c>
      <c r="K468" t="s">
        <v>1199</v>
      </c>
      <c r="L468">
        <v>242.31</v>
      </c>
      <c r="M468">
        <v>587.95000000000005</v>
      </c>
      <c r="N468">
        <v>0.22900000000000001</v>
      </c>
      <c r="O468">
        <v>6</v>
      </c>
    </row>
    <row r="469" spans="1:15" x14ac:dyDescent="0.35">
      <c r="A469" t="s">
        <v>481</v>
      </c>
      <c r="B469" s="2">
        <v>45278</v>
      </c>
      <c r="C469" s="2">
        <v>45305</v>
      </c>
      <c r="D469" t="s">
        <v>647</v>
      </c>
      <c r="E469" t="s">
        <v>654</v>
      </c>
      <c r="F469" t="s">
        <v>691</v>
      </c>
      <c r="G469" t="s">
        <v>704</v>
      </c>
      <c r="H469" t="s">
        <v>710</v>
      </c>
      <c r="I469" t="s">
        <v>726</v>
      </c>
      <c r="J469" t="s">
        <v>729</v>
      </c>
      <c r="K469" t="s">
        <v>1200</v>
      </c>
      <c r="L469">
        <v>1408.3</v>
      </c>
      <c r="M469">
        <v>2193.13</v>
      </c>
      <c r="N469">
        <v>7.0999999999999994E-2</v>
      </c>
      <c r="O469">
        <v>7</v>
      </c>
    </row>
    <row r="470" spans="1:15" x14ac:dyDescent="0.35">
      <c r="A470" t="s">
        <v>482</v>
      </c>
      <c r="B470" s="2">
        <v>45809</v>
      </c>
      <c r="C470" s="2">
        <v>45813</v>
      </c>
      <c r="D470" t="s">
        <v>649</v>
      </c>
      <c r="E470" t="s">
        <v>656</v>
      </c>
      <c r="F470" t="s">
        <v>684</v>
      </c>
      <c r="G470" t="s">
        <v>706</v>
      </c>
      <c r="H470" t="s">
        <v>711</v>
      </c>
      <c r="I470" t="s">
        <v>724</v>
      </c>
      <c r="J470" t="s">
        <v>727</v>
      </c>
      <c r="K470" t="s">
        <v>1201</v>
      </c>
      <c r="L470">
        <v>1171.42</v>
      </c>
      <c r="M470">
        <v>2187.8000000000002</v>
      </c>
      <c r="N470">
        <v>0.23</v>
      </c>
      <c r="O470">
        <v>15</v>
      </c>
    </row>
    <row r="471" spans="1:15" x14ac:dyDescent="0.35">
      <c r="A471" t="s">
        <v>483</v>
      </c>
      <c r="B471" s="2">
        <v>45739</v>
      </c>
      <c r="C471" s="2">
        <v>45749</v>
      </c>
      <c r="D471" t="s">
        <v>649</v>
      </c>
      <c r="E471" t="s">
        <v>656</v>
      </c>
      <c r="F471" t="s">
        <v>671</v>
      </c>
      <c r="G471" t="s">
        <v>706</v>
      </c>
      <c r="H471" t="s">
        <v>708</v>
      </c>
      <c r="I471" t="s">
        <v>718</v>
      </c>
      <c r="J471" t="s">
        <v>728</v>
      </c>
      <c r="K471" t="s">
        <v>1202</v>
      </c>
      <c r="L471">
        <v>663.61</v>
      </c>
      <c r="M471">
        <v>1002.11</v>
      </c>
      <c r="N471">
        <v>4.5999999999999999E-2</v>
      </c>
      <c r="O471">
        <v>17</v>
      </c>
    </row>
    <row r="472" spans="1:15" x14ac:dyDescent="0.35">
      <c r="A472" t="s">
        <v>484</v>
      </c>
      <c r="B472" s="2">
        <v>45060</v>
      </c>
      <c r="C472" s="2">
        <v>45068</v>
      </c>
      <c r="D472" t="s">
        <v>646</v>
      </c>
      <c r="E472" t="s">
        <v>650</v>
      </c>
      <c r="F472" t="s">
        <v>675</v>
      </c>
      <c r="G472" t="s">
        <v>705</v>
      </c>
      <c r="H472" t="s">
        <v>710</v>
      </c>
      <c r="I472" t="s">
        <v>721</v>
      </c>
      <c r="J472" t="s">
        <v>728</v>
      </c>
      <c r="K472" t="s">
        <v>1203</v>
      </c>
      <c r="L472">
        <v>432.01</v>
      </c>
      <c r="M472">
        <v>913.78</v>
      </c>
      <c r="N472">
        <v>4.9000000000000002E-2</v>
      </c>
      <c r="O472">
        <v>12</v>
      </c>
    </row>
    <row r="473" spans="1:15" x14ac:dyDescent="0.35">
      <c r="A473" t="s">
        <v>485</v>
      </c>
      <c r="B473" s="2">
        <v>45167</v>
      </c>
      <c r="C473" s="2">
        <v>45188</v>
      </c>
      <c r="D473" t="s">
        <v>649</v>
      </c>
      <c r="E473" t="s">
        <v>657</v>
      </c>
      <c r="F473" t="s">
        <v>679</v>
      </c>
      <c r="G473" t="s">
        <v>705</v>
      </c>
      <c r="H473" t="s">
        <v>711</v>
      </c>
      <c r="I473" t="s">
        <v>717</v>
      </c>
      <c r="J473" t="s">
        <v>728</v>
      </c>
      <c r="K473" t="s">
        <v>1204</v>
      </c>
      <c r="L473">
        <v>784.46</v>
      </c>
      <c r="M473">
        <v>1843.51</v>
      </c>
      <c r="N473">
        <v>0.13800000000000001</v>
      </c>
      <c r="O473">
        <v>23</v>
      </c>
    </row>
    <row r="474" spans="1:15" x14ac:dyDescent="0.35">
      <c r="A474" t="s">
        <v>486</v>
      </c>
      <c r="B474" s="2">
        <v>45841</v>
      </c>
      <c r="C474" s="2">
        <v>45861</v>
      </c>
      <c r="D474" t="s">
        <v>647</v>
      </c>
      <c r="E474" t="s">
        <v>659</v>
      </c>
      <c r="F474" t="s">
        <v>699</v>
      </c>
      <c r="G474" t="s">
        <v>705</v>
      </c>
      <c r="H474" t="s">
        <v>708</v>
      </c>
      <c r="I474" t="s">
        <v>724</v>
      </c>
      <c r="J474" t="s">
        <v>727</v>
      </c>
      <c r="K474" t="s">
        <v>1205</v>
      </c>
      <c r="L474">
        <v>647.36</v>
      </c>
      <c r="M474">
        <v>1383.6</v>
      </c>
      <c r="N474">
        <v>7.3999999999999996E-2</v>
      </c>
      <c r="O474">
        <v>12</v>
      </c>
    </row>
    <row r="475" spans="1:15" x14ac:dyDescent="0.35">
      <c r="A475" t="s">
        <v>487</v>
      </c>
      <c r="B475" s="2">
        <v>45328</v>
      </c>
      <c r="C475" s="2">
        <v>45350</v>
      </c>
      <c r="D475" t="s">
        <v>646</v>
      </c>
      <c r="E475" t="s">
        <v>650</v>
      </c>
      <c r="F475" t="s">
        <v>662</v>
      </c>
      <c r="G475" t="s">
        <v>703</v>
      </c>
      <c r="H475" t="s">
        <v>708</v>
      </c>
      <c r="I475" t="s">
        <v>723</v>
      </c>
      <c r="J475" t="s">
        <v>732</v>
      </c>
      <c r="K475" t="s">
        <v>1206</v>
      </c>
      <c r="L475">
        <v>834.93</v>
      </c>
      <c r="M475">
        <v>1588.53</v>
      </c>
      <c r="N475">
        <v>0.126</v>
      </c>
      <c r="O475">
        <v>6</v>
      </c>
    </row>
    <row r="476" spans="1:15" x14ac:dyDescent="0.35">
      <c r="A476" t="s">
        <v>488</v>
      </c>
      <c r="B476" s="2">
        <v>45882</v>
      </c>
      <c r="C476" s="2">
        <v>45903</v>
      </c>
      <c r="D476" t="s">
        <v>649</v>
      </c>
      <c r="E476" t="s">
        <v>657</v>
      </c>
      <c r="F476" t="s">
        <v>690</v>
      </c>
      <c r="G476" t="s">
        <v>702</v>
      </c>
      <c r="H476" t="s">
        <v>707</v>
      </c>
      <c r="I476" t="s">
        <v>714</v>
      </c>
      <c r="J476" t="s">
        <v>730</v>
      </c>
      <c r="K476" t="s">
        <v>1207</v>
      </c>
      <c r="L476">
        <v>603.47</v>
      </c>
      <c r="M476">
        <v>1344.05</v>
      </c>
      <c r="N476">
        <v>0.20499999999999999</v>
      </c>
      <c r="O476">
        <v>18</v>
      </c>
    </row>
    <row r="477" spans="1:15" x14ac:dyDescent="0.35">
      <c r="A477" t="s">
        <v>489</v>
      </c>
      <c r="B477" s="2">
        <v>45069</v>
      </c>
      <c r="C477" s="2">
        <v>45071</v>
      </c>
      <c r="D477" t="s">
        <v>648</v>
      </c>
      <c r="E477" t="s">
        <v>655</v>
      </c>
      <c r="F477" t="s">
        <v>692</v>
      </c>
      <c r="G477" t="s">
        <v>706</v>
      </c>
      <c r="H477" t="s">
        <v>707</v>
      </c>
      <c r="I477" t="s">
        <v>724</v>
      </c>
      <c r="J477" t="s">
        <v>728</v>
      </c>
      <c r="K477" t="s">
        <v>1208</v>
      </c>
      <c r="L477">
        <v>690.49</v>
      </c>
      <c r="M477">
        <v>1290.29</v>
      </c>
      <c r="N477">
        <v>4.2000000000000003E-2</v>
      </c>
      <c r="O477">
        <v>22</v>
      </c>
    </row>
    <row r="478" spans="1:15" x14ac:dyDescent="0.35">
      <c r="A478" t="s">
        <v>490</v>
      </c>
      <c r="B478" s="2">
        <v>45422</v>
      </c>
      <c r="C478" s="2">
        <v>45428</v>
      </c>
      <c r="D478" t="s">
        <v>649</v>
      </c>
      <c r="E478" t="s">
        <v>658</v>
      </c>
      <c r="F478" t="s">
        <v>674</v>
      </c>
      <c r="G478" t="s">
        <v>703</v>
      </c>
      <c r="H478" t="s">
        <v>711</v>
      </c>
      <c r="I478" t="s">
        <v>715</v>
      </c>
      <c r="J478" t="s">
        <v>731</v>
      </c>
      <c r="K478" t="s">
        <v>1209</v>
      </c>
      <c r="L478">
        <v>210.76</v>
      </c>
      <c r="M478">
        <v>221.58</v>
      </c>
      <c r="N478">
        <v>8.8999999999999996E-2</v>
      </c>
      <c r="O478">
        <v>5</v>
      </c>
    </row>
    <row r="479" spans="1:15" x14ac:dyDescent="0.35">
      <c r="A479" t="s">
        <v>491</v>
      </c>
      <c r="B479" s="2">
        <v>44999</v>
      </c>
      <c r="C479" s="2">
        <v>45003</v>
      </c>
      <c r="D479" t="s">
        <v>649</v>
      </c>
      <c r="E479" t="s">
        <v>656</v>
      </c>
      <c r="F479" t="s">
        <v>698</v>
      </c>
      <c r="G479" t="s">
        <v>706</v>
      </c>
      <c r="H479" t="s">
        <v>711</v>
      </c>
      <c r="I479" t="s">
        <v>720</v>
      </c>
      <c r="J479" t="s">
        <v>727</v>
      </c>
      <c r="K479" t="s">
        <v>1210</v>
      </c>
      <c r="L479">
        <v>472.33</v>
      </c>
      <c r="M479">
        <v>360.34</v>
      </c>
      <c r="N479">
        <v>0.16500000000000001</v>
      </c>
      <c r="O479">
        <v>14</v>
      </c>
    </row>
    <row r="480" spans="1:15" x14ac:dyDescent="0.35">
      <c r="A480" t="s">
        <v>492</v>
      </c>
      <c r="B480" s="2">
        <v>45123</v>
      </c>
      <c r="C480" s="2">
        <v>45151</v>
      </c>
      <c r="D480" t="s">
        <v>649</v>
      </c>
      <c r="E480" t="s">
        <v>658</v>
      </c>
      <c r="F480" t="s">
        <v>693</v>
      </c>
      <c r="G480" t="s">
        <v>703</v>
      </c>
      <c r="H480" t="s">
        <v>708</v>
      </c>
      <c r="I480" t="s">
        <v>713</v>
      </c>
      <c r="J480" t="s">
        <v>731</v>
      </c>
      <c r="K480" t="s">
        <v>1211</v>
      </c>
      <c r="L480">
        <v>1039.03</v>
      </c>
      <c r="M480">
        <v>2545.81</v>
      </c>
      <c r="N480">
        <v>0.216</v>
      </c>
      <c r="O480">
        <v>21</v>
      </c>
    </row>
    <row r="481" spans="1:15" x14ac:dyDescent="0.35">
      <c r="A481" t="s">
        <v>493</v>
      </c>
      <c r="B481" s="2">
        <v>45032</v>
      </c>
      <c r="C481" s="2">
        <v>45035</v>
      </c>
      <c r="D481" t="s">
        <v>649</v>
      </c>
      <c r="E481" t="s">
        <v>656</v>
      </c>
      <c r="F481" t="s">
        <v>684</v>
      </c>
      <c r="G481" t="s">
        <v>701</v>
      </c>
      <c r="H481" t="s">
        <v>711</v>
      </c>
      <c r="I481" t="s">
        <v>717</v>
      </c>
      <c r="J481" t="s">
        <v>733</v>
      </c>
      <c r="K481" t="s">
        <v>1212</v>
      </c>
      <c r="L481">
        <v>553.61</v>
      </c>
      <c r="M481">
        <v>699.47</v>
      </c>
      <c r="N481">
        <v>0.02</v>
      </c>
      <c r="O481">
        <v>33</v>
      </c>
    </row>
    <row r="482" spans="1:15" x14ac:dyDescent="0.35">
      <c r="A482" t="s">
        <v>494</v>
      </c>
      <c r="B482" s="2">
        <v>45293</v>
      </c>
      <c r="C482" s="2">
        <v>45306</v>
      </c>
      <c r="D482" t="s">
        <v>647</v>
      </c>
      <c r="E482" t="s">
        <v>652</v>
      </c>
      <c r="F482" t="s">
        <v>694</v>
      </c>
      <c r="G482" t="s">
        <v>705</v>
      </c>
      <c r="H482" t="s">
        <v>709</v>
      </c>
      <c r="I482" t="s">
        <v>715</v>
      </c>
      <c r="J482" t="s">
        <v>729</v>
      </c>
      <c r="K482" t="s">
        <v>1213</v>
      </c>
      <c r="L482">
        <v>1219.06</v>
      </c>
      <c r="M482">
        <v>2738.69</v>
      </c>
      <c r="N482">
        <v>7.5999999999999998E-2</v>
      </c>
      <c r="O482">
        <v>16</v>
      </c>
    </row>
    <row r="483" spans="1:15" x14ac:dyDescent="0.35">
      <c r="A483" t="s">
        <v>495</v>
      </c>
      <c r="B483" s="2">
        <v>45538</v>
      </c>
      <c r="C483" s="2">
        <v>45542</v>
      </c>
      <c r="D483" t="s">
        <v>647</v>
      </c>
      <c r="E483" t="s">
        <v>652</v>
      </c>
      <c r="F483" t="s">
        <v>689</v>
      </c>
      <c r="G483" t="s">
        <v>705</v>
      </c>
      <c r="H483" t="s">
        <v>710</v>
      </c>
      <c r="I483" t="s">
        <v>725</v>
      </c>
      <c r="J483" t="s">
        <v>728</v>
      </c>
      <c r="K483" t="s">
        <v>1214</v>
      </c>
      <c r="L483">
        <v>43.23</v>
      </c>
      <c r="M483">
        <v>94.78</v>
      </c>
      <c r="N483">
        <v>9.0999999999999998E-2</v>
      </c>
      <c r="O483">
        <v>55</v>
      </c>
    </row>
    <row r="484" spans="1:15" x14ac:dyDescent="0.35">
      <c r="A484" t="s">
        <v>496</v>
      </c>
      <c r="B484" s="2">
        <v>45899</v>
      </c>
      <c r="C484" s="2">
        <v>45903</v>
      </c>
      <c r="D484" t="s">
        <v>649</v>
      </c>
      <c r="E484" t="s">
        <v>657</v>
      </c>
      <c r="F484" t="s">
        <v>673</v>
      </c>
      <c r="G484" t="s">
        <v>705</v>
      </c>
      <c r="H484" t="s">
        <v>709</v>
      </c>
      <c r="I484" t="s">
        <v>713</v>
      </c>
      <c r="J484" t="s">
        <v>731</v>
      </c>
      <c r="K484" t="s">
        <v>1215</v>
      </c>
      <c r="L484">
        <v>1286.56</v>
      </c>
      <c r="M484">
        <v>2777.35</v>
      </c>
      <c r="N484">
        <v>0.13200000000000001</v>
      </c>
      <c r="O484">
        <v>15</v>
      </c>
    </row>
    <row r="485" spans="1:15" x14ac:dyDescent="0.35">
      <c r="A485" t="s">
        <v>497</v>
      </c>
      <c r="B485" s="2">
        <v>45775</v>
      </c>
      <c r="C485" s="2">
        <v>45796</v>
      </c>
      <c r="D485" t="s">
        <v>649</v>
      </c>
      <c r="E485" t="s">
        <v>656</v>
      </c>
      <c r="F485" t="s">
        <v>671</v>
      </c>
      <c r="G485" t="s">
        <v>701</v>
      </c>
      <c r="H485" t="s">
        <v>710</v>
      </c>
      <c r="I485" t="s">
        <v>717</v>
      </c>
      <c r="J485" t="s">
        <v>730</v>
      </c>
      <c r="K485" t="s">
        <v>1216</v>
      </c>
      <c r="L485">
        <v>350.76</v>
      </c>
      <c r="M485">
        <v>492.18</v>
      </c>
      <c r="N485">
        <v>5.2999999999999999E-2</v>
      </c>
      <c r="O485">
        <v>11</v>
      </c>
    </row>
    <row r="486" spans="1:15" x14ac:dyDescent="0.35">
      <c r="A486" t="s">
        <v>498</v>
      </c>
      <c r="B486" s="2">
        <v>45148</v>
      </c>
      <c r="C486" s="2">
        <v>45153</v>
      </c>
      <c r="D486" t="s">
        <v>648</v>
      </c>
      <c r="E486" t="s">
        <v>655</v>
      </c>
      <c r="F486" t="s">
        <v>670</v>
      </c>
      <c r="G486" t="s">
        <v>702</v>
      </c>
      <c r="H486" t="s">
        <v>711</v>
      </c>
      <c r="I486" t="s">
        <v>715</v>
      </c>
      <c r="J486" t="s">
        <v>729</v>
      </c>
      <c r="K486" t="s">
        <v>1217</v>
      </c>
      <c r="L486">
        <v>1307.52</v>
      </c>
      <c r="M486">
        <v>1921.65</v>
      </c>
      <c r="N486">
        <v>0.123</v>
      </c>
      <c r="O486">
        <v>13</v>
      </c>
    </row>
    <row r="487" spans="1:15" x14ac:dyDescent="0.35">
      <c r="A487" t="s">
        <v>499</v>
      </c>
      <c r="B487" s="2">
        <v>45634</v>
      </c>
      <c r="C487" s="2">
        <v>45634</v>
      </c>
      <c r="D487" t="s">
        <v>649</v>
      </c>
      <c r="E487" t="s">
        <v>657</v>
      </c>
      <c r="F487" t="s">
        <v>679</v>
      </c>
      <c r="G487" t="s">
        <v>706</v>
      </c>
      <c r="H487" t="s">
        <v>707</v>
      </c>
      <c r="I487" t="s">
        <v>722</v>
      </c>
      <c r="J487" t="s">
        <v>727</v>
      </c>
      <c r="K487" t="s">
        <v>1218</v>
      </c>
      <c r="L487">
        <v>257.44</v>
      </c>
      <c r="M487">
        <v>290.33</v>
      </c>
      <c r="N487">
        <v>9.1999999999999998E-2</v>
      </c>
      <c r="O487">
        <v>23</v>
      </c>
    </row>
    <row r="488" spans="1:15" x14ac:dyDescent="0.35">
      <c r="A488" t="s">
        <v>500</v>
      </c>
      <c r="B488" s="2">
        <v>45224</v>
      </c>
      <c r="C488" s="2">
        <v>45254</v>
      </c>
      <c r="D488" t="s">
        <v>649</v>
      </c>
      <c r="E488" t="s">
        <v>657</v>
      </c>
      <c r="F488" t="s">
        <v>690</v>
      </c>
      <c r="G488" t="s">
        <v>706</v>
      </c>
      <c r="H488" t="s">
        <v>710</v>
      </c>
      <c r="I488" t="s">
        <v>712</v>
      </c>
      <c r="J488" t="s">
        <v>730</v>
      </c>
      <c r="K488" t="s">
        <v>1219</v>
      </c>
      <c r="L488">
        <v>287.85000000000002</v>
      </c>
      <c r="M488">
        <v>602.91999999999996</v>
      </c>
      <c r="N488">
        <v>0.222</v>
      </c>
      <c r="O488">
        <v>11</v>
      </c>
    </row>
    <row r="489" spans="1:15" x14ac:dyDescent="0.35">
      <c r="A489" t="s">
        <v>501</v>
      </c>
      <c r="B489" s="2">
        <v>45613</v>
      </c>
      <c r="C489" s="2">
        <v>45624</v>
      </c>
      <c r="D489" t="s">
        <v>648</v>
      </c>
      <c r="E489" t="s">
        <v>653</v>
      </c>
      <c r="G489" t="s">
        <v>704</v>
      </c>
      <c r="H489" t="s">
        <v>710</v>
      </c>
      <c r="I489" t="s">
        <v>720</v>
      </c>
      <c r="J489" t="s">
        <v>728</v>
      </c>
      <c r="K489" t="s">
        <v>1220</v>
      </c>
      <c r="L489">
        <v>1008.16</v>
      </c>
      <c r="M489">
        <v>2077.5</v>
      </c>
      <c r="N489">
        <v>7.3999999999999996E-2</v>
      </c>
      <c r="O489">
        <v>15</v>
      </c>
    </row>
    <row r="490" spans="1:15" x14ac:dyDescent="0.35">
      <c r="A490" t="s">
        <v>502</v>
      </c>
      <c r="B490" s="2">
        <v>45424</v>
      </c>
      <c r="C490" s="2">
        <v>45436</v>
      </c>
      <c r="D490" t="s">
        <v>649</v>
      </c>
      <c r="E490" t="s">
        <v>658</v>
      </c>
      <c r="F490" t="s">
        <v>693</v>
      </c>
      <c r="G490" t="s">
        <v>702</v>
      </c>
      <c r="H490" t="s">
        <v>709</v>
      </c>
      <c r="I490" t="s">
        <v>723</v>
      </c>
      <c r="J490" t="s">
        <v>728</v>
      </c>
      <c r="K490" t="s">
        <v>1221</v>
      </c>
      <c r="L490">
        <v>111.02</v>
      </c>
      <c r="M490">
        <v>172.88</v>
      </c>
      <c r="N490">
        <v>0.19700000000000001</v>
      </c>
      <c r="O490">
        <v>29</v>
      </c>
    </row>
    <row r="491" spans="1:15" x14ac:dyDescent="0.35">
      <c r="A491" t="s">
        <v>503</v>
      </c>
      <c r="B491" s="2">
        <v>45792</v>
      </c>
      <c r="C491" s="2">
        <v>45813</v>
      </c>
      <c r="D491" t="s">
        <v>647</v>
      </c>
      <c r="E491" t="s">
        <v>652</v>
      </c>
      <c r="F491" t="s">
        <v>666</v>
      </c>
      <c r="G491" t="s">
        <v>706</v>
      </c>
      <c r="H491" t="s">
        <v>711</v>
      </c>
      <c r="I491" t="s">
        <v>722</v>
      </c>
      <c r="J491" t="s">
        <v>730</v>
      </c>
      <c r="K491" t="s">
        <v>1222</v>
      </c>
      <c r="L491">
        <v>1466.5</v>
      </c>
      <c r="M491">
        <v>2778.74</v>
      </c>
      <c r="N491">
        <v>0.13500000000000001</v>
      </c>
      <c r="O491">
        <v>4</v>
      </c>
    </row>
    <row r="492" spans="1:15" x14ac:dyDescent="0.35">
      <c r="A492" t="s">
        <v>504</v>
      </c>
      <c r="B492" s="2">
        <v>45403</v>
      </c>
      <c r="C492" s="2">
        <v>45431</v>
      </c>
      <c r="D492" t="s">
        <v>646</v>
      </c>
      <c r="E492" t="s">
        <v>651</v>
      </c>
      <c r="F492" t="s">
        <v>665</v>
      </c>
      <c r="G492" t="s">
        <v>701</v>
      </c>
      <c r="H492" t="s">
        <v>710</v>
      </c>
      <c r="I492" t="s">
        <v>720</v>
      </c>
      <c r="J492" t="s">
        <v>733</v>
      </c>
      <c r="K492" t="s">
        <v>1223</v>
      </c>
      <c r="L492">
        <v>187.22</v>
      </c>
      <c r="M492">
        <v>309.47000000000003</v>
      </c>
      <c r="N492">
        <v>0</v>
      </c>
      <c r="O492">
        <v>5</v>
      </c>
    </row>
    <row r="493" spans="1:15" x14ac:dyDescent="0.35">
      <c r="A493" t="s">
        <v>505</v>
      </c>
      <c r="B493" s="2">
        <v>45523</v>
      </c>
      <c r="C493" s="2">
        <v>45542</v>
      </c>
      <c r="D493" t="s">
        <v>649</v>
      </c>
      <c r="E493" t="s">
        <v>657</v>
      </c>
      <c r="F493" t="s">
        <v>679</v>
      </c>
      <c r="G493" t="s">
        <v>701</v>
      </c>
      <c r="H493" t="s">
        <v>711</v>
      </c>
      <c r="I493" t="s">
        <v>713</v>
      </c>
      <c r="J493" t="s">
        <v>727</v>
      </c>
      <c r="K493" t="s">
        <v>1224</v>
      </c>
      <c r="L493">
        <v>297.58999999999997</v>
      </c>
      <c r="M493">
        <v>666.41</v>
      </c>
      <c r="N493">
        <v>0</v>
      </c>
      <c r="O493">
        <v>10</v>
      </c>
    </row>
    <row r="494" spans="1:15" x14ac:dyDescent="0.35">
      <c r="A494" t="s">
        <v>506</v>
      </c>
      <c r="B494" s="2">
        <v>45861</v>
      </c>
      <c r="C494" s="2">
        <v>45888</v>
      </c>
      <c r="D494" t="s">
        <v>647</v>
      </c>
      <c r="E494" t="s">
        <v>652</v>
      </c>
      <c r="F494" t="s">
        <v>694</v>
      </c>
      <c r="G494" t="s">
        <v>704</v>
      </c>
      <c r="H494" t="s">
        <v>709</v>
      </c>
      <c r="I494" t="s">
        <v>717</v>
      </c>
      <c r="J494" t="s">
        <v>733</v>
      </c>
      <c r="K494" t="s">
        <v>1225</v>
      </c>
      <c r="L494">
        <v>896.09</v>
      </c>
      <c r="M494">
        <v>744.27</v>
      </c>
      <c r="N494">
        <v>8.3000000000000004E-2</v>
      </c>
      <c r="O494">
        <v>11</v>
      </c>
    </row>
    <row r="495" spans="1:15" x14ac:dyDescent="0.35">
      <c r="A495" t="s">
        <v>507</v>
      </c>
      <c r="B495" s="2">
        <v>45352</v>
      </c>
      <c r="C495" s="2">
        <v>45351</v>
      </c>
      <c r="D495" t="s">
        <v>648</v>
      </c>
      <c r="E495" t="s">
        <v>655</v>
      </c>
      <c r="F495" t="s">
        <v>670</v>
      </c>
      <c r="G495" t="s">
        <v>703</v>
      </c>
      <c r="H495" t="s">
        <v>711</v>
      </c>
      <c r="I495" t="s">
        <v>714</v>
      </c>
      <c r="J495" t="s">
        <v>730</v>
      </c>
      <c r="K495" t="s">
        <v>1226</v>
      </c>
      <c r="L495">
        <v>5.34</v>
      </c>
      <c r="M495">
        <v>12.69</v>
      </c>
      <c r="N495">
        <v>0.13200000000000001</v>
      </c>
      <c r="O495">
        <v>10</v>
      </c>
    </row>
    <row r="496" spans="1:15" x14ac:dyDescent="0.35">
      <c r="A496" t="s">
        <v>508</v>
      </c>
      <c r="B496" s="2">
        <v>45439</v>
      </c>
      <c r="C496" s="2">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x14ac:dyDescent="0.35">
      <c r="A497" t="s">
        <v>509</v>
      </c>
      <c r="B497" s="2">
        <v>45508</v>
      </c>
      <c r="C497" s="2">
        <v>45521</v>
      </c>
      <c r="D497" t="s">
        <v>648</v>
      </c>
      <c r="E497" t="s">
        <v>660</v>
      </c>
      <c r="F497" t="s">
        <v>697</v>
      </c>
      <c r="G497" t="s">
        <v>704</v>
      </c>
      <c r="H497" t="s">
        <v>707</v>
      </c>
      <c r="I497" t="s">
        <v>726</v>
      </c>
      <c r="J497" t="s">
        <v>732</v>
      </c>
      <c r="K497" t="s">
        <v>1228</v>
      </c>
      <c r="L497">
        <v>352.79</v>
      </c>
      <c r="M497">
        <v>754.22</v>
      </c>
      <c r="N497">
        <v>0.113</v>
      </c>
      <c r="O497">
        <v>7</v>
      </c>
    </row>
    <row r="498" spans="1:15" x14ac:dyDescent="0.35">
      <c r="A498" t="s">
        <v>510</v>
      </c>
      <c r="B498" s="2">
        <v>45097</v>
      </c>
      <c r="C498" s="2">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x14ac:dyDescent="0.35">
      <c r="A499" t="s">
        <v>511</v>
      </c>
      <c r="B499" s="2">
        <v>45544</v>
      </c>
      <c r="C499" s="2">
        <v>45548</v>
      </c>
      <c r="D499" t="s">
        <v>649</v>
      </c>
      <c r="E499" t="s">
        <v>658</v>
      </c>
      <c r="F499" t="s">
        <v>683</v>
      </c>
      <c r="G499" t="s">
        <v>704</v>
      </c>
      <c r="H499" t="s">
        <v>709</v>
      </c>
      <c r="I499" t="s">
        <v>721</v>
      </c>
      <c r="J499" t="s">
        <v>729</v>
      </c>
      <c r="K499" t="s">
        <v>1230</v>
      </c>
      <c r="L499">
        <v>1133.08</v>
      </c>
      <c r="M499">
        <v>976.17</v>
      </c>
      <c r="N499">
        <v>4.2000000000000003E-2</v>
      </c>
      <c r="O499">
        <v>27</v>
      </c>
    </row>
    <row r="500" spans="1:15" x14ac:dyDescent="0.35">
      <c r="A500" t="s">
        <v>512</v>
      </c>
      <c r="B500" s="2">
        <v>45224</v>
      </c>
      <c r="C500" s="2">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x14ac:dyDescent="0.35">
      <c r="A501" t="s">
        <v>513</v>
      </c>
      <c r="B501" s="2">
        <v>45908</v>
      </c>
      <c r="C501" s="2">
        <v>45935</v>
      </c>
      <c r="D501" t="s">
        <v>648</v>
      </c>
      <c r="E501" t="s">
        <v>655</v>
      </c>
      <c r="F501" t="s">
        <v>692</v>
      </c>
      <c r="G501" t="s">
        <v>702</v>
      </c>
      <c r="H501" t="s">
        <v>708</v>
      </c>
      <c r="I501" t="s">
        <v>712</v>
      </c>
      <c r="J501" t="s">
        <v>732</v>
      </c>
      <c r="K501" t="s">
        <v>1232</v>
      </c>
      <c r="L501">
        <v>660.78</v>
      </c>
      <c r="M501">
        <v>1630.39</v>
      </c>
      <c r="N501">
        <v>0.218</v>
      </c>
      <c r="O501">
        <v>13</v>
      </c>
    </row>
    <row r="502" spans="1:15" x14ac:dyDescent="0.35">
      <c r="A502" t="s">
        <v>514</v>
      </c>
      <c r="B502" s="2">
        <v>45048</v>
      </c>
      <c r="C502" s="2">
        <v>45062</v>
      </c>
      <c r="D502" t="s">
        <v>647</v>
      </c>
      <c r="E502" t="s">
        <v>654</v>
      </c>
      <c r="F502" t="s">
        <v>668</v>
      </c>
      <c r="G502" t="s">
        <v>703</v>
      </c>
      <c r="H502" t="s">
        <v>707</v>
      </c>
      <c r="I502" t="s">
        <v>716</v>
      </c>
      <c r="J502" t="s">
        <v>732</v>
      </c>
      <c r="K502" t="s">
        <v>1233</v>
      </c>
      <c r="L502">
        <v>475.37</v>
      </c>
      <c r="M502">
        <v>963.73</v>
      </c>
      <c r="N502">
        <v>4.1000000000000002E-2</v>
      </c>
      <c r="O502">
        <v>22</v>
      </c>
    </row>
    <row r="503" spans="1:15" x14ac:dyDescent="0.35">
      <c r="A503" t="s">
        <v>515</v>
      </c>
      <c r="B503" s="2">
        <v>45408</v>
      </c>
      <c r="C503" s="2">
        <v>45406</v>
      </c>
      <c r="D503" t="s">
        <v>649</v>
      </c>
      <c r="E503" t="s">
        <v>658</v>
      </c>
      <c r="F503" t="s">
        <v>683</v>
      </c>
      <c r="G503" t="s">
        <v>703</v>
      </c>
      <c r="H503" t="s">
        <v>710</v>
      </c>
      <c r="I503" t="s">
        <v>725</v>
      </c>
      <c r="J503" t="s">
        <v>730</v>
      </c>
      <c r="K503" t="s">
        <v>1234</v>
      </c>
      <c r="L503">
        <v>1232.77</v>
      </c>
      <c r="M503">
        <v>891.73</v>
      </c>
      <c r="N503">
        <v>0.16700000000000001</v>
      </c>
      <c r="O503">
        <v>10</v>
      </c>
    </row>
    <row r="504" spans="1:15" x14ac:dyDescent="0.35">
      <c r="A504" t="s">
        <v>516</v>
      </c>
      <c r="B504" s="2">
        <v>44980</v>
      </c>
      <c r="C504" s="2">
        <v>45003</v>
      </c>
      <c r="D504" t="s">
        <v>647</v>
      </c>
      <c r="E504" t="s">
        <v>659</v>
      </c>
      <c r="F504" t="s">
        <v>699</v>
      </c>
      <c r="G504" t="s">
        <v>702</v>
      </c>
      <c r="H504" t="s">
        <v>710</v>
      </c>
      <c r="I504" t="s">
        <v>723</v>
      </c>
      <c r="J504" t="s">
        <v>728</v>
      </c>
      <c r="K504" t="s">
        <v>1235</v>
      </c>
      <c r="L504">
        <v>770.11</v>
      </c>
      <c r="M504">
        <v>1667.82</v>
      </c>
      <c r="N504">
        <v>6.9000000000000006E-2</v>
      </c>
      <c r="O504">
        <v>7</v>
      </c>
    </row>
    <row r="505" spans="1:15" x14ac:dyDescent="0.35">
      <c r="A505" t="s">
        <v>517</v>
      </c>
      <c r="B505" s="2">
        <v>45740</v>
      </c>
      <c r="C505" s="2">
        <v>45741</v>
      </c>
      <c r="D505" t="s">
        <v>647</v>
      </c>
      <c r="E505" t="s">
        <v>659</v>
      </c>
      <c r="F505" t="s">
        <v>699</v>
      </c>
      <c r="G505" t="s">
        <v>703</v>
      </c>
      <c r="H505" t="s">
        <v>708</v>
      </c>
      <c r="I505" t="s">
        <v>715</v>
      </c>
      <c r="J505" t="s">
        <v>729</v>
      </c>
      <c r="K505" t="s">
        <v>1236</v>
      </c>
      <c r="L505">
        <v>1133.03</v>
      </c>
      <c r="M505">
        <v>1921.51</v>
      </c>
      <c r="N505">
        <v>0.10100000000000001</v>
      </c>
      <c r="O505">
        <v>5</v>
      </c>
    </row>
    <row r="506" spans="1:15" x14ac:dyDescent="0.35">
      <c r="A506" t="s">
        <v>518</v>
      </c>
      <c r="B506" s="2">
        <v>45726</v>
      </c>
      <c r="C506" s="2">
        <v>45743</v>
      </c>
      <c r="D506" t="s">
        <v>648</v>
      </c>
      <c r="E506" t="s">
        <v>655</v>
      </c>
      <c r="F506" t="s">
        <v>692</v>
      </c>
      <c r="G506" t="s">
        <v>706</v>
      </c>
      <c r="H506" t="s">
        <v>711</v>
      </c>
      <c r="I506" t="s">
        <v>721</v>
      </c>
      <c r="J506" t="s">
        <v>729</v>
      </c>
      <c r="K506" t="s">
        <v>1237</v>
      </c>
      <c r="L506">
        <v>996.73</v>
      </c>
      <c r="M506">
        <v>1217.43</v>
      </c>
      <c r="N506">
        <v>7.0000000000000007E-2</v>
      </c>
      <c r="O506">
        <v>9</v>
      </c>
    </row>
    <row r="507" spans="1:15" x14ac:dyDescent="0.35">
      <c r="A507" t="s">
        <v>519</v>
      </c>
      <c r="B507" s="2">
        <v>45387</v>
      </c>
      <c r="C507" s="2">
        <v>45391</v>
      </c>
      <c r="D507" t="s">
        <v>646</v>
      </c>
      <c r="E507" t="s">
        <v>651</v>
      </c>
      <c r="F507" t="s">
        <v>665</v>
      </c>
      <c r="G507" t="s">
        <v>703</v>
      </c>
      <c r="H507" t="s">
        <v>711</v>
      </c>
      <c r="I507" t="s">
        <v>723</v>
      </c>
      <c r="J507" t="s">
        <v>727</v>
      </c>
      <c r="K507" t="s">
        <v>1238</v>
      </c>
      <c r="L507">
        <v>395.07</v>
      </c>
      <c r="M507">
        <v>970.27</v>
      </c>
      <c r="N507">
        <v>0.123</v>
      </c>
      <c r="O507">
        <v>38</v>
      </c>
    </row>
    <row r="508" spans="1:15" x14ac:dyDescent="0.35">
      <c r="A508" t="s">
        <v>520</v>
      </c>
      <c r="B508" s="2">
        <v>45774</v>
      </c>
      <c r="C508" s="2">
        <v>45794</v>
      </c>
      <c r="D508" t="s">
        <v>648</v>
      </c>
      <c r="E508" t="s">
        <v>660</v>
      </c>
      <c r="F508" t="s">
        <v>697</v>
      </c>
      <c r="G508" t="s">
        <v>701</v>
      </c>
      <c r="H508" t="s">
        <v>711</v>
      </c>
      <c r="I508" t="s">
        <v>725</v>
      </c>
      <c r="J508" t="s">
        <v>730</v>
      </c>
      <c r="K508" t="s">
        <v>1239</v>
      </c>
      <c r="L508">
        <v>932.26</v>
      </c>
      <c r="M508">
        <v>1624.67</v>
      </c>
      <c r="N508">
        <v>0.23499999999999999</v>
      </c>
      <c r="O508">
        <v>28</v>
      </c>
    </row>
    <row r="509" spans="1:15" x14ac:dyDescent="0.35">
      <c r="A509" t="s">
        <v>521</v>
      </c>
      <c r="B509" s="2">
        <v>45589</v>
      </c>
      <c r="C509" s="2">
        <v>45593</v>
      </c>
      <c r="D509" t="s">
        <v>647</v>
      </c>
      <c r="E509" t="s">
        <v>659</v>
      </c>
      <c r="F509" t="s">
        <v>685</v>
      </c>
      <c r="G509" t="s">
        <v>705</v>
      </c>
      <c r="H509" t="s">
        <v>710</v>
      </c>
      <c r="I509" t="s">
        <v>714</v>
      </c>
      <c r="J509" t="s">
        <v>729</v>
      </c>
      <c r="K509" t="s">
        <v>1240</v>
      </c>
      <c r="L509">
        <v>1331.77</v>
      </c>
      <c r="M509">
        <v>2606.11</v>
      </c>
      <c r="N509">
        <v>0.02</v>
      </c>
      <c r="O509">
        <v>6</v>
      </c>
    </row>
    <row r="510" spans="1:15" x14ac:dyDescent="0.35">
      <c r="A510" t="s">
        <v>522</v>
      </c>
      <c r="B510" s="2">
        <v>45029</v>
      </c>
      <c r="C510" s="2">
        <v>45036</v>
      </c>
      <c r="D510" t="s">
        <v>649</v>
      </c>
      <c r="E510" t="s">
        <v>657</v>
      </c>
      <c r="F510" t="s">
        <v>679</v>
      </c>
      <c r="G510" t="s">
        <v>705</v>
      </c>
      <c r="H510" t="s">
        <v>708</v>
      </c>
      <c r="I510" t="s">
        <v>720</v>
      </c>
      <c r="J510" t="s">
        <v>731</v>
      </c>
      <c r="K510" t="s">
        <v>1241</v>
      </c>
      <c r="L510">
        <v>227.02</v>
      </c>
      <c r="M510">
        <v>434.72</v>
      </c>
      <c r="N510">
        <v>9.8000000000000004E-2</v>
      </c>
      <c r="O510">
        <v>10</v>
      </c>
    </row>
    <row r="511" spans="1:15" x14ac:dyDescent="0.35">
      <c r="A511" t="s">
        <v>523</v>
      </c>
      <c r="B511" s="2">
        <v>45608</v>
      </c>
      <c r="C511" s="2">
        <v>45617</v>
      </c>
      <c r="D511" t="s">
        <v>647</v>
      </c>
      <c r="E511" t="s">
        <v>654</v>
      </c>
      <c r="F511" t="s">
        <v>691</v>
      </c>
      <c r="G511" t="s">
        <v>701</v>
      </c>
      <c r="H511" t="s">
        <v>711</v>
      </c>
      <c r="I511" t="s">
        <v>722</v>
      </c>
      <c r="J511" t="s">
        <v>731</v>
      </c>
      <c r="K511" t="s">
        <v>1242</v>
      </c>
      <c r="L511">
        <v>903.41</v>
      </c>
      <c r="M511">
        <v>1860.41</v>
      </c>
      <c r="N511">
        <v>0.108</v>
      </c>
      <c r="O511">
        <v>5</v>
      </c>
    </row>
    <row r="512" spans="1:15" x14ac:dyDescent="0.35">
      <c r="A512" t="s">
        <v>524</v>
      </c>
      <c r="B512" s="2">
        <v>45056</v>
      </c>
      <c r="C512" s="2">
        <v>45060</v>
      </c>
      <c r="D512" t="s">
        <v>647</v>
      </c>
      <c r="E512" t="s">
        <v>654</v>
      </c>
      <c r="F512" t="s">
        <v>680</v>
      </c>
      <c r="G512" t="s">
        <v>703</v>
      </c>
      <c r="H512" t="s">
        <v>710</v>
      </c>
      <c r="I512" t="s">
        <v>712</v>
      </c>
      <c r="J512" t="s">
        <v>732</v>
      </c>
      <c r="K512" t="s">
        <v>1243</v>
      </c>
      <c r="L512">
        <v>622.6</v>
      </c>
      <c r="M512">
        <v>833.69</v>
      </c>
      <c r="N512">
        <v>0.20899999999999999</v>
      </c>
      <c r="O512">
        <v>14</v>
      </c>
    </row>
    <row r="513" spans="1:15" x14ac:dyDescent="0.35">
      <c r="A513" t="s">
        <v>525</v>
      </c>
      <c r="B513" s="2">
        <v>45353</v>
      </c>
      <c r="C513" s="2">
        <v>45374</v>
      </c>
      <c r="D513" t="s">
        <v>648</v>
      </c>
      <c r="E513" t="s">
        <v>660</v>
      </c>
      <c r="F513" t="s">
        <v>677</v>
      </c>
      <c r="G513" t="s">
        <v>705</v>
      </c>
      <c r="H513" t="s">
        <v>708</v>
      </c>
      <c r="I513" t="s">
        <v>721</v>
      </c>
      <c r="J513" t="s">
        <v>727</v>
      </c>
      <c r="K513" t="s">
        <v>1244</v>
      </c>
      <c r="L513">
        <v>225.01</v>
      </c>
      <c r="M513">
        <v>333.48</v>
      </c>
      <c r="N513">
        <v>0.11899999999999999</v>
      </c>
      <c r="O513">
        <v>12</v>
      </c>
    </row>
    <row r="514" spans="1:15" x14ac:dyDescent="0.35">
      <c r="A514" t="s">
        <v>526</v>
      </c>
      <c r="B514" s="2">
        <v>45575</v>
      </c>
      <c r="C514" s="2">
        <v>45576</v>
      </c>
      <c r="D514" t="s">
        <v>649</v>
      </c>
      <c r="E514" t="s">
        <v>658</v>
      </c>
      <c r="F514" t="s">
        <v>693</v>
      </c>
      <c r="G514" t="s">
        <v>703</v>
      </c>
      <c r="H514" t="s">
        <v>710</v>
      </c>
      <c r="I514" t="s">
        <v>716</v>
      </c>
      <c r="J514" t="s">
        <v>727</v>
      </c>
      <c r="K514" t="s">
        <v>1245</v>
      </c>
      <c r="L514">
        <v>1389.46</v>
      </c>
      <c r="M514">
        <v>1784.7</v>
      </c>
      <c r="N514">
        <v>0.14599999999999999</v>
      </c>
      <c r="O514">
        <v>33</v>
      </c>
    </row>
    <row r="515" spans="1:15" x14ac:dyDescent="0.35">
      <c r="A515" t="s">
        <v>527</v>
      </c>
      <c r="B515" s="2">
        <v>45078</v>
      </c>
      <c r="C515" s="2">
        <v>45085</v>
      </c>
      <c r="D515" t="s">
        <v>649</v>
      </c>
      <c r="E515" t="s">
        <v>656</v>
      </c>
      <c r="F515" t="s">
        <v>698</v>
      </c>
      <c r="G515" t="s">
        <v>704</v>
      </c>
      <c r="H515" t="s">
        <v>708</v>
      </c>
      <c r="I515" t="s">
        <v>720</v>
      </c>
      <c r="J515" t="s">
        <v>730</v>
      </c>
      <c r="K515" t="s">
        <v>1246</v>
      </c>
      <c r="L515">
        <v>804.17</v>
      </c>
      <c r="M515">
        <v>1072.29</v>
      </c>
      <c r="N515">
        <v>3.2000000000000001E-2</v>
      </c>
      <c r="O515">
        <v>5</v>
      </c>
    </row>
    <row r="516" spans="1:15" x14ac:dyDescent="0.35">
      <c r="A516" t="s">
        <v>528</v>
      </c>
      <c r="B516" s="2">
        <v>45661</v>
      </c>
      <c r="C516" s="2">
        <v>45662</v>
      </c>
      <c r="D516" t="s">
        <v>647</v>
      </c>
      <c r="E516" t="s">
        <v>654</v>
      </c>
      <c r="F516" t="s">
        <v>680</v>
      </c>
      <c r="G516" t="s">
        <v>702</v>
      </c>
      <c r="H516" t="s">
        <v>707</v>
      </c>
      <c r="I516" t="s">
        <v>714</v>
      </c>
      <c r="J516" t="s">
        <v>727</v>
      </c>
      <c r="K516" t="s">
        <v>1247</v>
      </c>
      <c r="L516">
        <v>1428.33</v>
      </c>
      <c r="M516">
        <v>3028.05</v>
      </c>
      <c r="N516">
        <v>0</v>
      </c>
      <c r="O516">
        <v>11</v>
      </c>
    </row>
    <row r="517" spans="1:15" x14ac:dyDescent="0.35">
      <c r="A517" t="s">
        <v>529</v>
      </c>
      <c r="B517" s="2">
        <v>45874</v>
      </c>
      <c r="C517" s="2">
        <v>45897</v>
      </c>
      <c r="D517" t="s">
        <v>647</v>
      </c>
      <c r="E517" t="s">
        <v>654</v>
      </c>
      <c r="F517" t="s">
        <v>691</v>
      </c>
      <c r="G517" t="s">
        <v>703</v>
      </c>
      <c r="H517" t="s">
        <v>710</v>
      </c>
      <c r="I517" t="s">
        <v>725</v>
      </c>
      <c r="J517" t="s">
        <v>731</v>
      </c>
      <c r="K517" t="s">
        <v>1248</v>
      </c>
      <c r="L517">
        <v>638.54</v>
      </c>
      <c r="M517">
        <v>987.24</v>
      </c>
      <c r="N517">
        <v>0</v>
      </c>
      <c r="O517">
        <v>11</v>
      </c>
    </row>
    <row r="518" spans="1:15" x14ac:dyDescent="0.35">
      <c r="A518" t="s">
        <v>530</v>
      </c>
      <c r="B518" s="2">
        <v>45199</v>
      </c>
      <c r="C518" s="2">
        <v>45229</v>
      </c>
      <c r="D518" t="s">
        <v>647</v>
      </c>
      <c r="E518" t="s">
        <v>652</v>
      </c>
      <c r="F518" t="s">
        <v>689</v>
      </c>
      <c r="G518" t="s">
        <v>706</v>
      </c>
      <c r="H518" t="s">
        <v>708</v>
      </c>
      <c r="I518" t="s">
        <v>726</v>
      </c>
      <c r="J518" t="s">
        <v>728</v>
      </c>
      <c r="K518" t="s">
        <v>1249</v>
      </c>
      <c r="L518">
        <v>649.13</v>
      </c>
      <c r="M518">
        <v>975.43</v>
      </c>
      <c r="N518">
        <v>0.157</v>
      </c>
      <c r="O518">
        <v>27</v>
      </c>
    </row>
    <row r="519" spans="1:15" x14ac:dyDescent="0.35">
      <c r="A519" t="s">
        <v>531</v>
      </c>
      <c r="B519" s="2">
        <v>45794</v>
      </c>
      <c r="C519" s="2">
        <v>45807</v>
      </c>
      <c r="D519" t="s">
        <v>646</v>
      </c>
      <c r="E519" t="s">
        <v>651</v>
      </c>
      <c r="F519" t="s">
        <v>665</v>
      </c>
      <c r="G519" t="s">
        <v>704</v>
      </c>
      <c r="H519" t="s">
        <v>710</v>
      </c>
      <c r="I519" t="s">
        <v>721</v>
      </c>
      <c r="J519" t="s">
        <v>733</v>
      </c>
      <c r="K519" t="s">
        <v>1250</v>
      </c>
      <c r="L519">
        <v>66.400000000000006</v>
      </c>
      <c r="M519">
        <v>141.43</v>
      </c>
      <c r="N519">
        <v>0.107</v>
      </c>
      <c r="O519">
        <v>8</v>
      </c>
    </row>
    <row r="520" spans="1:15" x14ac:dyDescent="0.35">
      <c r="A520" t="s">
        <v>532</v>
      </c>
      <c r="B520" s="2">
        <v>45413</v>
      </c>
      <c r="C520" s="2">
        <v>45438</v>
      </c>
      <c r="D520" t="s">
        <v>649</v>
      </c>
      <c r="E520" t="s">
        <v>656</v>
      </c>
      <c r="F520" t="s">
        <v>671</v>
      </c>
      <c r="G520" t="s">
        <v>703</v>
      </c>
      <c r="H520" t="s">
        <v>707</v>
      </c>
      <c r="I520" t="s">
        <v>717</v>
      </c>
      <c r="J520" t="s">
        <v>729</v>
      </c>
      <c r="K520" t="s">
        <v>1251</v>
      </c>
      <c r="L520">
        <v>930.71</v>
      </c>
      <c r="M520">
        <v>1625.42</v>
      </c>
      <c r="N520">
        <v>0.13800000000000001</v>
      </c>
      <c r="O520">
        <v>7</v>
      </c>
    </row>
    <row r="521" spans="1:15" x14ac:dyDescent="0.35">
      <c r="A521" t="s">
        <v>533</v>
      </c>
      <c r="B521" s="2">
        <v>45047</v>
      </c>
      <c r="C521" s="2">
        <v>45064</v>
      </c>
      <c r="D521" t="s">
        <v>646</v>
      </c>
      <c r="E521" t="s">
        <v>651</v>
      </c>
      <c r="F521" t="s">
        <v>663</v>
      </c>
      <c r="G521" t="s">
        <v>701</v>
      </c>
      <c r="H521" t="s">
        <v>711</v>
      </c>
      <c r="I521" t="s">
        <v>721</v>
      </c>
      <c r="J521" t="s">
        <v>727</v>
      </c>
      <c r="K521" t="s">
        <v>1252</v>
      </c>
      <c r="L521">
        <v>327.97</v>
      </c>
      <c r="M521">
        <v>299.94</v>
      </c>
      <c r="N521">
        <v>4.9000000000000002E-2</v>
      </c>
      <c r="O521">
        <v>3</v>
      </c>
    </row>
    <row r="522" spans="1:15" x14ac:dyDescent="0.35">
      <c r="A522" t="s">
        <v>534</v>
      </c>
      <c r="B522" s="2">
        <v>45482</v>
      </c>
      <c r="C522" s="2">
        <v>45512</v>
      </c>
      <c r="D522" t="s">
        <v>649</v>
      </c>
      <c r="E522" t="s">
        <v>657</v>
      </c>
      <c r="F522" t="s">
        <v>673</v>
      </c>
      <c r="G522" t="s">
        <v>701</v>
      </c>
      <c r="H522" t="s">
        <v>711</v>
      </c>
      <c r="I522" t="s">
        <v>713</v>
      </c>
      <c r="J522" t="s">
        <v>727</v>
      </c>
      <c r="K522" t="s">
        <v>1253</v>
      </c>
      <c r="L522">
        <v>1062.3800000000001</v>
      </c>
      <c r="M522">
        <v>1503.96</v>
      </c>
      <c r="N522">
        <v>0.18</v>
      </c>
      <c r="O522">
        <v>6</v>
      </c>
    </row>
    <row r="523" spans="1:15" x14ac:dyDescent="0.35">
      <c r="A523" t="s">
        <v>535</v>
      </c>
      <c r="B523" s="2">
        <v>45056</v>
      </c>
      <c r="C523" s="2">
        <v>45073</v>
      </c>
      <c r="D523" t="s">
        <v>647</v>
      </c>
      <c r="E523" t="s">
        <v>654</v>
      </c>
      <c r="F523" t="s">
        <v>691</v>
      </c>
      <c r="G523" t="s">
        <v>704</v>
      </c>
      <c r="H523" t="s">
        <v>707</v>
      </c>
      <c r="I523" t="s">
        <v>724</v>
      </c>
      <c r="J523" t="s">
        <v>731</v>
      </c>
      <c r="K523" t="s">
        <v>1254</v>
      </c>
      <c r="L523">
        <v>1286.1600000000001</v>
      </c>
      <c r="M523">
        <v>3101.11</v>
      </c>
      <c r="N523">
        <v>0.1</v>
      </c>
      <c r="O523">
        <v>23</v>
      </c>
    </row>
    <row r="524" spans="1:15" x14ac:dyDescent="0.35">
      <c r="A524" t="s">
        <v>536</v>
      </c>
      <c r="B524" s="2">
        <v>45482</v>
      </c>
      <c r="C524" s="2">
        <v>45485</v>
      </c>
      <c r="D524" t="s">
        <v>647</v>
      </c>
      <c r="E524" t="s">
        <v>659</v>
      </c>
      <c r="F524" t="s">
        <v>685</v>
      </c>
      <c r="G524" t="s">
        <v>705</v>
      </c>
      <c r="H524" t="s">
        <v>707</v>
      </c>
      <c r="I524" t="s">
        <v>726</v>
      </c>
      <c r="J524" t="s">
        <v>733</v>
      </c>
      <c r="K524" t="s">
        <v>1255</v>
      </c>
      <c r="L524">
        <v>748.39</v>
      </c>
      <c r="M524">
        <v>979.42</v>
      </c>
      <c r="N524">
        <v>0</v>
      </c>
      <c r="O524">
        <v>23</v>
      </c>
    </row>
    <row r="525" spans="1:15" x14ac:dyDescent="0.35">
      <c r="A525" t="s">
        <v>537</v>
      </c>
      <c r="B525" s="2">
        <v>45406</v>
      </c>
      <c r="C525" s="2">
        <v>45422</v>
      </c>
      <c r="D525" t="s">
        <v>646</v>
      </c>
      <c r="E525" t="s">
        <v>650</v>
      </c>
      <c r="F525" t="s">
        <v>662</v>
      </c>
      <c r="G525" t="s">
        <v>703</v>
      </c>
      <c r="H525" t="s">
        <v>708</v>
      </c>
      <c r="I525" t="s">
        <v>725</v>
      </c>
      <c r="J525" t="s">
        <v>732</v>
      </c>
      <c r="K525" t="s">
        <v>1256</v>
      </c>
      <c r="L525">
        <v>513.30999999999995</v>
      </c>
      <c r="M525">
        <v>1186.26</v>
      </c>
      <c r="N525">
        <v>9.4E-2</v>
      </c>
      <c r="O525">
        <v>15</v>
      </c>
    </row>
    <row r="526" spans="1:15" x14ac:dyDescent="0.35">
      <c r="A526" t="s">
        <v>538</v>
      </c>
      <c r="B526" s="2">
        <v>45304</v>
      </c>
      <c r="C526" s="2">
        <v>45306</v>
      </c>
      <c r="D526" t="s">
        <v>648</v>
      </c>
      <c r="E526" t="s">
        <v>660</v>
      </c>
      <c r="F526" t="s">
        <v>686</v>
      </c>
      <c r="G526" t="s">
        <v>703</v>
      </c>
      <c r="H526" t="s">
        <v>711</v>
      </c>
      <c r="I526" t="s">
        <v>718</v>
      </c>
      <c r="J526" t="s">
        <v>727</v>
      </c>
      <c r="K526" t="s">
        <v>1257</v>
      </c>
      <c r="L526">
        <v>1061.3699999999999</v>
      </c>
      <c r="M526">
        <v>1938.33</v>
      </c>
      <c r="N526">
        <v>0.17</v>
      </c>
      <c r="O526">
        <v>4</v>
      </c>
    </row>
    <row r="527" spans="1:15" x14ac:dyDescent="0.35">
      <c r="A527" t="s">
        <v>539</v>
      </c>
      <c r="B527" s="2">
        <v>45398</v>
      </c>
      <c r="C527" s="2">
        <v>45409</v>
      </c>
      <c r="D527" t="s">
        <v>646</v>
      </c>
      <c r="E527" t="s">
        <v>650</v>
      </c>
      <c r="F527" t="s">
        <v>678</v>
      </c>
      <c r="G527" t="s">
        <v>706</v>
      </c>
      <c r="H527" t="s">
        <v>708</v>
      </c>
      <c r="I527" t="s">
        <v>726</v>
      </c>
      <c r="J527" t="s">
        <v>728</v>
      </c>
      <c r="K527" t="s">
        <v>1258</v>
      </c>
      <c r="L527">
        <v>401.3</v>
      </c>
      <c r="M527">
        <v>826.47</v>
      </c>
      <c r="N527">
        <v>0.22500000000000001</v>
      </c>
      <c r="O527">
        <v>13</v>
      </c>
    </row>
    <row r="528" spans="1:15" x14ac:dyDescent="0.35">
      <c r="A528" t="s">
        <v>540</v>
      </c>
      <c r="B528" s="2">
        <v>45695</v>
      </c>
      <c r="C528" s="2">
        <v>45704</v>
      </c>
      <c r="D528" t="s">
        <v>646</v>
      </c>
      <c r="E528" t="s">
        <v>651</v>
      </c>
      <c r="F528" t="s">
        <v>665</v>
      </c>
      <c r="G528" t="s">
        <v>705</v>
      </c>
      <c r="H528" t="s">
        <v>710</v>
      </c>
      <c r="I528" t="s">
        <v>712</v>
      </c>
      <c r="J528" t="s">
        <v>728</v>
      </c>
      <c r="K528" t="s">
        <v>1259</v>
      </c>
      <c r="L528">
        <v>90.68</v>
      </c>
      <c r="M528">
        <v>118.17</v>
      </c>
      <c r="N528">
        <v>0.13500000000000001</v>
      </c>
      <c r="O528">
        <v>21</v>
      </c>
    </row>
    <row r="529" spans="1:15" x14ac:dyDescent="0.35">
      <c r="A529" t="s">
        <v>541</v>
      </c>
      <c r="B529" s="2">
        <v>44938</v>
      </c>
      <c r="C529" s="2">
        <v>44952</v>
      </c>
      <c r="D529" t="s">
        <v>647</v>
      </c>
      <c r="E529" t="s">
        <v>659</v>
      </c>
      <c r="F529" t="s">
        <v>676</v>
      </c>
      <c r="G529" t="s">
        <v>703</v>
      </c>
      <c r="H529" t="s">
        <v>707</v>
      </c>
      <c r="I529" t="s">
        <v>724</v>
      </c>
      <c r="J529" t="s">
        <v>728</v>
      </c>
      <c r="K529" t="s">
        <v>1260</v>
      </c>
      <c r="L529">
        <v>1083.0899999999999</v>
      </c>
      <c r="M529">
        <v>1425.87</v>
      </c>
      <c r="N529">
        <v>0</v>
      </c>
      <c r="O529">
        <v>8</v>
      </c>
    </row>
    <row r="530" spans="1:15" x14ac:dyDescent="0.35">
      <c r="A530" t="s">
        <v>542</v>
      </c>
      <c r="B530" s="2">
        <v>45448</v>
      </c>
      <c r="C530" s="2">
        <v>45466</v>
      </c>
      <c r="D530" t="s">
        <v>646</v>
      </c>
      <c r="E530" t="s">
        <v>650</v>
      </c>
      <c r="F530" t="s">
        <v>664</v>
      </c>
      <c r="G530" t="s">
        <v>704</v>
      </c>
      <c r="H530" t="s">
        <v>710</v>
      </c>
      <c r="I530" t="s">
        <v>726</v>
      </c>
      <c r="J530" t="s">
        <v>731</v>
      </c>
      <c r="K530" t="s">
        <v>1261</v>
      </c>
      <c r="L530">
        <v>1208.74</v>
      </c>
      <c r="M530">
        <v>1594.78</v>
      </c>
      <c r="N530">
        <v>5.8999999999999997E-2</v>
      </c>
      <c r="O530">
        <v>39</v>
      </c>
    </row>
    <row r="531" spans="1:15" x14ac:dyDescent="0.35">
      <c r="A531" t="s">
        <v>543</v>
      </c>
      <c r="B531" s="2">
        <v>45162</v>
      </c>
      <c r="C531" s="2">
        <v>45189</v>
      </c>
      <c r="D531" t="s">
        <v>646</v>
      </c>
      <c r="E531" t="s">
        <v>661</v>
      </c>
      <c r="F531" t="s">
        <v>687</v>
      </c>
      <c r="G531" t="s">
        <v>705</v>
      </c>
      <c r="H531" t="s">
        <v>709</v>
      </c>
      <c r="I531" t="s">
        <v>724</v>
      </c>
      <c r="J531" t="s">
        <v>728</v>
      </c>
      <c r="K531" t="s">
        <v>1262</v>
      </c>
      <c r="L531">
        <v>1399.64</v>
      </c>
      <c r="M531">
        <v>3342.11</v>
      </c>
      <c r="N531">
        <v>0</v>
      </c>
      <c r="O531">
        <v>10</v>
      </c>
    </row>
    <row r="532" spans="1:15" x14ac:dyDescent="0.35">
      <c r="A532" t="s">
        <v>544</v>
      </c>
      <c r="B532" s="2">
        <v>45316</v>
      </c>
      <c r="C532" s="2">
        <v>45330</v>
      </c>
      <c r="D532" t="s">
        <v>647</v>
      </c>
      <c r="E532" t="s">
        <v>652</v>
      </c>
      <c r="F532" t="s">
        <v>666</v>
      </c>
      <c r="G532" t="s">
        <v>704</v>
      </c>
      <c r="H532" t="s">
        <v>709</v>
      </c>
      <c r="I532" t="s">
        <v>714</v>
      </c>
      <c r="J532" t="s">
        <v>729</v>
      </c>
      <c r="K532" t="s">
        <v>1263</v>
      </c>
      <c r="L532">
        <v>937.16</v>
      </c>
      <c r="M532">
        <v>1069.77</v>
      </c>
      <c r="N532">
        <v>3.7999999999999999E-2</v>
      </c>
      <c r="O532">
        <v>9</v>
      </c>
    </row>
    <row r="533" spans="1:15" x14ac:dyDescent="0.35">
      <c r="A533" t="s">
        <v>545</v>
      </c>
      <c r="B533" s="2">
        <v>45727</v>
      </c>
      <c r="C533" s="2">
        <v>45742</v>
      </c>
      <c r="D533" t="s">
        <v>649</v>
      </c>
      <c r="E533" t="s">
        <v>656</v>
      </c>
      <c r="F533" t="s">
        <v>671</v>
      </c>
      <c r="G533" t="s">
        <v>705</v>
      </c>
      <c r="H533" t="s">
        <v>708</v>
      </c>
      <c r="I533" t="s">
        <v>714</v>
      </c>
      <c r="J533" t="s">
        <v>730</v>
      </c>
      <c r="K533" t="s">
        <v>1264</v>
      </c>
      <c r="L533">
        <v>116.97</v>
      </c>
      <c r="M533">
        <v>140.82</v>
      </c>
      <c r="N533">
        <v>0.122</v>
      </c>
      <c r="O533">
        <v>5</v>
      </c>
    </row>
    <row r="534" spans="1:15" x14ac:dyDescent="0.35">
      <c r="A534" t="s">
        <v>546</v>
      </c>
      <c r="B534" s="2">
        <v>45769</v>
      </c>
      <c r="C534" s="2">
        <v>45789</v>
      </c>
      <c r="D534" t="s">
        <v>649</v>
      </c>
      <c r="E534" t="s">
        <v>657</v>
      </c>
      <c r="F534" t="s">
        <v>679</v>
      </c>
      <c r="G534" t="s">
        <v>706</v>
      </c>
      <c r="H534" t="s">
        <v>709</v>
      </c>
      <c r="I534" t="s">
        <v>723</v>
      </c>
      <c r="J534" t="s">
        <v>732</v>
      </c>
      <c r="K534" t="s">
        <v>1265</v>
      </c>
      <c r="L534">
        <v>59.51</v>
      </c>
      <c r="M534">
        <v>67.040000000000006</v>
      </c>
      <c r="N534">
        <v>0.114</v>
      </c>
      <c r="O534">
        <v>9</v>
      </c>
    </row>
    <row r="535" spans="1:15" x14ac:dyDescent="0.35">
      <c r="A535" t="s">
        <v>547</v>
      </c>
      <c r="B535" s="2">
        <v>45155</v>
      </c>
      <c r="C535" s="2">
        <v>45172</v>
      </c>
      <c r="D535" t="s">
        <v>646</v>
      </c>
      <c r="E535" t="s">
        <v>661</v>
      </c>
      <c r="F535" t="s">
        <v>687</v>
      </c>
      <c r="G535" t="s">
        <v>706</v>
      </c>
      <c r="H535" t="s">
        <v>707</v>
      </c>
      <c r="I535" t="s">
        <v>720</v>
      </c>
      <c r="J535" t="s">
        <v>730</v>
      </c>
      <c r="K535" t="s">
        <v>1266</v>
      </c>
      <c r="L535">
        <v>676.37</v>
      </c>
      <c r="M535">
        <v>1276.67</v>
      </c>
      <c r="N535">
        <v>6.6000000000000003E-2</v>
      </c>
      <c r="O535">
        <v>10</v>
      </c>
    </row>
    <row r="536" spans="1:15" x14ac:dyDescent="0.35">
      <c r="A536" t="s">
        <v>548</v>
      </c>
      <c r="B536" s="2">
        <v>45832</v>
      </c>
      <c r="C536" s="2">
        <v>45852</v>
      </c>
      <c r="D536" t="s">
        <v>646</v>
      </c>
      <c r="E536" t="s">
        <v>661</v>
      </c>
      <c r="F536" t="s">
        <v>682</v>
      </c>
      <c r="G536" t="s">
        <v>706</v>
      </c>
      <c r="H536" t="s">
        <v>709</v>
      </c>
      <c r="I536" t="s">
        <v>713</v>
      </c>
      <c r="J536" t="s">
        <v>731</v>
      </c>
      <c r="K536" t="s">
        <v>1267</v>
      </c>
      <c r="L536">
        <v>1151.06</v>
      </c>
      <c r="M536">
        <v>2821.36</v>
      </c>
      <c r="N536">
        <v>0.248</v>
      </c>
      <c r="O536">
        <v>20</v>
      </c>
    </row>
    <row r="537" spans="1:15" x14ac:dyDescent="0.35">
      <c r="A537" t="s">
        <v>549</v>
      </c>
      <c r="B537" s="2">
        <v>45667</v>
      </c>
      <c r="C537" s="2">
        <v>45694</v>
      </c>
      <c r="D537" t="s">
        <v>648</v>
      </c>
      <c r="E537" t="s">
        <v>655</v>
      </c>
      <c r="F537" t="s">
        <v>672</v>
      </c>
      <c r="G537" t="s">
        <v>703</v>
      </c>
      <c r="H537" t="s">
        <v>707</v>
      </c>
      <c r="I537" t="s">
        <v>717</v>
      </c>
      <c r="J537" t="s">
        <v>731</v>
      </c>
      <c r="K537" t="s">
        <v>1268</v>
      </c>
      <c r="L537">
        <v>725.62</v>
      </c>
      <c r="M537">
        <v>1559.19</v>
      </c>
      <c r="N537">
        <v>0.19</v>
      </c>
      <c r="O537">
        <v>12</v>
      </c>
    </row>
    <row r="538" spans="1:15" x14ac:dyDescent="0.35">
      <c r="A538" t="s">
        <v>550</v>
      </c>
      <c r="B538" s="2">
        <v>45108</v>
      </c>
      <c r="C538" s="2">
        <v>45118</v>
      </c>
      <c r="D538" t="s">
        <v>649</v>
      </c>
      <c r="E538" t="s">
        <v>657</v>
      </c>
      <c r="F538" t="s">
        <v>690</v>
      </c>
      <c r="G538" t="s">
        <v>701</v>
      </c>
      <c r="H538" t="s">
        <v>711</v>
      </c>
      <c r="I538" t="s">
        <v>721</v>
      </c>
      <c r="J538" t="s">
        <v>729</v>
      </c>
      <c r="K538" t="s">
        <v>1269</v>
      </c>
      <c r="L538">
        <v>479.5</v>
      </c>
      <c r="M538">
        <v>656.66</v>
      </c>
      <c r="N538">
        <v>0.14899999999999999</v>
      </c>
      <c r="O538">
        <v>14</v>
      </c>
    </row>
    <row r="539" spans="1:15" x14ac:dyDescent="0.35">
      <c r="A539" t="s">
        <v>551</v>
      </c>
      <c r="B539" s="2">
        <v>45520</v>
      </c>
      <c r="C539" s="2">
        <v>45530</v>
      </c>
      <c r="D539" t="s">
        <v>648</v>
      </c>
      <c r="E539" t="s">
        <v>660</v>
      </c>
      <c r="F539" t="s">
        <v>677</v>
      </c>
      <c r="G539" t="s">
        <v>701</v>
      </c>
      <c r="H539" t="s">
        <v>710</v>
      </c>
      <c r="I539" t="s">
        <v>716</v>
      </c>
      <c r="J539" t="s">
        <v>731</v>
      </c>
      <c r="K539" t="s">
        <v>1121</v>
      </c>
      <c r="L539">
        <v>1291.7</v>
      </c>
      <c r="M539">
        <v>2657.84</v>
      </c>
      <c r="N539">
        <v>8.6999999999999994E-2</v>
      </c>
      <c r="O539">
        <v>21</v>
      </c>
    </row>
    <row r="540" spans="1:15" x14ac:dyDescent="0.35">
      <c r="A540" t="s">
        <v>552</v>
      </c>
      <c r="B540" s="2">
        <v>45114</v>
      </c>
      <c r="C540" s="2">
        <v>45120</v>
      </c>
      <c r="D540" t="s">
        <v>646</v>
      </c>
      <c r="E540" t="s">
        <v>661</v>
      </c>
      <c r="F540" t="s">
        <v>695</v>
      </c>
      <c r="G540" t="s">
        <v>705</v>
      </c>
      <c r="H540" t="s">
        <v>709</v>
      </c>
      <c r="I540" t="s">
        <v>717</v>
      </c>
      <c r="J540" t="s">
        <v>733</v>
      </c>
      <c r="K540" t="s">
        <v>1270</v>
      </c>
      <c r="L540">
        <v>612.59</v>
      </c>
      <c r="M540">
        <v>1424.74</v>
      </c>
      <c r="N540">
        <v>4.3999999999999997E-2</v>
      </c>
      <c r="O540">
        <v>15</v>
      </c>
    </row>
    <row r="541" spans="1:15" x14ac:dyDescent="0.35">
      <c r="A541" t="s">
        <v>553</v>
      </c>
      <c r="B541" s="2">
        <v>45288</v>
      </c>
      <c r="C541" s="2">
        <v>45292</v>
      </c>
      <c r="D541" t="s">
        <v>646</v>
      </c>
      <c r="E541" t="s">
        <v>661</v>
      </c>
      <c r="F541" t="s">
        <v>695</v>
      </c>
      <c r="G541" t="s">
        <v>702</v>
      </c>
      <c r="H541" t="s">
        <v>710</v>
      </c>
      <c r="I541" t="s">
        <v>720</v>
      </c>
      <c r="J541" t="s">
        <v>728</v>
      </c>
      <c r="K541" t="s">
        <v>1271</v>
      </c>
      <c r="L541">
        <v>1141.8</v>
      </c>
      <c r="M541">
        <v>2318.7399999999998</v>
      </c>
      <c r="N541">
        <v>0.107</v>
      </c>
      <c r="O541">
        <v>32</v>
      </c>
    </row>
    <row r="542" spans="1:15" x14ac:dyDescent="0.35">
      <c r="A542" t="s">
        <v>554</v>
      </c>
      <c r="B542" s="2">
        <v>44952</v>
      </c>
      <c r="C542" s="2">
        <v>44972</v>
      </c>
      <c r="D542" t="s">
        <v>649</v>
      </c>
      <c r="E542" t="s">
        <v>656</v>
      </c>
      <c r="F542" t="s">
        <v>671</v>
      </c>
      <c r="G542" t="s">
        <v>705</v>
      </c>
      <c r="H542" t="s">
        <v>708</v>
      </c>
      <c r="I542" t="s">
        <v>719</v>
      </c>
      <c r="J542" t="s">
        <v>729</v>
      </c>
      <c r="K542" t="s">
        <v>1272</v>
      </c>
      <c r="L542">
        <v>492.62</v>
      </c>
      <c r="M542">
        <v>366.7</v>
      </c>
      <c r="N542">
        <v>8.8999999999999996E-2</v>
      </c>
      <c r="O542">
        <v>10</v>
      </c>
    </row>
    <row r="543" spans="1:15" x14ac:dyDescent="0.35">
      <c r="A543" t="s">
        <v>555</v>
      </c>
      <c r="B543" s="2">
        <v>45115</v>
      </c>
      <c r="C543" s="2">
        <v>45116</v>
      </c>
      <c r="D543" t="s">
        <v>646</v>
      </c>
      <c r="E543" t="s">
        <v>650</v>
      </c>
      <c r="F543" t="s">
        <v>664</v>
      </c>
      <c r="G543" t="s">
        <v>704</v>
      </c>
      <c r="H543" t="s">
        <v>708</v>
      </c>
      <c r="I543" t="s">
        <v>726</v>
      </c>
      <c r="J543" t="s">
        <v>731</v>
      </c>
      <c r="K543" t="s">
        <v>1273</v>
      </c>
      <c r="L543">
        <v>1258.72</v>
      </c>
      <c r="M543">
        <v>2797.41</v>
      </c>
      <c r="N543">
        <v>0</v>
      </c>
      <c r="O543">
        <v>7</v>
      </c>
    </row>
    <row r="544" spans="1:15" x14ac:dyDescent="0.35">
      <c r="A544" t="s">
        <v>556</v>
      </c>
      <c r="B544" s="2">
        <v>45450</v>
      </c>
      <c r="C544" s="2">
        <v>45452</v>
      </c>
      <c r="D544" t="s">
        <v>647</v>
      </c>
      <c r="E544" t="s">
        <v>659</v>
      </c>
      <c r="F544" t="s">
        <v>685</v>
      </c>
      <c r="G544" t="s">
        <v>701</v>
      </c>
      <c r="H544" t="s">
        <v>707</v>
      </c>
      <c r="I544" t="s">
        <v>719</v>
      </c>
      <c r="J544" t="s">
        <v>732</v>
      </c>
      <c r="K544" t="s">
        <v>1274</v>
      </c>
      <c r="L544">
        <v>1370.28</v>
      </c>
      <c r="M544">
        <v>2209.66</v>
      </c>
      <c r="N544">
        <v>0.13300000000000001</v>
      </c>
      <c r="O544">
        <v>16</v>
      </c>
    </row>
    <row r="545" spans="1:15" x14ac:dyDescent="0.35">
      <c r="A545" t="s">
        <v>557</v>
      </c>
      <c r="B545" s="2">
        <v>44968</v>
      </c>
      <c r="C545" s="2">
        <v>44969</v>
      </c>
      <c r="D545" t="s">
        <v>646</v>
      </c>
      <c r="E545" t="s">
        <v>651</v>
      </c>
      <c r="F545" t="s">
        <v>663</v>
      </c>
      <c r="G545" t="s">
        <v>703</v>
      </c>
      <c r="H545" t="s">
        <v>711</v>
      </c>
      <c r="I545" t="s">
        <v>726</v>
      </c>
      <c r="J545" t="s">
        <v>733</v>
      </c>
      <c r="K545" t="s">
        <v>1275</v>
      </c>
      <c r="L545">
        <v>944.61</v>
      </c>
      <c r="M545">
        <v>839.04</v>
      </c>
      <c r="N545">
        <v>5.8999999999999997E-2</v>
      </c>
      <c r="O545">
        <v>6</v>
      </c>
    </row>
    <row r="546" spans="1:15" x14ac:dyDescent="0.35">
      <c r="A546" t="s">
        <v>558</v>
      </c>
      <c r="B546" s="2">
        <v>45108</v>
      </c>
      <c r="C546" s="2">
        <v>45115</v>
      </c>
      <c r="D546" t="s">
        <v>649</v>
      </c>
      <c r="E546" t="s">
        <v>656</v>
      </c>
      <c r="F546" t="s">
        <v>698</v>
      </c>
      <c r="G546" t="s">
        <v>705</v>
      </c>
      <c r="H546" t="s">
        <v>710</v>
      </c>
      <c r="I546" t="s">
        <v>725</v>
      </c>
      <c r="J546" t="s">
        <v>731</v>
      </c>
      <c r="K546" t="s">
        <v>1276</v>
      </c>
      <c r="L546">
        <v>460.21</v>
      </c>
      <c r="M546">
        <v>1139.1500000000001</v>
      </c>
      <c r="N546">
        <v>0.115</v>
      </c>
      <c r="O546">
        <v>14</v>
      </c>
    </row>
    <row r="547" spans="1:15" x14ac:dyDescent="0.35">
      <c r="A547" t="s">
        <v>559</v>
      </c>
      <c r="B547" s="2">
        <v>45889</v>
      </c>
      <c r="C547" s="2">
        <v>45895</v>
      </c>
      <c r="D547" t="s">
        <v>648</v>
      </c>
      <c r="E547" t="s">
        <v>660</v>
      </c>
      <c r="F547" t="s">
        <v>700</v>
      </c>
      <c r="G547" t="s">
        <v>701</v>
      </c>
      <c r="H547" t="s">
        <v>707</v>
      </c>
      <c r="I547" t="s">
        <v>724</v>
      </c>
      <c r="J547" t="s">
        <v>729</v>
      </c>
      <c r="K547" t="s">
        <v>1277</v>
      </c>
      <c r="L547">
        <v>1304.95</v>
      </c>
      <c r="M547">
        <v>1712.03</v>
      </c>
      <c r="N547">
        <v>0.21199999999999999</v>
      </c>
      <c r="O547">
        <v>8</v>
      </c>
    </row>
    <row r="548" spans="1:15" x14ac:dyDescent="0.35">
      <c r="A548" t="s">
        <v>560</v>
      </c>
      <c r="B548" s="2">
        <v>45355</v>
      </c>
      <c r="C548" s="2">
        <v>45367</v>
      </c>
      <c r="D548" t="s">
        <v>646</v>
      </c>
      <c r="E548" t="s">
        <v>661</v>
      </c>
      <c r="F548" t="s">
        <v>682</v>
      </c>
      <c r="G548" t="s">
        <v>706</v>
      </c>
      <c r="H548" t="s">
        <v>710</v>
      </c>
      <c r="I548" t="s">
        <v>724</v>
      </c>
      <c r="J548" t="s">
        <v>732</v>
      </c>
      <c r="K548" t="s">
        <v>1278</v>
      </c>
      <c r="L548">
        <v>441.08</v>
      </c>
      <c r="M548">
        <v>1054.29</v>
      </c>
      <c r="N548">
        <v>0.23699999999999999</v>
      </c>
      <c r="O548">
        <v>6</v>
      </c>
    </row>
    <row r="549" spans="1:15" x14ac:dyDescent="0.35">
      <c r="A549" t="s">
        <v>561</v>
      </c>
      <c r="B549" s="2">
        <v>45177</v>
      </c>
      <c r="C549" s="2">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x14ac:dyDescent="0.35">
      <c r="A550" t="s">
        <v>562</v>
      </c>
      <c r="B550" s="2">
        <v>44985</v>
      </c>
      <c r="C550" s="2">
        <v>44991</v>
      </c>
      <c r="D550" t="s">
        <v>649</v>
      </c>
      <c r="E550" t="s">
        <v>656</v>
      </c>
      <c r="F550" t="s">
        <v>698</v>
      </c>
      <c r="G550" t="s">
        <v>705</v>
      </c>
      <c r="H550" t="s">
        <v>709</v>
      </c>
      <c r="I550" t="s">
        <v>726</v>
      </c>
      <c r="J550" t="s">
        <v>728</v>
      </c>
      <c r="K550" t="s">
        <v>1280</v>
      </c>
      <c r="L550">
        <v>880.02</v>
      </c>
      <c r="M550">
        <v>1251.21</v>
      </c>
      <c r="N550">
        <v>0.123</v>
      </c>
      <c r="O550">
        <v>29</v>
      </c>
    </row>
    <row r="551" spans="1:15" x14ac:dyDescent="0.35">
      <c r="A551" t="s">
        <v>563</v>
      </c>
      <c r="B551" s="2">
        <v>45486</v>
      </c>
      <c r="C551" s="2">
        <v>45507</v>
      </c>
      <c r="D551" t="s">
        <v>648</v>
      </c>
      <c r="E551" t="s">
        <v>655</v>
      </c>
      <c r="F551" t="s">
        <v>692</v>
      </c>
      <c r="G551" t="s">
        <v>701</v>
      </c>
      <c r="H551" t="s">
        <v>709</v>
      </c>
      <c r="I551" t="s">
        <v>724</v>
      </c>
      <c r="J551" t="s">
        <v>732</v>
      </c>
      <c r="K551" t="s">
        <v>1281</v>
      </c>
      <c r="L551">
        <v>702.98</v>
      </c>
      <c r="M551">
        <v>1104.8</v>
      </c>
      <c r="N551">
        <v>0.17499999999999999</v>
      </c>
      <c r="O551">
        <v>12</v>
      </c>
    </row>
    <row r="552" spans="1:15" x14ac:dyDescent="0.35">
      <c r="A552" t="s">
        <v>564</v>
      </c>
      <c r="B552" s="2">
        <v>45633</v>
      </c>
      <c r="C552" s="2">
        <v>45652</v>
      </c>
      <c r="D552" t="s">
        <v>649</v>
      </c>
      <c r="E552" t="s">
        <v>658</v>
      </c>
      <c r="F552" t="s">
        <v>683</v>
      </c>
      <c r="G552" t="s">
        <v>706</v>
      </c>
      <c r="H552" t="s">
        <v>708</v>
      </c>
      <c r="I552" t="s">
        <v>726</v>
      </c>
      <c r="J552" t="s">
        <v>729</v>
      </c>
      <c r="K552" t="s">
        <v>1282</v>
      </c>
      <c r="L552">
        <v>1035.24</v>
      </c>
      <c r="M552">
        <v>2383.41</v>
      </c>
      <c r="N552">
        <v>0.17</v>
      </c>
      <c r="O552">
        <v>15</v>
      </c>
    </row>
    <row r="553" spans="1:15" x14ac:dyDescent="0.35">
      <c r="A553" t="s">
        <v>565</v>
      </c>
      <c r="B553" s="2">
        <v>45875</v>
      </c>
      <c r="C553" s="2">
        <v>45892</v>
      </c>
      <c r="D553" t="s">
        <v>648</v>
      </c>
      <c r="E553" t="s">
        <v>655</v>
      </c>
      <c r="F553" t="s">
        <v>672</v>
      </c>
      <c r="G553" t="s">
        <v>704</v>
      </c>
      <c r="H553" t="s">
        <v>710</v>
      </c>
      <c r="I553" t="s">
        <v>720</v>
      </c>
      <c r="J553" t="s">
        <v>732</v>
      </c>
      <c r="K553" t="s">
        <v>1283</v>
      </c>
      <c r="L553">
        <v>86.64</v>
      </c>
      <c r="M553">
        <v>213.06</v>
      </c>
      <c r="N553">
        <v>0.21199999999999999</v>
      </c>
      <c r="O553">
        <v>11</v>
      </c>
    </row>
    <row r="554" spans="1:15" x14ac:dyDescent="0.35">
      <c r="A554" t="s">
        <v>566</v>
      </c>
      <c r="B554" s="2">
        <v>44988</v>
      </c>
      <c r="C554" s="2">
        <v>45005</v>
      </c>
      <c r="D554" t="s">
        <v>647</v>
      </c>
      <c r="E554" t="s">
        <v>652</v>
      </c>
      <c r="F554" t="s">
        <v>694</v>
      </c>
      <c r="G554" t="s">
        <v>705</v>
      </c>
      <c r="H554" t="s">
        <v>708</v>
      </c>
      <c r="I554" t="s">
        <v>726</v>
      </c>
      <c r="J554" t="s">
        <v>729</v>
      </c>
      <c r="K554" t="s">
        <v>1284</v>
      </c>
      <c r="L554">
        <v>1171.17</v>
      </c>
      <c r="M554">
        <v>2030.64</v>
      </c>
      <c r="N554">
        <v>0.157</v>
      </c>
      <c r="O554">
        <v>11</v>
      </c>
    </row>
    <row r="555" spans="1:15" x14ac:dyDescent="0.35">
      <c r="A555" t="s">
        <v>567</v>
      </c>
      <c r="B555" s="2">
        <v>45704</v>
      </c>
      <c r="C555" s="2">
        <v>45733</v>
      </c>
      <c r="D555" t="s">
        <v>649</v>
      </c>
      <c r="E555" t="s">
        <v>656</v>
      </c>
      <c r="F555" t="s">
        <v>684</v>
      </c>
      <c r="G555" t="s">
        <v>704</v>
      </c>
      <c r="H555" t="s">
        <v>707</v>
      </c>
      <c r="I555" t="s">
        <v>716</v>
      </c>
      <c r="J555" t="s">
        <v>733</v>
      </c>
      <c r="K555" t="s">
        <v>1285</v>
      </c>
      <c r="L555">
        <v>730.42</v>
      </c>
      <c r="M555">
        <v>956.7</v>
      </c>
      <c r="N555">
        <v>4.2000000000000003E-2</v>
      </c>
      <c r="O555">
        <v>22</v>
      </c>
    </row>
    <row r="556" spans="1:15" x14ac:dyDescent="0.35">
      <c r="A556" t="s">
        <v>568</v>
      </c>
      <c r="B556" s="2">
        <v>45703</v>
      </c>
      <c r="C556" s="2">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x14ac:dyDescent="0.35">
      <c r="A557" t="s">
        <v>569</v>
      </c>
      <c r="B557" s="2">
        <v>45535</v>
      </c>
      <c r="C557" s="2">
        <v>45561</v>
      </c>
      <c r="D557" t="s">
        <v>647</v>
      </c>
      <c r="E557" t="s">
        <v>652</v>
      </c>
      <c r="F557" t="s">
        <v>689</v>
      </c>
      <c r="G557" t="s">
        <v>702</v>
      </c>
      <c r="H557" t="s">
        <v>708</v>
      </c>
      <c r="I557" t="s">
        <v>714</v>
      </c>
      <c r="J557" t="s">
        <v>730</v>
      </c>
      <c r="K557" t="s">
        <v>1287</v>
      </c>
      <c r="L557">
        <v>1189.03</v>
      </c>
      <c r="M557">
        <v>2949.62</v>
      </c>
      <c r="N557">
        <v>0.125</v>
      </c>
      <c r="O557">
        <v>13</v>
      </c>
    </row>
    <row r="558" spans="1:15" x14ac:dyDescent="0.35">
      <c r="A558" t="s">
        <v>570</v>
      </c>
      <c r="B558" s="2">
        <v>45053</v>
      </c>
      <c r="C558" s="2">
        <v>45066</v>
      </c>
      <c r="D558" t="s">
        <v>647</v>
      </c>
      <c r="E558" t="s">
        <v>654</v>
      </c>
      <c r="F558" t="s">
        <v>691</v>
      </c>
      <c r="G558" t="s">
        <v>706</v>
      </c>
      <c r="H558" t="s">
        <v>707</v>
      </c>
      <c r="I558" t="s">
        <v>726</v>
      </c>
      <c r="J558" t="s">
        <v>733</v>
      </c>
      <c r="K558" t="s">
        <v>1288</v>
      </c>
      <c r="L558">
        <v>1443.28</v>
      </c>
      <c r="M558">
        <v>2580.5700000000002</v>
      </c>
      <c r="N558">
        <v>0</v>
      </c>
      <c r="O558">
        <v>18</v>
      </c>
    </row>
    <row r="559" spans="1:15" x14ac:dyDescent="0.35">
      <c r="A559" t="s">
        <v>571</v>
      </c>
      <c r="B559" s="2">
        <v>45791</v>
      </c>
      <c r="C559" s="2">
        <v>45789</v>
      </c>
      <c r="D559" t="s">
        <v>648</v>
      </c>
      <c r="E559" t="s">
        <v>653</v>
      </c>
      <c r="F559" t="s">
        <v>688</v>
      </c>
      <c r="G559" t="s">
        <v>703</v>
      </c>
      <c r="H559" t="s">
        <v>710</v>
      </c>
      <c r="I559" t="s">
        <v>721</v>
      </c>
      <c r="J559" t="s">
        <v>728</v>
      </c>
      <c r="K559" t="s">
        <v>1289</v>
      </c>
      <c r="L559">
        <v>883.5</v>
      </c>
      <c r="M559">
        <v>1978.91</v>
      </c>
      <c r="N559">
        <v>5.3999999999999999E-2</v>
      </c>
      <c r="O559">
        <v>27</v>
      </c>
    </row>
    <row r="560" spans="1:15" x14ac:dyDescent="0.35">
      <c r="A560" t="s">
        <v>572</v>
      </c>
      <c r="B560" s="2">
        <v>45362</v>
      </c>
      <c r="C560" s="2">
        <v>45380</v>
      </c>
      <c r="D560" t="s">
        <v>648</v>
      </c>
      <c r="E560" t="s">
        <v>660</v>
      </c>
      <c r="F560" t="s">
        <v>700</v>
      </c>
      <c r="G560" t="s">
        <v>701</v>
      </c>
      <c r="H560" t="s">
        <v>707</v>
      </c>
      <c r="I560" t="s">
        <v>724</v>
      </c>
      <c r="J560" t="s">
        <v>732</v>
      </c>
      <c r="K560" t="s">
        <v>1290</v>
      </c>
      <c r="L560">
        <v>710.98</v>
      </c>
      <c r="M560">
        <v>1481.45</v>
      </c>
      <c r="N560">
        <v>0.21099999999999999</v>
      </c>
      <c r="O560">
        <v>9</v>
      </c>
    </row>
    <row r="561" spans="1:15" x14ac:dyDescent="0.35">
      <c r="A561" t="s">
        <v>573</v>
      </c>
      <c r="B561" s="2">
        <v>45430</v>
      </c>
      <c r="C561" s="2">
        <v>45434</v>
      </c>
      <c r="D561" t="s">
        <v>646</v>
      </c>
      <c r="E561" t="s">
        <v>650</v>
      </c>
      <c r="F561" t="s">
        <v>664</v>
      </c>
      <c r="G561" t="s">
        <v>701</v>
      </c>
      <c r="H561" t="s">
        <v>711</v>
      </c>
      <c r="I561" t="s">
        <v>722</v>
      </c>
      <c r="J561" t="s">
        <v>733</v>
      </c>
      <c r="K561" t="s">
        <v>1291</v>
      </c>
      <c r="L561">
        <v>857.42</v>
      </c>
      <c r="M561">
        <v>1658.92</v>
      </c>
      <c r="N561">
        <v>0.122</v>
      </c>
      <c r="O561">
        <v>9</v>
      </c>
    </row>
    <row r="562" spans="1:15" x14ac:dyDescent="0.35">
      <c r="A562" t="s">
        <v>574</v>
      </c>
      <c r="B562" s="2">
        <v>45299</v>
      </c>
      <c r="C562" s="2">
        <v>45303</v>
      </c>
      <c r="D562" t="s">
        <v>647</v>
      </c>
      <c r="E562" t="s">
        <v>654</v>
      </c>
      <c r="F562" t="s">
        <v>668</v>
      </c>
      <c r="G562" t="s">
        <v>701</v>
      </c>
      <c r="H562" t="s">
        <v>711</v>
      </c>
      <c r="I562" t="s">
        <v>718</v>
      </c>
      <c r="J562" t="s">
        <v>728</v>
      </c>
      <c r="K562" t="s">
        <v>1292</v>
      </c>
      <c r="L562">
        <v>802.32</v>
      </c>
      <c r="M562">
        <v>602.34</v>
      </c>
      <c r="N562">
        <v>0.12</v>
      </c>
      <c r="O562">
        <v>25</v>
      </c>
    </row>
    <row r="563" spans="1:15" x14ac:dyDescent="0.35">
      <c r="A563" t="s">
        <v>575</v>
      </c>
      <c r="B563" s="2">
        <v>45590</v>
      </c>
      <c r="C563" s="2">
        <v>45601</v>
      </c>
      <c r="D563" t="s">
        <v>648</v>
      </c>
      <c r="E563" t="s">
        <v>660</v>
      </c>
      <c r="F563" t="s">
        <v>700</v>
      </c>
      <c r="G563" t="s">
        <v>701</v>
      </c>
      <c r="H563" t="s">
        <v>710</v>
      </c>
      <c r="I563" t="s">
        <v>725</v>
      </c>
      <c r="J563" t="s">
        <v>727</v>
      </c>
      <c r="K563" t="s">
        <v>1293</v>
      </c>
      <c r="L563">
        <v>446.66</v>
      </c>
      <c r="M563">
        <v>527.64</v>
      </c>
      <c r="N563">
        <v>0.14499999999999999</v>
      </c>
      <c r="O563">
        <v>15</v>
      </c>
    </row>
    <row r="564" spans="1:15" x14ac:dyDescent="0.35">
      <c r="A564" t="s">
        <v>576</v>
      </c>
      <c r="B564" s="2">
        <v>45626</v>
      </c>
      <c r="C564" s="2">
        <v>45645</v>
      </c>
      <c r="D564" t="s">
        <v>646</v>
      </c>
      <c r="E564" t="s">
        <v>650</v>
      </c>
      <c r="F564" t="s">
        <v>662</v>
      </c>
      <c r="G564" t="s">
        <v>701</v>
      </c>
      <c r="H564" t="s">
        <v>708</v>
      </c>
      <c r="I564" t="s">
        <v>716</v>
      </c>
      <c r="J564" t="s">
        <v>730</v>
      </c>
      <c r="K564" t="s">
        <v>1294</v>
      </c>
      <c r="L564">
        <v>1195.98</v>
      </c>
      <c r="M564">
        <v>1841.9</v>
      </c>
      <c r="N564">
        <v>5.5E-2</v>
      </c>
      <c r="O564">
        <v>19</v>
      </c>
    </row>
    <row r="565" spans="1:15" x14ac:dyDescent="0.35">
      <c r="A565" t="s">
        <v>577</v>
      </c>
      <c r="B565" s="2">
        <v>45029</v>
      </c>
      <c r="C565" s="2">
        <v>45048</v>
      </c>
      <c r="D565" t="s">
        <v>648</v>
      </c>
      <c r="E565" t="s">
        <v>653</v>
      </c>
      <c r="F565" t="s">
        <v>681</v>
      </c>
      <c r="G565" t="s">
        <v>704</v>
      </c>
      <c r="H565" t="s">
        <v>710</v>
      </c>
      <c r="I565" t="s">
        <v>718</v>
      </c>
      <c r="J565" t="s">
        <v>732</v>
      </c>
      <c r="K565" t="s">
        <v>1295</v>
      </c>
      <c r="L565">
        <v>671.05</v>
      </c>
      <c r="M565">
        <v>1645.48</v>
      </c>
      <c r="N565">
        <v>0.13700000000000001</v>
      </c>
      <c r="O565">
        <v>6</v>
      </c>
    </row>
    <row r="566" spans="1:15" x14ac:dyDescent="0.35">
      <c r="A566" t="s">
        <v>578</v>
      </c>
      <c r="B566" s="2">
        <v>45692</v>
      </c>
      <c r="C566" s="2">
        <v>45696</v>
      </c>
      <c r="D566" t="s">
        <v>649</v>
      </c>
      <c r="E566" t="s">
        <v>658</v>
      </c>
      <c r="F566" t="s">
        <v>693</v>
      </c>
      <c r="G566" t="s">
        <v>706</v>
      </c>
      <c r="H566" t="s">
        <v>709</v>
      </c>
      <c r="I566" t="s">
        <v>716</v>
      </c>
      <c r="J566" t="s">
        <v>729</v>
      </c>
      <c r="K566" t="s">
        <v>1296</v>
      </c>
      <c r="L566">
        <v>586.21</v>
      </c>
      <c r="M566">
        <v>727.22</v>
      </c>
      <c r="N566">
        <v>6.8000000000000005E-2</v>
      </c>
      <c r="O566">
        <v>15</v>
      </c>
    </row>
    <row r="567" spans="1:15" x14ac:dyDescent="0.35">
      <c r="A567" t="s">
        <v>579</v>
      </c>
      <c r="B567" s="2">
        <v>45315</v>
      </c>
      <c r="C567" s="2">
        <v>45326</v>
      </c>
      <c r="D567" t="s">
        <v>649</v>
      </c>
      <c r="E567" t="s">
        <v>658</v>
      </c>
      <c r="F567" t="s">
        <v>693</v>
      </c>
      <c r="G567" t="s">
        <v>704</v>
      </c>
      <c r="H567" t="s">
        <v>707</v>
      </c>
      <c r="I567" t="s">
        <v>717</v>
      </c>
      <c r="J567" t="s">
        <v>731</v>
      </c>
      <c r="K567" t="s">
        <v>1297</v>
      </c>
      <c r="L567">
        <v>525.34</v>
      </c>
      <c r="M567">
        <v>1233.79</v>
      </c>
      <c r="N567">
        <v>0.14299999999999999</v>
      </c>
      <c r="O567">
        <v>4</v>
      </c>
    </row>
    <row r="568" spans="1:15" x14ac:dyDescent="0.35">
      <c r="A568" t="s">
        <v>580</v>
      </c>
      <c r="B568" s="2">
        <v>45330</v>
      </c>
      <c r="C568" s="2">
        <v>45331</v>
      </c>
      <c r="D568" t="s">
        <v>646</v>
      </c>
      <c r="E568" t="s">
        <v>650</v>
      </c>
      <c r="F568" t="s">
        <v>675</v>
      </c>
      <c r="G568" t="s">
        <v>701</v>
      </c>
      <c r="H568" t="s">
        <v>711</v>
      </c>
      <c r="I568" t="s">
        <v>721</v>
      </c>
      <c r="J568" t="s">
        <v>727</v>
      </c>
      <c r="K568" t="s">
        <v>1298</v>
      </c>
      <c r="L568">
        <v>1233.52</v>
      </c>
      <c r="M568">
        <v>1543.76</v>
      </c>
      <c r="N568">
        <v>0.126</v>
      </c>
      <c r="O568">
        <v>13</v>
      </c>
    </row>
    <row r="569" spans="1:15" x14ac:dyDescent="0.35">
      <c r="A569" t="s">
        <v>581</v>
      </c>
      <c r="B569" s="2">
        <v>45834</v>
      </c>
      <c r="C569" s="2">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x14ac:dyDescent="0.35">
      <c r="A570" t="s">
        <v>582</v>
      </c>
      <c r="B570" s="2">
        <v>45600</v>
      </c>
      <c r="C570" s="2">
        <v>45603</v>
      </c>
      <c r="D570" t="s">
        <v>649</v>
      </c>
      <c r="E570" t="s">
        <v>657</v>
      </c>
      <c r="F570" t="s">
        <v>679</v>
      </c>
      <c r="G570" t="s">
        <v>701</v>
      </c>
      <c r="H570" t="s">
        <v>708</v>
      </c>
      <c r="I570" t="s">
        <v>719</v>
      </c>
      <c r="J570" t="s">
        <v>732</v>
      </c>
      <c r="K570" t="s">
        <v>1300</v>
      </c>
      <c r="L570">
        <v>740.68</v>
      </c>
      <c r="M570">
        <v>1837.19</v>
      </c>
      <c r="N570">
        <v>0.19700000000000001</v>
      </c>
      <c r="O570">
        <v>17</v>
      </c>
    </row>
    <row r="571" spans="1:15" x14ac:dyDescent="0.35">
      <c r="A571" t="s">
        <v>583</v>
      </c>
      <c r="B571" s="2">
        <v>45342</v>
      </c>
      <c r="C571" s="2">
        <v>45342</v>
      </c>
      <c r="D571" t="s">
        <v>648</v>
      </c>
      <c r="E571" t="s">
        <v>660</v>
      </c>
      <c r="F571" t="s">
        <v>700</v>
      </c>
      <c r="G571" t="s">
        <v>706</v>
      </c>
      <c r="H571" t="s">
        <v>708</v>
      </c>
      <c r="I571" t="s">
        <v>712</v>
      </c>
      <c r="J571" t="s">
        <v>729</v>
      </c>
      <c r="K571" t="s">
        <v>1301</v>
      </c>
      <c r="L571">
        <v>1407.05</v>
      </c>
      <c r="M571">
        <v>2858.93</v>
      </c>
      <c r="N571">
        <v>0</v>
      </c>
      <c r="O571">
        <v>12</v>
      </c>
    </row>
    <row r="572" spans="1:15" x14ac:dyDescent="0.35">
      <c r="A572" t="s">
        <v>584</v>
      </c>
      <c r="B572" s="2">
        <v>45760</v>
      </c>
      <c r="C572" s="2">
        <v>45761</v>
      </c>
      <c r="D572" t="s">
        <v>647</v>
      </c>
      <c r="E572" t="s">
        <v>652</v>
      </c>
      <c r="F572" t="s">
        <v>666</v>
      </c>
      <c r="G572" t="s">
        <v>706</v>
      </c>
      <c r="H572" t="s">
        <v>708</v>
      </c>
      <c r="I572" t="s">
        <v>715</v>
      </c>
      <c r="J572" t="s">
        <v>727</v>
      </c>
      <c r="K572" t="s">
        <v>1302</v>
      </c>
      <c r="L572">
        <v>138.9</v>
      </c>
      <c r="M572">
        <v>289.92</v>
      </c>
      <c r="N572">
        <v>2.9000000000000001E-2</v>
      </c>
      <c r="O572">
        <v>12</v>
      </c>
    </row>
    <row r="573" spans="1:15" x14ac:dyDescent="0.35">
      <c r="A573" t="s">
        <v>585</v>
      </c>
      <c r="B573" s="2">
        <v>45078</v>
      </c>
      <c r="C573" s="2">
        <v>45078</v>
      </c>
      <c r="D573" t="s">
        <v>647</v>
      </c>
      <c r="E573" t="s">
        <v>654</v>
      </c>
      <c r="F573" t="s">
        <v>668</v>
      </c>
      <c r="G573" t="s">
        <v>701</v>
      </c>
      <c r="H573" t="s">
        <v>707</v>
      </c>
      <c r="I573" t="s">
        <v>718</v>
      </c>
      <c r="J573" t="s">
        <v>733</v>
      </c>
      <c r="K573" t="s">
        <v>1303</v>
      </c>
      <c r="L573">
        <v>669.37</v>
      </c>
      <c r="M573">
        <v>997.2</v>
      </c>
      <c r="N573">
        <v>8.2000000000000003E-2</v>
      </c>
      <c r="O573">
        <v>5</v>
      </c>
    </row>
    <row r="574" spans="1:15" x14ac:dyDescent="0.35">
      <c r="A574" t="s">
        <v>586</v>
      </c>
      <c r="B574" s="2">
        <v>45740</v>
      </c>
      <c r="C574" s="2">
        <v>45751</v>
      </c>
      <c r="D574" t="s">
        <v>647</v>
      </c>
      <c r="E574" t="s">
        <v>654</v>
      </c>
      <c r="F574" t="s">
        <v>691</v>
      </c>
      <c r="G574" t="s">
        <v>702</v>
      </c>
      <c r="H574" t="s">
        <v>709</v>
      </c>
      <c r="I574" t="s">
        <v>713</v>
      </c>
      <c r="J574" t="s">
        <v>730</v>
      </c>
      <c r="K574" t="s">
        <v>1304</v>
      </c>
      <c r="L574">
        <v>23.83</v>
      </c>
      <c r="M574">
        <v>47.29</v>
      </c>
      <c r="N574">
        <v>6.4000000000000001E-2</v>
      </c>
      <c r="O574">
        <v>19</v>
      </c>
    </row>
    <row r="575" spans="1:15" x14ac:dyDescent="0.35">
      <c r="A575" t="s">
        <v>587</v>
      </c>
      <c r="B575" s="2">
        <v>45293</v>
      </c>
      <c r="C575" s="2">
        <v>45293</v>
      </c>
      <c r="D575" t="s">
        <v>648</v>
      </c>
      <c r="E575" t="s">
        <v>653</v>
      </c>
      <c r="F575" t="s">
        <v>688</v>
      </c>
      <c r="G575" t="s">
        <v>702</v>
      </c>
      <c r="H575" t="s">
        <v>711</v>
      </c>
      <c r="I575" t="s">
        <v>720</v>
      </c>
      <c r="J575" t="s">
        <v>731</v>
      </c>
      <c r="K575" t="s">
        <v>1305</v>
      </c>
      <c r="L575">
        <v>444.41</v>
      </c>
      <c r="M575">
        <v>754.24</v>
      </c>
      <c r="N575">
        <v>0.20699999999999999</v>
      </c>
      <c r="O575">
        <v>32</v>
      </c>
    </row>
    <row r="576" spans="1:15" x14ac:dyDescent="0.35">
      <c r="A576" t="s">
        <v>588</v>
      </c>
      <c r="B576" s="2">
        <v>45279</v>
      </c>
      <c r="C576" s="2">
        <v>45292</v>
      </c>
      <c r="D576" t="s">
        <v>648</v>
      </c>
      <c r="E576" t="s">
        <v>653</v>
      </c>
      <c r="F576" t="s">
        <v>667</v>
      </c>
      <c r="G576" t="s">
        <v>706</v>
      </c>
      <c r="H576" t="s">
        <v>707</v>
      </c>
      <c r="I576" t="s">
        <v>723</v>
      </c>
      <c r="J576" t="s">
        <v>732</v>
      </c>
      <c r="K576" t="s">
        <v>1306</v>
      </c>
      <c r="L576">
        <v>856.1</v>
      </c>
      <c r="M576">
        <v>901.48</v>
      </c>
      <c r="N576">
        <v>5.6000000000000001E-2</v>
      </c>
      <c r="O576">
        <v>17</v>
      </c>
    </row>
    <row r="577" spans="1:15" x14ac:dyDescent="0.35">
      <c r="A577" t="s">
        <v>589</v>
      </c>
      <c r="B577" s="2">
        <v>45042</v>
      </c>
      <c r="C577" s="2">
        <v>45042</v>
      </c>
      <c r="D577" t="s">
        <v>649</v>
      </c>
      <c r="E577" t="s">
        <v>657</v>
      </c>
      <c r="F577" t="s">
        <v>673</v>
      </c>
      <c r="G577" t="s">
        <v>704</v>
      </c>
      <c r="H577" t="s">
        <v>711</v>
      </c>
      <c r="I577" t="s">
        <v>724</v>
      </c>
      <c r="J577" t="s">
        <v>727</v>
      </c>
      <c r="K577" t="s">
        <v>1307</v>
      </c>
      <c r="L577">
        <v>81.489999999999995</v>
      </c>
      <c r="M577">
        <v>113.08</v>
      </c>
      <c r="N577">
        <v>0.121</v>
      </c>
      <c r="O577">
        <v>5</v>
      </c>
    </row>
    <row r="578" spans="1:15" x14ac:dyDescent="0.35">
      <c r="A578" t="s">
        <v>590</v>
      </c>
      <c r="B578" s="2">
        <v>45872</v>
      </c>
      <c r="C578" s="2">
        <v>45885</v>
      </c>
      <c r="D578" t="s">
        <v>648</v>
      </c>
      <c r="E578" t="s">
        <v>653</v>
      </c>
      <c r="F578" t="s">
        <v>681</v>
      </c>
      <c r="G578" t="s">
        <v>706</v>
      </c>
      <c r="H578" t="s">
        <v>710</v>
      </c>
      <c r="I578" t="s">
        <v>719</v>
      </c>
      <c r="J578" t="s">
        <v>729</v>
      </c>
      <c r="K578" t="s">
        <v>1308</v>
      </c>
      <c r="L578">
        <v>698.66</v>
      </c>
      <c r="M578">
        <v>868.62</v>
      </c>
      <c r="N578">
        <v>7.1999999999999995E-2</v>
      </c>
      <c r="O578">
        <v>15</v>
      </c>
    </row>
    <row r="579" spans="1:15" x14ac:dyDescent="0.35">
      <c r="A579" t="s">
        <v>591</v>
      </c>
      <c r="B579" s="2">
        <v>45140</v>
      </c>
      <c r="C579" s="2">
        <v>45157</v>
      </c>
      <c r="D579" t="s">
        <v>648</v>
      </c>
      <c r="E579" t="s">
        <v>653</v>
      </c>
      <c r="F579" t="s">
        <v>688</v>
      </c>
      <c r="G579" t="s">
        <v>701</v>
      </c>
      <c r="H579" t="s">
        <v>708</v>
      </c>
      <c r="I579" t="s">
        <v>721</v>
      </c>
      <c r="J579" t="s">
        <v>729</v>
      </c>
      <c r="K579" t="s">
        <v>1309</v>
      </c>
      <c r="L579">
        <v>175.38</v>
      </c>
      <c r="M579">
        <v>347.9</v>
      </c>
      <c r="N579">
        <v>7.1999999999999995E-2</v>
      </c>
      <c r="O579">
        <v>43</v>
      </c>
    </row>
    <row r="580" spans="1:15" x14ac:dyDescent="0.35">
      <c r="A580" t="s">
        <v>592</v>
      </c>
      <c r="B580" s="2">
        <v>45092</v>
      </c>
      <c r="C580" s="2">
        <v>45119</v>
      </c>
      <c r="D580" t="s">
        <v>649</v>
      </c>
      <c r="E580" t="s">
        <v>658</v>
      </c>
      <c r="F580" t="s">
        <v>693</v>
      </c>
      <c r="G580" t="s">
        <v>704</v>
      </c>
      <c r="H580" t="s">
        <v>711</v>
      </c>
      <c r="I580" t="s">
        <v>714</v>
      </c>
      <c r="J580" t="s">
        <v>733</v>
      </c>
      <c r="K580" t="s">
        <v>1310</v>
      </c>
      <c r="L580">
        <v>751.28</v>
      </c>
      <c r="M580">
        <v>1111.8800000000001</v>
      </c>
      <c r="N580">
        <v>0.13500000000000001</v>
      </c>
      <c r="O580">
        <v>7</v>
      </c>
    </row>
    <row r="581" spans="1:15" x14ac:dyDescent="0.35">
      <c r="A581" t="s">
        <v>593</v>
      </c>
      <c r="B581" s="2">
        <v>45607</v>
      </c>
      <c r="C581" s="2">
        <v>45620</v>
      </c>
      <c r="D581" t="s">
        <v>649</v>
      </c>
      <c r="E581" t="s">
        <v>658</v>
      </c>
      <c r="F581" t="s">
        <v>683</v>
      </c>
      <c r="G581" t="s">
        <v>701</v>
      </c>
      <c r="H581" t="s">
        <v>707</v>
      </c>
      <c r="I581" t="s">
        <v>718</v>
      </c>
      <c r="J581" t="s">
        <v>729</v>
      </c>
      <c r="K581" t="s">
        <v>1311</v>
      </c>
      <c r="L581">
        <v>164.53</v>
      </c>
      <c r="M581">
        <v>327.72</v>
      </c>
      <c r="N581">
        <v>6.7000000000000004E-2</v>
      </c>
      <c r="O581">
        <v>14</v>
      </c>
    </row>
    <row r="582" spans="1:15" x14ac:dyDescent="0.35">
      <c r="A582" t="s">
        <v>594</v>
      </c>
      <c r="B582" s="2">
        <v>45849</v>
      </c>
      <c r="C582" s="2">
        <v>45872</v>
      </c>
      <c r="D582" t="s">
        <v>646</v>
      </c>
      <c r="E582" t="s">
        <v>650</v>
      </c>
      <c r="F582" t="s">
        <v>678</v>
      </c>
      <c r="G582" t="s">
        <v>705</v>
      </c>
      <c r="H582" t="s">
        <v>707</v>
      </c>
      <c r="I582" t="s">
        <v>712</v>
      </c>
      <c r="J582" t="s">
        <v>730</v>
      </c>
      <c r="K582" t="s">
        <v>1312</v>
      </c>
      <c r="L582">
        <v>389.93</v>
      </c>
      <c r="M582">
        <v>486.13</v>
      </c>
      <c r="N582">
        <v>0.13200000000000001</v>
      </c>
      <c r="O582">
        <v>17</v>
      </c>
    </row>
    <row r="583" spans="1:15" x14ac:dyDescent="0.35">
      <c r="A583" t="s">
        <v>595</v>
      </c>
      <c r="B583" s="2">
        <v>45080</v>
      </c>
      <c r="C583" s="2">
        <v>45108</v>
      </c>
      <c r="D583" t="s">
        <v>648</v>
      </c>
      <c r="E583" t="s">
        <v>655</v>
      </c>
      <c r="F583" t="s">
        <v>672</v>
      </c>
      <c r="G583" t="s">
        <v>705</v>
      </c>
      <c r="H583" t="s">
        <v>709</v>
      </c>
      <c r="I583" t="s">
        <v>720</v>
      </c>
      <c r="J583" t="s">
        <v>727</v>
      </c>
      <c r="K583" t="s">
        <v>1313</v>
      </c>
      <c r="L583">
        <v>860.4</v>
      </c>
      <c r="M583">
        <v>2066.6</v>
      </c>
      <c r="N583">
        <v>0.01</v>
      </c>
      <c r="O583">
        <v>3</v>
      </c>
    </row>
    <row r="584" spans="1:15" x14ac:dyDescent="0.35">
      <c r="A584" t="s">
        <v>596</v>
      </c>
      <c r="B584" s="2">
        <v>44955</v>
      </c>
      <c r="C584" s="2">
        <v>44963</v>
      </c>
      <c r="D584" t="s">
        <v>648</v>
      </c>
      <c r="E584" t="s">
        <v>655</v>
      </c>
      <c r="F584" t="s">
        <v>672</v>
      </c>
      <c r="G584" t="s">
        <v>701</v>
      </c>
      <c r="H584" t="s">
        <v>709</v>
      </c>
      <c r="I584" t="s">
        <v>726</v>
      </c>
      <c r="J584" t="s">
        <v>732</v>
      </c>
      <c r="K584" t="s">
        <v>1314</v>
      </c>
      <c r="L584">
        <v>41.84</v>
      </c>
      <c r="M584">
        <v>86.2</v>
      </c>
      <c r="N584">
        <v>0.22600000000000001</v>
      </c>
      <c r="O584">
        <v>27</v>
      </c>
    </row>
    <row r="585" spans="1:15" x14ac:dyDescent="0.35">
      <c r="A585" t="s">
        <v>597</v>
      </c>
      <c r="B585" s="2">
        <v>45541</v>
      </c>
      <c r="C585" s="2">
        <v>45539</v>
      </c>
      <c r="D585" t="s">
        <v>647</v>
      </c>
      <c r="E585" t="s">
        <v>652</v>
      </c>
      <c r="F585" t="s">
        <v>666</v>
      </c>
      <c r="G585" t="s">
        <v>701</v>
      </c>
      <c r="H585" t="s">
        <v>711</v>
      </c>
      <c r="I585" t="s">
        <v>720</v>
      </c>
      <c r="J585" t="s">
        <v>731</v>
      </c>
      <c r="K585" t="s">
        <v>1315</v>
      </c>
      <c r="L585">
        <v>1368.17</v>
      </c>
      <c r="M585">
        <v>2307.75</v>
      </c>
      <c r="N585">
        <v>0.16300000000000001</v>
      </c>
      <c r="O585">
        <v>21</v>
      </c>
    </row>
    <row r="586" spans="1:15" x14ac:dyDescent="0.35">
      <c r="A586" t="s">
        <v>598</v>
      </c>
      <c r="B586" s="2">
        <v>45507</v>
      </c>
      <c r="C586" s="2">
        <v>45513</v>
      </c>
      <c r="D586" t="s">
        <v>646</v>
      </c>
      <c r="E586" t="s">
        <v>650</v>
      </c>
      <c r="F586" t="s">
        <v>675</v>
      </c>
      <c r="G586" t="s">
        <v>704</v>
      </c>
      <c r="H586" t="s">
        <v>709</v>
      </c>
      <c r="I586" t="s">
        <v>722</v>
      </c>
      <c r="J586" t="s">
        <v>731</v>
      </c>
      <c r="K586" t="s">
        <v>1316</v>
      </c>
      <c r="L586">
        <v>643.21</v>
      </c>
      <c r="M586">
        <v>1112.81</v>
      </c>
      <c r="N586">
        <v>0.14099999999999999</v>
      </c>
      <c r="O586">
        <v>4</v>
      </c>
    </row>
    <row r="587" spans="1:15" x14ac:dyDescent="0.35">
      <c r="A587" t="s">
        <v>599</v>
      </c>
      <c r="B587" s="2">
        <v>45764</v>
      </c>
      <c r="C587" s="2">
        <v>45764</v>
      </c>
      <c r="D587" t="s">
        <v>648</v>
      </c>
      <c r="E587" t="s">
        <v>655</v>
      </c>
      <c r="F587" t="s">
        <v>670</v>
      </c>
      <c r="G587" t="s">
        <v>701</v>
      </c>
      <c r="H587" t="s">
        <v>710</v>
      </c>
      <c r="I587" t="s">
        <v>716</v>
      </c>
      <c r="J587" t="s">
        <v>730</v>
      </c>
      <c r="K587" t="s">
        <v>1317</v>
      </c>
      <c r="L587">
        <v>719.41</v>
      </c>
      <c r="M587">
        <v>1125.99</v>
      </c>
      <c r="N587">
        <v>4.1000000000000002E-2</v>
      </c>
      <c r="O587">
        <v>21</v>
      </c>
    </row>
    <row r="588" spans="1:15" x14ac:dyDescent="0.35">
      <c r="A588" t="s">
        <v>600</v>
      </c>
      <c r="B588" s="2">
        <v>45049</v>
      </c>
      <c r="C588" s="2">
        <v>45062</v>
      </c>
      <c r="D588" t="s">
        <v>648</v>
      </c>
      <c r="E588" t="s">
        <v>660</v>
      </c>
      <c r="F588" t="s">
        <v>700</v>
      </c>
      <c r="G588" t="s">
        <v>701</v>
      </c>
      <c r="H588" t="s">
        <v>709</v>
      </c>
      <c r="I588" t="s">
        <v>716</v>
      </c>
      <c r="J588" t="s">
        <v>730</v>
      </c>
      <c r="K588" t="s">
        <v>1318</v>
      </c>
      <c r="L588">
        <v>64.5</v>
      </c>
      <c r="M588">
        <v>123.62</v>
      </c>
      <c r="N588">
        <v>0</v>
      </c>
      <c r="O588">
        <v>3</v>
      </c>
    </row>
    <row r="589" spans="1:15" x14ac:dyDescent="0.35">
      <c r="A589" t="s">
        <v>601</v>
      </c>
      <c r="B589" s="2">
        <v>45364</v>
      </c>
      <c r="C589" s="2">
        <v>45388</v>
      </c>
      <c r="D589" t="s">
        <v>646</v>
      </c>
      <c r="E589" t="s">
        <v>651</v>
      </c>
      <c r="F589" t="s">
        <v>669</v>
      </c>
      <c r="G589" t="s">
        <v>704</v>
      </c>
      <c r="H589" t="s">
        <v>710</v>
      </c>
      <c r="I589" t="s">
        <v>716</v>
      </c>
      <c r="J589" t="s">
        <v>727</v>
      </c>
      <c r="K589" t="s">
        <v>1319</v>
      </c>
      <c r="L589">
        <v>1232.78</v>
      </c>
      <c r="M589">
        <v>1731.75</v>
      </c>
      <c r="N589">
        <v>9.2999999999999999E-2</v>
      </c>
      <c r="O589">
        <v>16</v>
      </c>
    </row>
    <row r="590" spans="1:15" x14ac:dyDescent="0.35">
      <c r="A590" t="s">
        <v>602</v>
      </c>
      <c r="B590" s="2">
        <v>45459</v>
      </c>
      <c r="C590" s="2">
        <v>45464</v>
      </c>
      <c r="D590" t="s">
        <v>647</v>
      </c>
      <c r="E590" t="s">
        <v>652</v>
      </c>
      <c r="F590" t="s">
        <v>689</v>
      </c>
      <c r="G590" t="s">
        <v>705</v>
      </c>
      <c r="H590" t="s">
        <v>710</v>
      </c>
      <c r="I590" t="s">
        <v>721</v>
      </c>
      <c r="J590" t="s">
        <v>730</v>
      </c>
      <c r="K590" t="s">
        <v>1320</v>
      </c>
      <c r="L590">
        <v>1367.13</v>
      </c>
      <c r="M590">
        <v>3062.01</v>
      </c>
      <c r="N590">
        <v>0.10299999999999999</v>
      </c>
      <c r="O590">
        <v>25</v>
      </c>
    </row>
    <row r="591" spans="1:15" x14ac:dyDescent="0.35">
      <c r="A591" t="s">
        <v>603</v>
      </c>
      <c r="B591" s="2">
        <v>45703</v>
      </c>
      <c r="C591" s="2">
        <v>45715</v>
      </c>
      <c r="D591" t="s">
        <v>649</v>
      </c>
      <c r="E591" t="s">
        <v>657</v>
      </c>
      <c r="F591" t="s">
        <v>679</v>
      </c>
      <c r="G591" t="s">
        <v>703</v>
      </c>
      <c r="H591" t="s">
        <v>711</v>
      </c>
      <c r="I591" t="s">
        <v>723</v>
      </c>
      <c r="J591" t="s">
        <v>733</v>
      </c>
      <c r="K591" t="s">
        <v>1321</v>
      </c>
      <c r="L591">
        <v>1027.26</v>
      </c>
      <c r="M591">
        <v>2200.41</v>
      </c>
      <c r="N591">
        <v>8.7999999999999995E-2</v>
      </c>
      <c r="O591">
        <v>6</v>
      </c>
    </row>
    <row r="592" spans="1:15" x14ac:dyDescent="0.35">
      <c r="A592" t="s">
        <v>604</v>
      </c>
      <c r="B592" s="2">
        <v>45019</v>
      </c>
      <c r="C592" s="2">
        <v>45032</v>
      </c>
      <c r="D592" t="s">
        <v>649</v>
      </c>
      <c r="E592" t="s">
        <v>657</v>
      </c>
      <c r="F592" t="s">
        <v>673</v>
      </c>
      <c r="G592" t="s">
        <v>703</v>
      </c>
      <c r="H592" t="s">
        <v>709</v>
      </c>
      <c r="I592" t="s">
        <v>724</v>
      </c>
      <c r="J592" t="s">
        <v>733</v>
      </c>
      <c r="K592" t="s">
        <v>1322</v>
      </c>
      <c r="L592">
        <v>790.54</v>
      </c>
      <c r="M592">
        <v>601.49</v>
      </c>
      <c r="N592">
        <v>0</v>
      </c>
      <c r="O592">
        <v>15</v>
      </c>
    </row>
    <row r="593" spans="1:15" x14ac:dyDescent="0.35">
      <c r="A593" t="s">
        <v>605</v>
      </c>
      <c r="B593" s="2">
        <v>45899</v>
      </c>
      <c r="C593" s="2">
        <v>45922</v>
      </c>
      <c r="D593" t="s">
        <v>649</v>
      </c>
      <c r="E593" t="s">
        <v>657</v>
      </c>
      <c r="F593" t="s">
        <v>673</v>
      </c>
      <c r="G593" t="s">
        <v>701</v>
      </c>
      <c r="H593" t="s">
        <v>711</v>
      </c>
      <c r="I593" t="s">
        <v>718</v>
      </c>
      <c r="J593" t="s">
        <v>727</v>
      </c>
      <c r="K593" t="s">
        <v>1323</v>
      </c>
      <c r="L593">
        <v>663.9</v>
      </c>
      <c r="M593">
        <v>947.77</v>
      </c>
      <c r="N593">
        <v>0.17399999999999999</v>
      </c>
      <c r="O593">
        <v>15</v>
      </c>
    </row>
    <row r="594" spans="1:15" x14ac:dyDescent="0.35">
      <c r="A594" t="s">
        <v>606</v>
      </c>
      <c r="B594" s="2">
        <v>44984</v>
      </c>
      <c r="C594" s="2">
        <v>44983</v>
      </c>
      <c r="D594" t="s">
        <v>648</v>
      </c>
      <c r="E594" t="s">
        <v>660</v>
      </c>
      <c r="F594" t="s">
        <v>686</v>
      </c>
      <c r="G594" t="s">
        <v>703</v>
      </c>
      <c r="H594" t="s">
        <v>708</v>
      </c>
      <c r="I594" t="s">
        <v>716</v>
      </c>
      <c r="J594" t="s">
        <v>729</v>
      </c>
      <c r="K594" t="s">
        <v>1324</v>
      </c>
      <c r="L594">
        <v>1015.91</v>
      </c>
      <c r="M594">
        <v>2331.48</v>
      </c>
      <c r="N594">
        <v>0.14599999999999999</v>
      </c>
      <c r="O594">
        <v>26</v>
      </c>
    </row>
    <row r="595" spans="1:15" x14ac:dyDescent="0.35">
      <c r="A595" t="s">
        <v>607</v>
      </c>
      <c r="B595" s="2">
        <v>45504</v>
      </c>
      <c r="C595" s="2">
        <v>45519</v>
      </c>
      <c r="D595" t="s">
        <v>647</v>
      </c>
      <c r="E595" t="s">
        <v>652</v>
      </c>
      <c r="F595" t="s">
        <v>689</v>
      </c>
      <c r="G595" t="s">
        <v>701</v>
      </c>
      <c r="H595" t="s">
        <v>709</v>
      </c>
      <c r="I595" t="s">
        <v>721</v>
      </c>
      <c r="J595" t="s">
        <v>732</v>
      </c>
      <c r="K595" t="s">
        <v>1325</v>
      </c>
      <c r="L595">
        <v>1252.52</v>
      </c>
      <c r="M595">
        <v>1417.24</v>
      </c>
      <c r="N595">
        <v>0.192</v>
      </c>
      <c r="O595">
        <v>5</v>
      </c>
    </row>
    <row r="596" spans="1:15" x14ac:dyDescent="0.35">
      <c r="A596" t="s">
        <v>608</v>
      </c>
      <c r="B596" s="2">
        <v>45823</v>
      </c>
      <c r="C596" s="2">
        <v>45850</v>
      </c>
      <c r="D596" t="s">
        <v>649</v>
      </c>
      <c r="E596" t="s">
        <v>657</v>
      </c>
      <c r="F596" t="s">
        <v>673</v>
      </c>
      <c r="G596" t="s">
        <v>704</v>
      </c>
      <c r="H596" t="s">
        <v>711</v>
      </c>
      <c r="I596" t="s">
        <v>712</v>
      </c>
      <c r="J596" t="s">
        <v>733</v>
      </c>
      <c r="K596" t="s">
        <v>1326</v>
      </c>
      <c r="L596">
        <v>318.83</v>
      </c>
      <c r="M596">
        <v>699.5</v>
      </c>
      <c r="N596">
        <v>0.08</v>
      </c>
      <c r="O596">
        <v>13</v>
      </c>
    </row>
    <row r="597" spans="1:15" x14ac:dyDescent="0.35">
      <c r="A597" t="s">
        <v>609</v>
      </c>
      <c r="B597" s="2">
        <v>45473</v>
      </c>
      <c r="C597" s="2">
        <v>45494</v>
      </c>
      <c r="D597" t="s">
        <v>646</v>
      </c>
      <c r="E597" t="s">
        <v>650</v>
      </c>
      <c r="F597" t="s">
        <v>662</v>
      </c>
      <c r="G597" t="s">
        <v>705</v>
      </c>
      <c r="H597" t="s">
        <v>707</v>
      </c>
      <c r="I597" t="s">
        <v>723</v>
      </c>
      <c r="J597" t="s">
        <v>731</v>
      </c>
      <c r="K597" t="s">
        <v>1327</v>
      </c>
      <c r="L597">
        <v>753.43</v>
      </c>
      <c r="M597">
        <v>1787.2</v>
      </c>
      <c r="N597">
        <v>7.2999999999999995E-2</v>
      </c>
      <c r="O597">
        <v>9</v>
      </c>
    </row>
    <row r="598" spans="1:15" x14ac:dyDescent="0.35">
      <c r="A598" t="s">
        <v>610</v>
      </c>
      <c r="B598" s="2">
        <v>45705</v>
      </c>
      <c r="C598" s="2">
        <v>45703</v>
      </c>
      <c r="D598" t="s">
        <v>648</v>
      </c>
      <c r="E598" t="s">
        <v>653</v>
      </c>
      <c r="F598" t="s">
        <v>667</v>
      </c>
      <c r="G598" t="s">
        <v>705</v>
      </c>
      <c r="H598" t="s">
        <v>707</v>
      </c>
      <c r="I598" t="s">
        <v>726</v>
      </c>
      <c r="J598" t="s">
        <v>727</v>
      </c>
      <c r="K598" t="s">
        <v>1328</v>
      </c>
      <c r="L598">
        <v>1133.47</v>
      </c>
      <c r="M598">
        <v>1698.75</v>
      </c>
      <c r="N598">
        <v>4.2999999999999997E-2</v>
      </c>
      <c r="O598">
        <v>5</v>
      </c>
    </row>
    <row r="599" spans="1:15" x14ac:dyDescent="0.35">
      <c r="A599" t="s">
        <v>611</v>
      </c>
      <c r="B599" s="2">
        <v>44933</v>
      </c>
      <c r="C599" s="2">
        <v>44956</v>
      </c>
      <c r="D599" t="s">
        <v>646</v>
      </c>
      <c r="E599" t="s">
        <v>661</v>
      </c>
      <c r="F599" t="s">
        <v>695</v>
      </c>
      <c r="G599" t="s">
        <v>704</v>
      </c>
      <c r="H599" t="s">
        <v>708</v>
      </c>
      <c r="I599" t="s">
        <v>720</v>
      </c>
      <c r="J599" t="s">
        <v>728</v>
      </c>
      <c r="K599" t="s">
        <v>1329</v>
      </c>
      <c r="L599">
        <v>299.02</v>
      </c>
      <c r="M599">
        <v>724.7</v>
      </c>
      <c r="N599">
        <v>0.14000000000000001</v>
      </c>
      <c r="O599">
        <v>5</v>
      </c>
    </row>
    <row r="600" spans="1:15" x14ac:dyDescent="0.35">
      <c r="A600" t="s">
        <v>612</v>
      </c>
      <c r="B600" s="2">
        <v>45726</v>
      </c>
      <c r="C600" s="2">
        <v>45751</v>
      </c>
      <c r="D600" t="s">
        <v>647</v>
      </c>
      <c r="E600" t="s">
        <v>652</v>
      </c>
      <c r="F600" t="s">
        <v>666</v>
      </c>
      <c r="G600" t="s">
        <v>701</v>
      </c>
      <c r="H600" t="s">
        <v>711</v>
      </c>
      <c r="I600" t="s">
        <v>722</v>
      </c>
      <c r="J600" t="s">
        <v>728</v>
      </c>
      <c r="K600" t="s">
        <v>1330</v>
      </c>
      <c r="L600">
        <v>783.72</v>
      </c>
      <c r="M600">
        <v>1355.94</v>
      </c>
      <c r="N600">
        <v>0.187</v>
      </c>
      <c r="O600">
        <v>4</v>
      </c>
    </row>
    <row r="601" spans="1:15" x14ac:dyDescent="0.35">
      <c r="A601" t="s">
        <v>613</v>
      </c>
      <c r="B601" s="2">
        <v>45521</v>
      </c>
      <c r="C601" s="2">
        <v>45519</v>
      </c>
      <c r="D601" t="s">
        <v>648</v>
      </c>
      <c r="E601" t="s">
        <v>655</v>
      </c>
      <c r="F601" t="s">
        <v>692</v>
      </c>
      <c r="G601" t="s">
        <v>704</v>
      </c>
      <c r="H601" t="s">
        <v>711</v>
      </c>
      <c r="I601" t="s">
        <v>724</v>
      </c>
      <c r="J601" t="s">
        <v>732</v>
      </c>
      <c r="K601" t="s">
        <v>1331</v>
      </c>
      <c r="L601">
        <v>165.3</v>
      </c>
      <c r="M601">
        <v>275.07</v>
      </c>
      <c r="N601">
        <v>0.13300000000000001</v>
      </c>
      <c r="O601">
        <v>25</v>
      </c>
    </row>
    <row r="602" spans="1:15" x14ac:dyDescent="0.35">
      <c r="A602" t="s">
        <v>614</v>
      </c>
      <c r="B602" s="2">
        <v>45360</v>
      </c>
      <c r="C602" s="2">
        <v>45373</v>
      </c>
      <c r="D602" t="s">
        <v>649</v>
      </c>
      <c r="E602" t="s">
        <v>658</v>
      </c>
      <c r="F602" t="s">
        <v>693</v>
      </c>
      <c r="G602" t="s">
        <v>704</v>
      </c>
      <c r="H602" t="s">
        <v>708</v>
      </c>
      <c r="I602" t="s">
        <v>718</v>
      </c>
      <c r="J602" t="s">
        <v>731</v>
      </c>
      <c r="K602" t="s">
        <v>1332</v>
      </c>
      <c r="L602">
        <v>985.45</v>
      </c>
      <c r="M602">
        <v>1802.44</v>
      </c>
      <c r="N602">
        <v>8.9999999999999993E-3</v>
      </c>
      <c r="O602">
        <v>19</v>
      </c>
    </row>
    <row r="603" spans="1:15" x14ac:dyDescent="0.35">
      <c r="A603" t="s">
        <v>615</v>
      </c>
      <c r="B603" s="2">
        <v>45523</v>
      </c>
      <c r="C603" s="2">
        <v>45537</v>
      </c>
      <c r="D603" t="s">
        <v>648</v>
      </c>
      <c r="E603" t="s">
        <v>653</v>
      </c>
      <c r="F603" t="s">
        <v>667</v>
      </c>
      <c r="G603" t="s">
        <v>704</v>
      </c>
      <c r="H603" t="s">
        <v>710</v>
      </c>
      <c r="I603" t="s">
        <v>712</v>
      </c>
      <c r="J603" t="s">
        <v>728</v>
      </c>
      <c r="K603" t="s">
        <v>1333</v>
      </c>
      <c r="L603">
        <v>1337.01</v>
      </c>
      <c r="M603">
        <v>1269.78</v>
      </c>
      <c r="N603">
        <v>0.16</v>
      </c>
      <c r="O603">
        <v>7</v>
      </c>
    </row>
    <row r="604" spans="1:15" x14ac:dyDescent="0.35">
      <c r="A604" t="s">
        <v>616</v>
      </c>
      <c r="B604" s="2">
        <v>45880</v>
      </c>
      <c r="C604" s="2">
        <v>45897</v>
      </c>
      <c r="D604" t="s">
        <v>649</v>
      </c>
      <c r="E604" t="s">
        <v>657</v>
      </c>
      <c r="F604" t="s">
        <v>690</v>
      </c>
      <c r="G604" t="s">
        <v>702</v>
      </c>
      <c r="H604" t="s">
        <v>708</v>
      </c>
      <c r="I604" t="s">
        <v>721</v>
      </c>
      <c r="J604" t="s">
        <v>729</v>
      </c>
      <c r="K604" t="s">
        <v>1334</v>
      </c>
      <c r="L604">
        <v>416.16</v>
      </c>
      <c r="M604">
        <v>571.9</v>
      </c>
      <c r="N604">
        <v>7.0999999999999994E-2</v>
      </c>
      <c r="O604">
        <v>2</v>
      </c>
    </row>
    <row r="605" spans="1:15" x14ac:dyDescent="0.35">
      <c r="A605" t="s">
        <v>617</v>
      </c>
      <c r="B605" s="2">
        <v>45793</v>
      </c>
      <c r="C605" s="2">
        <v>45795</v>
      </c>
      <c r="D605" t="s">
        <v>647</v>
      </c>
      <c r="E605" t="s">
        <v>652</v>
      </c>
      <c r="F605" t="s">
        <v>689</v>
      </c>
      <c r="G605" t="s">
        <v>706</v>
      </c>
      <c r="H605" t="s">
        <v>707</v>
      </c>
      <c r="I605" t="s">
        <v>713</v>
      </c>
      <c r="J605" t="s">
        <v>728</v>
      </c>
      <c r="K605" t="s">
        <v>1335</v>
      </c>
      <c r="L605">
        <v>1144.3800000000001</v>
      </c>
      <c r="M605">
        <v>2755.04</v>
      </c>
      <c r="N605">
        <v>0.15</v>
      </c>
      <c r="O605">
        <v>17</v>
      </c>
    </row>
    <row r="606" spans="1:15" x14ac:dyDescent="0.35">
      <c r="A606" t="s">
        <v>618</v>
      </c>
      <c r="B606" s="2">
        <v>45026</v>
      </c>
      <c r="C606" s="2">
        <v>45041</v>
      </c>
      <c r="D606" t="s">
        <v>649</v>
      </c>
      <c r="E606" t="s">
        <v>658</v>
      </c>
      <c r="F606" t="s">
        <v>683</v>
      </c>
      <c r="G606" t="s">
        <v>705</v>
      </c>
      <c r="H606" t="s">
        <v>707</v>
      </c>
      <c r="I606" t="s">
        <v>726</v>
      </c>
      <c r="J606" t="s">
        <v>728</v>
      </c>
      <c r="K606" t="s">
        <v>1336</v>
      </c>
      <c r="L606">
        <v>405.66</v>
      </c>
      <c r="M606">
        <v>962.51</v>
      </c>
      <c r="N606">
        <v>0.19</v>
      </c>
      <c r="O606">
        <v>7</v>
      </c>
    </row>
    <row r="607" spans="1:15" x14ac:dyDescent="0.35">
      <c r="A607" t="s">
        <v>619</v>
      </c>
      <c r="B607" s="2">
        <v>45186</v>
      </c>
      <c r="C607" s="2">
        <v>45201</v>
      </c>
      <c r="D607" t="s">
        <v>648</v>
      </c>
      <c r="E607" t="s">
        <v>655</v>
      </c>
      <c r="F607" t="s">
        <v>692</v>
      </c>
      <c r="G607" t="s">
        <v>705</v>
      </c>
      <c r="H607" t="s">
        <v>707</v>
      </c>
      <c r="I607" t="s">
        <v>717</v>
      </c>
      <c r="J607" t="s">
        <v>731</v>
      </c>
      <c r="K607" t="s">
        <v>1337</v>
      </c>
      <c r="L607">
        <v>689.33</v>
      </c>
      <c r="M607">
        <v>668.27</v>
      </c>
      <c r="N607">
        <v>0.186</v>
      </c>
      <c r="O607">
        <v>13</v>
      </c>
    </row>
    <row r="608" spans="1:15" x14ac:dyDescent="0.35">
      <c r="A608" t="s">
        <v>620</v>
      </c>
      <c r="B608" s="2">
        <v>45038</v>
      </c>
      <c r="C608" s="2">
        <v>45060</v>
      </c>
      <c r="D608" t="s">
        <v>647</v>
      </c>
      <c r="E608" t="s">
        <v>652</v>
      </c>
      <c r="F608" t="s">
        <v>694</v>
      </c>
      <c r="G608" t="s">
        <v>706</v>
      </c>
      <c r="H608" t="s">
        <v>707</v>
      </c>
      <c r="I608" t="s">
        <v>720</v>
      </c>
      <c r="J608" t="s">
        <v>733</v>
      </c>
      <c r="K608" t="s">
        <v>1338</v>
      </c>
      <c r="L608">
        <v>1209.22</v>
      </c>
      <c r="M608">
        <v>1404.33</v>
      </c>
      <c r="N608">
        <v>0.10299999999999999</v>
      </c>
      <c r="O608">
        <v>11</v>
      </c>
    </row>
    <row r="609" spans="1:15" x14ac:dyDescent="0.35">
      <c r="A609" t="s">
        <v>621</v>
      </c>
      <c r="B609" s="2">
        <v>45827</v>
      </c>
      <c r="C609" s="2">
        <v>45829</v>
      </c>
      <c r="D609" t="s">
        <v>646</v>
      </c>
      <c r="E609" t="s">
        <v>661</v>
      </c>
      <c r="F609" t="s">
        <v>682</v>
      </c>
      <c r="G609" t="s">
        <v>705</v>
      </c>
      <c r="I609" t="s">
        <v>722</v>
      </c>
      <c r="J609" t="s">
        <v>730</v>
      </c>
      <c r="K609" t="s">
        <v>1339</v>
      </c>
      <c r="L609">
        <v>1466.27</v>
      </c>
      <c r="M609">
        <v>3589.89</v>
      </c>
      <c r="N609">
        <v>9.7000000000000003E-2</v>
      </c>
      <c r="O609">
        <v>9</v>
      </c>
    </row>
    <row r="610" spans="1:15" x14ac:dyDescent="0.35">
      <c r="A610" t="s">
        <v>622</v>
      </c>
      <c r="B610" s="2">
        <v>45623</v>
      </c>
      <c r="C610" s="2">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x14ac:dyDescent="0.35">
      <c r="A611" t="s">
        <v>623</v>
      </c>
      <c r="B611" s="2">
        <v>45319</v>
      </c>
      <c r="C611" s="2">
        <v>45318</v>
      </c>
      <c r="D611" t="s">
        <v>646</v>
      </c>
      <c r="E611" t="s">
        <v>661</v>
      </c>
      <c r="F611" t="s">
        <v>695</v>
      </c>
      <c r="G611" t="s">
        <v>706</v>
      </c>
      <c r="H611" t="s">
        <v>711</v>
      </c>
      <c r="I611" t="s">
        <v>719</v>
      </c>
      <c r="J611" t="s">
        <v>727</v>
      </c>
      <c r="K611" t="s">
        <v>1341</v>
      </c>
      <c r="L611">
        <v>109.75</v>
      </c>
      <c r="M611">
        <v>124.25</v>
      </c>
      <c r="N611">
        <v>0.12</v>
      </c>
      <c r="O611">
        <v>19</v>
      </c>
    </row>
    <row r="612" spans="1:15" x14ac:dyDescent="0.35">
      <c r="A612" t="s">
        <v>624</v>
      </c>
      <c r="B612" s="2">
        <v>45032</v>
      </c>
      <c r="C612" s="2">
        <v>45039</v>
      </c>
      <c r="D612" t="s">
        <v>648</v>
      </c>
      <c r="E612" t="s">
        <v>660</v>
      </c>
      <c r="F612" t="s">
        <v>697</v>
      </c>
      <c r="G612" t="s">
        <v>701</v>
      </c>
      <c r="H612" t="s">
        <v>710</v>
      </c>
      <c r="I612" t="s">
        <v>719</v>
      </c>
      <c r="J612" t="s">
        <v>728</v>
      </c>
      <c r="K612" t="s">
        <v>1342</v>
      </c>
      <c r="L612">
        <v>1099.1500000000001</v>
      </c>
      <c r="M612">
        <v>1431.37</v>
      </c>
      <c r="N612">
        <v>0.104</v>
      </c>
      <c r="O612">
        <v>8</v>
      </c>
    </row>
    <row r="613" spans="1:15" x14ac:dyDescent="0.35">
      <c r="A613" t="s">
        <v>625</v>
      </c>
      <c r="B613" s="2">
        <v>45323</v>
      </c>
      <c r="C613" s="2">
        <v>45323</v>
      </c>
      <c r="D613" t="s">
        <v>648</v>
      </c>
      <c r="E613" t="s">
        <v>660</v>
      </c>
      <c r="F613" t="s">
        <v>697</v>
      </c>
      <c r="G613" t="s">
        <v>704</v>
      </c>
      <c r="H613" t="s">
        <v>710</v>
      </c>
      <c r="I613" t="s">
        <v>722</v>
      </c>
      <c r="J613" t="s">
        <v>728</v>
      </c>
      <c r="K613" t="s">
        <v>1343</v>
      </c>
      <c r="L613">
        <v>714.43</v>
      </c>
      <c r="M613">
        <v>1595.52</v>
      </c>
      <c r="N613">
        <v>0.19400000000000001</v>
      </c>
      <c r="O613">
        <v>14</v>
      </c>
    </row>
    <row r="614" spans="1:15" x14ac:dyDescent="0.35">
      <c r="A614" t="s">
        <v>626</v>
      </c>
      <c r="B614" s="2">
        <v>45584</v>
      </c>
      <c r="C614" s="2">
        <v>45602</v>
      </c>
      <c r="D614" t="s">
        <v>648</v>
      </c>
      <c r="E614" t="s">
        <v>660</v>
      </c>
      <c r="F614" t="s">
        <v>677</v>
      </c>
      <c r="G614" t="s">
        <v>702</v>
      </c>
      <c r="I614" t="s">
        <v>712</v>
      </c>
      <c r="J614" t="s">
        <v>732</v>
      </c>
      <c r="K614" t="s">
        <v>1344</v>
      </c>
      <c r="L614">
        <v>942.02</v>
      </c>
      <c r="M614">
        <v>1028.46</v>
      </c>
      <c r="N614">
        <v>0</v>
      </c>
      <c r="O614">
        <v>9</v>
      </c>
    </row>
    <row r="615" spans="1:15" x14ac:dyDescent="0.35">
      <c r="A615" t="s">
        <v>627</v>
      </c>
      <c r="B615" s="2">
        <v>45468</v>
      </c>
      <c r="C615" s="2">
        <v>45473</v>
      </c>
      <c r="D615" t="s">
        <v>646</v>
      </c>
      <c r="E615" t="s">
        <v>650</v>
      </c>
      <c r="F615" t="s">
        <v>662</v>
      </c>
      <c r="G615" t="s">
        <v>702</v>
      </c>
      <c r="H615" t="s">
        <v>711</v>
      </c>
      <c r="I615" t="s">
        <v>724</v>
      </c>
      <c r="J615" t="s">
        <v>729</v>
      </c>
      <c r="K615" t="s">
        <v>1345</v>
      </c>
      <c r="L615">
        <v>1323.55</v>
      </c>
      <c r="M615">
        <v>3230.35</v>
      </c>
      <c r="N615">
        <v>2.1999999999999999E-2</v>
      </c>
      <c r="O615">
        <v>26</v>
      </c>
    </row>
    <row r="616" spans="1:15" x14ac:dyDescent="0.35">
      <c r="A616" t="s">
        <v>628</v>
      </c>
      <c r="B616" s="2">
        <v>45137</v>
      </c>
      <c r="C616" s="2">
        <v>45157</v>
      </c>
      <c r="D616" t="s">
        <v>649</v>
      </c>
      <c r="E616" t="s">
        <v>657</v>
      </c>
      <c r="F616" t="s">
        <v>690</v>
      </c>
      <c r="G616" t="s">
        <v>706</v>
      </c>
      <c r="H616" t="s">
        <v>709</v>
      </c>
      <c r="I616" t="s">
        <v>715</v>
      </c>
      <c r="J616" t="s">
        <v>729</v>
      </c>
      <c r="K616" t="s">
        <v>1346</v>
      </c>
      <c r="L616">
        <v>1418.51</v>
      </c>
      <c r="M616">
        <v>2789.61</v>
      </c>
      <c r="N616">
        <v>0.17100000000000001</v>
      </c>
      <c r="O616">
        <v>8</v>
      </c>
    </row>
    <row r="617" spans="1:15" x14ac:dyDescent="0.35">
      <c r="A617" t="s">
        <v>629</v>
      </c>
      <c r="B617" s="2">
        <v>45727</v>
      </c>
      <c r="C617" s="2">
        <v>45743</v>
      </c>
      <c r="D617" t="s">
        <v>647</v>
      </c>
      <c r="E617" t="s">
        <v>652</v>
      </c>
      <c r="F617" t="s">
        <v>689</v>
      </c>
      <c r="G617" t="s">
        <v>706</v>
      </c>
      <c r="H617" t="s">
        <v>710</v>
      </c>
      <c r="I617" t="s">
        <v>717</v>
      </c>
      <c r="J617" t="s">
        <v>728</v>
      </c>
      <c r="K617" t="s">
        <v>1347</v>
      </c>
      <c r="L617">
        <v>1317.58</v>
      </c>
      <c r="M617">
        <v>1897.74</v>
      </c>
      <c r="N617">
        <v>8.1000000000000003E-2</v>
      </c>
      <c r="O617">
        <v>6</v>
      </c>
    </row>
    <row r="618" spans="1:15" x14ac:dyDescent="0.35">
      <c r="A618" t="s">
        <v>630</v>
      </c>
      <c r="B618" s="2">
        <v>45208</v>
      </c>
      <c r="C618" s="2">
        <v>45210</v>
      </c>
      <c r="D618" t="s">
        <v>646</v>
      </c>
      <c r="E618" t="s">
        <v>651</v>
      </c>
      <c r="F618" t="s">
        <v>663</v>
      </c>
      <c r="G618" t="s">
        <v>702</v>
      </c>
      <c r="H618" t="s">
        <v>709</v>
      </c>
      <c r="I618" t="s">
        <v>723</v>
      </c>
      <c r="J618" t="s">
        <v>729</v>
      </c>
      <c r="K618" t="s">
        <v>1348</v>
      </c>
      <c r="L618">
        <v>391.16</v>
      </c>
      <c r="M618">
        <v>902.47</v>
      </c>
      <c r="N618">
        <v>4.0000000000000001E-3</v>
      </c>
      <c r="O618">
        <v>12</v>
      </c>
    </row>
    <row r="619" spans="1:15" x14ac:dyDescent="0.35">
      <c r="A619" t="s">
        <v>631</v>
      </c>
      <c r="B619" s="2">
        <v>45643</v>
      </c>
      <c r="C619" s="2">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x14ac:dyDescent="0.35">
      <c r="A620" t="s">
        <v>632</v>
      </c>
      <c r="B620" s="2">
        <v>45849</v>
      </c>
      <c r="C620" s="2">
        <v>45854</v>
      </c>
      <c r="D620" t="s">
        <v>649</v>
      </c>
      <c r="E620" t="s">
        <v>658</v>
      </c>
      <c r="F620" t="s">
        <v>683</v>
      </c>
      <c r="G620" t="s">
        <v>706</v>
      </c>
      <c r="H620" t="s">
        <v>708</v>
      </c>
      <c r="I620" t="s">
        <v>723</v>
      </c>
      <c r="J620" t="s">
        <v>728</v>
      </c>
      <c r="K620" t="s">
        <v>1350</v>
      </c>
      <c r="L620">
        <v>930.03</v>
      </c>
      <c r="M620">
        <v>1086.68</v>
      </c>
      <c r="N620">
        <v>0.109</v>
      </c>
      <c r="O620">
        <v>26</v>
      </c>
    </row>
    <row r="621" spans="1:15" x14ac:dyDescent="0.35">
      <c r="A621" t="s">
        <v>633</v>
      </c>
      <c r="B621" s="2">
        <v>45578</v>
      </c>
      <c r="C621" s="2">
        <v>45589</v>
      </c>
      <c r="D621" t="s">
        <v>649</v>
      </c>
      <c r="E621" t="s">
        <v>657</v>
      </c>
      <c r="F621" t="s">
        <v>690</v>
      </c>
      <c r="G621" t="s">
        <v>702</v>
      </c>
      <c r="H621" t="s">
        <v>710</v>
      </c>
      <c r="I621" t="s">
        <v>721</v>
      </c>
      <c r="J621" t="s">
        <v>727</v>
      </c>
      <c r="K621" t="s">
        <v>1351</v>
      </c>
      <c r="L621">
        <v>816.7</v>
      </c>
      <c r="M621">
        <v>1010.75</v>
      </c>
      <c r="N621">
        <v>4.7E-2</v>
      </c>
      <c r="O621">
        <v>43</v>
      </c>
    </row>
    <row r="622" spans="1:15" x14ac:dyDescent="0.35">
      <c r="A622" t="s">
        <v>634</v>
      </c>
      <c r="B622" s="2">
        <v>45177</v>
      </c>
      <c r="C622" s="2">
        <v>45183</v>
      </c>
      <c r="D622" t="s">
        <v>646</v>
      </c>
      <c r="E622" t="s">
        <v>650</v>
      </c>
      <c r="F622" t="s">
        <v>678</v>
      </c>
      <c r="G622" t="s">
        <v>702</v>
      </c>
      <c r="H622" t="s">
        <v>711</v>
      </c>
      <c r="I622" t="s">
        <v>714</v>
      </c>
      <c r="J622" t="s">
        <v>733</v>
      </c>
      <c r="K622" t="s">
        <v>1352</v>
      </c>
      <c r="L622">
        <v>251.03</v>
      </c>
      <c r="M622">
        <v>411.48</v>
      </c>
      <c r="N622">
        <v>0.16500000000000001</v>
      </c>
      <c r="O622">
        <v>3</v>
      </c>
    </row>
    <row r="623" spans="1:15" x14ac:dyDescent="0.35">
      <c r="A623" t="s">
        <v>635</v>
      </c>
      <c r="B623" s="2">
        <v>45764</v>
      </c>
      <c r="C623" s="2">
        <v>45780</v>
      </c>
      <c r="D623" t="s">
        <v>648</v>
      </c>
      <c r="E623" t="s">
        <v>655</v>
      </c>
      <c r="F623" t="s">
        <v>692</v>
      </c>
      <c r="G623" t="s">
        <v>704</v>
      </c>
      <c r="H623" t="s">
        <v>709</v>
      </c>
      <c r="I623" t="s">
        <v>713</v>
      </c>
      <c r="J623" t="s">
        <v>729</v>
      </c>
      <c r="K623" t="s">
        <v>1353</v>
      </c>
      <c r="L623">
        <v>168.68</v>
      </c>
      <c r="M623">
        <v>413.34</v>
      </c>
      <c r="N623">
        <v>0.186</v>
      </c>
      <c r="O623">
        <v>7</v>
      </c>
    </row>
    <row r="624" spans="1:15" x14ac:dyDescent="0.35">
      <c r="A624" t="s">
        <v>636</v>
      </c>
      <c r="B624" s="2">
        <v>45501</v>
      </c>
      <c r="C624" s="2">
        <v>45527</v>
      </c>
      <c r="D624" t="s">
        <v>647</v>
      </c>
      <c r="E624" t="s">
        <v>654</v>
      </c>
      <c r="F624" t="s">
        <v>696</v>
      </c>
      <c r="G624" t="s">
        <v>701</v>
      </c>
      <c r="H624" t="s">
        <v>707</v>
      </c>
      <c r="I624" t="s">
        <v>713</v>
      </c>
      <c r="J624" t="s">
        <v>729</v>
      </c>
      <c r="K624" t="s">
        <v>1354</v>
      </c>
      <c r="L624">
        <v>1339.24</v>
      </c>
      <c r="M624">
        <v>1558.89</v>
      </c>
      <c r="N624">
        <v>0.192</v>
      </c>
      <c r="O624">
        <v>24</v>
      </c>
    </row>
    <row r="625" spans="1:15" x14ac:dyDescent="0.35">
      <c r="A625" t="s">
        <v>637</v>
      </c>
      <c r="B625" s="2">
        <v>45857</v>
      </c>
      <c r="C625" s="2">
        <v>45869</v>
      </c>
      <c r="D625" t="s">
        <v>646</v>
      </c>
      <c r="E625" t="s">
        <v>650</v>
      </c>
      <c r="F625" t="s">
        <v>664</v>
      </c>
      <c r="G625" t="s">
        <v>705</v>
      </c>
      <c r="H625" t="s">
        <v>709</v>
      </c>
      <c r="I625" t="s">
        <v>719</v>
      </c>
      <c r="J625" t="s">
        <v>733</v>
      </c>
      <c r="K625" t="s">
        <v>1355</v>
      </c>
      <c r="L625">
        <v>619.64</v>
      </c>
      <c r="M625">
        <v>861.16</v>
      </c>
      <c r="N625">
        <v>0.113</v>
      </c>
      <c r="O625">
        <v>14</v>
      </c>
    </row>
    <row r="626" spans="1:15" x14ac:dyDescent="0.35">
      <c r="A626" t="s">
        <v>638</v>
      </c>
      <c r="B626" s="2">
        <v>45141</v>
      </c>
      <c r="C626" s="2">
        <v>45140</v>
      </c>
      <c r="D626" t="s">
        <v>647</v>
      </c>
      <c r="E626" t="s">
        <v>659</v>
      </c>
      <c r="F626" t="s">
        <v>685</v>
      </c>
      <c r="G626" t="s">
        <v>703</v>
      </c>
      <c r="H626" t="s">
        <v>711</v>
      </c>
      <c r="I626" t="s">
        <v>713</v>
      </c>
      <c r="J626" t="s">
        <v>729</v>
      </c>
      <c r="K626" t="s">
        <v>1356</v>
      </c>
      <c r="L626">
        <v>1021.97</v>
      </c>
      <c r="M626">
        <v>2296.25</v>
      </c>
      <c r="N626">
        <v>0.161</v>
      </c>
      <c r="O626">
        <v>26</v>
      </c>
    </row>
    <row r="627" spans="1:15" x14ac:dyDescent="0.35">
      <c r="A627" t="s">
        <v>639</v>
      </c>
      <c r="B627" s="2">
        <v>45249</v>
      </c>
      <c r="C627" s="2">
        <v>45272</v>
      </c>
      <c r="D627" t="s">
        <v>647</v>
      </c>
      <c r="E627" t="s">
        <v>654</v>
      </c>
      <c r="F627" t="s">
        <v>680</v>
      </c>
      <c r="G627" t="s">
        <v>705</v>
      </c>
      <c r="H627" t="s">
        <v>711</v>
      </c>
      <c r="I627" t="s">
        <v>712</v>
      </c>
      <c r="J627" t="s">
        <v>729</v>
      </c>
      <c r="K627" t="s">
        <v>1357</v>
      </c>
      <c r="L627">
        <v>1349.04</v>
      </c>
      <c r="M627">
        <v>2636.6</v>
      </c>
      <c r="N627">
        <v>0.114</v>
      </c>
      <c r="O627">
        <v>14</v>
      </c>
    </row>
    <row r="628" spans="1:15" x14ac:dyDescent="0.35">
      <c r="A628" t="s">
        <v>640</v>
      </c>
      <c r="B628" s="2">
        <v>45282</v>
      </c>
      <c r="C628" s="2">
        <v>45307</v>
      </c>
      <c r="D628" t="s">
        <v>647</v>
      </c>
      <c r="E628" t="s">
        <v>654</v>
      </c>
      <c r="F628" t="s">
        <v>696</v>
      </c>
      <c r="G628" t="s">
        <v>705</v>
      </c>
      <c r="H628" t="s">
        <v>707</v>
      </c>
      <c r="I628" t="s">
        <v>720</v>
      </c>
      <c r="J628" t="s">
        <v>727</v>
      </c>
      <c r="K628" t="s">
        <v>1358</v>
      </c>
      <c r="L628">
        <v>1346.81</v>
      </c>
      <c r="M628">
        <v>978.09</v>
      </c>
      <c r="N628">
        <v>0.159</v>
      </c>
      <c r="O628">
        <v>17</v>
      </c>
    </row>
    <row r="629" spans="1:15" x14ac:dyDescent="0.35">
      <c r="A629" t="s">
        <v>641</v>
      </c>
      <c r="B629" s="2">
        <v>45141</v>
      </c>
      <c r="C629" s="2">
        <v>45168</v>
      </c>
      <c r="D629" t="s">
        <v>647</v>
      </c>
      <c r="E629" t="s">
        <v>659</v>
      </c>
      <c r="F629" t="s">
        <v>685</v>
      </c>
      <c r="G629" t="s">
        <v>704</v>
      </c>
      <c r="H629" t="s">
        <v>710</v>
      </c>
      <c r="I629" t="s">
        <v>725</v>
      </c>
      <c r="J629" t="s">
        <v>732</v>
      </c>
      <c r="K629" t="s">
        <v>1359</v>
      </c>
      <c r="L629">
        <v>226.04</v>
      </c>
      <c r="M629">
        <v>545.72</v>
      </c>
      <c r="N629">
        <v>0.151</v>
      </c>
      <c r="O629">
        <v>11</v>
      </c>
    </row>
    <row r="630" spans="1:15" x14ac:dyDescent="0.35">
      <c r="A630" t="s">
        <v>642</v>
      </c>
      <c r="B630" s="2">
        <v>45100</v>
      </c>
      <c r="C630" s="2">
        <v>45125</v>
      </c>
      <c r="D630" t="s">
        <v>648</v>
      </c>
      <c r="E630" t="s">
        <v>653</v>
      </c>
      <c r="F630" t="s">
        <v>688</v>
      </c>
      <c r="G630" t="s">
        <v>706</v>
      </c>
      <c r="H630" t="s">
        <v>708</v>
      </c>
      <c r="I630" t="s">
        <v>725</v>
      </c>
      <c r="J630" t="s">
        <v>730</v>
      </c>
      <c r="K630" t="s">
        <v>1360</v>
      </c>
      <c r="L630">
        <v>807.02</v>
      </c>
      <c r="M630">
        <v>1435.54</v>
      </c>
      <c r="N630">
        <v>0</v>
      </c>
      <c r="O630">
        <v>23</v>
      </c>
    </row>
    <row r="631" spans="1:15" x14ac:dyDescent="0.35">
      <c r="A631" t="s">
        <v>643</v>
      </c>
      <c r="B631" s="2">
        <v>45267</v>
      </c>
      <c r="C631" s="2">
        <v>45293</v>
      </c>
      <c r="D631" t="s">
        <v>649</v>
      </c>
      <c r="E631" t="s">
        <v>656</v>
      </c>
      <c r="F631" t="s">
        <v>698</v>
      </c>
      <c r="G631" t="s">
        <v>706</v>
      </c>
      <c r="H631" t="s">
        <v>710</v>
      </c>
      <c r="I631" t="s">
        <v>718</v>
      </c>
      <c r="J631" t="s">
        <v>727</v>
      </c>
      <c r="K631" t="s">
        <v>1361</v>
      </c>
      <c r="L631">
        <v>1071.99</v>
      </c>
      <c r="M631">
        <v>2397.3000000000002</v>
      </c>
      <c r="N631">
        <v>6.2E-2</v>
      </c>
      <c r="O631">
        <v>18</v>
      </c>
    </row>
    <row r="632" spans="1:15" x14ac:dyDescent="0.35">
      <c r="A632" t="s">
        <v>644</v>
      </c>
      <c r="B632" s="2">
        <v>45249</v>
      </c>
      <c r="C632" s="2">
        <v>45279</v>
      </c>
      <c r="D632" t="s">
        <v>647</v>
      </c>
      <c r="E632" t="s">
        <v>652</v>
      </c>
      <c r="F632" t="s">
        <v>694</v>
      </c>
      <c r="G632" t="s">
        <v>704</v>
      </c>
      <c r="H632" t="s">
        <v>707</v>
      </c>
      <c r="J632" t="s">
        <v>730</v>
      </c>
      <c r="K632" t="s">
        <v>1362</v>
      </c>
      <c r="L632">
        <v>807.11</v>
      </c>
      <c r="M632">
        <v>1853.86</v>
      </c>
      <c r="N632">
        <v>0.13900000000000001</v>
      </c>
      <c r="O632">
        <v>8</v>
      </c>
    </row>
    <row r="633" spans="1:15" x14ac:dyDescent="0.35">
      <c r="A633" t="s">
        <v>645</v>
      </c>
      <c r="B633" s="2">
        <v>45716</v>
      </c>
      <c r="C633" s="2">
        <v>45726</v>
      </c>
      <c r="D633" t="s">
        <v>647</v>
      </c>
      <c r="E633" t="s">
        <v>652</v>
      </c>
      <c r="F633" t="s">
        <v>666</v>
      </c>
      <c r="G633" t="s">
        <v>702</v>
      </c>
      <c r="H633" t="s">
        <v>710</v>
      </c>
      <c r="I633" t="s">
        <v>725</v>
      </c>
      <c r="J633" t="s">
        <v>731</v>
      </c>
      <c r="K633" t="s">
        <v>1363</v>
      </c>
      <c r="L633">
        <v>51.86</v>
      </c>
      <c r="M633">
        <v>45.98</v>
      </c>
      <c r="N633">
        <v>0.17299999999999999</v>
      </c>
      <c r="O633">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EB4D1-11B0-4643-B401-299BC16E81C5}">
  <dimension ref="A1:A47"/>
  <sheetViews>
    <sheetView topLeftCell="A27" workbookViewId="0">
      <selection activeCell="A46" sqref="A46"/>
    </sheetView>
  </sheetViews>
  <sheetFormatPr defaultRowHeight="14.5" x14ac:dyDescent="0.35"/>
  <cols>
    <col min="1" max="1" width="130.90625" customWidth="1"/>
  </cols>
  <sheetData>
    <row r="1" spans="1:1" ht="21" x14ac:dyDescent="0.5">
      <c r="A1" s="41" t="s">
        <v>1555</v>
      </c>
    </row>
    <row r="2" spans="1:1" x14ac:dyDescent="0.35">
      <c r="A2" s="42"/>
    </row>
    <row r="3" spans="1:1" x14ac:dyDescent="0.35">
      <c r="A3" s="11"/>
    </row>
    <row r="4" spans="1:1" ht="15.5" x14ac:dyDescent="0.35">
      <c r="A4" s="43" t="s">
        <v>1515</v>
      </c>
    </row>
    <row r="5" spans="1:1" x14ac:dyDescent="0.35">
      <c r="A5" s="11" t="s">
        <v>1516</v>
      </c>
    </row>
    <row r="6" spans="1:1" x14ac:dyDescent="0.35">
      <c r="A6" s="11" t="s">
        <v>1517</v>
      </c>
    </row>
    <row r="7" spans="1:1" x14ac:dyDescent="0.35">
      <c r="A7" s="11" t="s">
        <v>1518</v>
      </c>
    </row>
    <row r="8" spans="1:1" x14ac:dyDescent="0.35">
      <c r="A8" s="11" t="s">
        <v>1519</v>
      </c>
    </row>
    <row r="9" spans="1:1" x14ac:dyDescent="0.35">
      <c r="A9" s="11" t="s">
        <v>1520</v>
      </c>
    </row>
    <row r="10" spans="1:1" x14ac:dyDescent="0.35">
      <c r="A10" s="11"/>
    </row>
    <row r="11" spans="1:1" ht="15.5" x14ac:dyDescent="0.35">
      <c r="A11" s="43" t="s">
        <v>1521</v>
      </c>
    </row>
    <row r="12" spans="1:1" x14ac:dyDescent="0.35">
      <c r="A12" s="11" t="s">
        <v>1522</v>
      </c>
    </row>
    <row r="13" spans="1:1" x14ac:dyDescent="0.35">
      <c r="A13" s="11" t="s">
        <v>1523</v>
      </c>
    </row>
    <row r="14" spans="1:1" x14ac:dyDescent="0.35">
      <c r="A14" s="11" t="s">
        <v>1524</v>
      </c>
    </row>
    <row r="15" spans="1:1" x14ac:dyDescent="0.35">
      <c r="A15" s="11" t="s">
        <v>1525</v>
      </c>
    </row>
    <row r="16" spans="1:1" x14ac:dyDescent="0.35">
      <c r="A16" s="11" t="s">
        <v>1526</v>
      </c>
    </row>
    <row r="17" spans="1:1" x14ac:dyDescent="0.35">
      <c r="A17" s="11" t="s">
        <v>1527</v>
      </c>
    </row>
    <row r="18" spans="1:1" x14ac:dyDescent="0.35">
      <c r="A18" s="11" t="s">
        <v>1528</v>
      </c>
    </row>
    <row r="19" spans="1:1" x14ac:dyDescent="0.35">
      <c r="A19" s="11" t="s">
        <v>1529</v>
      </c>
    </row>
    <row r="20" spans="1:1" x14ac:dyDescent="0.35">
      <c r="A20" s="11"/>
    </row>
    <row r="21" spans="1:1" ht="15.5" x14ac:dyDescent="0.35">
      <c r="A21" s="43" t="s">
        <v>1530</v>
      </c>
    </row>
    <row r="22" spans="1:1" x14ac:dyDescent="0.35">
      <c r="A22" s="11" t="s">
        <v>1531</v>
      </c>
    </row>
    <row r="23" spans="1:1" x14ac:dyDescent="0.35">
      <c r="A23" s="11" t="s">
        <v>1532</v>
      </c>
    </row>
    <row r="24" spans="1:1" x14ac:dyDescent="0.35">
      <c r="A24" s="11" t="s">
        <v>1533</v>
      </c>
    </row>
    <row r="25" spans="1:1" x14ac:dyDescent="0.35">
      <c r="A25" s="11" t="s">
        <v>1534</v>
      </c>
    </row>
    <row r="26" spans="1:1" x14ac:dyDescent="0.35">
      <c r="A26" s="11" t="s">
        <v>1535</v>
      </c>
    </row>
    <row r="27" spans="1:1" x14ac:dyDescent="0.35">
      <c r="A27" s="11" t="s">
        <v>1536</v>
      </c>
    </row>
    <row r="28" spans="1:1" x14ac:dyDescent="0.35">
      <c r="A28" s="11" t="s">
        <v>1537</v>
      </c>
    </row>
    <row r="29" spans="1:1" x14ac:dyDescent="0.35">
      <c r="A29" s="11"/>
    </row>
    <row r="30" spans="1:1" ht="15.5" x14ac:dyDescent="0.35">
      <c r="A30" s="43" t="s">
        <v>1538</v>
      </c>
    </row>
    <row r="31" spans="1:1" x14ac:dyDescent="0.35">
      <c r="A31" s="11" t="s">
        <v>1539</v>
      </c>
    </row>
    <row r="32" spans="1:1" x14ac:dyDescent="0.35">
      <c r="A32" s="11" t="s">
        <v>1540</v>
      </c>
    </row>
    <row r="33" spans="1:1" x14ac:dyDescent="0.35">
      <c r="A33" s="11" t="s">
        <v>1541</v>
      </c>
    </row>
    <row r="34" spans="1:1" x14ac:dyDescent="0.35">
      <c r="A34" s="11" t="s">
        <v>1542</v>
      </c>
    </row>
    <row r="35" spans="1:1" x14ac:dyDescent="0.35">
      <c r="A35" s="11"/>
    </row>
    <row r="36" spans="1:1" x14ac:dyDescent="0.35">
      <c r="A36" s="11" t="s">
        <v>1543</v>
      </c>
    </row>
    <row r="37" spans="1:1" x14ac:dyDescent="0.35">
      <c r="A37" s="11" t="s">
        <v>1544</v>
      </c>
    </row>
    <row r="38" spans="1:1" ht="15.5" x14ac:dyDescent="0.35">
      <c r="A38" s="43" t="s">
        <v>1545</v>
      </c>
    </row>
    <row r="39" spans="1:1" x14ac:dyDescent="0.35">
      <c r="A39" s="11" t="s">
        <v>1546</v>
      </c>
    </row>
    <row r="40" spans="1:1" x14ac:dyDescent="0.35">
      <c r="A40" s="11" t="s">
        <v>1547</v>
      </c>
    </row>
    <row r="41" spans="1:1" x14ac:dyDescent="0.35">
      <c r="A41" s="11" t="s">
        <v>1548</v>
      </c>
    </row>
    <row r="42" spans="1:1" x14ac:dyDescent="0.35">
      <c r="A42" s="11" t="s">
        <v>1549</v>
      </c>
    </row>
    <row r="43" spans="1:1" x14ac:dyDescent="0.35">
      <c r="A43" s="11"/>
    </row>
    <row r="44" spans="1:1" x14ac:dyDescent="0.35">
      <c r="A44" s="11" t="s">
        <v>1550</v>
      </c>
    </row>
    <row r="45" spans="1:1" x14ac:dyDescent="0.35">
      <c r="A45" s="11" t="s">
        <v>1551</v>
      </c>
    </row>
    <row r="46" spans="1:1" ht="15.5" x14ac:dyDescent="0.35">
      <c r="A46" s="43"/>
    </row>
    <row r="47" spans="1:1" x14ac:dyDescent="0.35">
      <c r="A47" s="11" t="s">
        <v>1552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0"/>
  <sheetViews>
    <sheetView topLeftCell="A46" workbookViewId="0">
      <selection activeCell="G70" sqref="G70"/>
    </sheetView>
  </sheetViews>
  <sheetFormatPr defaultRowHeight="14.5" x14ac:dyDescent="0.35"/>
  <sheetData>
    <row r="1" spans="1:1" x14ac:dyDescent="0.35">
      <c r="A1" s="1" t="s">
        <v>1364</v>
      </c>
    </row>
    <row r="2" spans="1:1" x14ac:dyDescent="0.35">
      <c r="A2" t="s">
        <v>1365</v>
      </c>
    </row>
    <row r="4" spans="1:1" x14ac:dyDescent="0.35">
      <c r="A4" t="s">
        <v>1366</v>
      </c>
    </row>
    <row r="5" spans="1:1" x14ac:dyDescent="0.35">
      <c r="A5" t="s">
        <v>1367</v>
      </c>
    </row>
    <row r="6" spans="1:1" x14ac:dyDescent="0.35">
      <c r="A6" t="s">
        <v>1368</v>
      </c>
    </row>
    <row r="8" spans="1:1" x14ac:dyDescent="0.35">
      <c r="A8" t="s">
        <v>1369</v>
      </c>
    </row>
    <row r="9" spans="1:1" x14ac:dyDescent="0.35">
      <c r="A9" t="s">
        <v>1370</v>
      </c>
    </row>
    <row r="10" spans="1:1" x14ac:dyDescent="0.35">
      <c r="A10" t="s">
        <v>1371</v>
      </c>
    </row>
    <row r="11" spans="1:1" x14ac:dyDescent="0.35">
      <c r="A11" t="s">
        <v>1372</v>
      </c>
    </row>
    <row r="12" spans="1:1" x14ac:dyDescent="0.35">
      <c r="A12" t="s">
        <v>1373</v>
      </c>
    </row>
    <row r="13" spans="1:1" x14ac:dyDescent="0.35">
      <c r="A13" t="s">
        <v>1374</v>
      </c>
    </row>
    <row r="14" spans="1:1" x14ac:dyDescent="0.35">
      <c r="A14" t="s">
        <v>1375</v>
      </c>
    </row>
    <row r="15" spans="1:1" x14ac:dyDescent="0.35">
      <c r="A15" t="s">
        <v>1376</v>
      </c>
    </row>
    <row r="17" spans="1:1" x14ac:dyDescent="0.35">
      <c r="A17" t="s">
        <v>1377</v>
      </c>
    </row>
    <row r="18" spans="1:1" x14ac:dyDescent="0.35">
      <c r="A18" t="s">
        <v>1378</v>
      </c>
    </row>
    <row r="19" spans="1:1" x14ac:dyDescent="0.35">
      <c r="A19" t="s">
        <v>1379</v>
      </c>
    </row>
    <row r="20" spans="1:1" x14ac:dyDescent="0.35">
      <c r="A20" t="s">
        <v>1380</v>
      </c>
    </row>
    <row r="21" spans="1:1" x14ac:dyDescent="0.35">
      <c r="A21" t="s">
        <v>1381</v>
      </c>
    </row>
    <row r="23" spans="1:1" x14ac:dyDescent="0.35">
      <c r="A23" t="s">
        <v>1382</v>
      </c>
    </row>
    <row r="24" spans="1:1" x14ac:dyDescent="0.35">
      <c r="A24" t="s">
        <v>1383</v>
      </c>
    </row>
    <row r="25" spans="1:1" x14ac:dyDescent="0.35">
      <c r="A25" t="s">
        <v>1384</v>
      </c>
    </row>
    <row r="26" spans="1:1" x14ac:dyDescent="0.35">
      <c r="A26" t="s">
        <v>1385</v>
      </c>
    </row>
    <row r="27" spans="1:1" x14ac:dyDescent="0.35">
      <c r="A27" t="s">
        <v>1386</v>
      </c>
    </row>
    <row r="29" spans="1:1" x14ac:dyDescent="0.35">
      <c r="A29" t="s">
        <v>1387</v>
      </c>
    </row>
    <row r="30" spans="1:1" x14ac:dyDescent="0.35">
      <c r="A30" t="s">
        <v>1388</v>
      </c>
    </row>
    <row r="31" spans="1:1" x14ac:dyDescent="0.35">
      <c r="A31" t="s">
        <v>1389</v>
      </c>
    </row>
    <row r="32" spans="1:1" x14ac:dyDescent="0.35">
      <c r="A32" t="s">
        <v>1390</v>
      </c>
    </row>
    <row r="33" spans="1:1" x14ac:dyDescent="0.35">
      <c r="A33" t="s">
        <v>1391</v>
      </c>
    </row>
    <row r="34" spans="1:1" x14ac:dyDescent="0.35">
      <c r="A34" t="s">
        <v>1392</v>
      </c>
    </row>
    <row r="35" spans="1:1" x14ac:dyDescent="0.35">
      <c r="A35" t="s">
        <v>1393</v>
      </c>
    </row>
    <row r="36" spans="1:1" x14ac:dyDescent="0.35">
      <c r="A36" t="s">
        <v>1394</v>
      </c>
    </row>
    <row r="37" spans="1:1" x14ac:dyDescent="0.35">
      <c r="A37" t="s">
        <v>1395</v>
      </c>
    </row>
    <row r="38" spans="1:1" x14ac:dyDescent="0.35">
      <c r="A38" t="s">
        <v>1396</v>
      </c>
    </row>
    <row r="39" spans="1:1" x14ac:dyDescent="0.35">
      <c r="A39" t="s">
        <v>1397</v>
      </c>
    </row>
    <row r="40" spans="1:1" x14ac:dyDescent="0.35">
      <c r="A40" t="s">
        <v>1398</v>
      </c>
    </row>
    <row r="41" spans="1:1" x14ac:dyDescent="0.35">
      <c r="A41" t="s">
        <v>1399</v>
      </c>
    </row>
    <row r="43" spans="1:1" x14ac:dyDescent="0.35">
      <c r="A43" t="s">
        <v>1400</v>
      </c>
    </row>
    <row r="44" spans="1:1" x14ac:dyDescent="0.35">
      <c r="A44" t="s">
        <v>1401</v>
      </c>
    </row>
    <row r="45" spans="1:1" x14ac:dyDescent="0.35">
      <c r="A45" t="s">
        <v>1402</v>
      </c>
    </row>
    <row r="46" spans="1:1" x14ac:dyDescent="0.35">
      <c r="A46" t="s">
        <v>1403</v>
      </c>
    </row>
    <row r="47" spans="1:1" x14ac:dyDescent="0.35">
      <c r="A47" t="s">
        <v>1404</v>
      </c>
    </row>
    <row r="48" spans="1:1" x14ac:dyDescent="0.35">
      <c r="A48" t="s">
        <v>1405</v>
      </c>
    </row>
    <row r="50" spans="1:1" x14ac:dyDescent="0.35">
      <c r="A50" t="s">
        <v>1406</v>
      </c>
    </row>
    <row r="51" spans="1:1" x14ac:dyDescent="0.35">
      <c r="A51" t="s">
        <v>1407</v>
      </c>
    </row>
    <row r="52" spans="1:1" x14ac:dyDescent="0.35">
      <c r="A52" t="s">
        <v>1408</v>
      </c>
    </row>
    <row r="53" spans="1:1" x14ac:dyDescent="0.35">
      <c r="A53" t="s">
        <v>1409</v>
      </c>
    </row>
    <row r="54" spans="1:1" x14ac:dyDescent="0.35">
      <c r="A54" t="s">
        <v>1410</v>
      </c>
    </row>
    <row r="55" spans="1:1" x14ac:dyDescent="0.35">
      <c r="A55" t="s">
        <v>1411</v>
      </c>
    </row>
    <row r="56" spans="1:1" x14ac:dyDescent="0.35">
      <c r="A56" t="s">
        <v>1412</v>
      </c>
    </row>
    <row r="57" spans="1:1" x14ac:dyDescent="0.35">
      <c r="A57" t="s">
        <v>1413</v>
      </c>
    </row>
    <row r="58" spans="1:1" x14ac:dyDescent="0.35">
      <c r="A58" t="s">
        <v>1414</v>
      </c>
    </row>
    <row r="59" spans="1:1" x14ac:dyDescent="0.35">
      <c r="A59" t="s">
        <v>1415</v>
      </c>
    </row>
    <row r="61" spans="1:1" x14ac:dyDescent="0.35">
      <c r="A61" t="s">
        <v>1416</v>
      </c>
    </row>
    <row r="62" spans="1:1" x14ac:dyDescent="0.35">
      <c r="A62" t="s">
        <v>1417</v>
      </c>
    </row>
    <row r="64" spans="1:1" x14ac:dyDescent="0.35">
      <c r="A64" t="s">
        <v>1418</v>
      </c>
    </row>
    <row r="65" spans="1:7" x14ac:dyDescent="0.35">
      <c r="A65" t="s">
        <v>1419</v>
      </c>
    </row>
    <row r="66" spans="1:7" x14ac:dyDescent="0.35">
      <c r="A66" t="s">
        <v>1420</v>
      </c>
    </row>
    <row r="67" spans="1:7" x14ac:dyDescent="0.35">
      <c r="A67" t="s">
        <v>1421</v>
      </c>
    </row>
    <row r="70" spans="1:7" x14ac:dyDescent="0.35">
      <c r="G70" t="s">
        <v>1488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7014E-E9BA-473A-8006-9AF2947B04AD}">
  <dimension ref="A1:AP633"/>
  <sheetViews>
    <sheetView topLeftCell="AK1" workbookViewId="0">
      <selection activeCell="T1" sqref="A1:XFD1048576"/>
    </sheetView>
  </sheetViews>
  <sheetFormatPr defaultRowHeight="14.5" x14ac:dyDescent="0.35"/>
  <cols>
    <col min="1" max="1" width="15.90625" bestFit="1" customWidth="1"/>
    <col min="2" max="3" width="15.90625" customWidth="1"/>
    <col min="4" max="4" width="15.90625" style="9" customWidth="1"/>
    <col min="5" max="5" width="15.90625" style="7" customWidth="1"/>
    <col min="6" max="6" width="11.7265625" style="9" customWidth="1"/>
    <col min="7" max="7" width="11.7265625" customWidth="1"/>
    <col min="8" max="10" width="11.7265625" style="7" customWidth="1"/>
    <col min="11" max="12" width="17.453125" style="7" customWidth="1"/>
    <col min="13" max="13" width="14.36328125" style="9" customWidth="1"/>
    <col min="14" max="14" width="21.08984375" style="9" customWidth="1"/>
    <col min="16" max="16" width="9.54296875" customWidth="1"/>
    <col min="17" max="17" width="8.7265625" customWidth="1"/>
    <col min="18" max="18" width="18.26953125" customWidth="1"/>
    <col min="19" max="19" width="9.6328125" customWidth="1"/>
    <col min="20" max="20" width="12.81640625" customWidth="1"/>
    <col min="21" max="21" width="16.90625" customWidth="1"/>
    <col min="22" max="22" width="8.7265625" customWidth="1"/>
    <col min="23" max="23" width="10.08984375" customWidth="1"/>
    <col min="24" max="24" width="16.81640625" bestFit="1" customWidth="1"/>
    <col min="25" max="26" width="10.453125" customWidth="1"/>
    <col min="27" max="27" width="12.81640625" customWidth="1"/>
    <col min="28" max="28" width="25" style="5" bestFit="1" customWidth="1"/>
    <col min="29" max="29" width="17" bestFit="1" customWidth="1"/>
    <col min="30" max="30" width="10.1796875" customWidth="1"/>
    <col min="31" max="31" width="20.54296875" bestFit="1" customWidth="1"/>
    <col min="32" max="34" width="17.6328125" customWidth="1"/>
    <col min="35" max="35" width="17.6328125" style="5" customWidth="1"/>
    <col min="36" max="37" width="17.6328125" customWidth="1"/>
    <col min="38" max="38" width="29" style="5" customWidth="1"/>
    <col min="39" max="39" width="17.6328125" style="5" bestFit="1" customWidth="1"/>
    <col min="40" max="40" width="17.6328125" style="5" customWidth="1"/>
    <col min="41" max="41" width="18.1796875" bestFit="1" customWidth="1"/>
    <col min="42" max="42" width="13.1796875" bestFit="1" customWidth="1"/>
  </cols>
  <sheetData>
    <row r="1" spans="1:42" x14ac:dyDescent="0.35">
      <c r="A1" s="3" t="s">
        <v>0</v>
      </c>
      <c r="B1" s="3" t="s">
        <v>1422</v>
      </c>
      <c r="C1" s="3" t="s">
        <v>1423</v>
      </c>
      <c r="D1" s="8" t="s">
        <v>1440</v>
      </c>
      <c r="E1" s="6" t="s">
        <v>1441</v>
      </c>
      <c r="F1" s="8" t="s">
        <v>1</v>
      </c>
      <c r="G1" s="3" t="s">
        <v>1424</v>
      </c>
      <c r="H1" s="6" t="s">
        <v>1425</v>
      </c>
      <c r="I1" s="6" t="s">
        <v>1426</v>
      </c>
      <c r="J1" s="6" t="s">
        <v>1427</v>
      </c>
      <c r="K1" s="6" t="s">
        <v>1428</v>
      </c>
      <c r="L1" s="6" t="s">
        <v>1462</v>
      </c>
      <c r="M1" s="8" t="s">
        <v>2</v>
      </c>
      <c r="N1" s="8" t="s">
        <v>1429</v>
      </c>
      <c r="O1" s="3" t="s">
        <v>3</v>
      </c>
      <c r="P1" s="3" t="s">
        <v>4</v>
      </c>
      <c r="Q1" s="3" t="s">
        <v>5</v>
      </c>
      <c r="R1" s="3" t="s">
        <v>6</v>
      </c>
      <c r="S1" s="3" t="s">
        <v>7</v>
      </c>
      <c r="T1" s="3" t="s">
        <v>8</v>
      </c>
      <c r="U1" s="3" t="s">
        <v>9</v>
      </c>
      <c r="V1" s="3" t="s">
        <v>10</v>
      </c>
      <c r="W1" s="3" t="s">
        <v>11</v>
      </c>
      <c r="X1" s="3" t="s">
        <v>1469</v>
      </c>
      <c r="Y1" s="3" t="s">
        <v>12</v>
      </c>
      <c r="Z1" s="3" t="s">
        <v>1439</v>
      </c>
      <c r="AA1" s="3" t="s">
        <v>13</v>
      </c>
      <c r="AB1" s="4" t="s">
        <v>1472</v>
      </c>
      <c r="AC1" s="3" t="s">
        <v>1431</v>
      </c>
      <c r="AD1" s="3" t="s">
        <v>14</v>
      </c>
      <c r="AE1" s="3" t="s">
        <v>1470</v>
      </c>
      <c r="AF1" s="3" t="s">
        <v>1432</v>
      </c>
      <c r="AG1" s="3" t="s">
        <v>1447</v>
      </c>
      <c r="AH1" s="3" t="s">
        <v>1448</v>
      </c>
      <c r="AI1" s="4" t="s">
        <v>1450</v>
      </c>
      <c r="AJ1" s="3" t="s">
        <v>1449</v>
      </c>
      <c r="AK1" s="3" t="s">
        <v>1477</v>
      </c>
      <c r="AL1" s="4" t="s">
        <v>1471</v>
      </c>
      <c r="AM1" s="4" t="s">
        <v>1430</v>
      </c>
      <c r="AN1" s="4" t="s">
        <v>1433</v>
      </c>
      <c r="AO1" s="3" t="s">
        <v>1478</v>
      </c>
      <c r="AP1" s="3" t="s">
        <v>1485</v>
      </c>
    </row>
    <row r="2" spans="1:42" x14ac:dyDescent="0.35">
      <c r="A2" t="s">
        <v>557</v>
      </c>
      <c r="B2" t="str">
        <f>_xlfn.TEXTAFTER(Table1[[#This Row],[OrderID]],"-",2)</f>
        <v>960380</v>
      </c>
      <c r="C2">
        <f>YEAR(Table1[[#This Row],[OrderDate]])</f>
        <v>2023</v>
      </c>
      <c r="D2" s="9">
        <f>_xlfn.MINIFS(F:F,P:P,Table1[[#This Row],[Country]])</f>
        <v>44941</v>
      </c>
      <c r="E2" s="7">
        <f>DATEDIF(Table1[[#This Row],[first_time_orders]],Table1[[#This Row],[OrderDate]],"m")</f>
        <v>0</v>
      </c>
      <c r="F2" s="9">
        <v>44968</v>
      </c>
      <c r="G2" s="2" t="str">
        <f>TEXT(Table1[[#This Row],[OrderDate]],"MMM-YYYY")</f>
        <v>Feb-2023</v>
      </c>
      <c r="H2" s="7">
        <f>MONTH(Table1[[#This Row],[OrderDate]])</f>
        <v>2</v>
      </c>
      <c r="I2" s="7" t="str">
        <f>"Q"&amp;ROUNDUP(Table1[[#This Row],[months]]/3,0)&amp;"-"&amp;Table1[[#This Row],[order_year]]</f>
        <v>Q1-2023</v>
      </c>
      <c r="J2" s="7">
        <f>Table1[[#This Row],[RequiredDate]]-Table1[[#This Row],[OrderDate]]</f>
        <v>1</v>
      </c>
      <c r="K2" s="7">
        <f>IF(Table1[[#This Row],[lead_time]]&lt;0,MEDIAN(J:J),Table1[[#This Row],[lead_time]])</f>
        <v>1</v>
      </c>
      <c r="L2" s="7">
        <f>IF(Table1[[#This Row],[adj_lead_time]]&lt;=7,1,0)</f>
        <v>1</v>
      </c>
      <c r="M2" s="9">
        <v>44969</v>
      </c>
      <c r="N2" s="9">
        <f>IF(Table1[[#This Row],[lead_time]]&lt;0,(Table1[[#This Row],[OrderDate]]+Table1[[#This Row],[adj_lead_time]]),Table1[[#This Row],[RequiredDate]])</f>
        <v>44969</v>
      </c>
      <c r="O2" t="s">
        <v>646</v>
      </c>
      <c r="P2" t="s">
        <v>651</v>
      </c>
      <c r="Q2" t="s">
        <v>663</v>
      </c>
      <c r="R2" t="s">
        <v>703</v>
      </c>
      <c r="S2" t="s">
        <v>711</v>
      </c>
      <c r="T2" t="s">
        <v>726</v>
      </c>
      <c r="U2" t="s">
        <v>733</v>
      </c>
      <c r="V2" t="s">
        <v>1275</v>
      </c>
      <c r="W2">
        <v>944.61</v>
      </c>
      <c r="X2">
        <f>Table1[[#This Row],[UnitCost]]*(1+'scenario modeling'!$B$3)</f>
        <v>1039.0710000000001</v>
      </c>
      <c r="Y2">
        <v>839.04</v>
      </c>
      <c r="Z2" t="str">
        <f>IF(Table1[[#This Row],[UnitPrice]]&lt;=Quantiles!$B$2,Quantiles!$A$2,IF(Table1[[#This Row],[UnitPrice]]&lt;=Quantiles!$B$3,Quantiles!$A$3,Quantiles!$A$4))</f>
        <v>Medium</v>
      </c>
      <c r="AA2">
        <v>5.8999999999999997E-2</v>
      </c>
      <c r="AB2" s="5">
        <f>MIN(Table1[[#This Row],[DiscountPct]],'scenario modeling'!$B$2)</f>
        <v>5.8999999999999997E-2</v>
      </c>
      <c r="AC2" t="str">
        <f>IF(Table1[[#This Row],[DiscountPct]]&gt;0.3, "&gt;0.3","")</f>
        <v/>
      </c>
      <c r="AD2">
        <v>6</v>
      </c>
      <c r="AE2">
        <f>Table1[[#This Row],[Quantity]]*(1+'scenario modeling'!$B$4)</f>
        <v>7.1999999999999993</v>
      </c>
      <c r="AF2">
        <f>Table1[[#This Row],[UnitCost]]*Table1[[#This Row],[Quantity]]</f>
        <v>5667.66</v>
      </c>
      <c r="AG2">
        <f>SUMIF($U:U,Table1[[#This Row],[ProductCategory]],$AM:AM)</f>
        <v>1331102.9440700002</v>
      </c>
      <c r="AH2">
        <f>SUMIFS($AM$2:AM2,$U$2:U2,U2)</f>
        <v>4737.2198399999997</v>
      </c>
      <c r="AI2" s="5">
        <f>Table1[[#This Row],[Cumulative_revenue]]/Table1[[#This Row],[Category_revenue]]</f>
        <v>3.5588681259432916E-3</v>
      </c>
      <c r="AJ2" t="str">
        <f>IF(Table1[[#This Row],[cumulative_pct]]&lt;=0.8,"A",IF(Table1[[#This Row],[cumulative_pct]]&lt;=0.95,"B","C"))</f>
        <v>A</v>
      </c>
      <c r="AK2">
        <f>Table1[[#This Row],[adj_unit_cost]]*Table1[[#This Row],[scenario_quantity]]</f>
        <v>7481.3112000000001</v>
      </c>
      <c r="AL2" s="5">
        <f>Table1[[#This Row],[UnitPrice]]*Table1[[#This Row],[scenario_quantity]]*(1-Table1[[#This Row],[cap_adjusted_discount]])</f>
        <v>5684.6638079999993</v>
      </c>
      <c r="AM2" s="5">
        <f>Table1[[#This Row],[UnitPrice]]*Table1[[#This Row],[Quantity]]*(1-Table1[[#This Row],[DiscountPct]])</f>
        <v>4737.2198399999997</v>
      </c>
      <c r="AN2" s="5">
        <f>Table1[[#This Row],[gross_revenue]]-Table1[[#This Row],[cost_of_goods]]</f>
        <v>-930.44016000000011</v>
      </c>
      <c r="AO2" s="5">
        <f>Table1[[#This Row],[scenario_revenue]]-Table1[[#This Row],[Scenario_unit_cost]]</f>
        <v>-1796.6473920000008</v>
      </c>
      <c r="AP2" s="5">
        <f>IF(Table1[[#This Row],[gross_revenue]]=0,0,Table1[[#This Row],[gross_profit]]/Table1[[#This Row],[gross_revenue]])</f>
        <v>-0.19641059343363726</v>
      </c>
    </row>
    <row r="3" spans="1:42" x14ac:dyDescent="0.35">
      <c r="A3" t="s">
        <v>144</v>
      </c>
      <c r="B3" t="str">
        <f>_xlfn.TEXTAFTER(Table1[[#This Row],[OrderID]],"-",2)</f>
        <v>521818</v>
      </c>
      <c r="C3">
        <f>YEAR(Table1[[#This Row],[OrderDate]])</f>
        <v>2023</v>
      </c>
      <c r="D3" s="9">
        <f>_xlfn.MINIFS(F:F,P:P,Table1[[#This Row],[Country]])</f>
        <v>44955</v>
      </c>
      <c r="E3" s="7">
        <f>DATEDIF(Table1[[#This Row],[first_time_orders]],Table1[[#This Row],[OrderDate]],"m")</f>
        <v>0</v>
      </c>
      <c r="F3" s="9">
        <v>44955</v>
      </c>
      <c r="G3" s="2" t="str">
        <f>TEXT(Table1[[#This Row],[OrderDate]],"MMM-YYYY")</f>
        <v>Jan-2023</v>
      </c>
      <c r="H3" s="7">
        <f>MONTH(Table1[[#This Row],[OrderDate]])</f>
        <v>1</v>
      </c>
      <c r="I3" s="7" t="str">
        <f>"Q"&amp;ROUNDUP(Table1[[#This Row],[months]]/3,0)&amp;"-"&amp;Table1[[#This Row],[order_year]]</f>
        <v>Q1-2023</v>
      </c>
      <c r="J3" s="7">
        <f>Table1[[#This Row],[RequiredDate]]-Table1[[#This Row],[OrderDate]]</f>
        <v>30</v>
      </c>
      <c r="K3" s="7">
        <f>IF(Table1[[#This Row],[lead_time]]&lt;0,MEDIAN(J:J),Table1[[#This Row],[lead_time]])</f>
        <v>30</v>
      </c>
      <c r="L3" s="7">
        <f>IF(Table1[[#This Row],[adj_lead_time]]&lt;=7,1,0)</f>
        <v>0</v>
      </c>
      <c r="M3" s="9">
        <v>44985</v>
      </c>
      <c r="N3" s="9">
        <f>IF(Table1[[#This Row],[lead_time]]&lt;0,(Table1[[#This Row],[OrderDate]]+Table1[[#This Row],[adj_lead_time]]),Table1[[#This Row],[RequiredDate]])</f>
        <v>44985</v>
      </c>
      <c r="O3" t="s">
        <v>647</v>
      </c>
      <c r="P3" t="s">
        <v>654</v>
      </c>
      <c r="Q3" t="s">
        <v>668</v>
      </c>
      <c r="R3" t="s">
        <v>703</v>
      </c>
      <c r="S3" t="s">
        <v>707</v>
      </c>
      <c r="T3" t="s">
        <v>717</v>
      </c>
      <c r="U3" t="s">
        <v>733</v>
      </c>
      <c r="V3" t="s">
        <v>921</v>
      </c>
      <c r="W3">
        <v>1262.0999999999999</v>
      </c>
      <c r="X3">
        <f>Table1[[#This Row],[UnitCost]]*(1+'scenario modeling'!$B$3)</f>
        <v>1388.31</v>
      </c>
      <c r="Y3">
        <v>1395.53</v>
      </c>
      <c r="Z3" t="str">
        <f>IF(Table1[[#This Row],[UnitPrice]]&lt;=Quantiles!$B$2,Quantiles!$A$2,IF(Table1[[#This Row],[UnitPrice]]&lt;=Quantiles!$B$3,Quantiles!$A$3,Quantiles!$A$4))</f>
        <v>Medium</v>
      </c>
      <c r="AA3">
        <v>0.23300000000000001</v>
      </c>
      <c r="AB3" s="5">
        <f>MIN(Table1[[#This Row],[DiscountPct]],'scenario modeling'!$B$2)</f>
        <v>0.1</v>
      </c>
      <c r="AC3" t="str">
        <f>IF(Table1[[#This Row],[DiscountPct]]&gt;0.3, "&gt;0.3","")</f>
        <v/>
      </c>
      <c r="AD3">
        <v>25</v>
      </c>
      <c r="AE3">
        <f>Table1[[#This Row],[Quantity]]*(1+'scenario modeling'!$B$4)</f>
        <v>30</v>
      </c>
      <c r="AF3">
        <f>Table1[[#This Row],[UnitCost]]*Table1[[#This Row],[Quantity]]</f>
        <v>31552.499999999996</v>
      </c>
      <c r="AG3">
        <f>SUMIF($U:U,Table1[[#This Row],[ProductCategory]],$AM:AM)</f>
        <v>1331102.9440700002</v>
      </c>
      <c r="AH3">
        <f>SUMIFS($AM$2:AM3,$U$2:U3,U3)</f>
        <v>31496.507590000001</v>
      </c>
      <c r="AI3" s="5">
        <f>Table1[[#This Row],[Cumulative_revenue]]/Table1[[#This Row],[Category_revenue]]</f>
        <v>2.3661962232384377E-2</v>
      </c>
      <c r="AJ3" t="str">
        <f>IF(Table1[[#This Row],[cumulative_pct]]&lt;=0.8,"A",IF(Table1[[#This Row],[cumulative_pct]]&lt;=0.95,"B","C"))</f>
        <v>A</v>
      </c>
      <c r="AK3">
        <f>Table1[[#This Row],[adj_unit_cost]]*Table1[[#This Row],[scenario_quantity]]</f>
        <v>41649.299999999996</v>
      </c>
      <c r="AL3" s="5">
        <f>Table1[[#This Row],[UnitPrice]]*Table1[[#This Row],[scenario_quantity]]*(1-Table1[[#This Row],[cap_adjusted_discount]])</f>
        <v>37679.310000000005</v>
      </c>
      <c r="AM3" s="5">
        <f>Table1[[#This Row],[UnitPrice]]*Table1[[#This Row],[Quantity]]*(1-Table1[[#This Row],[DiscountPct]])</f>
        <v>26759.28775</v>
      </c>
      <c r="AN3" s="5">
        <f>Table1[[#This Row],[gross_revenue]]-Table1[[#This Row],[cost_of_goods]]</f>
        <v>-4793.2122499999969</v>
      </c>
      <c r="AO3" s="5">
        <f>Table1[[#This Row],[scenario_revenue]]-Table1[[#This Row],[Scenario_unit_cost]]</f>
        <v>-3969.9899999999907</v>
      </c>
      <c r="AP3" s="5">
        <f>IF(Table1[[#This Row],[gross_revenue]]=0,0,Table1[[#This Row],[gross_profit]]/Table1[[#This Row],[gross_revenue]])</f>
        <v>-0.17912331205452198</v>
      </c>
    </row>
    <row r="4" spans="1:42" x14ac:dyDescent="0.35">
      <c r="A4" t="s">
        <v>465</v>
      </c>
      <c r="B4" t="str">
        <f>_xlfn.TEXTAFTER(Table1[[#This Row],[OrderID]],"-",2)</f>
        <v>780206</v>
      </c>
      <c r="C4">
        <f>YEAR(Table1[[#This Row],[OrderDate]])</f>
        <v>2023</v>
      </c>
      <c r="D4" s="9">
        <f>_xlfn.MINIFS(F:F,P:P,Table1[[#This Row],[Country]])</f>
        <v>44945</v>
      </c>
      <c r="E4" s="7">
        <f>DATEDIF(Table1[[#This Row],[first_time_orders]],Table1[[#This Row],[OrderDate]],"m")</f>
        <v>0</v>
      </c>
      <c r="F4" s="9">
        <v>44945</v>
      </c>
      <c r="G4" s="2" t="str">
        <f>TEXT(Table1[[#This Row],[OrderDate]],"MMM-YYYY")</f>
        <v>Jan-2023</v>
      </c>
      <c r="H4" s="7">
        <f>MONTH(Table1[[#This Row],[OrderDate]])</f>
        <v>1</v>
      </c>
      <c r="I4" s="7" t="str">
        <f>"Q"&amp;ROUNDUP(Table1[[#This Row],[months]]/3,0)&amp;"-"&amp;Table1[[#This Row],[order_year]]</f>
        <v>Q1-2023</v>
      </c>
      <c r="J4" s="7">
        <f>Table1[[#This Row],[RequiredDate]]-Table1[[#This Row],[OrderDate]]</f>
        <v>15</v>
      </c>
      <c r="K4" s="7">
        <f>IF(Table1[[#This Row],[lead_time]]&lt;0,MEDIAN(J:J),Table1[[#This Row],[lead_time]])</f>
        <v>15</v>
      </c>
      <c r="L4" s="7">
        <f>IF(Table1[[#This Row],[adj_lead_time]]&lt;=7,1,0)</f>
        <v>0</v>
      </c>
      <c r="M4" s="9">
        <v>44960</v>
      </c>
      <c r="N4" s="9">
        <f>IF(Table1[[#This Row],[lead_time]]&lt;0,(Table1[[#This Row],[OrderDate]]+Table1[[#This Row],[adj_lead_time]]),Table1[[#This Row],[RequiredDate]])</f>
        <v>44960</v>
      </c>
      <c r="O4" t="s">
        <v>649</v>
      </c>
      <c r="P4" t="s">
        <v>658</v>
      </c>
      <c r="Q4" t="s">
        <v>683</v>
      </c>
      <c r="R4" t="s">
        <v>706</v>
      </c>
      <c r="S4" t="s">
        <v>710</v>
      </c>
      <c r="T4" t="s">
        <v>715</v>
      </c>
      <c r="U4" t="s">
        <v>733</v>
      </c>
      <c r="V4" t="s">
        <v>1184</v>
      </c>
      <c r="W4">
        <v>873.06</v>
      </c>
      <c r="X4">
        <f>Table1[[#This Row],[UnitCost]]*(1+'scenario modeling'!$B$3)</f>
        <v>960.36599999999999</v>
      </c>
      <c r="Y4">
        <v>2101.5500000000002</v>
      </c>
      <c r="Z4" t="str">
        <f>IF(Table1[[#This Row],[UnitPrice]]&lt;=Quantiles!$B$2,Quantiles!$A$2,IF(Table1[[#This Row],[UnitPrice]]&lt;=Quantiles!$B$3,Quantiles!$A$3,Quantiles!$A$4))</f>
        <v>High</v>
      </c>
      <c r="AA4">
        <v>6.6000000000000003E-2</v>
      </c>
      <c r="AB4" s="5">
        <f>MIN(Table1[[#This Row],[DiscountPct]],'scenario modeling'!$B$2)</f>
        <v>6.6000000000000003E-2</v>
      </c>
      <c r="AC4" t="str">
        <f>IF(Table1[[#This Row],[DiscountPct]]&gt;0.3, "&gt;0.3","")</f>
        <v/>
      </c>
      <c r="AD4">
        <v>10</v>
      </c>
      <c r="AE4">
        <f>Table1[[#This Row],[Quantity]]*(1+'scenario modeling'!$B$4)</f>
        <v>12</v>
      </c>
      <c r="AF4">
        <f>Table1[[#This Row],[UnitCost]]*Table1[[#This Row],[Quantity]]</f>
        <v>8730.5999999999985</v>
      </c>
      <c r="AG4">
        <f>SUMIF($U:U,Table1[[#This Row],[ProductCategory]],$AM:AM)</f>
        <v>1331102.9440700002</v>
      </c>
      <c r="AH4">
        <f>SUMIFS($AM$2:AM4,$U$2:U4,U4)</f>
        <v>51124.98459</v>
      </c>
      <c r="AI4" s="5">
        <f>Table1[[#This Row],[Cumulative_revenue]]/Table1[[#This Row],[Category_revenue]]</f>
        <v>3.8407987013896527E-2</v>
      </c>
      <c r="AJ4" t="str">
        <f>IF(Table1[[#This Row],[cumulative_pct]]&lt;=0.8,"A",IF(Table1[[#This Row],[cumulative_pct]]&lt;=0.95,"B","C"))</f>
        <v>A</v>
      </c>
      <c r="AK4">
        <f>Table1[[#This Row],[adj_unit_cost]]*Table1[[#This Row],[scenario_quantity]]</f>
        <v>11524.392</v>
      </c>
      <c r="AL4" s="5">
        <f>Table1[[#This Row],[UnitPrice]]*Table1[[#This Row],[scenario_quantity]]*(1-Table1[[#This Row],[cap_adjusted_discount]])</f>
        <v>23554.172399999999</v>
      </c>
      <c r="AM4" s="5">
        <f>Table1[[#This Row],[UnitPrice]]*Table1[[#This Row],[Quantity]]*(1-Table1[[#This Row],[DiscountPct]])</f>
        <v>19628.476999999999</v>
      </c>
      <c r="AN4" s="5">
        <f>Table1[[#This Row],[gross_revenue]]-Table1[[#This Row],[cost_of_goods]]</f>
        <v>10897.877</v>
      </c>
      <c r="AO4" s="5">
        <f>Table1[[#This Row],[scenario_revenue]]-Table1[[#This Row],[Scenario_unit_cost]]</f>
        <v>12029.7804</v>
      </c>
      <c r="AP4" s="5">
        <f>IF(Table1[[#This Row],[gross_revenue]]=0,0,Table1[[#This Row],[gross_profit]]/Table1[[#This Row],[gross_revenue]])</f>
        <v>0.55520746719167269</v>
      </c>
    </row>
    <row r="5" spans="1:42" x14ac:dyDescent="0.35">
      <c r="A5" t="s">
        <v>620</v>
      </c>
      <c r="B5" t="str">
        <f>_xlfn.TEXTAFTER(Table1[[#This Row],[OrderID]],"-",2)</f>
        <v>107265</v>
      </c>
      <c r="C5">
        <f>YEAR(Table1[[#This Row],[OrderDate]])</f>
        <v>2023</v>
      </c>
      <c r="D5" s="9">
        <f>_xlfn.MINIFS(F:F,P:P,Table1[[#This Row],[Country]])</f>
        <v>44988</v>
      </c>
      <c r="E5" s="7">
        <f>DATEDIF(Table1[[#This Row],[first_time_orders]],Table1[[#This Row],[OrderDate]],"m")</f>
        <v>1</v>
      </c>
      <c r="F5" s="9">
        <v>45038</v>
      </c>
      <c r="G5" s="2" t="str">
        <f>TEXT(Table1[[#This Row],[OrderDate]],"MMM-YYYY")</f>
        <v>Apr-2023</v>
      </c>
      <c r="H5" s="7">
        <f>MONTH(Table1[[#This Row],[OrderDate]])</f>
        <v>4</v>
      </c>
      <c r="I5" s="7" t="str">
        <f>"Q"&amp;ROUNDUP(Table1[[#This Row],[months]]/3,0)&amp;"-"&amp;Table1[[#This Row],[order_year]]</f>
        <v>Q2-2023</v>
      </c>
      <c r="J5" s="7">
        <f>Table1[[#This Row],[RequiredDate]]-Table1[[#This Row],[OrderDate]]</f>
        <v>22</v>
      </c>
      <c r="K5" s="7">
        <f>IF(Table1[[#This Row],[lead_time]]&lt;0,MEDIAN(J:J),Table1[[#This Row],[lead_time]])</f>
        <v>22</v>
      </c>
      <c r="L5" s="7">
        <f>IF(Table1[[#This Row],[adj_lead_time]]&lt;=7,1,0)</f>
        <v>0</v>
      </c>
      <c r="M5" s="9">
        <v>45060</v>
      </c>
      <c r="N5" s="9">
        <f>IF(Table1[[#This Row],[lead_time]]&lt;0,(Table1[[#This Row],[OrderDate]]+Table1[[#This Row],[adj_lead_time]]),Table1[[#This Row],[RequiredDate]])</f>
        <v>45060</v>
      </c>
      <c r="O5" t="s">
        <v>647</v>
      </c>
      <c r="P5" t="s">
        <v>652</v>
      </c>
      <c r="Q5" t="s">
        <v>694</v>
      </c>
      <c r="R5" t="s">
        <v>706</v>
      </c>
      <c r="S5" t="s">
        <v>707</v>
      </c>
      <c r="T5" t="s">
        <v>720</v>
      </c>
      <c r="U5" t="s">
        <v>733</v>
      </c>
      <c r="V5" t="s">
        <v>1338</v>
      </c>
      <c r="W5">
        <v>1209.22</v>
      </c>
      <c r="X5">
        <f>Table1[[#This Row],[UnitCost]]*(1+'scenario modeling'!$B$3)</f>
        <v>1330.1420000000001</v>
      </c>
      <c r="Y5">
        <v>1404.33</v>
      </c>
      <c r="Z5" t="str">
        <f>IF(Table1[[#This Row],[UnitPrice]]&lt;=Quantiles!$B$2,Quantiles!$A$2,IF(Table1[[#This Row],[UnitPrice]]&lt;=Quantiles!$B$3,Quantiles!$A$3,Quantiles!$A$4))</f>
        <v>Medium</v>
      </c>
      <c r="AA5">
        <v>0.10299999999999999</v>
      </c>
      <c r="AB5" s="5">
        <f>MIN(Table1[[#This Row],[DiscountPct]],'scenario modeling'!$B$2)</f>
        <v>0.1</v>
      </c>
      <c r="AC5" t="str">
        <f>IF(Table1[[#This Row],[DiscountPct]]&gt;0.3, "&gt;0.3","")</f>
        <v/>
      </c>
      <c r="AD5">
        <v>11</v>
      </c>
      <c r="AE5">
        <f>Table1[[#This Row],[Quantity]]*(1+'scenario modeling'!$B$4)</f>
        <v>13.2</v>
      </c>
      <c r="AF5">
        <f>Table1[[#This Row],[UnitCost]]*Table1[[#This Row],[Quantity]]</f>
        <v>13301.42</v>
      </c>
      <c r="AG5">
        <f>SUMIF($U:U,Table1[[#This Row],[ProductCategory]],$AM:AM)</f>
        <v>1331102.9440700002</v>
      </c>
      <c r="AH5">
        <f>SUMIFS($AM$2:AM5,$U$2:U5,U5)</f>
        <v>64981.508699999998</v>
      </c>
      <c r="AI5" s="5">
        <f>Table1[[#This Row],[Cumulative_revenue]]/Table1[[#This Row],[Category_revenue]]</f>
        <v>4.8817793536923275E-2</v>
      </c>
      <c r="AJ5" t="str">
        <f>IF(Table1[[#This Row],[cumulative_pct]]&lt;=0.8,"A",IF(Table1[[#This Row],[cumulative_pct]]&lt;=0.95,"B","C"))</f>
        <v>A</v>
      </c>
      <c r="AK5">
        <f>Table1[[#This Row],[adj_unit_cost]]*Table1[[#This Row],[scenario_quantity]]</f>
        <v>17557.874400000001</v>
      </c>
      <c r="AL5" s="5">
        <f>Table1[[#This Row],[UnitPrice]]*Table1[[#This Row],[scenario_quantity]]*(1-Table1[[#This Row],[cap_adjusted_discount]])</f>
        <v>16683.440399999999</v>
      </c>
      <c r="AM5" s="5">
        <f>Table1[[#This Row],[UnitPrice]]*Table1[[#This Row],[Quantity]]*(1-Table1[[#This Row],[DiscountPct]])</f>
        <v>13856.52411</v>
      </c>
      <c r="AN5" s="5">
        <f>Table1[[#This Row],[gross_revenue]]-Table1[[#This Row],[cost_of_goods]]</f>
        <v>555.10411000000022</v>
      </c>
      <c r="AO5" s="5">
        <f>Table1[[#This Row],[scenario_revenue]]-Table1[[#This Row],[Scenario_unit_cost]]</f>
        <v>-874.43400000000111</v>
      </c>
      <c r="AP5" s="5">
        <f>IF(Table1[[#This Row],[gross_revenue]]=0,0,Table1[[#This Row],[gross_profit]]/Table1[[#This Row],[gross_revenue]])</f>
        <v>4.0060848275751328E-2</v>
      </c>
    </row>
    <row r="6" spans="1:42" x14ac:dyDescent="0.35">
      <c r="A6" t="s">
        <v>423</v>
      </c>
      <c r="B6" t="str">
        <f>_xlfn.TEXTAFTER(Table1[[#This Row],[OrderID]],"-",2)</f>
        <v>674887</v>
      </c>
      <c r="C6">
        <f>YEAR(Table1[[#This Row],[OrderDate]])</f>
        <v>2023</v>
      </c>
      <c r="D6" s="9">
        <f>_xlfn.MINIFS(F:F,P:P,Table1[[#This Row],[Country]])</f>
        <v>44938</v>
      </c>
      <c r="E6" s="7">
        <f>DATEDIF(Table1[[#This Row],[first_time_orders]],Table1[[#This Row],[OrderDate]],"m")</f>
        <v>11</v>
      </c>
      <c r="F6" s="9">
        <v>45276</v>
      </c>
      <c r="G6" s="2" t="str">
        <f>TEXT(Table1[[#This Row],[OrderDate]],"MMM-YYYY")</f>
        <v>Dec-2023</v>
      </c>
      <c r="H6" s="7">
        <f>MONTH(Table1[[#This Row],[OrderDate]])</f>
        <v>12</v>
      </c>
      <c r="I6" s="7" t="str">
        <f>"Q"&amp;ROUNDUP(Table1[[#This Row],[months]]/3,0)&amp;"-"&amp;Table1[[#This Row],[order_year]]</f>
        <v>Q4-2023</v>
      </c>
      <c r="J6" s="7">
        <f>Table1[[#This Row],[RequiredDate]]-Table1[[#This Row],[OrderDate]]</f>
        <v>3</v>
      </c>
      <c r="K6" s="7">
        <f>IF(Table1[[#This Row],[lead_time]]&lt;0,MEDIAN(J:J),Table1[[#This Row],[lead_time]])</f>
        <v>3</v>
      </c>
      <c r="L6" s="7">
        <f>IF(Table1[[#This Row],[adj_lead_time]]&lt;=7,1,0)</f>
        <v>1</v>
      </c>
      <c r="M6" s="9">
        <v>45279</v>
      </c>
      <c r="N6" s="9">
        <f>IF(Table1[[#This Row],[lead_time]]&lt;0,(Table1[[#This Row],[OrderDate]]+Table1[[#This Row],[adj_lead_time]]),Table1[[#This Row],[RequiredDate]])</f>
        <v>45279</v>
      </c>
      <c r="O6" t="s">
        <v>647</v>
      </c>
      <c r="P6" t="s">
        <v>659</v>
      </c>
      <c r="Q6" t="s">
        <v>699</v>
      </c>
      <c r="R6" t="s">
        <v>702</v>
      </c>
      <c r="S6" t="s">
        <v>707</v>
      </c>
      <c r="T6" t="s">
        <v>720</v>
      </c>
      <c r="U6" t="s">
        <v>733</v>
      </c>
      <c r="V6" t="s">
        <v>1142</v>
      </c>
      <c r="W6">
        <v>1415.05</v>
      </c>
      <c r="X6">
        <f>Table1[[#This Row],[UnitCost]]*(1+'scenario modeling'!$B$3)</f>
        <v>1556.5550000000001</v>
      </c>
      <c r="Y6">
        <v>1972.38</v>
      </c>
      <c r="Z6" t="str">
        <f>IF(Table1[[#This Row],[UnitPrice]]&lt;=Quantiles!$B$2,Quantiles!$A$2,IF(Table1[[#This Row],[UnitPrice]]&lt;=Quantiles!$B$3,Quantiles!$A$3,Quantiles!$A$4))</f>
        <v>High</v>
      </c>
      <c r="AA6">
        <v>0</v>
      </c>
      <c r="AB6" s="5">
        <f>MIN(Table1[[#This Row],[DiscountPct]],'scenario modeling'!$B$2)</f>
        <v>0</v>
      </c>
      <c r="AC6" t="str">
        <f>IF(Table1[[#This Row],[DiscountPct]]&gt;0.3, "&gt;0.3","")</f>
        <v/>
      </c>
      <c r="AD6">
        <v>12</v>
      </c>
      <c r="AE6">
        <f>Table1[[#This Row],[Quantity]]*(1+'scenario modeling'!$B$4)</f>
        <v>14.399999999999999</v>
      </c>
      <c r="AF6">
        <f>Table1[[#This Row],[UnitCost]]*Table1[[#This Row],[Quantity]]</f>
        <v>16980.599999999999</v>
      </c>
      <c r="AG6">
        <f>SUMIF($U:U,Table1[[#This Row],[ProductCategory]],$AM:AM)</f>
        <v>1331102.9440700002</v>
      </c>
      <c r="AH6">
        <f>SUMIFS($AM$2:AM6,$U$2:U6,U6)</f>
        <v>88650.068700000003</v>
      </c>
      <c r="AI6" s="5">
        <f>Table1[[#This Row],[Cumulative_revenue]]/Table1[[#This Row],[Category_revenue]]</f>
        <v>6.6598957725194585E-2</v>
      </c>
      <c r="AJ6" t="str">
        <f>IF(Table1[[#This Row],[cumulative_pct]]&lt;=0.8,"A",IF(Table1[[#This Row],[cumulative_pct]]&lt;=0.95,"B","C"))</f>
        <v>A</v>
      </c>
      <c r="AK6">
        <f>Table1[[#This Row],[adj_unit_cost]]*Table1[[#This Row],[scenario_quantity]]</f>
        <v>22414.392</v>
      </c>
      <c r="AL6" s="5">
        <f>Table1[[#This Row],[UnitPrice]]*Table1[[#This Row],[scenario_quantity]]*(1-Table1[[#This Row],[cap_adjusted_discount]])</f>
        <v>28402.271999999997</v>
      </c>
      <c r="AM6" s="5">
        <f>Table1[[#This Row],[UnitPrice]]*Table1[[#This Row],[Quantity]]*(1-Table1[[#This Row],[DiscountPct]])</f>
        <v>23668.560000000001</v>
      </c>
      <c r="AN6" s="5">
        <f>Table1[[#This Row],[gross_revenue]]-Table1[[#This Row],[cost_of_goods]]</f>
        <v>6687.9600000000028</v>
      </c>
      <c r="AO6" s="5">
        <f>Table1[[#This Row],[scenario_revenue]]-Table1[[#This Row],[Scenario_unit_cost]]</f>
        <v>5987.8799999999974</v>
      </c>
      <c r="AP6" s="5">
        <f>IF(Table1[[#This Row],[gross_revenue]]=0,0,Table1[[#This Row],[gross_profit]]/Table1[[#This Row],[gross_revenue]])</f>
        <v>0.28256725377462771</v>
      </c>
    </row>
    <row r="7" spans="1:42" x14ac:dyDescent="0.35">
      <c r="A7" t="s">
        <v>452</v>
      </c>
      <c r="B7" t="str">
        <f>_xlfn.TEXTAFTER(Table1[[#This Row],[OrderID]],"-",2)</f>
        <v>808024</v>
      </c>
      <c r="C7">
        <f>YEAR(Table1[[#This Row],[OrderDate]])</f>
        <v>2023</v>
      </c>
      <c r="D7" s="9">
        <f>_xlfn.MINIFS(F:F,P:P,Table1[[#This Row],[Country]])</f>
        <v>44936</v>
      </c>
      <c r="E7" s="7">
        <f>DATEDIF(Table1[[#This Row],[first_time_orders]],Table1[[#This Row],[OrderDate]],"m")</f>
        <v>11</v>
      </c>
      <c r="F7" s="9">
        <v>45290</v>
      </c>
      <c r="G7" s="2" t="str">
        <f>TEXT(Table1[[#This Row],[OrderDate]],"MMM-YYYY")</f>
        <v>Dec-2023</v>
      </c>
      <c r="H7" s="7">
        <f>MONTH(Table1[[#This Row],[OrderDate]])</f>
        <v>12</v>
      </c>
      <c r="I7" s="7" t="str">
        <f>"Q"&amp;ROUNDUP(Table1[[#This Row],[months]]/3,0)&amp;"-"&amp;Table1[[#This Row],[order_year]]</f>
        <v>Q4-2023</v>
      </c>
      <c r="J7" s="7">
        <f>Table1[[#This Row],[RequiredDate]]-Table1[[#This Row],[OrderDate]]</f>
        <v>9</v>
      </c>
      <c r="K7" s="7">
        <f>IF(Table1[[#This Row],[lead_time]]&lt;0,MEDIAN(J:J),Table1[[#This Row],[lead_time]])</f>
        <v>9</v>
      </c>
      <c r="L7" s="7">
        <f>IF(Table1[[#This Row],[adj_lead_time]]&lt;=7,1,0)</f>
        <v>0</v>
      </c>
      <c r="M7" s="9">
        <v>45299</v>
      </c>
      <c r="N7" s="9">
        <f>IF(Table1[[#This Row],[lead_time]]&lt;0,(Table1[[#This Row],[OrderDate]]+Table1[[#This Row],[adj_lead_time]]),Table1[[#This Row],[RequiredDate]])</f>
        <v>45299</v>
      </c>
      <c r="O7" t="s">
        <v>649</v>
      </c>
      <c r="P7" t="s">
        <v>657</v>
      </c>
      <c r="Q7" t="s">
        <v>673</v>
      </c>
      <c r="R7" t="s">
        <v>704</v>
      </c>
      <c r="S7" t="s">
        <v>709</v>
      </c>
      <c r="T7" t="s">
        <v>716</v>
      </c>
      <c r="U7" t="s">
        <v>733</v>
      </c>
      <c r="V7" t="s">
        <v>1171</v>
      </c>
      <c r="W7">
        <v>861.1</v>
      </c>
      <c r="X7">
        <f>Table1[[#This Row],[UnitCost]]*(1+'scenario modeling'!$B$3)</f>
        <v>947.21000000000015</v>
      </c>
      <c r="Y7">
        <v>1224.72</v>
      </c>
      <c r="Z7" t="str">
        <f>IF(Table1[[#This Row],[UnitPrice]]&lt;=Quantiles!$B$2,Quantiles!$A$2,IF(Table1[[#This Row],[UnitPrice]]&lt;=Quantiles!$B$3,Quantiles!$A$3,Quantiles!$A$4))</f>
        <v>Medium</v>
      </c>
      <c r="AA7">
        <v>0.17399999999999999</v>
      </c>
      <c r="AB7" s="5">
        <f>MIN(Table1[[#This Row],[DiscountPct]],'scenario modeling'!$B$2)</f>
        <v>0.1</v>
      </c>
      <c r="AC7" t="str">
        <f>IF(Table1[[#This Row],[DiscountPct]]&gt;0.3, "&gt;0.3","")</f>
        <v/>
      </c>
      <c r="AD7">
        <v>24</v>
      </c>
      <c r="AE7">
        <f>Table1[[#This Row],[Quantity]]*(1+'scenario modeling'!$B$4)</f>
        <v>28.799999999999997</v>
      </c>
      <c r="AF7">
        <f>Table1[[#This Row],[UnitCost]]*Table1[[#This Row],[Quantity]]</f>
        <v>20666.400000000001</v>
      </c>
      <c r="AG7">
        <f>SUMIF($U:U,Table1[[#This Row],[ProductCategory]],$AM:AM)</f>
        <v>1331102.9440700002</v>
      </c>
      <c r="AH7">
        <f>SUMIFS($AM$2:AM7,$U$2:U7,U7)</f>
        <v>112928.91798</v>
      </c>
      <c r="AI7" s="5">
        <f>Table1[[#This Row],[Cumulative_revenue]]/Table1[[#This Row],[Category_revenue]]</f>
        <v>8.4838605821655574E-2</v>
      </c>
      <c r="AJ7" t="str">
        <f>IF(Table1[[#This Row],[cumulative_pct]]&lt;=0.8,"A",IF(Table1[[#This Row],[cumulative_pct]]&lt;=0.95,"B","C"))</f>
        <v>A</v>
      </c>
      <c r="AK7">
        <f>Table1[[#This Row],[adj_unit_cost]]*Table1[[#This Row],[scenario_quantity]]</f>
        <v>27279.648000000001</v>
      </c>
      <c r="AL7" s="5">
        <f>Table1[[#This Row],[UnitPrice]]*Table1[[#This Row],[scenario_quantity]]*(1-Table1[[#This Row],[cap_adjusted_discount]])</f>
        <v>31744.742399999996</v>
      </c>
      <c r="AM7" s="5">
        <f>Table1[[#This Row],[UnitPrice]]*Table1[[#This Row],[Quantity]]*(1-Table1[[#This Row],[DiscountPct]])</f>
        <v>24278.849280000002</v>
      </c>
      <c r="AN7" s="5">
        <f>Table1[[#This Row],[gross_revenue]]-Table1[[#This Row],[cost_of_goods]]</f>
        <v>3612.4492800000007</v>
      </c>
      <c r="AO7" s="5">
        <f>Table1[[#This Row],[scenario_revenue]]-Table1[[#This Row],[Scenario_unit_cost]]</f>
        <v>4465.0943999999945</v>
      </c>
      <c r="AP7" s="5">
        <f>IF(Table1[[#This Row],[gross_revenue]]=0,0,Table1[[#This Row],[gross_profit]]/Table1[[#This Row],[gross_revenue]])</f>
        <v>0.14878997098827909</v>
      </c>
    </row>
    <row r="8" spans="1:42" x14ac:dyDescent="0.35">
      <c r="A8" t="s">
        <v>369</v>
      </c>
      <c r="B8" t="str">
        <f>_xlfn.TEXTAFTER(Table1[[#This Row],[OrderID]],"-",2)</f>
        <v>921935</v>
      </c>
      <c r="C8">
        <f>YEAR(Table1[[#This Row],[OrderDate]])</f>
        <v>2024</v>
      </c>
      <c r="D8" s="9">
        <f>_xlfn.MINIFS(F:F,P:P,Table1[[#This Row],[Country]])</f>
        <v>44945</v>
      </c>
      <c r="E8" s="7">
        <f>DATEDIF(Table1[[#This Row],[first_time_orders]],Table1[[#This Row],[OrderDate]],"m")</f>
        <v>11</v>
      </c>
      <c r="F8" s="9">
        <v>45292</v>
      </c>
      <c r="G8" s="2" t="str">
        <f>TEXT(Table1[[#This Row],[OrderDate]],"MMM-YYYY")</f>
        <v>Jan-2024</v>
      </c>
      <c r="H8" s="7">
        <f>MONTH(Table1[[#This Row],[OrderDate]])</f>
        <v>1</v>
      </c>
      <c r="I8" s="7" t="str">
        <f>"Q"&amp;ROUNDUP(Table1[[#This Row],[months]]/3,0)&amp;"-"&amp;Table1[[#This Row],[order_year]]</f>
        <v>Q1-2024</v>
      </c>
      <c r="J8" s="7">
        <f>Table1[[#This Row],[RequiredDate]]-Table1[[#This Row],[OrderDate]]</f>
        <v>26</v>
      </c>
      <c r="K8" s="7">
        <f>IF(Table1[[#This Row],[lead_time]]&lt;0,MEDIAN(J:J),Table1[[#This Row],[lead_time]])</f>
        <v>26</v>
      </c>
      <c r="L8" s="7">
        <f>IF(Table1[[#This Row],[adj_lead_time]]&lt;=7,1,0)</f>
        <v>0</v>
      </c>
      <c r="M8" s="9">
        <v>45318</v>
      </c>
      <c r="N8" s="9">
        <f>IF(Table1[[#This Row],[lead_time]]&lt;0,(Table1[[#This Row],[OrderDate]]+Table1[[#This Row],[adj_lead_time]]),Table1[[#This Row],[RequiredDate]])</f>
        <v>45318</v>
      </c>
      <c r="O8" t="s">
        <v>649</v>
      </c>
      <c r="P8" t="s">
        <v>658</v>
      </c>
      <c r="Q8" t="s">
        <v>693</v>
      </c>
      <c r="R8" t="s">
        <v>702</v>
      </c>
      <c r="S8" t="s">
        <v>710</v>
      </c>
      <c r="T8" t="s">
        <v>726</v>
      </c>
      <c r="U8" t="s">
        <v>733</v>
      </c>
      <c r="V8" t="s">
        <v>1089</v>
      </c>
      <c r="W8">
        <v>657.45</v>
      </c>
      <c r="X8">
        <f>Table1[[#This Row],[UnitCost]]*(1+'scenario modeling'!$B$3)</f>
        <v>723.19500000000016</v>
      </c>
      <c r="Y8">
        <v>1325.96</v>
      </c>
      <c r="Z8" t="str">
        <f>IF(Table1[[#This Row],[UnitPrice]]&lt;=Quantiles!$B$2,Quantiles!$A$2,IF(Table1[[#This Row],[UnitPrice]]&lt;=Quantiles!$B$3,Quantiles!$A$3,Quantiles!$A$4))</f>
        <v>Medium</v>
      </c>
      <c r="AA8">
        <v>0.16700000000000001</v>
      </c>
      <c r="AB8" s="5">
        <f>MIN(Table1[[#This Row],[DiscountPct]],'scenario modeling'!$B$2)</f>
        <v>0.1</v>
      </c>
      <c r="AC8" t="str">
        <f>IF(Table1[[#This Row],[DiscountPct]]&gt;0.3, "&gt;0.3","")</f>
        <v/>
      </c>
      <c r="AD8">
        <v>21</v>
      </c>
      <c r="AE8">
        <f>Table1[[#This Row],[Quantity]]*(1+'scenario modeling'!$B$4)</f>
        <v>25.2</v>
      </c>
      <c r="AF8">
        <f>Table1[[#This Row],[UnitCost]]*Table1[[#This Row],[Quantity]]</f>
        <v>13806.45</v>
      </c>
      <c r="AG8">
        <f>SUMIF($U:U,Table1[[#This Row],[ProductCategory]],$AM:AM)</f>
        <v>1331102.9440700002</v>
      </c>
      <c r="AH8">
        <f>SUMIFS($AM$2:AM8,$U$2:U8,U8)</f>
        <v>136123.93625999999</v>
      </c>
      <c r="AI8" s="5">
        <f>Table1[[#This Row],[Cumulative_revenue]]/Table1[[#This Row],[Category_revenue]]</f>
        <v>0.10226401862186962</v>
      </c>
      <c r="AJ8" t="str">
        <f>IF(Table1[[#This Row],[cumulative_pct]]&lt;=0.8,"A",IF(Table1[[#This Row],[cumulative_pct]]&lt;=0.95,"B","C"))</f>
        <v>A</v>
      </c>
      <c r="AK8">
        <f>Table1[[#This Row],[adj_unit_cost]]*Table1[[#This Row],[scenario_quantity]]</f>
        <v>18224.514000000003</v>
      </c>
      <c r="AL8" s="5">
        <f>Table1[[#This Row],[UnitPrice]]*Table1[[#This Row],[scenario_quantity]]*(1-Table1[[#This Row],[cap_adjusted_discount]])</f>
        <v>30072.772800000002</v>
      </c>
      <c r="AM8" s="5">
        <f>Table1[[#This Row],[UnitPrice]]*Table1[[#This Row],[Quantity]]*(1-Table1[[#This Row],[DiscountPct]])</f>
        <v>23195.01828</v>
      </c>
      <c r="AN8" s="5">
        <f>Table1[[#This Row],[gross_revenue]]-Table1[[#This Row],[cost_of_goods]]</f>
        <v>9388.5682799999995</v>
      </c>
      <c r="AO8" s="5">
        <f>Table1[[#This Row],[scenario_revenue]]-Table1[[#This Row],[Scenario_unit_cost]]</f>
        <v>11848.2588</v>
      </c>
      <c r="AP8" s="5">
        <f>IF(Table1[[#This Row],[gross_revenue]]=0,0,Table1[[#This Row],[gross_profit]]/Table1[[#This Row],[gross_revenue]])</f>
        <v>0.40476658249048808</v>
      </c>
    </row>
    <row r="9" spans="1:42" x14ac:dyDescent="0.35">
      <c r="A9" t="s">
        <v>302</v>
      </c>
      <c r="B9" t="str">
        <f>_xlfn.TEXTAFTER(Table1[[#This Row],[OrderID]],"-",2)</f>
        <v>277241</v>
      </c>
      <c r="C9">
        <f>YEAR(Table1[[#This Row],[OrderDate]])</f>
        <v>2024</v>
      </c>
      <c r="D9" s="9">
        <f>_xlfn.MINIFS(F:F,P:P,Table1[[#This Row],[Country]])</f>
        <v>44933</v>
      </c>
      <c r="E9" s="7">
        <f>DATEDIF(Table1[[#This Row],[first_time_orders]],Table1[[#This Row],[OrderDate]],"m")</f>
        <v>12</v>
      </c>
      <c r="F9" s="9">
        <v>45319</v>
      </c>
      <c r="G9" s="2" t="str">
        <f>TEXT(Table1[[#This Row],[OrderDate]],"MMM-YYYY")</f>
        <v>Jan-2024</v>
      </c>
      <c r="H9" s="7">
        <f>MONTH(Table1[[#This Row],[OrderDate]])</f>
        <v>1</v>
      </c>
      <c r="I9" s="7" t="str">
        <f>"Q"&amp;ROUNDUP(Table1[[#This Row],[months]]/3,0)&amp;"-"&amp;Table1[[#This Row],[order_year]]</f>
        <v>Q1-2024</v>
      </c>
      <c r="J9" s="7">
        <f>Table1[[#This Row],[RequiredDate]]-Table1[[#This Row],[OrderDate]]</f>
        <v>2</v>
      </c>
      <c r="K9" s="7">
        <f>IF(Table1[[#This Row],[lead_time]]&lt;0,MEDIAN(J:J),Table1[[#This Row],[lead_time]])</f>
        <v>2</v>
      </c>
      <c r="L9" s="7">
        <f>IF(Table1[[#This Row],[adj_lead_time]]&lt;=7,1,0)</f>
        <v>1</v>
      </c>
      <c r="M9" s="9">
        <v>45321</v>
      </c>
      <c r="N9" s="9">
        <f>IF(Table1[[#This Row],[lead_time]]&lt;0,(Table1[[#This Row],[OrderDate]]+Table1[[#This Row],[adj_lead_time]]),Table1[[#This Row],[RequiredDate]])</f>
        <v>45321</v>
      </c>
      <c r="O9" t="s">
        <v>646</v>
      </c>
      <c r="P9" t="s">
        <v>661</v>
      </c>
      <c r="Q9" t="s">
        <v>695</v>
      </c>
      <c r="R9" t="s">
        <v>704</v>
      </c>
      <c r="S9" t="s">
        <v>711</v>
      </c>
      <c r="T9" t="s">
        <v>721</v>
      </c>
      <c r="U9" t="s">
        <v>733</v>
      </c>
      <c r="V9" t="s">
        <v>1022</v>
      </c>
      <c r="W9">
        <v>798.45</v>
      </c>
      <c r="X9">
        <f>Table1[[#This Row],[UnitCost]]*(1+'scenario modeling'!$B$3)</f>
        <v>878.29500000000007</v>
      </c>
      <c r="Y9">
        <v>1592.02</v>
      </c>
      <c r="Z9" t="str">
        <f>IF(Table1[[#This Row],[UnitPrice]]&lt;=Quantiles!$B$2,Quantiles!$A$2,IF(Table1[[#This Row],[UnitPrice]]&lt;=Quantiles!$B$3,Quantiles!$A$3,Quantiles!$A$4))</f>
        <v>Medium</v>
      </c>
      <c r="AA9">
        <v>6.6000000000000003E-2</v>
      </c>
      <c r="AB9" s="5">
        <f>MIN(Table1[[#This Row],[DiscountPct]],'scenario modeling'!$B$2)</f>
        <v>6.6000000000000003E-2</v>
      </c>
      <c r="AC9" t="str">
        <f>IF(Table1[[#This Row],[DiscountPct]]&gt;0.3, "&gt;0.3","")</f>
        <v/>
      </c>
      <c r="AD9">
        <v>18</v>
      </c>
      <c r="AE9">
        <f>Table1[[#This Row],[Quantity]]*(1+'scenario modeling'!$B$4)</f>
        <v>21.599999999999998</v>
      </c>
      <c r="AF9">
        <f>Table1[[#This Row],[UnitCost]]*Table1[[#This Row],[Quantity]]</f>
        <v>14372.1</v>
      </c>
      <c r="AG9">
        <f>SUMIF($U:U,Table1[[#This Row],[ProductCategory]],$AM:AM)</f>
        <v>1331102.9440700002</v>
      </c>
      <c r="AH9">
        <f>SUMIFS($AM$2:AM9,$U$2:U9,U9)</f>
        <v>162888.97649999999</v>
      </c>
      <c r="AI9" s="5">
        <f>Table1[[#This Row],[Cumulative_revenue]]/Table1[[#This Row],[Category_revenue]]</f>
        <v>0.12237143432494277</v>
      </c>
      <c r="AJ9" t="str">
        <f>IF(Table1[[#This Row],[cumulative_pct]]&lt;=0.8,"A",IF(Table1[[#This Row],[cumulative_pct]]&lt;=0.95,"B","C"))</f>
        <v>A</v>
      </c>
      <c r="AK9">
        <f>Table1[[#This Row],[adj_unit_cost]]*Table1[[#This Row],[scenario_quantity]]</f>
        <v>18971.171999999999</v>
      </c>
      <c r="AL9" s="5">
        <f>Table1[[#This Row],[UnitPrice]]*Table1[[#This Row],[scenario_quantity]]*(1-Table1[[#This Row],[cap_adjusted_discount]])</f>
        <v>32118.048287999994</v>
      </c>
      <c r="AM9" s="5">
        <f>Table1[[#This Row],[UnitPrice]]*Table1[[#This Row],[Quantity]]*(1-Table1[[#This Row],[DiscountPct]])</f>
        <v>26765.040239999998</v>
      </c>
      <c r="AN9" s="5">
        <f>Table1[[#This Row],[gross_revenue]]-Table1[[#This Row],[cost_of_goods]]</f>
        <v>12392.940239999998</v>
      </c>
      <c r="AO9" s="5">
        <f>Table1[[#This Row],[scenario_revenue]]-Table1[[#This Row],[Scenario_unit_cost]]</f>
        <v>13146.876287999996</v>
      </c>
      <c r="AP9" s="5">
        <f>IF(Table1[[#This Row],[gross_revenue]]=0,0,Table1[[#This Row],[gross_profit]]/Table1[[#This Row],[gross_revenue]])</f>
        <v>0.46302714768494585</v>
      </c>
    </row>
    <row r="10" spans="1:42" x14ac:dyDescent="0.35">
      <c r="A10" t="s">
        <v>25</v>
      </c>
      <c r="B10" t="str">
        <f>_xlfn.TEXTAFTER(Table1[[#This Row],[OrderID]],"-",2)</f>
        <v>210687</v>
      </c>
      <c r="C10">
        <f>YEAR(Table1[[#This Row],[OrderDate]])</f>
        <v>2024</v>
      </c>
      <c r="D10" s="9">
        <f>_xlfn.MINIFS(F:F,P:P,Table1[[#This Row],[Country]])</f>
        <v>44948</v>
      </c>
      <c r="E10" s="7">
        <f>DATEDIF(Table1[[#This Row],[first_time_orders]],Table1[[#This Row],[OrderDate]],"m")</f>
        <v>12</v>
      </c>
      <c r="F10" s="9">
        <v>45319</v>
      </c>
      <c r="G10" s="2" t="str">
        <f>TEXT(Table1[[#This Row],[OrderDate]],"MMM-YYYY")</f>
        <v>Jan-2024</v>
      </c>
      <c r="H10" s="7">
        <f>MONTH(Table1[[#This Row],[OrderDate]])</f>
        <v>1</v>
      </c>
      <c r="I10" s="7" t="str">
        <f>"Q"&amp;ROUNDUP(Table1[[#This Row],[months]]/3,0)&amp;"-"&amp;Table1[[#This Row],[order_year]]</f>
        <v>Q1-2024</v>
      </c>
      <c r="J10" s="7">
        <f>Table1[[#This Row],[RequiredDate]]-Table1[[#This Row],[OrderDate]]</f>
        <v>12</v>
      </c>
      <c r="K10" s="7">
        <f>IF(Table1[[#This Row],[lead_time]]&lt;0,MEDIAN(J:J),Table1[[#This Row],[lead_time]])</f>
        <v>12</v>
      </c>
      <c r="L10" s="7">
        <f>IF(Table1[[#This Row],[adj_lead_time]]&lt;=7,1,0)</f>
        <v>0</v>
      </c>
      <c r="M10" s="9">
        <v>45331</v>
      </c>
      <c r="N10" s="9">
        <f>IF(Table1[[#This Row],[lead_time]]&lt;0,(Table1[[#This Row],[OrderDate]]+Table1[[#This Row],[adj_lead_time]]),Table1[[#This Row],[RequiredDate]])</f>
        <v>45331</v>
      </c>
      <c r="O10" t="s">
        <v>649</v>
      </c>
      <c r="P10" t="s">
        <v>656</v>
      </c>
      <c r="Q10" t="s">
        <v>671</v>
      </c>
      <c r="R10" t="s">
        <v>701</v>
      </c>
      <c r="S10" t="s">
        <v>708</v>
      </c>
      <c r="T10" t="s">
        <v>715</v>
      </c>
      <c r="U10" t="s">
        <v>733</v>
      </c>
      <c r="V10" t="s">
        <v>744</v>
      </c>
      <c r="W10">
        <v>644.16999999999996</v>
      </c>
      <c r="X10">
        <f>Table1[[#This Row],[UnitCost]]*(1+'scenario modeling'!$B$3)</f>
        <v>708.58699999999999</v>
      </c>
      <c r="Y10">
        <v>700.12</v>
      </c>
      <c r="Z10" t="str">
        <f>IF(Table1[[#This Row],[UnitPrice]]&lt;=Quantiles!$B$2,Quantiles!$A$2,IF(Table1[[#This Row],[UnitPrice]]&lt;=Quantiles!$B$3,Quantiles!$A$3,Quantiles!$A$4))</f>
        <v>Low</v>
      </c>
      <c r="AA10">
        <v>6.0000000000000001E-3</v>
      </c>
      <c r="AB10" s="5">
        <f>MIN(Table1[[#This Row],[DiscountPct]],'scenario modeling'!$B$2)</f>
        <v>6.0000000000000001E-3</v>
      </c>
      <c r="AC10" t="str">
        <f>IF(Table1[[#This Row],[DiscountPct]]&gt;0.3, "&gt;0.3","")</f>
        <v/>
      </c>
      <c r="AD10">
        <v>23</v>
      </c>
      <c r="AE10">
        <f>Table1[[#This Row],[Quantity]]*(1+'scenario modeling'!$B$4)</f>
        <v>27.599999999999998</v>
      </c>
      <c r="AF10">
        <f>Table1[[#This Row],[UnitCost]]*Table1[[#This Row],[Quantity]]</f>
        <v>14815.91</v>
      </c>
      <c r="AG10">
        <f>SUMIF($U:U,Table1[[#This Row],[ProductCategory]],$AM:AM)</f>
        <v>1331102.9440700002</v>
      </c>
      <c r="AH10">
        <f>SUMIFS($AM$2:AM10,$U$2:U10,U10)</f>
        <v>178895.11994</v>
      </c>
      <c r="AI10" s="5">
        <f>Table1[[#This Row],[Cumulative_revenue]]/Table1[[#This Row],[Category_revenue]]</f>
        <v>0.13439615676380942</v>
      </c>
      <c r="AJ10" t="str">
        <f>IF(Table1[[#This Row],[cumulative_pct]]&lt;=0.8,"A",IF(Table1[[#This Row],[cumulative_pct]]&lt;=0.95,"B","C"))</f>
        <v>A</v>
      </c>
      <c r="AK10">
        <f>Table1[[#This Row],[adj_unit_cost]]*Table1[[#This Row],[scenario_quantity]]</f>
        <v>19557.001199999999</v>
      </c>
      <c r="AL10" s="5">
        <f>Table1[[#This Row],[UnitPrice]]*Table1[[#This Row],[scenario_quantity]]*(1-Table1[[#This Row],[cap_adjusted_discount]])</f>
        <v>19207.372127999999</v>
      </c>
      <c r="AM10" s="5">
        <f>Table1[[#This Row],[UnitPrice]]*Table1[[#This Row],[Quantity]]*(1-Table1[[#This Row],[DiscountPct]])</f>
        <v>16006.14344</v>
      </c>
      <c r="AN10" s="5">
        <f>Table1[[#This Row],[gross_revenue]]-Table1[[#This Row],[cost_of_goods]]</f>
        <v>1190.23344</v>
      </c>
      <c r="AO10" s="5">
        <f>Table1[[#This Row],[scenario_revenue]]-Table1[[#This Row],[Scenario_unit_cost]]</f>
        <v>-349.62907199999972</v>
      </c>
      <c r="AP10" s="5">
        <f>IF(Table1[[#This Row],[gross_revenue]]=0,0,Table1[[#This Row],[gross_profit]]/Table1[[#This Row],[gross_revenue]])</f>
        <v>7.436103796405813E-2</v>
      </c>
    </row>
    <row r="11" spans="1:42" x14ac:dyDescent="0.35">
      <c r="A11" t="s">
        <v>154</v>
      </c>
      <c r="B11" t="str">
        <f>_xlfn.TEXTAFTER(Table1[[#This Row],[OrderID]],"-",2)</f>
        <v>232632</v>
      </c>
      <c r="C11">
        <f>YEAR(Table1[[#This Row],[OrderDate]])</f>
        <v>2024</v>
      </c>
      <c r="D11" s="9">
        <f>_xlfn.MINIFS(F:F,P:P,Table1[[#This Row],[Country]])</f>
        <v>44938</v>
      </c>
      <c r="E11" s="7">
        <f>DATEDIF(Table1[[#This Row],[first_time_orders]],Table1[[#This Row],[OrderDate]],"m")</f>
        <v>13</v>
      </c>
      <c r="F11" s="9">
        <v>45336</v>
      </c>
      <c r="G11" s="2" t="str">
        <f>TEXT(Table1[[#This Row],[OrderDate]],"MMM-YYYY")</f>
        <v>Feb-2024</v>
      </c>
      <c r="H11" s="7">
        <f>MONTH(Table1[[#This Row],[OrderDate]])</f>
        <v>2</v>
      </c>
      <c r="I11" s="7" t="str">
        <f>"Q"&amp;ROUNDUP(Table1[[#This Row],[months]]/3,0)&amp;"-"&amp;Table1[[#This Row],[order_year]]</f>
        <v>Q1-2024</v>
      </c>
      <c r="J11" s="7">
        <f>Table1[[#This Row],[RequiredDate]]-Table1[[#This Row],[OrderDate]]</f>
        <v>0</v>
      </c>
      <c r="K11" s="7">
        <f>IF(Table1[[#This Row],[lead_time]]&lt;0,MEDIAN(J:J),Table1[[#This Row],[lead_time]])</f>
        <v>0</v>
      </c>
      <c r="L11" s="7">
        <f>IF(Table1[[#This Row],[adj_lead_time]]&lt;=7,1,0)</f>
        <v>1</v>
      </c>
      <c r="M11" s="9">
        <v>45336</v>
      </c>
      <c r="N11" s="9">
        <f>IF(Table1[[#This Row],[lead_time]]&lt;0,(Table1[[#This Row],[OrderDate]]+Table1[[#This Row],[adj_lead_time]]),Table1[[#This Row],[RequiredDate]])</f>
        <v>45336</v>
      </c>
      <c r="O11" t="s">
        <v>647</v>
      </c>
      <c r="P11" t="s">
        <v>659</v>
      </c>
      <c r="Q11" t="s">
        <v>699</v>
      </c>
      <c r="R11" t="s">
        <v>701</v>
      </c>
      <c r="S11" t="s">
        <v>710</v>
      </c>
      <c r="T11" t="s">
        <v>716</v>
      </c>
      <c r="U11" t="s">
        <v>733</v>
      </c>
      <c r="V11" t="s">
        <v>873</v>
      </c>
      <c r="W11">
        <v>65.930000000000007</v>
      </c>
      <c r="X11">
        <f>Table1[[#This Row],[UnitCost]]*(1+'scenario modeling'!$B$3)</f>
        <v>72.52300000000001</v>
      </c>
      <c r="Y11">
        <v>84.9</v>
      </c>
      <c r="Z11" t="str">
        <f>IF(Table1[[#This Row],[UnitPrice]]&lt;=Quantiles!$B$2,Quantiles!$A$2,IF(Table1[[#This Row],[UnitPrice]]&lt;=Quantiles!$B$3,Quantiles!$A$3,Quantiles!$A$4))</f>
        <v>Low</v>
      </c>
      <c r="AA11">
        <v>0.25900000000000001</v>
      </c>
      <c r="AB11" s="5">
        <f>MIN(Table1[[#This Row],[DiscountPct]],'scenario modeling'!$B$2)</f>
        <v>0.1</v>
      </c>
      <c r="AC11" t="str">
        <f>IF(Table1[[#This Row],[DiscountPct]]&gt;0.3, "&gt;0.3","")</f>
        <v/>
      </c>
      <c r="AD11">
        <v>23</v>
      </c>
      <c r="AE11">
        <f>Table1[[#This Row],[Quantity]]*(1+'scenario modeling'!$B$4)</f>
        <v>27.599999999999998</v>
      </c>
      <c r="AF11">
        <f>Table1[[#This Row],[UnitCost]]*Table1[[#This Row],[Quantity]]</f>
        <v>1516.39</v>
      </c>
      <c r="AG11">
        <f>SUMIF($U:U,Table1[[#This Row],[ProductCategory]],$AM:AM)</f>
        <v>1331102.9440700002</v>
      </c>
      <c r="AH11">
        <f>SUMIFS($AM$2:AM11,$U$2:U11,U11)</f>
        <v>180342.07063999999</v>
      </c>
      <c r="AI11" s="5">
        <f>Table1[[#This Row],[Cumulative_revenue]]/Table1[[#This Row],[Category_revenue]]</f>
        <v>0.13548318816618599</v>
      </c>
      <c r="AJ11" t="str">
        <f>IF(Table1[[#This Row],[cumulative_pct]]&lt;=0.8,"A",IF(Table1[[#This Row],[cumulative_pct]]&lt;=0.95,"B","C"))</f>
        <v>A</v>
      </c>
      <c r="AK11">
        <f>Table1[[#This Row],[adj_unit_cost]]*Table1[[#This Row],[scenario_quantity]]</f>
        <v>2001.6348</v>
      </c>
      <c r="AL11" s="5">
        <f>Table1[[#This Row],[UnitPrice]]*Table1[[#This Row],[scenario_quantity]]*(1-Table1[[#This Row],[cap_adjusted_discount]])</f>
        <v>2108.9159999999997</v>
      </c>
      <c r="AM11" s="5">
        <f>Table1[[#This Row],[UnitPrice]]*Table1[[#This Row],[Quantity]]*(1-Table1[[#This Row],[DiscountPct]])</f>
        <v>1446.9507000000001</v>
      </c>
      <c r="AN11" s="5">
        <f>Table1[[#This Row],[gross_revenue]]-Table1[[#This Row],[cost_of_goods]]</f>
        <v>-69.439300000000003</v>
      </c>
      <c r="AO11" s="5">
        <f>Table1[[#This Row],[scenario_revenue]]-Table1[[#This Row],[Scenario_unit_cost]]</f>
        <v>107.28119999999967</v>
      </c>
      <c r="AP11" s="5">
        <f>IF(Table1[[#This Row],[gross_revenue]]=0,0,Table1[[#This Row],[gross_profit]]/Table1[[#This Row],[gross_revenue]])</f>
        <v>-4.7990093926489688E-2</v>
      </c>
    </row>
    <row r="12" spans="1:42" x14ac:dyDescent="0.35">
      <c r="A12" t="s">
        <v>85</v>
      </c>
      <c r="B12" t="str">
        <f>_xlfn.TEXTAFTER(Table1[[#This Row],[OrderID]],"-",2)</f>
        <v>287210</v>
      </c>
      <c r="C12">
        <f>YEAR(Table1[[#This Row],[OrderDate]])</f>
        <v>2024</v>
      </c>
      <c r="D12" s="9">
        <f>_xlfn.MINIFS(F:F,P:P,Table1[[#This Row],[Country]])</f>
        <v>44948</v>
      </c>
      <c r="E12" s="7">
        <f>DATEDIF(Table1[[#This Row],[first_time_orders]],Table1[[#This Row],[OrderDate]],"m")</f>
        <v>13</v>
      </c>
      <c r="F12" s="9">
        <v>45369</v>
      </c>
      <c r="G12" s="2" t="str">
        <f>TEXT(Table1[[#This Row],[OrderDate]],"MMM-YYYY")</f>
        <v>Mar-2024</v>
      </c>
      <c r="H12" s="7">
        <f>MONTH(Table1[[#This Row],[OrderDate]])</f>
        <v>3</v>
      </c>
      <c r="I12" s="7" t="str">
        <f>"Q"&amp;ROUNDUP(Table1[[#This Row],[months]]/3,0)&amp;"-"&amp;Table1[[#This Row],[order_year]]</f>
        <v>Q1-2024</v>
      </c>
      <c r="J12" s="7">
        <f>Table1[[#This Row],[RequiredDate]]-Table1[[#This Row],[OrderDate]]</f>
        <v>3</v>
      </c>
      <c r="K12" s="7">
        <f>IF(Table1[[#This Row],[lead_time]]&lt;0,MEDIAN(J:J),Table1[[#This Row],[lead_time]])</f>
        <v>3</v>
      </c>
      <c r="L12" s="7">
        <f>IF(Table1[[#This Row],[adj_lead_time]]&lt;=7,1,0)</f>
        <v>1</v>
      </c>
      <c r="M12" s="9">
        <v>45372</v>
      </c>
      <c r="N12" s="9">
        <f>IF(Table1[[#This Row],[lead_time]]&lt;0,(Table1[[#This Row],[OrderDate]]+Table1[[#This Row],[adj_lead_time]]),Table1[[#This Row],[RequiredDate]])</f>
        <v>45372</v>
      </c>
      <c r="O12" t="s">
        <v>649</v>
      </c>
      <c r="P12" t="s">
        <v>656</v>
      </c>
      <c r="Q12" t="s">
        <v>684</v>
      </c>
      <c r="R12" t="s">
        <v>705</v>
      </c>
      <c r="S12" t="s">
        <v>708</v>
      </c>
      <c r="T12" t="s">
        <v>724</v>
      </c>
      <c r="U12" t="s">
        <v>733</v>
      </c>
      <c r="V12" t="s">
        <v>804</v>
      </c>
      <c r="W12">
        <v>910.63</v>
      </c>
      <c r="X12">
        <f>Table1[[#This Row],[UnitCost]]*(1+'scenario modeling'!$B$3)</f>
        <v>1001.6930000000001</v>
      </c>
      <c r="Y12">
        <v>1269.4000000000001</v>
      </c>
      <c r="Z12" t="str">
        <f>IF(Table1[[#This Row],[UnitPrice]]&lt;=Quantiles!$B$2,Quantiles!$A$2,IF(Table1[[#This Row],[UnitPrice]]&lt;=Quantiles!$B$3,Quantiles!$A$3,Quantiles!$A$4))</f>
        <v>Medium</v>
      </c>
      <c r="AA12">
        <v>6.8000000000000005E-2</v>
      </c>
      <c r="AB12" s="5">
        <f>MIN(Table1[[#This Row],[DiscountPct]],'scenario modeling'!$B$2)</f>
        <v>6.8000000000000005E-2</v>
      </c>
      <c r="AC12" t="str">
        <f>IF(Table1[[#This Row],[DiscountPct]]&gt;0.3, "&gt;0.3","")</f>
        <v/>
      </c>
      <c r="AD12">
        <v>9</v>
      </c>
      <c r="AE12">
        <f>Table1[[#This Row],[Quantity]]*(1+'scenario modeling'!$B$4)</f>
        <v>10.799999999999999</v>
      </c>
      <c r="AF12">
        <f>Table1[[#This Row],[UnitCost]]*Table1[[#This Row],[Quantity]]</f>
        <v>8195.67</v>
      </c>
      <c r="AG12">
        <f>SUMIF($U:U,Table1[[#This Row],[ProductCategory]],$AM:AM)</f>
        <v>1331102.9440700002</v>
      </c>
      <c r="AH12">
        <f>SUMIFS($AM$2:AM12,$U$2:U12,U12)</f>
        <v>190989.79783999998</v>
      </c>
      <c r="AI12" s="5">
        <f>Table1[[#This Row],[Cumulative_revenue]]/Table1[[#This Row],[Category_revenue]]</f>
        <v>0.14348236452398394</v>
      </c>
      <c r="AJ12" t="str">
        <f>IF(Table1[[#This Row],[cumulative_pct]]&lt;=0.8,"A",IF(Table1[[#This Row],[cumulative_pct]]&lt;=0.95,"B","C"))</f>
        <v>A</v>
      </c>
      <c r="AK12">
        <f>Table1[[#This Row],[adj_unit_cost]]*Table1[[#This Row],[scenario_quantity]]</f>
        <v>10818.2844</v>
      </c>
      <c r="AL12" s="5">
        <f>Table1[[#This Row],[UnitPrice]]*Table1[[#This Row],[scenario_quantity]]*(1-Table1[[#This Row],[cap_adjusted_discount]])</f>
        <v>12777.272639999999</v>
      </c>
      <c r="AM12" s="5">
        <f>Table1[[#This Row],[UnitPrice]]*Table1[[#This Row],[Quantity]]*(1-Table1[[#This Row],[DiscountPct]])</f>
        <v>10647.727199999999</v>
      </c>
      <c r="AN12" s="5">
        <f>Table1[[#This Row],[gross_revenue]]-Table1[[#This Row],[cost_of_goods]]</f>
        <v>2452.0571999999993</v>
      </c>
      <c r="AO12" s="5">
        <f>Table1[[#This Row],[scenario_revenue]]-Table1[[#This Row],[Scenario_unit_cost]]</f>
        <v>1958.9882399999988</v>
      </c>
      <c r="AP12" s="5">
        <f>IF(Table1[[#This Row],[gross_revenue]]=0,0,Table1[[#This Row],[gross_profit]]/Table1[[#This Row],[gross_revenue]])</f>
        <v>0.23028925834989455</v>
      </c>
    </row>
    <row r="13" spans="1:42" x14ac:dyDescent="0.35">
      <c r="A13" t="s">
        <v>162</v>
      </c>
      <c r="B13" t="str">
        <f>_xlfn.TEXTAFTER(Table1[[#This Row],[OrderID]],"-",2)</f>
        <v>211453</v>
      </c>
      <c r="C13">
        <f>YEAR(Table1[[#This Row],[OrderDate]])</f>
        <v>2024</v>
      </c>
      <c r="D13" s="9">
        <f>_xlfn.MINIFS(F:F,P:P,Table1[[#This Row],[Country]])</f>
        <v>44948</v>
      </c>
      <c r="E13" s="7">
        <f>DATEDIF(Table1[[#This Row],[first_time_orders]],Table1[[#This Row],[OrderDate]],"m")</f>
        <v>14</v>
      </c>
      <c r="F13" s="9">
        <v>45386</v>
      </c>
      <c r="G13" s="2" t="str">
        <f>TEXT(Table1[[#This Row],[OrderDate]],"MMM-YYYY")</f>
        <v>Apr-2024</v>
      </c>
      <c r="H13" s="7">
        <f>MONTH(Table1[[#This Row],[OrderDate]])</f>
        <v>4</v>
      </c>
      <c r="I13" s="7" t="str">
        <f>"Q"&amp;ROUNDUP(Table1[[#This Row],[months]]/3,0)&amp;"-"&amp;Table1[[#This Row],[order_year]]</f>
        <v>Q2-2024</v>
      </c>
      <c r="J13" s="7">
        <f>Table1[[#This Row],[RequiredDate]]-Table1[[#This Row],[OrderDate]]</f>
        <v>20</v>
      </c>
      <c r="K13" s="7">
        <f>IF(Table1[[#This Row],[lead_time]]&lt;0,MEDIAN(J:J),Table1[[#This Row],[lead_time]])</f>
        <v>20</v>
      </c>
      <c r="L13" s="7">
        <f>IF(Table1[[#This Row],[adj_lead_time]]&lt;=7,1,0)</f>
        <v>0</v>
      </c>
      <c r="M13" s="9">
        <v>45406</v>
      </c>
      <c r="N13" s="9">
        <f>IF(Table1[[#This Row],[lead_time]]&lt;0,(Table1[[#This Row],[OrderDate]]+Table1[[#This Row],[adj_lead_time]]),Table1[[#This Row],[RequiredDate]])</f>
        <v>45406</v>
      </c>
      <c r="O13" t="s">
        <v>649</v>
      </c>
      <c r="P13" t="s">
        <v>656</v>
      </c>
      <c r="Q13" t="s">
        <v>698</v>
      </c>
      <c r="R13" t="s">
        <v>703</v>
      </c>
      <c r="S13" t="s">
        <v>711</v>
      </c>
      <c r="T13" t="s">
        <v>719</v>
      </c>
      <c r="U13" t="s">
        <v>733</v>
      </c>
      <c r="V13" t="s">
        <v>881</v>
      </c>
      <c r="W13">
        <v>683.42</v>
      </c>
      <c r="X13">
        <f>Table1[[#This Row],[UnitCost]]*(1+'scenario modeling'!$B$3)</f>
        <v>751.76200000000006</v>
      </c>
      <c r="Y13">
        <v>951.51</v>
      </c>
      <c r="Z13" t="str">
        <f>IF(Table1[[#This Row],[UnitPrice]]&lt;=Quantiles!$B$2,Quantiles!$A$2,IF(Table1[[#This Row],[UnitPrice]]&lt;=Quantiles!$B$3,Quantiles!$A$3,Quantiles!$A$4))</f>
        <v>Medium</v>
      </c>
      <c r="AA13">
        <v>0</v>
      </c>
      <c r="AB13" s="5">
        <f>MIN(Table1[[#This Row],[DiscountPct]],'scenario modeling'!$B$2)</f>
        <v>0</v>
      </c>
      <c r="AC13" t="str">
        <f>IF(Table1[[#This Row],[DiscountPct]]&gt;0.3, "&gt;0.3","")</f>
        <v/>
      </c>
      <c r="AD13">
        <v>14</v>
      </c>
      <c r="AE13">
        <f>Table1[[#This Row],[Quantity]]*(1+'scenario modeling'!$B$4)</f>
        <v>16.8</v>
      </c>
      <c r="AF13">
        <f>Table1[[#This Row],[UnitCost]]*Table1[[#This Row],[Quantity]]</f>
        <v>9567.8799999999992</v>
      </c>
      <c r="AG13">
        <f>SUMIF($U:U,Table1[[#This Row],[ProductCategory]],$AM:AM)</f>
        <v>1331102.9440700002</v>
      </c>
      <c r="AH13">
        <f>SUMIFS($AM$2:AM13,$U$2:U13,U13)</f>
        <v>204310.93783999997</v>
      </c>
      <c r="AI13" s="5">
        <f>Table1[[#This Row],[Cumulative_revenue]]/Table1[[#This Row],[Category_revenue]]</f>
        <v>0.15348996014935989</v>
      </c>
      <c r="AJ13" t="str">
        <f>IF(Table1[[#This Row],[cumulative_pct]]&lt;=0.8,"A",IF(Table1[[#This Row],[cumulative_pct]]&lt;=0.95,"B","C"))</f>
        <v>A</v>
      </c>
      <c r="AK13">
        <f>Table1[[#This Row],[adj_unit_cost]]*Table1[[#This Row],[scenario_quantity]]</f>
        <v>12629.601600000002</v>
      </c>
      <c r="AL13" s="5">
        <f>Table1[[#This Row],[UnitPrice]]*Table1[[#This Row],[scenario_quantity]]*(1-Table1[[#This Row],[cap_adjusted_discount]])</f>
        <v>15985.368</v>
      </c>
      <c r="AM13" s="5">
        <f>Table1[[#This Row],[UnitPrice]]*Table1[[#This Row],[Quantity]]*(1-Table1[[#This Row],[DiscountPct]])</f>
        <v>13321.14</v>
      </c>
      <c r="AN13" s="5">
        <f>Table1[[#This Row],[gross_revenue]]-Table1[[#This Row],[cost_of_goods]]</f>
        <v>3753.26</v>
      </c>
      <c r="AO13" s="5">
        <f>Table1[[#This Row],[scenario_revenue]]-Table1[[#This Row],[Scenario_unit_cost]]</f>
        <v>3355.7663999999986</v>
      </c>
      <c r="AP13" s="5">
        <f>IF(Table1[[#This Row],[gross_revenue]]=0,0,Table1[[#This Row],[gross_profit]]/Table1[[#This Row],[gross_revenue]])</f>
        <v>0.28175216235247136</v>
      </c>
    </row>
    <row r="14" spans="1:42" x14ac:dyDescent="0.35">
      <c r="A14" t="s">
        <v>573</v>
      </c>
      <c r="B14" t="str">
        <f>_xlfn.TEXTAFTER(Table1[[#This Row],[OrderID]],"-",2)</f>
        <v>555229</v>
      </c>
      <c r="C14">
        <f>YEAR(Table1[[#This Row],[OrderDate]])</f>
        <v>2024</v>
      </c>
      <c r="D14" s="9">
        <f>_xlfn.MINIFS(F:F,P:P,Table1[[#This Row],[Country]])</f>
        <v>44946</v>
      </c>
      <c r="E14" s="7">
        <f>DATEDIF(Table1[[#This Row],[first_time_orders]],Table1[[#This Row],[OrderDate]],"m")</f>
        <v>15</v>
      </c>
      <c r="F14" s="9">
        <v>45430</v>
      </c>
      <c r="G14" s="2" t="str">
        <f>TEXT(Table1[[#This Row],[OrderDate]],"MMM-YYYY")</f>
        <v>May-2024</v>
      </c>
      <c r="H14" s="7">
        <f>MONTH(Table1[[#This Row],[OrderDate]])</f>
        <v>5</v>
      </c>
      <c r="I14" s="7" t="str">
        <f>"Q"&amp;ROUNDUP(Table1[[#This Row],[months]]/3,0)&amp;"-"&amp;Table1[[#This Row],[order_year]]</f>
        <v>Q2-2024</v>
      </c>
      <c r="J14" s="7">
        <f>Table1[[#This Row],[RequiredDate]]-Table1[[#This Row],[OrderDate]]</f>
        <v>4</v>
      </c>
      <c r="K14" s="7">
        <f>IF(Table1[[#This Row],[lead_time]]&lt;0,MEDIAN(J:J),Table1[[#This Row],[lead_time]])</f>
        <v>4</v>
      </c>
      <c r="L14" s="7">
        <f>IF(Table1[[#This Row],[adj_lead_time]]&lt;=7,1,0)</f>
        <v>1</v>
      </c>
      <c r="M14" s="9">
        <v>45434</v>
      </c>
      <c r="N14" s="9">
        <f>IF(Table1[[#This Row],[lead_time]]&lt;0,(Table1[[#This Row],[OrderDate]]+Table1[[#This Row],[adj_lead_time]]),Table1[[#This Row],[RequiredDate]])</f>
        <v>45434</v>
      </c>
      <c r="O14" t="s">
        <v>646</v>
      </c>
      <c r="P14" t="s">
        <v>650</v>
      </c>
      <c r="Q14" t="s">
        <v>664</v>
      </c>
      <c r="R14" t="s">
        <v>701</v>
      </c>
      <c r="S14" t="s">
        <v>711</v>
      </c>
      <c r="T14" t="s">
        <v>722</v>
      </c>
      <c r="U14" t="s">
        <v>733</v>
      </c>
      <c r="V14" t="s">
        <v>1291</v>
      </c>
      <c r="W14">
        <v>857.42</v>
      </c>
      <c r="X14">
        <f>Table1[[#This Row],[UnitCost]]*(1+'scenario modeling'!$B$3)</f>
        <v>943.16200000000003</v>
      </c>
      <c r="Y14">
        <v>1658.92</v>
      </c>
      <c r="Z14" t="str">
        <f>IF(Table1[[#This Row],[UnitPrice]]&lt;=Quantiles!$B$2,Quantiles!$A$2,IF(Table1[[#This Row],[UnitPrice]]&lt;=Quantiles!$B$3,Quantiles!$A$3,Quantiles!$A$4))</f>
        <v>High</v>
      </c>
      <c r="AA14">
        <v>0.122</v>
      </c>
      <c r="AB14" s="5">
        <f>MIN(Table1[[#This Row],[DiscountPct]],'scenario modeling'!$B$2)</f>
        <v>0.1</v>
      </c>
      <c r="AC14" t="str">
        <f>IF(Table1[[#This Row],[DiscountPct]]&gt;0.3, "&gt;0.3","")</f>
        <v/>
      </c>
      <c r="AD14">
        <v>9</v>
      </c>
      <c r="AE14">
        <f>Table1[[#This Row],[Quantity]]*(1+'scenario modeling'!$B$4)</f>
        <v>10.799999999999999</v>
      </c>
      <c r="AF14">
        <f>Table1[[#This Row],[UnitCost]]*Table1[[#This Row],[Quantity]]</f>
        <v>7716.78</v>
      </c>
      <c r="AG14">
        <f>SUMIF($U:U,Table1[[#This Row],[ProductCategory]],$AM:AM)</f>
        <v>1331102.9440700002</v>
      </c>
      <c r="AH14">
        <f>SUMIFS($AM$2:AM14,$U$2:U14,U14)</f>
        <v>217419.72367999997</v>
      </c>
      <c r="AI14" s="5">
        <f>Table1[[#This Row],[Cumulative_revenue]]/Table1[[#This Row],[Category_revenue]]</f>
        <v>0.16333802329008015</v>
      </c>
      <c r="AJ14" t="str">
        <f>IF(Table1[[#This Row],[cumulative_pct]]&lt;=0.8,"A",IF(Table1[[#This Row],[cumulative_pct]]&lt;=0.95,"B","C"))</f>
        <v>A</v>
      </c>
      <c r="AK14">
        <f>Table1[[#This Row],[adj_unit_cost]]*Table1[[#This Row],[scenario_quantity]]</f>
        <v>10186.149599999999</v>
      </c>
      <c r="AL14" s="5">
        <f>Table1[[#This Row],[UnitPrice]]*Table1[[#This Row],[scenario_quantity]]*(1-Table1[[#This Row],[cap_adjusted_discount]])</f>
        <v>16124.7024</v>
      </c>
      <c r="AM14" s="5">
        <f>Table1[[#This Row],[UnitPrice]]*Table1[[#This Row],[Quantity]]*(1-Table1[[#This Row],[DiscountPct]])</f>
        <v>13108.78584</v>
      </c>
      <c r="AN14" s="5">
        <f>Table1[[#This Row],[gross_revenue]]-Table1[[#This Row],[cost_of_goods]]</f>
        <v>5392.0058400000007</v>
      </c>
      <c r="AO14" s="5">
        <f>Table1[[#This Row],[scenario_revenue]]-Table1[[#This Row],[Scenario_unit_cost]]</f>
        <v>5938.5528000000013</v>
      </c>
      <c r="AP14" s="5">
        <f>IF(Table1[[#This Row],[gross_revenue]]=0,0,Table1[[#This Row],[gross_profit]]/Table1[[#This Row],[gross_revenue]])</f>
        <v>0.41132763215544305</v>
      </c>
    </row>
    <row r="15" spans="1:42" x14ac:dyDescent="0.35">
      <c r="A15" t="s">
        <v>504</v>
      </c>
      <c r="B15" t="str">
        <f>_xlfn.TEXTAFTER(Table1[[#This Row],[OrderID]],"-",2)</f>
        <v>247032</v>
      </c>
      <c r="C15">
        <f>YEAR(Table1[[#This Row],[OrderDate]])</f>
        <v>2024</v>
      </c>
      <c r="D15" s="9">
        <f>_xlfn.MINIFS(F:F,P:P,Table1[[#This Row],[Country]])</f>
        <v>44941</v>
      </c>
      <c r="E15" s="7">
        <f>DATEDIF(Table1[[#This Row],[first_time_orders]],Table1[[#This Row],[OrderDate]],"m")</f>
        <v>15</v>
      </c>
      <c r="F15" s="9">
        <v>45403</v>
      </c>
      <c r="G15" s="2" t="str">
        <f>TEXT(Table1[[#This Row],[OrderDate]],"MMM-YYYY")</f>
        <v>Apr-2024</v>
      </c>
      <c r="H15" s="7">
        <f>MONTH(Table1[[#This Row],[OrderDate]])</f>
        <v>4</v>
      </c>
      <c r="I15" s="7" t="str">
        <f>"Q"&amp;ROUNDUP(Table1[[#This Row],[months]]/3,0)&amp;"-"&amp;Table1[[#This Row],[order_year]]</f>
        <v>Q2-2024</v>
      </c>
      <c r="J15" s="7">
        <f>Table1[[#This Row],[RequiredDate]]-Table1[[#This Row],[OrderDate]]</f>
        <v>28</v>
      </c>
      <c r="K15" s="7">
        <f>IF(Table1[[#This Row],[lead_time]]&lt;0,MEDIAN(J:J),Table1[[#This Row],[lead_time]])</f>
        <v>28</v>
      </c>
      <c r="L15" s="7">
        <f>IF(Table1[[#This Row],[adj_lead_time]]&lt;=7,1,0)</f>
        <v>0</v>
      </c>
      <c r="M15" s="9">
        <v>45431</v>
      </c>
      <c r="N15" s="9">
        <f>IF(Table1[[#This Row],[lead_time]]&lt;0,(Table1[[#This Row],[OrderDate]]+Table1[[#This Row],[adj_lead_time]]),Table1[[#This Row],[RequiredDate]])</f>
        <v>45431</v>
      </c>
      <c r="O15" t="s">
        <v>646</v>
      </c>
      <c r="P15" t="s">
        <v>651</v>
      </c>
      <c r="Q15" t="s">
        <v>665</v>
      </c>
      <c r="R15" t="s">
        <v>701</v>
      </c>
      <c r="S15" t="s">
        <v>710</v>
      </c>
      <c r="T15" t="s">
        <v>720</v>
      </c>
      <c r="U15" t="s">
        <v>733</v>
      </c>
      <c r="V15" t="s">
        <v>1223</v>
      </c>
      <c r="W15">
        <v>187.22</v>
      </c>
      <c r="X15">
        <f>Table1[[#This Row],[UnitCost]]*(1+'scenario modeling'!$B$3)</f>
        <v>205.94200000000001</v>
      </c>
      <c r="Y15">
        <v>309.47000000000003</v>
      </c>
      <c r="Z15" t="str">
        <f>IF(Table1[[#This Row],[UnitPrice]]&lt;=Quantiles!$B$2,Quantiles!$A$2,IF(Table1[[#This Row],[UnitPrice]]&lt;=Quantiles!$B$3,Quantiles!$A$3,Quantiles!$A$4))</f>
        <v>Low</v>
      </c>
      <c r="AA15">
        <v>0</v>
      </c>
      <c r="AB15" s="5">
        <f>MIN(Table1[[#This Row],[DiscountPct]],'scenario modeling'!$B$2)</f>
        <v>0</v>
      </c>
      <c r="AC15" t="str">
        <f>IF(Table1[[#This Row],[DiscountPct]]&gt;0.3, "&gt;0.3","")</f>
        <v/>
      </c>
      <c r="AD15">
        <v>5</v>
      </c>
      <c r="AE15">
        <f>Table1[[#This Row],[Quantity]]*(1+'scenario modeling'!$B$4)</f>
        <v>6</v>
      </c>
      <c r="AF15">
        <f>Table1[[#This Row],[UnitCost]]*Table1[[#This Row],[Quantity]]</f>
        <v>936.1</v>
      </c>
      <c r="AG15">
        <f>SUMIF($U:U,Table1[[#This Row],[ProductCategory]],$AM:AM)</f>
        <v>1331102.9440700002</v>
      </c>
      <c r="AH15">
        <f>SUMIFS($AM$2:AM15,$U$2:U15,U15)</f>
        <v>218967.07367999997</v>
      </c>
      <c r="AI15" s="5">
        <f>Table1[[#This Row],[Cumulative_revenue]]/Table1[[#This Row],[Category_revenue]]</f>
        <v>0.16450048033887069</v>
      </c>
      <c r="AJ15" t="str">
        <f>IF(Table1[[#This Row],[cumulative_pct]]&lt;=0.8,"A",IF(Table1[[#This Row],[cumulative_pct]]&lt;=0.95,"B","C"))</f>
        <v>A</v>
      </c>
      <c r="AK15">
        <f>Table1[[#This Row],[adj_unit_cost]]*Table1[[#This Row],[scenario_quantity]]</f>
        <v>1235.652</v>
      </c>
      <c r="AL15" s="5">
        <f>Table1[[#This Row],[UnitPrice]]*Table1[[#This Row],[scenario_quantity]]*(1-Table1[[#This Row],[cap_adjusted_discount]])</f>
        <v>1856.8200000000002</v>
      </c>
      <c r="AM15" s="5">
        <f>Table1[[#This Row],[UnitPrice]]*Table1[[#This Row],[Quantity]]*(1-Table1[[#This Row],[DiscountPct]])</f>
        <v>1547.3500000000001</v>
      </c>
      <c r="AN15" s="5">
        <f>Table1[[#This Row],[gross_revenue]]-Table1[[#This Row],[cost_of_goods]]</f>
        <v>611.25000000000011</v>
      </c>
      <c r="AO15" s="5">
        <f>Table1[[#This Row],[scenario_revenue]]-Table1[[#This Row],[Scenario_unit_cost]]</f>
        <v>621.16800000000012</v>
      </c>
      <c r="AP15" s="5">
        <f>IF(Table1[[#This Row],[gross_revenue]]=0,0,Table1[[#This Row],[gross_profit]]/Table1[[#This Row],[gross_revenue]])</f>
        <v>0.39503021294471197</v>
      </c>
    </row>
    <row r="16" spans="1:42" x14ac:dyDescent="0.35">
      <c r="A16" t="s">
        <v>508</v>
      </c>
      <c r="B16" t="str">
        <f>_xlfn.TEXTAFTER(Table1[[#This Row],[OrderID]],"-",2)</f>
        <v>578646</v>
      </c>
      <c r="C16">
        <f>YEAR(Table1[[#This Row],[OrderDate]])</f>
        <v>2024</v>
      </c>
      <c r="D16" s="9">
        <f>_xlfn.MINIFS(F:F,P:P,Table1[[#This Row],[Country]])</f>
        <v>44955</v>
      </c>
      <c r="E16" s="7">
        <f>DATEDIF(Table1[[#This Row],[first_time_orders]],Table1[[#This Row],[OrderDate]],"m")</f>
        <v>15</v>
      </c>
      <c r="F16" s="9">
        <v>45439</v>
      </c>
      <c r="G16" s="2" t="str">
        <f>TEXT(Table1[[#This Row],[OrderDate]],"MMM-YYYY")</f>
        <v>May-2024</v>
      </c>
      <c r="H16" s="7">
        <f>MONTH(Table1[[#This Row],[OrderDate]])</f>
        <v>5</v>
      </c>
      <c r="I16" s="7" t="str">
        <f>"Q"&amp;ROUNDUP(Table1[[#This Row],[months]]/3,0)&amp;"-"&amp;Table1[[#This Row],[order_year]]</f>
        <v>Q2-2024</v>
      </c>
      <c r="J16" s="7">
        <f>Table1[[#This Row],[RequiredDate]]-Table1[[#This Row],[OrderDate]]</f>
        <v>21</v>
      </c>
      <c r="K16" s="7">
        <f>IF(Table1[[#This Row],[lead_time]]&lt;0,MEDIAN(J:J),Table1[[#This Row],[lead_time]])</f>
        <v>21</v>
      </c>
      <c r="L16" s="7">
        <f>IF(Table1[[#This Row],[adj_lead_time]]&lt;=7,1,0)</f>
        <v>0</v>
      </c>
      <c r="M16" s="9">
        <v>45460</v>
      </c>
      <c r="N16" s="9">
        <f>IF(Table1[[#This Row],[lead_time]]&lt;0,(Table1[[#This Row],[OrderDate]]+Table1[[#This Row],[adj_lead_time]]),Table1[[#This Row],[RequiredDate]])</f>
        <v>45460</v>
      </c>
      <c r="O16" t="s">
        <v>647</v>
      </c>
      <c r="P16" t="s">
        <v>654</v>
      </c>
      <c r="Q16" t="s">
        <v>680</v>
      </c>
      <c r="R16" t="s">
        <v>705</v>
      </c>
      <c r="S16" t="s">
        <v>708</v>
      </c>
      <c r="T16" t="s">
        <v>722</v>
      </c>
      <c r="U16" t="s">
        <v>733</v>
      </c>
      <c r="V16" t="s">
        <v>1227</v>
      </c>
      <c r="W16">
        <v>465.02</v>
      </c>
      <c r="X16">
        <f>Table1[[#This Row],[UnitCost]]*(1+'scenario modeling'!$B$3)</f>
        <v>511.52200000000005</v>
      </c>
      <c r="Y16">
        <v>651.55999999999995</v>
      </c>
      <c r="Z16" t="str">
        <f>IF(Table1[[#This Row],[UnitPrice]]&lt;=Quantiles!$B$2,Quantiles!$A$2,IF(Table1[[#This Row],[UnitPrice]]&lt;=Quantiles!$B$3,Quantiles!$A$3,Quantiles!$A$4))</f>
        <v>Low</v>
      </c>
      <c r="AA16">
        <v>4.2000000000000003E-2</v>
      </c>
      <c r="AB16" s="5">
        <f>MIN(Table1[[#This Row],[DiscountPct]],'scenario modeling'!$B$2)</f>
        <v>4.2000000000000003E-2</v>
      </c>
      <c r="AC16" t="str">
        <f>IF(Table1[[#This Row],[DiscountPct]]&gt;0.3, "&gt;0.3","")</f>
        <v/>
      </c>
      <c r="AD16">
        <v>19</v>
      </c>
      <c r="AE16">
        <f>Table1[[#This Row],[Quantity]]*(1+'scenario modeling'!$B$4)</f>
        <v>22.8</v>
      </c>
      <c r="AF16">
        <f>Table1[[#This Row],[UnitCost]]*Table1[[#This Row],[Quantity]]</f>
        <v>8835.3799999999992</v>
      </c>
      <c r="AG16">
        <f>SUMIF($U:U,Table1[[#This Row],[ProductCategory]],$AM:AM)</f>
        <v>1331102.9440700002</v>
      </c>
      <c r="AH16">
        <f>SUMIFS($AM$2:AM16,$U$2:U16,U16)</f>
        <v>230826.76879999996</v>
      </c>
      <c r="AI16" s="5">
        <f>Table1[[#This Row],[Cumulative_revenue]]/Table1[[#This Row],[Category_revenue]]</f>
        <v>0.17341015571208984</v>
      </c>
      <c r="AJ16" t="str">
        <f>IF(Table1[[#This Row],[cumulative_pct]]&lt;=0.8,"A",IF(Table1[[#This Row],[cumulative_pct]]&lt;=0.95,"B","C"))</f>
        <v>A</v>
      </c>
      <c r="AK16">
        <f>Table1[[#This Row],[adj_unit_cost]]*Table1[[#This Row],[scenario_quantity]]</f>
        <v>11662.701600000002</v>
      </c>
      <c r="AL16" s="5">
        <f>Table1[[#This Row],[UnitPrice]]*Table1[[#This Row],[scenario_quantity]]*(1-Table1[[#This Row],[cap_adjusted_discount]])</f>
        <v>14231.634144</v>
      </c>
      <c r="AM16" s="5">
        <f>Table1[[#This Row],[UnitPrice]]*Table1[[#This Row],[Quantity]]*(1-Table1[[#This Row],[DiscountPct]])</f>
        <v>11859.695119999998</v>
      </c>
      <c r="AN16" s="5">
        <f>Table1[[#This Row],[gross_revenue]]-Table1[[#This Row],[cost_of_goods]]</f>
        <v>3024.3151199999993</v>
      </c>
      <c r="AO16" s="5">
        <f>Table1[[#This Row],[scenario_revenue]]-Table1[[#This Row],[Scenario_unit_cost]]</f>
        <v>2568.9325439999975</v>
      </c>
      <c r="AP16" s="5">
        <f>IF(Table1[[#This Row],[gross_revenue]]=0,0,Table1[[#This Row],[gross_profit]]/Table1[[#This Row],[gross_revenue]])</f>
        <v>0.25500783025187918</v>
      </c>
    </row>
    <row r="17" spans="1:42" x14ac:dyDescent="0.35">
      <c r="A17" t="s">
        <v>124</v>
      </c>
      <c r="B17" t="str">
        <f>_xlfn.TEXTAFTER(Table1[[#This Row],[OrderID]],"-",2)</f>
        <v>166150</v>
      </c>
      <c r="C17">
        <f>YEAR(Table1[[#This Row],[OrderDate]])</f>
        <v>2024</v>
      </c>
      <c r="D17" s="9">
        <f>_xlfn.MINIFS(F:F,P:P,Table1[[#This Row],[Country]])</f>
        <v>44946</v>
      </c>
      <c r="E17" s="7">
        <f>DATEDIF(Table1[[#This Row],[first_time_orders]],Table1[[#This Row],[OrderDate]],"m")</f>
        <v>16</v>
      </c>
      <c r="F17" s="9">
        <v>45445</v>
      </c>
      <c r="G17" s="2" t="str">
        <f>TEXT(Table1[[#This Row],[OrderDate]],"MMM-YYYY")</f>
        <v>Jun-2024</v>
      </c>
      <c r="H17" s="7">
        <f>MONTH(Table1[[#This Row],[OrderDate]])</f>
        <v>6</v>
      </c>
      <c r="I17" s="7" t="str">
        <f>"Q"&amp;ROUNDUP(Table1[[#This Row],[months]]/3,0)&amp;"-"&amp;Table1[[#This Row],[order_year]]</f>
        <v>Q2-2024</v>
      </c>
      <c r="J17" s="7">
        <f>Table1[[#This Row],[RequiredDate]]-Table1[[#This Row],[OrderDate]]</f>
        <v>6</v>
      </c>
      <c r="K17" s="7">
        <f>IF(Table1[[#This Row],[lead_time]]&lt;0,MEDIAN(J:J),Table1[[#This Row],[lead_time]])</f>
        <v>6</v>
      </c>
      <c r="L17" s="7">
        <f>IF(Table1[[#This Row],[adj_lead_time]]&lt;=7,1,0)</f>
        <v>1</v>
      </c>
      <c r="M17" s="9">
        <v>45451</v>
      </c>
      <c r="N17" s="9">
        <f>IF(Table1[[#This Row],[lead_time]]&lt;0,(Table1[[#This Row],[OrderDate]]+Table1[[#This Row],[adj_lead_time]]),Table1[[#This Row],[RequiredDate]])</f>
        <v>45451</v>
      </c>
      <c r="O17" t="s">
        <v>646</v>
      </c>
      <c r="P17" t="s">
        <v>650</v>
      </c>
      <c r="Q17" t="s">
        <v>662</v>
      </c>
      <c r="R17" t="s">
        <v>704</v>
      </c>
      <c r="S17" t="s">
        <v>709</v>
      </c>
      <c r="T17" t="s">
        <v>720</v>
      </c>
      <c r="U17" t="s">
        <v>733</v>
      </c>
      <c r="V17" t="s">
        <v>843</v>
      </c>
      <c r="W17">
        <v>292.94</v>
      </c>
      <c r="X17">
        <f>Table1[[#This Row],[UnitCost]]*(1+'scenario modeling'!$B$3)</f>
        <v>322.23400000000004</v>
      </c>
      <c r="Y17">
        <v>356.55</v>
      </c>
      <c r="Z17" t="str">
        <f>IF(Table1[[#This Row],[UnitPrice]]&lt;=Quantiles!$B$2,Quantiles!$A$2,IF(Table1[[#This Row],[UnitPrice]]&lt;=Quantiles!$B$3,Quantiles!$A$3,Quantiles!$A$4))</f>
        <v>Low</v>
      </c>
      <c r="AA17">
        <v>0.22900000000000001</v>
      </c>
      <c r="AB17" s="5">
        <f>MIN(Table1[[#This Row],[DiscountPct]],'scenario modeling'!$B$2)</f>
        <v>0.1</v>
      </c>
      <c r="AC17" t="str">
        <f>IF(Table1[[#This Row],[DiscountPct]]&gt;0.3, "&gt;0.3","")</f>
        <v/>
      </c>
      <c r="AD17">
        <v>2</v>
      </c>
      <c r="AE17">
        <f>Table1[[#This Row],[Quantity]]*(1+'scenario modeling'!$B$4)</f>
        <v>2.4</v>
      </c>
      <c r="AF17">
        <f>Table1[[#This Row],[UnitCost]]*Table1[[#This Row],[Quantity]]</f>
        <v>585.88</v>
      </c>
      <c r="AG17">
        <f>SUMIF($U:U,Table1[[#This Row],[ProductCategory]],$AM:AM)</f>
        <v>1331102.9440700002</v>
      </c>
      <c r="AH17">
        <f>SUMIFS($AM$2:AM17,$U$2:U17,U17)</f>
        <v>231376.56889999995</v>
      </c>
      <c r="AI17" s="5">
        <f>Table1[[#This Row],[Cumulative_revenue]]/Table1[[#This Row],[Category_revenue]]</f>
        <v>0.17382319671875979</v>
      </c>
      <c r="AJ17" t="str">
        <f>IF(Table1[[#This Row],[cumulative_pct]]&lt;=0.8,"A",IF(Table1[[#This Row],[cumulative_pct]]&lt;=0.95,"B","C"))</f>
        <v>A</v>
      </c>
      <c r="AK17">
        <f>Table1[[#This Row],[adj_unit_cost]]*Table1[[#This Row],[scenario_quantity]]</f>
        <v>773.36160000000007</v>
      </c>
      <c r="AL17" s="5">
        <f>Table1[[#This Row],[UnitPrice]]*Table1[[#This Row],[scenario_quantity]]*(1-Table1[[#This Row],[cap_adjusted_discount]])</f>
        <v>770.14800000000002</v>
      </c>
      <c r="AM17" s="5">
        <f>Table1[[#This Row],[UnitPrice]]*Table1[[#This Row],[Quantity]]*(1-Table1[[#This Row],[DiscountPct]])</f>
        <v>549.80010000000004</v>
      </c>
      <c r="AN17" s="5">
        <f>Table1[[#This Row],[gross_revenue]]-Table1[[#This Row],[cost_of_goods]]</f>
        <v>-36.079899999999952</v>
      </c>
      <c r="AO17" s="5">
        <f>Table1[[#This Row],[scenario_revenue]]-Table1[[#This Row],[Scenario_unit_cost]]</f>
        <v>-3.2136000000000422</v>
      </c>
      <c r="AP17" s="5">
        <f>IF(Table1[[#This Row],[gross_revenue]]=0,0,Table1[[#This Row],[gross_profit]]/Table1[[#This Row],[gross_revenue]])</f>
        <v>-6.5623669402751925E-2</v>
      </c>
    </row>
    <row r="18" spans="1:42" x14ac:dyDescent="0.35">
      <c r="A18" t="s">
        <v>112</v>
      </c>
      <c r="B18" t="str">
        <f>_xlfn.TEXTAFTER(Table1[[#This Row],[OrderID]],"-",2)</f>
        <v>638884</v>
      </c>
      <c r="C18">
        <f>YEAR(Table1[[#This Row],[OrderDate]])</f>
        <v>2024</v>
      </c>
      <c r="D18" s="9">
        <f>_xlfn.MINIFS(F:F,P:P,Table1[[#This Row],[Country]])</f>
        <v>44941</v>
      </c>
      <c r="E18" s="7">
        <f>DATEDIF(Table1[[#This Row],[first_time_orders]],Table1[[#This Row],[OrderDate]],"m")</f>
        <v>16</v>
      </c>
      <c r="F18" s="9">
        <v>45440</v>
      </c>
      <c r="G18" s="2" t="str">
        <f>TEXT(Table1[[#This Row],[OrderDate]],"MMM-YYYY")</f>
        <v>May-2024</v>
      </c>
      <c r="H18" s="7">
        <f>MONTH(Table1[[#This Row],[OrderDate]])</f>
        <v>5</v>
      </c>
      <c r="I18" s="7" t="str">
        <f>"Q"&amp;ROUNDUP(Table1[[#This Row],[months]]/3,0)&amp;"-"&amp;Table1[[#This Row],[order_year]]</f>
        <v>Q2-2024</v>
      </c>
      <c r="J18" s="7">
        <f>Table1[[#This Row],[RequiredDate]]-Table1[[#This Row],[OrderDate]]</f>
        <v>-2</v>
      </c>
      <c r="K18" s="7">
        <f>IF(Table1[[#This Row],[lead_time]]&lt;0,MEDIAN(J:J),Table1[[#This Row],[lead_time]])</f>
        <v>15</v>
      </c>
      <c r="L18" s="7">
        <f>IF(Table1[[#This Row],[adj_lead_time]]&lt;=7,1,0)</f>
        <v>0</v>
      </c>
      <c r="M18" s="9">
        <v>45438</v>
      </c>
      <c r="N18" s="9">
        <f>IF(Table1[[#This Row],[lead_time]]&lt;0,(Table1[[#This Row],[OrderDate]]+Table1[[#This Row],[adj_lead_time]]),Table1[[#This Row],[RequiredDate]])</f>
        <v>45455</v>
      </c>
      <c r="O18" t="s">
        <v>646</v>
      </c>
      <c r="P18" t="s">
        <v>651</v>
      </c>
      <c r="Q18" t="s">
        <v>669</v>
      </c>
      <c r="R18" t="s">
        <v>706</v>
      </c>
      <c r="S18" t="s">
        <v>708</v>
      </c>
      <c r="T18" t="s">
        <v>721</v>
      </c>
      <c r="U18" t="s">
        <v>733</v>
      </c>
      <c r="V18" t="s">
        <v>831</v>
      </c>
      <c r="W18">
        <v>1227.08</v>
      </c>
      <c r="X18">
        <f>Table1[[#This Row],[UnitCost]]*(1+'scenario modeling'!$B$3)</f>
        <v>1349.788</v>
      </c>
      <c r="Y18">
        <v>1896.62</v>
      </c>
      <c r="Z18" t="str">
        <f>IF(Table1[[#This Row],[UnitPrice]]&lt;=Quantiles!$B$2,Quantiles!$A$2,IF(Table1[[#This Row],[UnitPrice]]&lt;=Quantiles!$B$3,Quantiles!$A$3,Quantiles!$A$4))</f>
        <v>High</v>
      </c>
      <c r="AA18">
        <v>0</v>
      </c>
      <c r="AB18" s="5">
        <f>MIN(Table1[[#This Row],[DiscountPct]],'scenario modeling'!$B$2)</f>
        <v>0</v>
      </c>
      <c r="AC18" t="str">
        <f>IF(Table1[[#This Row],[DiscountPct]]&gt;0.3, "&gt;0.3","")</f>
        <v/>
      </c>
      <c r="AD18">
        <v>18</v>
      </c>
      <c r="AE18">
        <f>Table1[[#This Row],[Quantity]]*(1+'scenario modeling'!$B$4)</f>
        <v>21.599999999999998</v>
      </c>
      <c r="AF18">
        <f>Table1[[#This Row],[UnitCost]]*Table1[[#This Row],[Quantity]]</f>
        <v>22087.439999999999</v>
      </c>
      <c r="AG18">
        <f>SUMIF($U:U,Table1[[#This Row],[ProductCategory]],$AM:AM)</f>
        <v>1331102.9440700002</v>
      </c>
      <c r="AH18">
        <f>SUMIFS($AM$2:AM18,$U$2:U18,U18)</f>
        <v>265515.72889999993</v>
      </c>
      <c r="AI18" s="5">
        <f>Table1[[#This Row],[Cumulative_revenue]]/Table1[[#This Row],[Category_revenue]]</f>
        <v>0.19947046926975842</v>
      </c>
      <c r="AJ18" t="str">
        <f>IF(Table1[[#This Row],[cumulative_pct]]&lt;=0.8,"A",IF(Table1[[#This Row],[cumulative_pct]]&lt;=0.95,"B","C"))</f>
        <v>A</v>
      </c>
      <c r="AK18">
        <f>Table1[[#This Row],[adj_unit_cost]]*Table1[[#This Row],[scenario_quantity]]</f>
        <v>29155.420799999996</v>
      </c>
      <c r="AL18" s="5">
        <f>Table1[[#This Row],[UnitPrice]]*Table1[[#This Row],[scenario_quantity]]*(1-Table1[[#This Row],[cap_adjusted_discount]])</f>
        <v>40966.991999999991</v>
      </c>
      <c r="AM18" s="5">
        <f>Table1[[#This Row],[UnitPrice]]*Table1[[#This Row],[Quantity]]*(1-Table1[[#This Row],[DiscountPct]])</f>
        <v>34139.159999999996</v>
      </c>
      <c r="AN18" s="5">
        <f>Table1[[#This Row],[gross_revenue]]-Table1[[#This Row],[cost_of_goods]]</f>
        <v>12051.719999999998</v>
      </c>
      <c r="AO18" s="5">
        <f>Table1[[#This Row],[scenario_revenue]]-Table1[[#This Row],[Scenario_unit_cost]]</f>
        <v>11811.571199999995</v>
      </c>
      <c r="AP18" s="5">
        <f>IF(Table1[[#This Row],[gross_revenue]]=0,0,Table1[[#This Row],[gross_profit]]/Table1[[#This Row],[gross_revenue]])</f>
        <v>0.353017473189147</v>
      </c>
    </row>
    <row r="19" spans="1:42" x14ac:dyDescent="0.35">
      <c r="A19" t="s">
        <v>185</v>
      </c>
      <c r="B19" t="str">
        <f>_xlfn.TEXTAFTER(Table1[[#This Row],[OrderID]],"-",2)</f>
        <v>605629</v>
      </c>
      <c r="C19">
        <f>YEAR(Table1[[#This Row],[OrderDate]])</f>
        <v>2024</v>
      </c>
      <c r="D19" s="9">
        <f>_xlfn.MINIFS(F:F,P:P,Table1[[#This Row],[Country]])</f>
        <v>44988</v>
      </c>
      <c r="E19" s="7">
        <f>DATEDIF(Table1[[#This Row],[first_time_orders]],Table1[[#This Row],[OrderDate]],"m")</f>
        <v>16</v>
      </c>
      <c r="F19" s="9">
        <v>45488</v>
      </c>
      <c r="G19" s="2" t="str">
        <f>TEXT(Table1[[#This Row],[OrderDate]],"MMM-YYYY")</f>
        <v>Jul-2024</v>
      </c>
      <c r="H19" s="7">
        <f>MONTH(Table1[[#This Row],[OrderDate]])</f>
        <v>7</v>
      </c>
      <c r="I19" s="7" t="str">
        <f>"Q"&amp;ROUNDUP(Table1[[#This Row],[months]]/3,0)&amp;"-"&amp;Table1[[#This Row],[order_year]]</f>
        <v>Q3-2024</v>
      </c>
      <c r="J19" s="7">
        <f>Table1[[#This Row],[RequiredDate]]-Table1[[#This Row],[OrderDate]]</f>
        <v>0</v>
      </c>
      <c r="K19" s="7">
        <f>IF(Table1[[#This Row],[lead_time]]&lt;0,MEDIAN(J:J),Table1[[#This Row],[lead_time]])</f>
        <v>0</v>
      </c>
      <c r="L19" s="7">
        <f>IF(Table1[[#This Row],[adj_lead_time]]&lt;=7,1,0)</f>
        <v>1</v>
      </c>
      <c r="M19" s="9">
        <v>45488</v>
      </c>
      <c r="N19" s="9">
        <f>IF(Table1[[#This Row],[lead_time]]&lt;0,(Table1[[#This Row],[OrderDate]]+Table1[[#This Row],[adj_lead_time]]),Table1[[#This Row],[RequiredDate]])</f>
        <v>45488</v>
      </c>
      <c r="O19" t="s">
        <v>647</v>
      </c>
      <c r="P19" t="s">
        <v>652</v>
      </c>
      <c r="Q19" t="s">
        <v>689</v>
      </c>
      <c r="R19" t="s">
        <v>705</v>
      </c>
      <c r="S19" t="s">
        <v>709</v>
      </c>
      <c r="T19" t="s">
        <v>715</v>
      </c>
      <c r="U19" t="s">
        <v>733</v>
      </c>
      <c r="V19" t="s">
        <v>904</v>
      </c>
      <c r="W19">
        <v>801.77</v>
      </c>
      <c r="X19">
        <f>Table1[[#This Row],[UnitCost]]*(1+'scenario modeling'!$B$3)</f>
        <v>881.947</v>
      </c>
      <c r="Y19">
        <v>1218.92</v>
      </c>
      <c r="Z19" t="str">
        <f>IF(Table1[[#This Row],[UnitPrice]]&lt;=Quantiles!$B$2,Quantiles!$A$2,IF(Table1[[#This Row],[UnitPrice]]&lt;=Quantiles!$B$3,Quantiles!$A$3,Quantiles!$A$4))</f>
        <v>Medium</v>
      </c>
      <c r="AA19">
        <v>0.254</v>
      </c>
      <c r="AB19" s="5">
        <f>MIN(Table1[[#This Row],[DiscountPct]],'scenario modeling'!$B$2)</f>
        <v>0.1</v>
      </c>
      <c r="AC19" t="str">
        <f>IF(Table1[[#This Row],[DiscountPct]]&gt;0.3, "&gt;0.3","")</f>
        <v/>
      </c>
      <c r="AD19">
        <v>16</v>
      </c>
      <c r="AE19">
        <f>Table1[[#This Row],[Quantity]]*(1+'scenario modeling'!$B$4)</f>
        <v>19.2</v>
      </c>
      <c r="AF19">
        <f>Table1[[#This Row],[UnitCost]]*Table1[[#This Row],[Quantity]]</f>
        <v>12828.32</v>
      </c>
      <c r="AG19">
        <f>SUMIF($U:U,Table1[[#This Row],[ProductCategory]],$AM:AM)</f>
        <v>1331102.9440700002</v>
      </c>
      <c r="AH19">
        <f>SUMIFS($AM$2:AM19,$U$2:U19,U19)</f>
        <v>280064.75801999995</v>
      </c>
      <c r="AI19" s="5">
        <f>Table1[[#This Row],[Cumulative_revenue]]/Table1[[#This Row],[Category_revenue]]</f>
        <v>0.21040052481866636</v>
      </c>
      <c r="AJ19" t="str">
        <f>IF(Table1[[#This Row],[cumulative_pct]]&lt;=0.8,"A",IF(Table1[[#This Row],[cumulative_pct]]&lt;=0.95,"B","C"))</f>
        <v>A</v>
      </c>
      <c r="AK19">
        <f>Table1[[#This Row],[adj_unit_cost]]*Table1[[#This Row],[scenario_quantity]]</f>
        <v>16933.382399999999</v>
      </c>
      <c r="AL19" s="5">
        <f>Table1[[#This Row],[UnitPrice]]*Table1[[#This Row],[scenario_quantity]]*(1-Table1[[#This Row],[cap_adjusted_discount]])</f>
        <v>21062.937600000001</v>
      </c>
      <c r="AM19" s="5">
        <f>Table1[[#This Row],[UnitPrice]]*Table1[[#This Row],[Quantity]]*(1-Table1[[#This Row],[DiscountPct]])</f>
        <v>14549.029120000001</v>
      </c>
      <c r="AN19" s="5">
        <f>Table1[[#This Row],[gross_revenue]]-Table1[[#This Row],[cost_of_goods]]</f>
        <v>1720.7091200000013</v>
      </c>
      <c r="AO19" s="5">
        <f>Table1[[#This Row],[scenario_revenue]]-Table1[[#This Row],[Scenario_unit_cost]]</f>
        <v>4129.5552000000025</v>
      </c>
      <c r="AP19" s="5">
        <f>IF(Table1[[#This Row],[gross_revenue]]=0,0,Table1[[#This Row],[gross_profit]]/Table1[[#This Row],[gross_revenue]])</f>
        <v>0.11826968698788344</v>
      </c>
    </row>
    <row r="20" spans="1:42" x14ac:dyDescent="0.35">
      <c r="A20" t="s">
        <v>480</v>
      </c>
      <c r="B20" t="str">
        <f>_xlfn.TEXTAFTER(Table1[[#This Row],[OrderID]],"-",2)</f>
        <v>787018</v>
      </c>
      <c r="C20">
        <f>YEAR(Table1[[#This Row],[OrderDate]])</f>
        <v>2024</v>
      </c>
      <c r="D20" s="9">
        <f>_xlfn.MINIFS(F:F,P:P,Table1[[#This Row],[Country]])</f>
        <v>44941</v>
      </c>
      <c r="E20" s="7">
        <f>DATEDIF(Table1[[#This Row],[first_time_orders]],Table1[[#This Row],[OrderDate]],"m")</f>
        <v>17</v>
      </c>
      <c r="F20" s="9">
        <v>45466</v>
      </c>
      <c r="G20" s="2" t="str">
        <f>TEXT(Table1[[#This Row],[OrderDate]],"MMM-YYYY")</f>
        <v>Jun-2024</v>
      </c>
      <c r="H20" s="7">
        <f>MONTH(Table1[[#This Row],[OrderDate]])</f>
        <v>6</v>
      </c>
      <c r="I20" s="7" t="str">
        <f>"Q"&amp;ROUNDUP(Table1[[#This Row],[months]]/3,0)&amp;"-"&amp;Table1[[#This Row],[order_year]]</f>
        <v>Q2-2024</v>
      </c>
      <c r="J20" s="7">
        <f>Table1[[#This Row],[RequiredDate]]-Table1[[#This Row],[OrderDate]]</f>
        <v>5</v>
      </c>
      <c r="K20" s="7">
        <f>IF(Table1[[#This Row],[lead_time]]&lt;0,MEDIAN(J:J),Table1[[#This Row],[lead_time]])</f>
        <v>5</v>
      </c>
      <c r="L20" s="7">
        <f>IF(Table1[[#This Row],[adj_lead_time]]&lt;=7,1,0)</f>
        <v>1</v>
      </c>
      <c r="M20" s="9">
        <v>45471</v>
      </c>
      <c r="N20" s="9">
        <f>IF(Table1[[#This Row],[lead_time]]&lt;0,(Table1[[#This Row],[OrderDate]]+Table1[[#This Row],[adj_lead_time]]),Table1[[#This Row],[RequiredDate]])</f>
        <v>45471</v>
      </c>
      <c r="O20" t="s">
        <v>646</v>
      </c>
      <c r="P20" t="s">
        <v>651</v>
      </c>
      <c r="Q20" t="s">
        <v>663</v>
      </c>
      <c r="R20" t="s">
        <v>703</v>
      </c>
      <c r="S20" t="s">
        <v>711</v>
      </c>
      <c r="T20" t="s">
        <v>724</v>
      </c>
      <c r="U20" t="s">
        <v>733</v>
      </c>
      <c r="V20" t="s">
        <v>1199</v>
      </c>
      <c r="W20">
        <v>242.31</v>
      </c>
      <c r="X20">
        <f>Table1[[#This Row],[UnitCost]]*(1+'scenario modeling'!$B$3)</f>
        <v>266.541</v>
      </c>
      <c r="Y20">
        <v>587.95000000000005</v>
      </c>
      <c r="Z20" t="str">
        <f>IF(Table1[[#This Row],[UnitPrice]]&lt;=Quantiles!$B$2,Quantiles!$A$2,IF(Table1[[#This Row],[UnitPrice]]&lt;=Quantiles!$B$3,Quantiles!$A$3,Quantiles!$A$4))</f>
        <v>Low</v>
      </c>
      <c r="AA20">
        <v>0.22900000000000001</v>
      </c>
      <c r="AB20" s="5">
        <f>MIN(Table1[[#This Row],[DiscountPct]],'scenario modeling'!$B$2)</f>
        <v>0.1</v>
      </c>
      <c r="AC20" t="str">
        <f>IF(Table1[[#This Row],[DiscountPct]]&gt;0.3, "&gt;0.3","")</f>
        <v/>
      </c>
      <c r="AD20">
        <v>6</v>
      </c>
      <c r="AE20">
        <f>Table1[[#This Row],[Quantity]]*(1+'scenario modeling'!$B$4)</f>
        <v>7.1999999999999993</v>
      </c>
      <c r="AF20">
        <f>Table1[[#This Row],[UnitCost]]*Table1[[#This Row],[Quantity]]</f>
        <v>1453.8600000000001</v>
      </c>
      <c r="AG20">
        <f>SUMIF($U:U,Table1[[#This Row],[ProductCategory]],$AM:AM)</f>
        <v>1331102.9440700002</v>
      </c>
      <c r="AH20">
        <f>SUMIFS($AM$2:AM20,$U$2:U20,U20)</f>
        <v>282784.61471999995</v>
      </c>
      <c r="AI20" s="5">
        <f>Table1[[#This Row],[Cumulative_revenue]]/Table1[[#This Row],[Category_revenue]]</f>
        <v>0.21244383537711478</v>
      </c>
      <c r="AJ20" t="str">
        <f>IF(Table1[[#This Row],[cumulative_pct]]&lt;=0.8,"A",IF(Table1[[#This Row],[cumulative_pct]]&lt;=0.95,"B","C"))</f>
        <v>A</v>
      </c>
      <c r="AK20">
        <f>Table1[[#This Row],[adj_unit_cost]]*Table1[[#This Row],[scenario_quantity]]</f>
        <v>1919.0951999999997</v>
      </c>
      <c r="AL20" s="5">
        <f>Table1[[#This Row],[UnitPrice]]*Table1[[#This Row],[scenario_quantity]]*(1-Table1[[#This Row],[cap_adjusted_discount]])</f>
        <v>3809.9159999999997</v>
      </c>
      <c r="AM20" s="5">
        <f>Table1[[#This Row],[UnitPrice]]*Table1[[#This Row],[Quantity]]*(1-Table1[[#This Row],[DiscountPct]])</f>
        <v>2719.8567000000003</v>
      </c>
      <c r="AN20" s="5">
        <f>Table1[[#This Row],[gross_revenue]]-Table1[[#This Row],[cost_of_goods]]</f>
        <v>1265.9967000000001</v>
      </c>
      <c r="AO20" s="5">
        <f>Table1[[#This Row],[scenario_revenue]]-Table1[[#This Row],[Scenario_unit_cost]]</f>
        <v>1890.8208</v>
      </c>
      <c r="AP20" s="5">
        <f>IF(Table1[[#This Row],[gross_revenue]]=0,0,Table1[[#This Row],[gross_profit]]/Table1[[#This Row],[gross_revenue]])</f>
        <v>0.46546448568411714</v>
      </c>
    </row>
    <row r="21" spans="1:42" x14ac:dyDescent="0.35">
      <c r="A21" t="s">
        <v>40</v>
      </c>
      <c r="B21" t="str">
        <f>_xlfn.TEXTAFTER(Table1[[#This Row],[OrderID]],"-",2)</f>
        <v>215294</v>
      </c>
      <c r="C21">
        <f>YEAR(Table1[[#This Row],[OrderDate]])</f>
        <v>2024</v>
      </c>
      <c r="D21" s="9">
        <f>_xlfn.MINIFS(F:F,P:P,Table1[[#This Row],[Country]])</f>
        <v>44955</v>
      </c>
      <c r="E21" s="7">
        <f>DATEDIF(Table1[[#This Row],[first_time_orders]],Table1[[#This Row],[OrderDate]],"m")</f>
        <v>17</v>
      </c>
      <c r="F21" s="9">
        <v>45473</v>
      </c>
      <c r="G21" s="2" t="str">
        <f>TEXT(Table1[[#This Row],[OrderDate]],"MMM-YYYY")</f>
        <v>Jun-2024</v>
      </c>
      <c r="H21" s="7">
        <f>MONTH(Table1[[#This Row],[OrderDate]])</f>
        <v>6</v>
      </c>
      <c r="I21" s="7" t="str">
        <f>"Q"&amp;ROUNDUP(Table1[[#This Row],[months]]/3,0)&amp;"-"&amp;Table1[[#This Row],[order_year]]</f>
        <v>Q2-2024</v>
      </c>
      <c r="J21" s="7">
        <f>Table1[[#This Row],[RequiredDate]]-Table1[[#This Row],[OrderDate]]</f>
        <v>14</v>
      </c>
      <c r="K21" s="7">
        <f>IF(Table1[[#This Row],[lead_time]]&lt;0,MEDIAN(J:J),Table1[[#This Row],[lead_time]])</f>
        <v>14</v>
      </c>
      <c r="L21" s="7">
        <f>IF(Table1[[#This Row],[adj_lead_time]]&lt;=7,1,0)</f>
        <v>0</v>
      </c>
      <c r="M21" s="9">
        <v>45487</v>
      </c>
      <c r="N21" s="9">
        <f>IF(Table1[[#This Row],[lead_time]]&lt;0,(Table1[[#This Row],[OrderDate]]+Table1[[#This Row],[adj_lead_time]]),Table1[[#This Row],[RequiredDate]])</f>
        <v>45487</v>
      </c>
      <c r="O21" t="s">
        <v>648</v>
      </c>
      <c r="P21" t="s">
        <v>655</v>
      </c>
      <c r="Q21" t="s">
        <v>672</v>
      </c>
      <c r="R21" t="s">
        <v>702</v>
      </c>
      <c r="S21" t="s">
        <v>707</v>
      </c>
      <c r="T21" t="s">
        <v>712</v>
      </c>
      <c r="U21" t="s">
        <v>733</v>
      </c>
      <c r="V21" t="s">
        <v>759</v>
      </c>
      <c r="W21">
        <v>1491.85</v>
      </c>
      <c r="X21">
        <f>Table1[[#This Row],[UnitCost]]*(1+'scenario modeling'!$B$3)</f>
        <v>1641.0350000000001</v>
      </c>
      <c r="Y21">
        <v>2583.02</v>
      </c>
      <c r="Z21" t="str">
        <f>IF(Table1[[#This Row],[UnitPrice]]&lt;=Quantiles!$B$2,Quantiles!$A$2,IF(Table1[[#This Row],[UnitPrice]]&lt;=Quantiles!$B$3,Quantiles!$A$3,Quantiles!$A$4))</f>
        <v>High</v>
      </c>
      <c r="AA21">
        <v>0.16800000000000001</v>
      </c>
      <c r="AB21" s="5">
        <f>MIN(Table1[[#This Row],[DiscountPct]],'scenario modeling'!$B$2)</f>
        <v>0.1</v>
      </c>
      <c r="AC21" t="str">
        <f>IF(Table1[[#This Row],[DiscountPct]]&gt;0.3, "&gt;0.3","")</f>
        <v/>
      </c>
      <c r="AD21">
        <v>4</v>
      </c>
      <c r="AE21">
        <f>Table1[[#This Row],[Quantity]]*(1+'scenario modeling'!$B$4)</f>
        <v>4.8</v>
      </c>
      <c r="AF21">
        <f>Table1[[#This Row],[UnitCost]]*Table1[[#This Row],[Quantity]]</f>
        <v>5967.4</v>
      </c>
      <c r="AG21">
        <f>SUMIF($U:U,Table1[[#This Row],[ProductCategory]],$AM:AM)</f>
        <v>1331102.9440700002</v>
      </c>
      <c r="AH21">
        <f>SUMIFS($AM$2:AM21,$U$2:U21,U21)</f>
        <v>291380.90527999995</v>
      </c>
      <c r="AI21" s="5">
        <f>Table1[[#This Row],[Cumulative_revenue]]/Table1[[#This Row],[Category_revenue]]</f>
        <v>0.21890185622238154</v>
      </c>
      <c r="AJ21" t="str">
        <f>IF(Table1[[#This Row],[cumulative_pct]]&lt;=0.8,"A",IF(Table1[[#This Row],[cumulative_pct]]&lt;=0.95,"B","C"))</f>
        <v>A</v>
      </c>
      <c r="AK21">
        <f>Table1[[#This Row],[adj_unit_cost]]*Table1[[#This Row],[scenario_quantity]]</f>
        <v>7876.9679999999998</v>
      </c>
      <c r="AL21" s="5">
        <f>Table1[[#This Row],[UnitPrice]]*Table1[[#This Row],[scenario_quantity]]*(1-Table1[[#This Row],[cap_adjusted_discount]])</f>
        <v>11158.6464</v>
      </c>
      <c r="AM21" s="5">
        <f>Table1[[#This Row],[UnitPrice]]*Table1[[#This Row],[Quantity]]*(1-Table1[[#This Row],[DiscountPct]])</f>
        <v>8596.2905599999995</v>
      </c>
      <c r="AN21" s="5">
        <f>Table1[[#This Row],[gross_revenue]]-Table1[[#This Row],[cost_of_goods]]</f>
        <v>2628.8905599999998</v>
      </c>
      <c r="AO21" s="5">
        <f>Table1[[#This Row],[scenario_revenue]]-Table1[[#This Row],[Scenario_unit_cost]]</f>
        <v>3281.6783999999998</v>
      </c>
      <c r="AP21" s="5">
        <f>IF(Table1[[#This Row],[gross_revenue]]=0,0,Table1[[#This Row],[gross_profit]]/Table1[[#This Row],[gross_revenue]])</f>
        <v>0.30581685689321325</v>
      </c>
    </row>
    <row r="22" spans="1:42" x14ac:dyDescent="0.35">
      <c r="A22" t="s">
        <v>92</v>
      </c>
      <c r="B22" t="str">
        <f>_xlfn.TEXTAFTER(Table1[[#This Row],[OrderID]],"-",2)</f>
        <v>451005</v>
      </c>
      <c r="C22">
        <f>YEAR(Table1[[#This Row],[OrderDate]])</f>
        <v>2024</v>
      </c>
      <c r="D22" s="9">
        <f>_xlfn.MINIFS(F:F,P:P,Table1[[#This Row],[Country]])</f>
        <v>44955</v>
      </c>
      <c r="E22" s="7">
        <f>DATEDIF(Table1[[#This Row],[first_time_orders]],Table1[[#This Row],[OrderDate]],"m")</f>
        <v>17</v>
      </c>
      <c r="F22" s="9">
        <v>45473</v>
      </c>
      <c r="G22" s="2" t="str">
        <f>TEXT(Table1[[#This Row],[OrderDate]],"MMM-YYYY")</f>
        <v>Jun-2024</v>
      </c>
      <c r="H22" s="7">
        <f>MONTH(Table1[[#This Row],[OrderDate]])</f>
        <v>6</v>
      </c>
      <c r="I22" s="7" t="str">
        <f>"Q"&amp;ROUNDUP(Table1[[#This Row],[months]]/3,0)&amp;"-"&amp;Table1[[#This Row],[order_year]]</f>
        <v>Q2-2024</v>
      </c>
      <c r="J22" s="7">
        <f>Table1[[#This Row],[RequiredDate]]-Table1[[#This Row],[OrderDate]]</f>
        <v>-2</v>
      </c>
      <c r="K22" s="7">
        <f>IF(Table1[[#This Row],[lead_time]]&lt;0,MEDIAN(J:J),Table1[[#This Row],[lead_time]])</f>
        <v>15</v>
      </c>
      <c r="L22" s="7">
        <f>IF(Table1[[#This Row],[adj_lead_time]]&lt;=7,1,0)</f>
        <v>0</v>
      </c>
      <c r="M22" s="9">
        <v>45471</v>
      </c>
      <c r="N22" s="9">
        <f>IF(Table1[[#This Row],[lead_time]]&lt;0,(Table1[[#This Row],[OrderDate]]+Table1[[#This Row],[adj_lead_time]]),Table1[[#This Row],[RequiredDate]])</f>
        <v>45488</v>
      </c>
      <c r="O22" t="s">
        <v>648</v>
      </c>
      <c r="P22" t="s">
        <v>655</v>
      </c>
      <c r="Q22" t="s">
        <v>692</v>
      </c>
      <c r="R22" t="s">
        <v>705</v>
      </c>
      <c r="S22" t="s">
        <v>711</v>
      </c>
      <c r="T22" t="s">
        <v>716</v>
      </c>
      <c r="U22" t="s">
        <v>733</v>
      </c>
      <c r="V22" t="s">
        <v>811</v>
      </c>
      <c r="W22">
        <v>1112.98</v>
      </c>
      <c r="X22">
        <f>Table1[[#This Row],[UnitCost]]*(1+'scenario modeling'!$B$3)</f>
        <v>1224.278</v>
      </c>
      <c r="Y22">
        <v>2095.73</v>
      </c>
      <c r="Z22" t="str">
        <f>IF(Table1[[#This Row],[UnitPrice]]&lt;=Quantiles!$B$2,Quantiles!$A$2,IF(Table1[[#This Row],[UnitPrice]]&lt;=Quantiles!$B$3,Quantiles!$A$3,Quantiles!$A$4))</f>
        <v>High</v>
      </c>
      <c r="AA22">
        <v>7.1999999999999995E-2</v>
      </c>
      <c r="AB22" s="5">
        <f>MIN(Table1[[#This Row],[DiscountPct]],'scenario modeling'!$B$2)</f>
        <v>7.1999999999999995E-2</v>
      </c>
      <c r="AC22" t="str">
        <f>IF(Table1[[#This Row],[DiscountPct]]&gt;0.3, "&gt;0.3","")</f>
        <v/>
      </c>
      <c r="AD22">
        <v>17</v>
      </c>
      <c r="AE22">
        <f>Table1[[#This Row],[Quantity]]*(1+'scenario modeling'!$B$4)</f>
        <v>20.399999999999999</v>
      </c>
      <c r="AF22">
        <f>Table1[[#This Row],[UnitCost]]*Table1[[#This Row],[Quantity]]</f>
        <v>18920.66</v>
      </c>
      <c r="AG22">
        <f>SUMIF($U:U,Table1[[#This Row],[ProductCategory]],$AM:AM)</f>
        <v>1331102.9440700002</v>
      </c>
      <c r="AH22">
        <f>SUMIFS($AM$2:AM22,$U$2:U22,U22)</f>
        <v>324443.14175999997</v>
      </c>
      <c r="AI22" s="5">
        <f>Table1[[#This Row],[Cumulative_revenue]]/Table1[[#This Row],[Category_revenue]]</f>
        <v>0.24374008276773679</v>
      </c>
      <c r="AJ22" t="str">
        <f>IF(Table1[[#This Row],[cumulative_pct]]&lt;=0.8,"A",IF(Table1[[#This Row],[cumulative_pct]]&lt;=0.95,"B","C"))</f>
        <v>A</v>
      </c>
      <c r="AK22">
        <f>Table1[[#This Row],[adj_unit_cost]]*Table1[[#This Row],[scenario_quantity]]</f>
        <v>24975.271199999999</v>
      </c>
      <c r="AL22" s="5">
        <f>Table1[[#This Row],[UnitPrice]]*Table1[[#This Row],[scenario_quantity]]*(1-Table1[[#This Row],[cap_adjusted_discount]])</f>
        <v>39674.683776000005</v>
      </c>
      <c r="AM22" s="5">
        <f>Table1[[#This Row],[UnitPrice]]*Table1[[#This Row],[Quantity]]*(1-Table1[[#This Row],[DiscountPct]])</f>
        <v>33062.236480000007</v>
      </c>
      <c r="AN22" s="5">
        <f>Table1[[#This Row],[gross_revenue]]-Table1[[#This Row],[cost_of_goods]]</f>
        <v>14141.576480000007</v>
      </c>
      <c r="AO22" s="5">
        <f>Table1[[#This Row],[scenario_revenue]]-Table1[[#This Row],[Scenario_unit_cost]]</f>
        <v>14699.412576000006</v>
      </c>
      <c r="AP22" s="5">
        <f>IF(Table1[[#This Row],[gross_revenue]]=0,0,Table1[[#This Row],[gross_profit]]/Table1[[#This Row],[gross_revenue]])</f>
        <v>0.42772594916724777</v>
      </c>
    </row>
    <row r="23" spans="1:42" x14ac:dyDescent="0.35">
      <c r="A23" t="s">
        <v>536</v>
      </c>
      <c r="B23" t="str">
        <f>_xlfn.TEXTAFTER(Table1[[#This Row],[OrderID]],"-",2)</f>
        <v>468615</v>
      </c>
      <c r="C23">
        <f>YEAR(Table1[[#This Row],[OrderDate]])</f>
        <v>2024</v>
      </c>
      <c r="D23" s="9">
        <f>_xlfn.MINIFS(F:F,P:P,Table1[[#This Row],[Country]])</f>
        <v>44938</v>
      </c>
      <c r="E23" s="7">
        <f>DATEDIF(Table1[[#This Row],[first_time_orders]],Table1[[#This Row],[OrderDate]],"m")</f>
        <v>17</v>
      </c>
      <c r="F23" s="9">
        <v>45482</v>
      </c>
      <c r="G23" s="2" t="str">
        <f>TEXT(Table1[[#This Row],[OrderDate]],"MMM-YYYY")</f>
        <v>Jul-2024</v>
      </c>
      <c r="H23" s="7">
        <f>MONTH(Table1[[#This Row],[OrderDate]])</f>
        <v>7</v>
      </c>
      <c r="I23" s="7" t="str">
        <f>"Q"&amp;ROUNDUP(Table1[[#This Row],[months]]/3,0)&amp;"-"&amp;Table1[[#This Row],[order_year]]</f>
        <v>Q3-2024</v>
      </c>
      <c r="J23" s="7">
        <f>Table1[[#This Row],[RequiredDate]]-Table1[[#This Row],[OrderDate]]</f>
        <v>3</v>
      </c>
      <c r="K23" s="7">
        <f>IF(Table1[[#This Row],[lead_time]]&lt;0,MEDIAN(J:J),Table1[[#This Row],[lead_time]])</f>
        <v>3</v>
      </c>
      <c r="L23" s="7">
        <f>IF(Table1[[#This Row],[adj_lead_time]]&lt;=7,1,0)</f>
        <v>1</v>
      </c>
      <c r="M23" s="9">
        <v>45485</v>
      </c>
      <c r="N23" s="9">
        <f>IF(Table1[[#This Row],[lead_time]]&lt;0,(Table1[[#This Row],[OrderDate]]+Table1[[#This Row],[adj_lead_time]]),Table1[[#This Row],[RequiredDate]])</f>
        <v>45485</v>
      </c>
      <c r="O23" t="s">
        <v>647</v>
      </c>
      <c r="P23" t="s">
        <v>659</v>
      </c>
      <c r="Q23" t="s">
        <v>685</v>
      </c>
      <c r="R23" t="s">
        <v>705</v>
      </c>
      <c r="S23" t="s">
        <v>707</v>
      </c>
      <c r="T23" t="s">
        <v>726</v>
      </c>
      <c r="U23" t="s">
        <v>733</v>
      </c>
      <c r="V23" t="s">
        <v>1255</v>
      </c>
      <c r="W23">
        <v>748.39</v>
      </c>
      <c r="X23">
        <f>Table1[[#This Row],[UnitCost]]*(1+'scenario modeling'!$B$3)</f>
        <v>823.22900000000004</v>
      </c>
      <c r="Y23">
        <v>979.42</v>
      </c>
      <c r="Z23" t="str">
        <f>IF(Table1[[#This Row],[UnitPrice]]&lt;=Quantiles!$B$2,Quantiles!$A$2,IF(Table1[[#This Row],[UnitPrice]]&lt;=Quantiles!$B$3,Quantiles!$A$3,Quantiles!$A$4))</f>
        <v>Medium</v>
      </c>
      <c r="AA23">
        <v>0</v>
      </c>
      <c r="AB23" s="5">
        <f>MIN(Table1[[#This Row],[DiscountPct]],'scenario modeling'!$B$2)</f>
        <v>0</v>
      </c>
      <c r="AC23" t="str">
        <f>IF(Table1[[#This Row],[DiscountPct]]&gt;0.3, "&gt;0.3","")</f>
        <v/>
      </c>
      <c r="AD23">
        <v>23</v>
      </c>
      <c r="AE23">
        <f>Table1[[#This Row],[Quantity]]*(1+'scenario modeling'!$B$4)</f>
        <v>27.599999999999998</v>
      </c>
      <c r="AF23">
        <f>Table1[[#This Row],[UnitCost]]*Table1[[#This Row],[Quantity]]</f>
        <v>17212.97</v>
      </c>
      <c r="AG23">
        <f>SUMIF($U:U,Table1[[#This Row],[ProductCategory]],$AM:AM)</f>
        <v>1331102.9440700002</v>
      </c>
      <c r="AH23">
        <f>SUMIFS($AM$2:AM23,$U$2:U23,U23)</f>
        <v>346969.80175999994</v>
      </c>
      <c r="AI23" s="5">
        <f>Table1[[#This Row],[Cumulative_revenue]]/Table1[[#This Row],[Category_revenue]]</f>
        <v>0.26066338693467234</v>
      </c>
      <c r="AJ23" t="str">
        <f>IF(Table1[[#This Row],[cumulative_pct]]&lt;=0.8,"A",IF(Table1[[#This Row],[cumulative_pct]]&lt;=0.95,"B","C"))</f>
        <v>A</v>
      </c>
      <c r="AK23">
        <f>Table1[[#This Row],[adj_unit_cost]]*Table1[[#This Row],[scenario_quantity]]</f>
        <v>22721.1204</v>
      </c>
      <c r="AL23" s="5">
        <f>Table1[[#This Row],[UnitPrice]]*Table1[[#This Row],[scenario_quantity]]*(1-Table1[[#This Row],[cap_adjusted_discount]])</f>
        <v>27031.991999999998</v>
      </c>
      <c r="AM23" s="5">
        <f>Table1[[#This Row],[UnitPrice]]*Table1[[#This Row],[Quantity]]*(1-Table1[[#This Row],[DiscountPct]])</f>
        <v>22526.66</v>
      </c>
      <c r="AN23" s="5">
        <f>Table1[[#This Row],[gross_revenue]]-Table1[[#This Row],[cost_of_goods]]</f>
        <v>5313.6899999999987</v>
      </c>
      <c r="AO23" s="5">
        <f>Table1[[#This Row],[scenario_revenue]]-Table1[[#This Row],[Scenario_unit_cost]]</f>
        <v>4310.8715999999986</v>
      </c>
      <c r="AP23" s="5">
        <f>IF(Table1[[#This Row],[gross_revenue]]=0,0,Table1[[#This Row],[gross_profit]]/Table1[[#This Row],[gross_revenue]])</f>
        <v>0.23588450307324738</v>
      </c>
    </row>
    <row r="24" spans="1:42" x14ac:dyDescent="0.35">
      <c r="A24" t="s">
        <v>374</v>
      </c>
      <c r="B24" t="str">
        <f>_xlfn.TEXTAFTER(Table1[[#This Row],[OrderID]],"-",2)</f>
        <v>704056</v>
      </c>
      <c r="C24">
        <f>YEAR(Table1[[#This Row],[OrderDate]])</f>
        <v>2024</v>
      </c>
      <c r="D24" s="9">
        <f>_xlfn.MINIFS(F:F,P:P,Table1[[#This Row],[Country]])</f>
        <v>44945</v>
      </c>
      <c r="E24" s="7">
        <f>DATEDIF(Table1[[#This Row],[first_time_orders]],Table1[[#This Row],[OrderDate]],"m")</f>
        <v>17</v>
      </c>
      <c r="F24" s="9">
        <v>45466</v>
      </c>
      <c r="G24" s="2" t="str">
        <f>TEXT(Table1[[#This Row],[OrderDate]],"MMM-YYYY")</f>
        <v>Jun-2024</v>
      </c>
      <c r="H24" s="7">
        <f>MONTH(Table1[[#This Row],[OrderDate]])</f>
        <v>6</v>
      </c>
      <c r="I24" s="7" t="str">
        <f>"Q"&amp;ROUNDUP(Table1[[#This Row],[months]]/3,0)&amp;"-"&amp;Table1[[#This Row],[order_year]]</f>
        <v>Q2-2024</v>
      </c>
      <c r="J24" s="7">
        <f>Table1[[#This Row],[RequiredDate]]-Table1[[#This Row],[OrderDate]]</f>
        <v>2</v>
      </c>
      <c r="K24" s="7">
        <f>IF(Table1[[#This Row],[lead_time]]&lt;0,MEDIAN(J:J),Table1[[#This Row],[lead_time]])</f>
        <v>2</v>
      </c>
      <c r="L24" s="7">
        <f>IF(Table1[[#This Row],[adj_lead_time]]&lt;=7,1,0)</f>
        <v>1</v>
      </c>
      <c r="M24" s="9">
        <v>45468</v>
      </c>
      <c r="N24" s="9">
        <f>IF(Table1[[#This Row],[lead_time]]&lt;0,(Table1[[#This Row],[OrderDate]]+Table1[[#This Row],[adj_lead_time]]),Table1[[#This Row],[RequiredDate]])</f>
        <v>45468</v>
      </c>
      <c r="O24" t="s">
        <v>649</v>
      </c>
      <c r="P24" t="s">
        <v>658</v>
      </c>
      <c r="Q24" t="s">
        <v>674</v>
      </c>
      <c r="R24" t="s">
        <v>705</v>
      </c>
      <c r="S24" t="s">
        <v>709</v>
      </c>
      <c r="T24" t="s">
        <v>716</v>
      </c>
      <c r="U24" t="s">
        <v>733</v>
      </c>
      <c r="V24" t="s">
        <v>1094</v>
      </c>
      <c r="W24">
        <v>951.44</v>
      </c>
      <c r="X24">
        <f>Table1[[#This Row],[UnitCost]]*(1+'scenario modeling'!$B$3)</f>
        <v>1046.5840000000001</v>
      </c>
      <c r="Y24">
        <v>1646.43</v>
      </c>
      <c r="Z24" t="str">
        <f>IF(Table1[[#This Row],[UnitPrice]]&lt;=Quantiles!$B$2,Quantiles!$A$2,IF(Table1[[#This Row],[UnitPrice]]&lt;=Quantiles!$B$3,Quantiles!$A$3,Quantiles!$A$4))</f>
        <v>High</v>
      </c>
      <c r="AA24">
        <v>0.11</v>
      </c>
      <c r="AB24" s="5">
        <f>MIN(Table1[[#This Row],[DiscountPct]],'scenario modeling'!$B$2)</f>
        <v>0.1</v>
      </c>
      <c r="AC24" t="str">
        <f>IF(Table1[[#This Row],[DiscountPct]]&gt;0.3, "&gt;0.3","")</f>
        <v/>
      </c>
      <c r="AD24">
        <v>24</v>
      </c>
      <c r="AE24">
        <f>Table1[[#This Row],[Quantity]]*(1+'scenario modeling'!$B$4)</f>
        <v>28.799999999999997</v>
      </c>
      <c r="AF24">
        <f>Table1[[#This Row],[UnitCost]]*Table1[[#This Row],[Quantity]]</f>
        <v>22834.560000000001</v>
      </c>
      <c r="AG24">
        <f>SUMIF($U:U,Table1[[#This Row],[ProductCategory]],$AM:AM)</f>
        <v>1331102.9440700002</v>
      </c>
      <c r="AH24">
        <f>SUMIFS($AM$2:AM24,$U$2:U24,U24)</f>
        <v>382137.54655999993</v>
      </c>
      <c r="AI24" s="5">
        <f>Table1[[#This Row],[Cumulative_revenue]]/Table1[[#This Row],[Category_revenue]]</f>
        <v>0.28708339070423095</v>
      </c>
      <c r="AJ24" t="str">
        <f>IF(Table1[[#This Row],[cumulative_pct]]&lt;=0.8,"A",IF(Table1[[#This Row],[cumulative_pct]]&lt;=0.95,"B","C"))</f>
        <v>A</v>
      </c>
      <c r="AK24">
        <f>Table1[[#This Row],[adj_unit_cost]]*Table1[[#This Row],[scenario_quantity]]</f>
        <v>30141.619199999997</v>
      </c>
      <c r="AL24" s="5">
        <f>Table1[[#This Row],[UnitPrice]]*Table1[[#This Row],[scenario_quantity]]*(1-Table1[[#This Row],[cap_adjusted_discount]])</f>
        <v>42675.465599999996</v>
      </c>
      <c r="AM24" s="5">
        <f>Table1[[#This Row],[UnitPrice]]*Table1[[#This Row],[Quantity]]*(1-Table1[[#This Row],[DiscountPct]])</f>
        <v>35167.7448</v>
      </c>
      <c r="AN24" s="5">
        <f>Table1[[#This Row],[gross_revenue]]-Table1[[#This Row],[cost_of_goods]]</f>
        <v>12333.184799999999</v>
      </c>
      <c r="AO24" s="5">
        <f>Table1[[#This Row],[scenario_revenue]]-Table1[[#This Row],[Scenario_unit_cost]]</f>
        <v>12533.846399999999</v>
      </c>
      <c r="AP24" s="5">
        <f>IF(Table1[[#This Row],[gross_revenue]]=0,0,Table1[[#This Row],[gross_profit]]/Table1[[#This Row],[gross_revenue]])</f>
        <v>0.35069592520473475</v>
      </c>
    </row>
    <row r="25" spans="1:42" x14ac:dyDescent="0.35">
      <c r="A25" t="s">
        <v>91</v>
      </c>
      <c r="B25" t="str">
        <f>_xlfn.TEXTAFTER(Table1[[#This Row],[OrderID]],"-",2)</f>
        <v>446699</v>
      </c>
      <c r="C25">
        <f>YEAR(Table1[[#This Row],[OrderDate]])</f>
        <v>2024</v>
      </c>
      <c r="D25" s="9">
        <f>_xlfn.MINIFS(F:F,P:P,Table1[[#This Row],[Country]])</f>
        <v>44955</v>
      </c>
      <c r="E25" s="7">
        <f>DATEDIF(Table1[[#This Row],[first_time_orders]],Table1[[#This Row],[OrderDate]],"m")</f>
        <v>18</v>
      </c>
      <c r="F25" s="9">
        <v>45532</v>
      </c>
      <c r="G25" s="2" t="str">
        <f>TEXT(Table1[[#This Row],[OrderDate]],"MMM-YYYY")</f>
        <v>Aug-2024</v>
      </c>
      <c r="H25" s="7">
        <f>MONTH(Table1[[#This Row],[OrderDate]])</f>
        <v>8</v>
      </c>
      <c r="I25" s="7" t="str">
        <f>"Q"&amp;ROUNDUP(Table1[[#This Row],[months]]/3,0)&amp;"-"&amp;Table1[[#This Row],[order_year]]</f>
        <v>Q3-2024</v>
      </c>
      <c r="J25" s="7">
        <f>Table1[[#This Row],[RequiredDate]]-Table1[[#This Row],[OrderDate]]</f>
        <v>28</v>
      </c>
      <c r="K25" s="7">
        <f>IF(Table1[[#This Row],[lead_time]]&lt;0,MEDIAN(J:J),Table1[[#This Row],[lead_time]])</f>
        <v>28</v>
      </c>
      <c r="L25" s="7">
        <f>IF(Table1[[#This Row],[adj_lead_time]]&lt;=7,1,0)</f>
        <v>0</v>
      </c>
      <c r="M25" s="9">
        <v>45560</v>
      </c>
      <c r="N25" s="9">
        <f>IF(Table1[[#This Row],[lead_time]]&lt;0,(Table1[[#This Row],[OrderDate]]+Table1[[#This Row],[adj_lead_time]]),Table1[[#This Row],[RequiredDate]])</f>
        <v>45560</v>
      </c>
      <c r="O25" t="s">
        <v>648</v>
      </c>
      <c r="P25" t="s">
        <v>655</v>
      </c>
      <c r="Q25" t="s">
        <v>692</v>
      </c>
      <c r="R25" t="s">
        <v>703</v>
      </c>
      <c r="S25" t="s">
        <v>708</v>
      </c>
      <c r="T25" t="s">
        <v>716</v>
      </c>
      <c r="U25" t="s">
        <v>733</v>
      </c>
      <c r="V25" t="s">
        <v>810</v>
      </c>
      <c r="W25">
        <v>1394.65</v>
      </c>
      <c r="X25">
        <f>Table1[[#This Row],[UnitCost]]*(1+'scenario modeling'!$B$3)</f>
        <v>1534.1150000000002</v>
      </c>
      <c r="Y25">
        <v>3144.1</v>
      </c>
      <c r="Z25" t="str">
        <f>IF(Table1[[#This Row],[UnitPrice]]&lt;=Quantiles!$B$2,Quantiles!$A$2,IF(Table1[[#This Row],[UnitPrice]]&lt;=Quantiles!$B$3,Quantiles!$A$3,Quantiles!$A$4))</f>
        <v>High</v>
      </c>
      <c r="AA25">
        <v>0.13400000000000001</v>
      </c>
      <c r="AB25" s="5">
        <f>MIN(Table1[[#This Row],[DiscountPct]],'scenario modeling'!$B$2)</f>
        <v>0.1</v>
      </c>
      <c r="AC25" t="str">
        <f>IF(Table1[[#This Row],[DiscountPct]]&gt;0.3, "&gt;0.3","")</f>
        <v/>
      </c>
      <c r="AD25">
        <v>13</v>
      </c>
      <c r="AE25">
        <f>Table1[[#This Row],[Quantity]]*(1+'scenario modeling'!$B$4)</f>
        <v>15.6</v>
      </c>
      <c r="AF25">
        <f>Table1[[#This Row],[UnitCost]]*Table1[[#This Row],[Quantity]]</f>
        <v>18130.45</v>
      </c>
      <c r="AG25">
        <f>SUMIF($U:U,Table1[[#This Row],[ProductCategory]],$AM:AM)</f>
        <v>1331102.9440700002</v>
      </c>
      <c r="AH25">
        <f>SUMIFS($AM$2:AM25,$U$2:U25,U25)</f>
        <v>417533.82435999991</v>
      </c>
      <c r="AI25" s="5">
        <f>Table1[[#This Row],[Cumulative_revenue]]/Table1[[#This Row],[Category_revenue]]</f>
        <v>0.31367508142033124</v>
      </c>
      <c r="AJ25" t="str">
        <f>IF(Table1[[#This Row],[cumulative_pct]]&lt;=0.8,"A",IF(Table1[[#This Row],[cumulative_pct]]&lt;=0.95,"B","C"))</f>
        <v>A</v>
      </c>
      <c r="AK25">
        <f>Table1[[#This Row],[adj_unit_cost]]*Table1[[#This Row],[scenario_quantity]]</f>
        <v>23932.194000000003</v>
      </c>
      <c r="AL25" s="5">
        <f>Table1[[#This Row],[UnitPrice]]*Table1[[#This Row],[scenario_quantity]]*(1-Table1[[#This Row],[cap_adjusted_discount]])</f>
        <v>44143.163999999997</v>
      </c>
      <c r="AM25" s="5">
        <f>Table1[[#This Row],[UnitPrice]]*Table1[[#This Row],[Quantity]]*(1-Table1[[#This Row],[DiscountPct]])</f>
        <v>35396.277799999996</v>
      </c>
      <c r="AN25" s="5">
        <f>Table1[[#This Row],[gross_revenue]]-Table1[[#This Row],[cost_of_goods]]</f>
        <v>17265.827799999995</v>
      </c>
      <c r="AO25" s="5">
        <f>Table1[[#This Row],[scenario_revenue]]-Table1[[#This Row],[Scenario_unit_cost]]</f>
        <v>20210.969999999994</v>
      </c>
      <c r="AP25" s="5">
        <f>IF(Table1[[#This Row],[gross_revenue]]=0,0,Table1[[#This Row],[gross_profit]]/Table1[[#This Row],[gross_revenue]])</f>
        <v>0.4877865378263021</v>
      </c>
    </row>
    <row r="26" spans="1:42" x14ac:dyDescent="0.35">
      <c r="A26" t="s">
        <v>360</v>
      </c>
      <c r="B26" t="str">
        <f>_xlfn.TEXTAFTER(Table1[[#This Row],[OrderID]],"-",2)</f>
        <v>901115</v>
      </c>
      <c r="C26">
        <f>YEAR(Table1[[#This Row],[OrderDate]])</f>
        <v>2024</v>
      </c>
      <c r="D26" s="9">
        <f>_xlfn.MINIFS(F:F,P:P,Table1[[#This Row],[Country]])</f>
        <v>44928</v>
      </c>
      <c r="E26" s="7">
        <f>DATEDIF(Table1[[#This Row],[first_time_orders]],Table1[[#This Row],[OrderDate]],"m")</f>
        <v>18</v>
      </c>
      <c r="F26" s="9">
        <v>45498</v>
      </c>
      <c r="G26" s="2" t="str">
        <f>TEXT(Table1[[#This Row],[OrderDate]],"MMM-YYYY")</f>
        <v>Jul-2024</v>
      </c>
      <c r="H26" s="7">
        <f>MONTH(Table1[[#This Row],[OrderDate]])</f>
        <v>7</v>
      </c>
      <c r="I26" s="7" t="str">
        <f>"Q"&amp;ROUNDUP(Table1[[#This Row],[months]]/3,0)&amp;"-"&amp;Table1[[#This Row],[order_year]]</f>
        <v>Q3-2024</v>
      </c>
      <c r="J26" s="7">
        <f>Table1[[#This Row],[RequiredDate]]-Table1[[#This Row],[OrderDate]]</f>
        <v>8</v>
      </c>
      <c r="K26" s="7">
        <f>IF(Table1[[#This Row],[lead_time]]&lt;0,MEDIAN(J:J),Table1[[#This Row],[lead_time]])</f>
        <v>8</v>
      </c>
      <c r="L26" s="7">
        <f>IF(Table1[[#This Row],[adj_lead_time]]&lt;=7,1,0)</f>
        <v>0</v>
      </c>
      <c r="M26" s="9">
        <v>45506</v>
      </c>
      <c r="N26" s="9">
        <f>IF(Table1[[#This Row],[lead_time]]&lt;0,(Table1[[#This Row],[OrderDate]]+Table1[[#This Row],[adj_lead_time]]),Table1[[#This Row],[RequiredDate]])</f>
        <v>45506</v>
      </c>
      <c r="O26" t="s">
        <v>648</v>
      </c>
      <c r="P26" t="s">
        <v>653</v>
      </c>
      <c r="Q26" t="s">
        <v>681</v>
      </c>
      <c r="R26" t="s">
        <v>704</v>
      </c>
      <c r="S26" t="s">
        <v>711</v>
      </c>
      <c r="T26" t="s">
        <v>713</v>
      </c>
      <c r="U26" t="s">
        <v>733</v>
      </c>
      <c r="V26" t="s">
        <v>1080</v>
      </c>
      <c r="W26">
        <v>986.81</v>
      </c>
      <c r="X26">
        <f>Table1[[#This Row],[UnitCost]]*(1+'scenario modeling'!$B$3)</f>
        <v>1085.491</v>
      </c>
      <c r="Y26">
        <v>2050.31</v>
      </c>
      <c r="Z26" t="str">
        <f>IF(Table1[[#This Row],[UnitPrice]]&lt;=Quantiles!$B$2,Quantiles!$A$2,IF(Table1[[#This Row],[UnitPrice]]&lt;=Quantiles!$B$3,Quantiles!$A$3,Quantiles!$A$4))</f>
        <v>High</v>
      </c>
      <c r="AA26">
        <v>0.10299999999999999</v>
      </c>
      <c r="AB26" s="5">
        <f>MIN(Table1[[#This Row],[DiscountPct]],'scenario modeling'!$B$2)</f>
        <v>0.1</v>
      </c>
      <c r="AC26" t="str">
        <f>IF(Table1[[#This Row],[DiscountPct]]&gt;0.3, "&gt;0.3","")</f>
        <v/>
      </c>
      <c r="AD26">
        <v>43</v>
      </c>
      <c r="AE26">
        <f>Table1[[#This Row],[Quantity]]*(1+'scenario modeling'!$B$4)</f>
        <v>51.6</v>
      </c>
      <c r="AF26">
        <f>Table1[[#This Row],[UnitCost]]*Table1[[#This Row],[Quantity]]</f>
        <v>42432.829999999994</v>
      </c>
      <c r="AG26">
        <f>SUMIF($U:U,Table1[[#This Row],[ProductCategory]],$AM:AM)</f>
        <v>1331102.9440700002</v>
      </c>
      <c r="AH26">
        <f>SUMIFS($AM$2:AM26,$U$2:U26,U26)</f>
        <v>496616.33136999991</v>
      </c>
      <c r="AI26" s="5">
        <f>Table1[[#This Row],[Cumulative_revenue]]/Table1[[#This Row],[Category_revenue]]</f>
        <v>0.3730863443600676</v>
      </c>
      <c r="AJ26" t="str">
        <f>IF(Table1[[#This Row],[cumulative_pct]]&lt;=0.8,"A",IF(Table1[[#This Row],[cumulative_pct]]&lt;=0.95,"B","C"))</f>
        <v>A</v>
      </c>
      <c r="AK26">
        <f>Table1[[#This Row],[adj_unit_cost]]*Table1[[#This Row],[scenario_quantity]]</f>
        <v>56011.335599999999</v>
      </c>
      <c r="AL26" s="5">
        <f>Table1[[#This Row],[UnitPrice]]*Table1[[#This Row],[scenario_quantity]]*(1-Table1[[#This Row],[cap_adjusted_discount]])</f>
        <v>95216.396399999998</v>
      </c>
      <c r="AM26" s="5">
        <f>Table1[[#This Row],[UnitPrice]]*Table1[[#This Row],[Quantity]]*(1-Table1[[#This Row],[DiscountPct]])</f>
        <v>79082.507010000001</v>
      </c>
      <c r="AN26" s="5">
        <f>Table1[[#This Row],[gross_revenue]]-Table1[[#This Row],[cost_of_goods]]</f>
        <v>36649.677010000007</v>
      </c>
      <c r="AO26" s="5">
        <f>Table1[[#This Row],[scenario_revenue]]-Table1[[#This Row],[Scenario_unit_cost]]</f>
        <v>39205.060799999999</v>
      </c>
      <c r="AP26" s="5">
        <f>IF(Table1[[#This Row],[gross_revenue]]=0,0,Table1[[#This Row],[gross_profit]]/Table1[[#This Row],[gross_revenue]])</f>
        <v>0.46343595310358138</v>
      </c>
    </row>
    <row r="27" spans="1:42" x14ac:dyDescent="0.35">
      <c r="A27" t="s">
        <v>333</v>
      </c>
      <c r="B27" t="str">
        <f>_xlfn.TEXTAFTER(Table1[[#This Row],[OrderID]],"-",2)</f>
        <v>835010</v>
      </c>
      <c r="C27">
        <f>YEAR(Table1[[#This Row],[OrderDate]])</f>
        <v>2023</v>
      </c>
      <c r="D27" s="9">
        <f>_xlfn.MINIFS(F:F,P:P,Table1[[#This Row],[Country]])</f>
        <v>44946</v>
      </c>
      <c r="E27" s="7">
        <f>DATEDIF(Table1[[#This Row],[first_time_orders]],Table1[[#This Row],[OrderDate]],"m")</f>
        <v>2</v>
      </c>
      <c r="F27" s="9">
        <v>45008</v>
      </c>
      <c r="G27" s="2" t="str">
        <f>TEXT(Table1[[#This Row],[OrderDate]],"MMM-YYYY")</f>
        <v>Mar-2023</v>
      </c>
      <c r="H27" s="7">
        <f>MONTH(Table1[[#This Row],[OrderDate]])</f>
        <v>3</v>
      </c>
      <c r="I27" s="7" t="str">
        <f>"Q"&amp;ROUNDUP(Table1[[#This Row],[months]]/3,0)&amp;"-"&amp;Table1[[#This Row],[order_year]]</f>
        <v>Q1-2023</v>
      </c>
      <c r="J27" s="7">
        <f>Table1[[#This Row],[RequiredDate]]-Table1[[#This Row],[OrderDate]]</f>
        <v>23</v>
      </c>
      <c r="K27" s="7">
        <f>IF(Table1[[#This Row],[lead_time]]&lt;0,MEDIAN(J:J),Table1[[#This Row],[lead_time]])</f>
        <v>23</v>
      </c>
      <c r="L27" s="7">
        <f>IF(Table1[[#This Row],[adj_lead_time]]&lt;=7,1,0)</f>
        <v>0</v>
      </c>
      <c r="M27" s="9">
        <v>45031</v>
      </c>
      <c r="N27" s="9">
        <f>IF(Table1[[#This Row],[lead_time]]&lt;0,(Table1[[#This Row],[OrderDate]]+Table1[[#This Row],[adj_lead_time]]),Table1[[#This Row],[RequiredDate]])</f>
        <v>45031</v>
      </c>
      <c r="O27" t="s">
        <v>646</v>
      </c>
      <c r="P27" t="s">
        <v>650</v>
      </c>
      <c r="Q27" t="s">
        <v>675</v>
      </c>
      <c r="R27" t="s">
        <v>705</v>
      </c>
      <c r="S27" t="s">
        <v>707</v>
      </c>
      <c r="T27" t="s">
        <v>712</v>
      </c>
      <c r="U27" t="s">
        <v>733</v>
      </c>
      <c r="V27" t="s">
        <v>1053</v>
      </c>
      <c r="W27">
        <v>875.36</v>
      </c>
      <c r="X27">
        <f>Table1[[#This Row],[UnitCost]]*(1+'scenario modeling'!$B$3)</f>
        <v>962.89600000000007</v>
      </c>
      <c r="Y27">
        <v>1178.6199999999999</v>
      </c>
      <c r="Z27" t="str">
        <f>IF(Table1[[#This Row],[UnitPrice]]&lt;=Quantiles!$B$2,Quantiles!$A$2,IF(Table1[[#This Row],[UnitPrice]]&lt;=Quantiles!$B$3,Quantiles!$A$3,Quantiles!$A$4))</f>
        <v>Medium</v>
      </c>
      <c r="AA27">
        <v>0.151</v>
      </c>
      <c r="AB27" s="5">
        <f>MIN(Table1[[#This Row],[DiscountPct]],'scenario modeling'!$B$2)</f>
        <v>0.1</v>
      </c>
      <c r="AC27" t="str">
        <f>IF(Table1[[#This Row],[DiscountPct]]&gt;0.3, "&gt;0.3","")</f>
        <v/>
      </c>
      <c r="AD27">
        <v>53</v>
      </c>
      <c r="AE27">
        <f>Table1[[#This Row],[Quantity]]*(1+'scenario modeling'!$B$4)</f>
        <v>63.599999999999994</v>
      </c>
      <c r="AF27">
        <f>Table1[[#This Row],[UnitCost]]*Table1[[#This Row],[Quantity]]</f>
        <v>46394.080000000002</v>
      </c>
      <c r="AG27">
        <f>SUMIF($U:U,Table1[[#This Row],[ProductCategory]],$AM:AM)</f>
        <v>1331102.9440700002</v>
      </c>
      <c r="AH27">
        <f>SUMIFS($AM$2:AM27,$U$2:U27,U27)</f>
        <v>549650.69550999987</v>
      </c>
      <c r="AI27" s="5">
        <f>Table1[[#This Row],[Cumulative_revenue]]/Table1[[#This Row],[Category_revenue]]</f>
        <v>0.41292876554639696</v>
      </c>
      <c r="AJ27" t="str">
        <f>IF(Table1[[#This Row],[cumulative_pct]]&lt;=0.8,"A",IF(Table1[[#This Row],[cumulative_pct]]&lt;=0.95,"B","C"))</f>
        <v>A</v>
      </c>
      <c r="AK27">
        <f>Table1[[#This Row],[adj_unit_cost]]*Table1[[#This Row],[scenario_quantity]]</f>
        <v>61240.185599999997</v>
      </c>
      <c r="AL27" s="5">
        <f>Table1[[#This Row],[UnitPrice]]*Table1[[#This Row],[scenario_quantity]]*(1-Table1[[#This Row],[cap_adjusted_discount]])</f>
        <v>67464.208799999993</v>
      </c>
      <c r="AM27" s="5">
        <f>Table1[[#This Row],[UnitPrice]]*Table1[[#This Row],[Quantity]]*(1-Table1[[#This Row],[DiscountPct]])</f>
        <v>53034.364139999991</v>
      </c>
      <c r="AN27" s="5">
        <f>Table1[[#This Row],[gross_revenue]]-Table1[[#This Row],[cost_of_goods]]</f>
        <v>6640.2841399999888</v>
      </c>
      <c r="AO27" s="5">
        <f>Table1[[#This Row],[scenario_revenue]]-Table1[[#This Row],[Scenario_unit_cost]]</f>
        <v>6224.023199999996</v>
      </c>
      <c r="AP27" s="5">
        <f>IF(Table1[[#This Row],[gross_revenue]]=0,0,Table1[[#This Row],[gross_profit]]/Table1[[#This Row],[gross_revenue]])</f>
        <v>0.12520719815685888</v>
      </c>
    </row>
    <row r="28" spans="1:42" x14ac:dyDescent="0.35">
      <c r="A28" t="s">
        <v>604</v>
      </c>
      <c r="B28" t="str">
        <f>_xlfn.TEXTAFTER(Table1[[#This Row],[OrderID]],"-",2)</f>
        <v>727290</v>
      </c>
      <c r="C28">
        <f>YEAR(Table1[[#This Row],[OrderDate]])</f>
        <v>2023</v>
      </c>
      <c r="D28" s="9">
        <f>_xlfn.MINIFS(F:F,P:P,Table1[[#This Row],[Country]])</f>
        <v>44936</v>
      </c>
      <c r="E28" s="7">
        <f>DATEDIF(Table1[[#This Row],[first_time_orders]],Table1[[#This Row],[OrderDate]],"m")</f>
        <v>2</v>
      </c>
      <c r="F28" s="9">
        <v>45019</v>
      </c>
      <c r="G28" s="2" t="str">
        <f>TEXT(Table1[[#This Row],[OrderDate]],"MMM-YYYY")</f>
        <v>Apr-2023</v>
      </c>
      <c r="H28" s="7">
        <f>MONTH(Table1[[#This Row],[OrderDate]])</f>
        <v>4</v>
      </c>
      <c r="I28" s="7" t="str">
        <f>"Q"&amp;ROUNDUP(Table1[[#This Row],[months]]/3,0)&amp;"-"&amp;Table1[[#This Row],[order_year]]</f>
        <v>Q2-2023</v>
      </c>
      <c r="J28" s="7">
        <f>Table1[[#This Row],[RequiredDate]]-Table1[[#This Row],[OrderDate]]</f>
        <v>13</v>
      </c>
      <c r="K28" s="7">
        <f>IF(Table1[[#This Row],[lead_time]]&lt;0,MEDIAN(J:J),Table1[[#This Row],[lead_time]])</f>
        <v>13</v>
      </c>
      <c r="L28" s="7">
        <f>IF(Table1[[#This Row],[adj_lead_time]]&lt;=7,1,0)</f>
        <v>0</v>
      </c>
      <c r="M28" s="9">
        <v>45032</v>
      </c>
      <c r="N28" s="9">
        <f>IF(Table1[[#This Row],[lead_time]]&lt;0,(Table1[[#This Row],[OrderDate]]+Table1[[#This Row],[adj_lead_time]]),Table1[[#This Row],[RequiredDate]])</f>
        <v>45032</v>
      </c>
      <c r="O28" t="s">
        <v>649</v>
      </c>
      <c r="P28" t="s">
        <v>657</v>
      </c>
      <c r="Q28" t="s">
        <v>673</v>
      </c>
      <c r="R28" t="s">
        <v>703</v>
      </c>
      <c r="S28" t="s">
        <v>709</v>
      </c>
      <c r="T28" t="s">
        <v>724</v>
      </c>
      <c r="U28" t="s">
        <v>733</v>
      </c>
      <c r="V28" t="s">
        <v>1322</v>
      </c>
      <c r="W28">
        <v>790.54</v>
      </c>
      <c r="X28">
        <f>Table1[[#This Row],[UnitCost]]*(1+'scenario modeling'!$B$3)</f>
        <v>869.59400000000005</v>
      </c>
      <c r="Y28">
        <v>601.49</v>
      </c>
      <c r="Z28" t="str">
        <f>IF(Table1[[#This Row],[UnitPrice]]&lt;=Quantiles!$B$2,Quantiles!$A$2,IF(Table1[[#This Row],[UnitPrice]]&lt;=Quantiles!$B$3,Quantiles!$A$3,Quantiles!$A$4))</f>
        <v>Low</v>
      </c>
      <c r="AA28">
        <v>0</v>
      </c>
      <c r="AB28" s="5">
        <f>MIN(Table1[[#This Row],[DiscountPct]],'scenario modeling'!$B$2)</f>
        <v>0</v>
      </c>
      <c r="AC28" t="str">
        <f>IF(Table1[[#This Row],[DiscountPct]]&gt;0.3, "&gt;0.3","")</f>
        <v/>
      </c>
      <c r="AD28">
        <v>15</v>
      </c>
      <c r="AE28">
        <f>Table1[[#This Row],[Quantity]]*(1+'scenario modeling'!$B$4)</f>
        <v>18</v>
      </c>
      <c r="AF28">
        <f>Table1[[#This Row],[UnitCost]]*Table1[[#This Row],[Quantity]]</f>
        <v>11858.099999999999</v>
      </c>
      <c r="AG28">
        <f>SUMIF($U:U,Table1[[#This Row],[ProductCategory]],$AM:AM)</f>
        <v>1331102.9440700002</v>
      </c>
      <c r="AH28">
        <f>SUMIFS($AM$2:AM28,$U$2:U28,U28)</f>
        <v>558673.04550999985</v>
      </c>
      <c r="AI28" s="5">
        <f>Table1[[#This Row],[Cumulative_revenue]]/Table1[[#This Row],[Category_revenue]]</f>
        <v>0.41970686639892241</v>
      </c>
      <c r="AJ28" t="str">
        <f>IF(Table1[[#This Row],[cumulative_pct]]&lt;=0.8,"A",IF(Table1[[#This Row],[cumulative_pct]]&lt;=0.95,"B","C"))</f>
        <v>A</v>
      </c>
      <c r="AK28">
        <f>Table1[[#This Row],[adj_unit_cost]]*Table1[[#This Row],[scenario_quantity]]</f>
        <v>15652.692000000001</v>
      </c>
      <c r="AL28" s="5">
        <f>Table1[[#This Row],[UnitPrice]]*Table1[[#This Row],[scenario_quantity]]*(1-Table1[[#This Row],[cap_adjusted_discount]])</f>
        <v>10826.82</v>
      </c>
      <c r="AM28" s="5">
        <f>Table1[[#This Row],[UnitPrice]]*Table1[[#This Row],[Quantity]]*(1-Table1[[#This Row],[DiscountPct]])</f>
        <v>9022.35</v>
      </c>
      <c r="AN28" s="5">
        <f>Table1[[#This Row],[gross_revenue]]-Table1[[#This Row],[cost_of_goods]]</f>
        <v>-2835.7499999999982</v>
      </c>
      <c r="AO28" s="5">
        <f>Table1[[#This Row],[scenario_revenue]]-Table1[[#This Row],[Scenario_unit_cost]]</f>
        <v>-4825.8720000000012</v>
      </c>
      <c r="AP28" s="5">
        <f>IF(Table1[[#This Row],[gross_revenue]]=0,0,Table1[[#This Row],[gross_profit]]/Table1[[#This Row],[gross_revenue]])</f>
        <v>-0.31430281467688553</v>
      </c>
    </row>
    <row r="29" spans="1:42" x14ac:dyDescent="0.35">
      <c r="A29" t="s">
        <v>493</v>
      </c>
      <c r="B29" t="str">
        <f>_xlfn.TEXTAFTER(Table1[[#This Row],[OrderID]],"-",2)</f>
        <v>609394</v>
      </c>
      <c r="C29">
        <f>YEAR(Table1[[#This Row],[OrderDate]])</f>
        <v>2023</v>
      </c>
      <c r="D29" s="9">
        <f>_xlfn.MINIFS(F:F,P:P,Table1[[#This Row],[Country]])</f>
        <v>44948</v>
      </c>
      <c r="E29" s="7">
        <f>DATEDIF(Table1[[#This Row],[first_time_orders]],Table1[[#This Row],[OrderDate]],"m")</f>
        <v>2</v>
      </c>
      <c r="F29" s="9">
        <v>45032</v>
      </c>
      <c r="G29" s="2" t="str">
        <f>TEXT(Table1[[#This Row],[OrderDate]],"MMM-YYYY")</f>
        <v>Apr-2023</v>
      </c>
      <c r="H29" s="7">
        <f>MONTH(Table1[[#This Row],[OrderDate]])</f>
        <v>4</v>
      </c>
      <c r="I29" s="7" t="str">
        <f>"Q"&amp;ROUNDUP(Table1[[#This Row],[months]]/3,0)&amp;"-"&amp;Table1[[#This Row],[order_year]]</f>
        <v>Q2-2023</v>
      </c>
      <c r="J29" s="7">
        <f>Table1[[#This Row],[RequiredDate]]-Table1[[#This Row],[OrderDate]]</f>
        <v>3</v>
      </c>
      <c r="K29" s="7">
        <f>IF(Table1[[#This Row],[lead_time]]&lt;0,MEDIAN(J:J),Table1[[#This Row],[lead_time]])</f>
        <v>3</v>
      </c>
      <c r="L29" s="7">
        <f>IF(Table1[[#This Row],[adj_lead_time]]&lt;=7,1,0)</f>
        <v>1</v>
      </c>
      <c r="M29" s="9">
        <v>45035</v>
      </c>
      <c r="N29" s="9">
        <f>IF(Table1[[#This Row],[lead_time]]&lt;0,(Table1[[#This Row],[OrderDate]]+Table1[[#This Row],[adj_lead_time]]),Table1[[#This Row],[RequiredDate]])</f>
        <v>45035</v>
      </c>
      <c r="O29" t="s">
        <v>649</v>
      </c>
      <c r="P29" t="s">
        <v>656</v>
      </c>
      <c r="Q29" t="s">
        <v>684</v>
      </c>
      <c r="R29" t="s">
        <v>701</v>
      </c>
      <c r="S29" t="s">
        <v>711</v>
      </c>
      <c r="T29" t="s">
        <v>717</v>
      </c>
      <c r="U29" t="s">
        <v>733</v>
      </c>
      <c r="V29" t="s">
        <v>1212</v>
      </c>
      <c r="W29">
        <v>553.61</v>
      </c>
      <c r="X29">
        <f>Table1[[#This Row],[UnitCost]]*(1+'scenario modeling'!$B$3)</f>
        <v>608.97100000000012</v>
      </c>
      <c r="Y29">
        <v>699.47</v>
      </c>
      <c r="Z29" t="str">
        <f>IF(Table1[[#This Row],[UnitPrice]]&lt;=Quantiles!$B$2,Quantiles!$A$2,IF(Table1[[#This Row],[UnitPrice]]&lt;=Quantiles!$B$3,Quantiles!$A$3,Quantiles!$A$4))</f>
        <v>Low</v>
      </c>
      <c r="AA29">
        <v>0.02</v>
      </c>
      <c r="AB29" s="5">
        <f>MIN(Table1[[#This Row],[DiscountPct]],'scenario modeling'!$B$2)</f>
        <v>0.02</v>
      </c>
      <c r="AC29" t="str">
        <f>IF(Table1[[#This Row],[DiscountPct]]&gt;0.3, "&gt;0.3","")</f>
        <v/>
      </c>
      <c r="AD29">
        <v>33</v>
      </c>
      <c r="AE29">
        <f>Table1[[#This Row],[Quantity]]*(1+'scenario modeling'!$B$4)</f>
        <v>39.6</v>
      </c>
      <c r="AF29">
        <f>Table1[[#This Row],[UnitCost]]*Table1[[#This Row],[Quantity]]</f>
        <v>18269.13</v>
      </c>
      <c r="AG29">
        <f>SUMIF($U:U,Table1[[#This Row],[ProductCategory]],$AM:AM)</f>
        <v>1331102.9440700002</v>
      </c>
      <c r="AH29">
        <f>SUMIFS($AM$2:AM29,$U$2:U29,U29)</f>
        <v>581293.90530999983</v>
      </c>
      <c r="AI29" s="5">
        <f>Table1[[#This Row],[Cumulative_revenue]]/Table1[[#This Row],[Category_revenue]]</f>
        <v>0.43670093879638411</v>
      </c>
      <c r="AJ29" t="str">
        <f>IF(Table1[[#This Row],[cumulative_pct]]&lt;=0.8,"A",IF(Table1[[#This Row],[cumulative_pct]]&lt;=0.95,"B","C"))</f>
        <v>A</v>
      </c>
      <c r="AK29">
        <f>Table1[[#This Row],[adj_unit_cost]]*Table1[[#This Row],[scenario_quantity]]</f>
        <v>24115.251600000007</v>
      </c>
      <c r="AL29" s="5">
        <f>Table1[[#This Row],[UnitPrice]]*Table1[[#This Row],[scenario_quantity]]*(1-Table1[[#This Row],[cap_adjusted_discount]])</f>
        <v>27145.031760000002</v>
      </c>
      <c r="AM29" s="5">
        <f>Table1[[#This Row],[UnitPrice]]*Table1[[#This Row],[Quantity]]*(1-Table1[[#This Row],[DiscountPct]])</f>
        <v>22620.859800000002</v>
      </c>
      <c r="AN29" s="5">
        <f>Table1[[#This Row],[gross_revenue]]-Table1[[#This Row],[cost_of_goods]]</f>
        <v>4351.729800000001</v>
      </c>
      <c r="AO29" s="5">
        <f>Table1[[#This Row],[scenario_revenue]]-Table1[[#This Row],[Scenario_unit_cost]]</f>
        <v>3029.7801599999948</v>
      </c>
      <c r="AP29" s="5">
        <f>IF(Table1[[#This Row],[gross_revenue]]=0,0,Table1[[#This Row],[gross_profit]]/Table1[[#This Row],[gross_revenue]])</f>
        <v>0.19237685209472014</v>
      </c>
    </row>
    <row r="30" spans="1:42" x14ac:dyDescent="0.35">
      <c r="A30" t="s">
        <v>81</v>
      </c>
      <c r="B30" t="str">
        <f>_xlfn.TEXTAFTER(Table1[[#This Row],[OrderID]],"-",2)</f>
        <v>548874</v>
      </c>
      <c r="C30">
        <f>YEAR(Table1[[#This Row],[OrderDate]])</f>
        <v>2023</v>
      </c>
      <c r="D30" s="9">
        <f>_xlfn.MINIFS(F:F,P:P,Table1[[#This Row],[Country]])</f>
        <v>44945</v>
      </c>
      <c r="E30" s="7">
        <f>DATEDIF(Table1[[#This Row],[first_time_orders]],Table1[[#This Row],[OrderDate]],"m")</f>
        <v>2</v>
      </c>
      <c r="F30" s="9">
        <v>45004</v>
      </c>
      <c r="G30" s="2" t="str">
        <f>TEXT(Table1[[#This Row],[OrderDate]],"MMM-YYYY")</f>
        <v>Mar-2023</v>
      </c>
      <c r="H30" s="7">
        <f>MONTH(Table1[[#This Row],[OrderDate]])</f>
        <v>3</v>
      </c>
      <c r="I30" s="7" t="str">
        <f>"Q"&amp;ROUNDUP(Table1[[#This Row],[months]]/3,0)&amp;"-"&amp;Table1[[#This Row],[order_year]]</f>
        <v>Q1-2023</v>
      </c>
      <c r="J30" s="7">
        <f>Table1[[#This Row],[RequiredDate]]-Table1[[#This Row],[OrderDate]]</f>
        <v>21</v>
      </c>
      <c r="K30" s="7">
        <f>IF(Table1[[#This Row],[lead_time]]&lt;0,MEDIAN(J:J),Table1[[#This Row],[lead_time]])</f>
        <v>21</v>
      </c>
      <c r="L30" s="7">
        <f>IF(Table1[[#This Row],[adj_lead_time]]&lt;=7,1,0)</f>
        <v>0</v>
      </c>
      <c r="M30" s="9">
        <v>45025</v>
      </c>
      <c r="N30" s="9">
        <f>IF(Table1[[#This Row],[lead_time]]&lt;0,(Table1[[#This Row],[OrderDate]]+Table1[[#This Row],[adj_lead_time]]),Table1[[#This Row],[RequiredDate]])</f>
        <v>45025</v>
      </c>
      <c r="O30" t="s">
        <v>649</v>
      </c>
      <c r="P30" t="s">
        <v>658</v>
      </c>
      <c r="Q30" t="s">
        <v>693</v>
      </c>
      <c r="R30" t="s">
        <v>704</v>
      </c>
      <c r="S30" t="s">
        <v>707</v>
      </c>
      <c r="T30" t="s">
        <v>716</v>
      </c>
      <c r="U30" t="s">
        <v>733</v>
      </c>
      <c r="V30" t="s">
        <v>800</v>
      </c>
      <c r="W30">
        <v>1082.17</v>
      </c>
      <c r="X30">
        <f>Table1[[#This Row],[UnitCost]]*(1+'scenario modeling'!$B$3)</f>
        <v>1190.3870000000002</v>
      </c>
      <c r="Y30">
        <v>1234.0999999999999</v>
      </c>
      <c r="Z30" t="str">
        <f>IF(Table1[[#This Row],[UnitPrice]]&lt;=Quantiles!$B$2,Quantiles!$A$2,IF(Table1[[#This Row],[UnitPrice]]&lt;=Quantiles!$B$3,Quantiles!$A$3,Quantiles!$A$4))</f>
        <v>Medium</v>
      </c>
      <c r="AA30">
        <v>0.189</v>
      </c>
      <c r="AB30" s="5">
        <f>MIN(Table1[[#This Row],[DiscountPct]],'scenario modeling'!$B$2)</f>
        <v>0.1</v>
      </c>
      <c r="AC30" t="str">
        <f>IF(Table1[[#This Row],[DiscountPct]]&gt;0.3, "&gt;0.3","")</f>
        <v/>
      </c>
      <c r="AD30">
        <v>16</v>
      </c>
      <c r="AE30">
        <f>Table1[[#This Row],[Quantity]]*(1+'scenario modeling'!$B$4)</f>
        <v>19.2</v>
      </c>
      <c r="AF30">
        <f>Table1[[#This Row],[UnitCost]]*Table1[[#This Row],[Quantity]]</f>
        <v>17314.72</v>
      </c>
      <c r="AG30">
        <f>SUMIF($U:U,Table1[[#This Row],[ProductCategory]],$AM:AM)</f>
        <v>1331102.9440700002</v>
      </c>
      <c r="AH30">
        <f>SUMIFS($AM$2:AM30,$U$2:U30,U30)</f>
        <v>597307.58690999984</v>
      </c>
      <c r="AI30" s="5">
        <f>Table1[[#This Row],[Cumulative_revenue]]/Table1[[#This Row],[Category_revenue]]</f>
        <v>0.44873132432842744</v>
      </c>
      <c r="AJ30" t="str">
        <f>IF(Table1[[#This Row],[cumulative_pct]]&lt;=0.8,"A",IF(Table1[[#This Row],[cumulative_pct]]&lt;=0.95,"B","C"))</f>
        <v>A</v>
      </c>
      <c r="AK30">
        <f>Table1[[#This Row],[adj_unit_cost]]*Table1[[#This Row],[scenario_quantity]]</f>
        <v>22855.430400000001</v>
      </c>
      <c r="AL30" s="5">
        <f>Table1[[#This Row],[UnitPrice]]*Table1[[#This Row],[scenario_quantity]]*(1-Table1[[#This Row],[cap_adjusted_discount]])</f>
        <v>21325.248</v>
      </c>
      <c r="AM30" s="5">
        <f>Table1[[#This Row],[UnitPrice]]*Table1[[#This Row],[Quantity]]*(1-Table1[[#This Row],[DiscountPct]])</f>
        <v>16013.681599999998</v>
      </c>
      <c r="AN30" s="5">
        <f>Table1[[#This Row],[gross_revenue]]-Table1[[#This Row],[cost_of_goods]]</f>
        <v>-1301.0384000000031</v>
      </c>
      <c r="AO30" s="5">
        <f>Table1[[#This Row],[scenario_revenue]]-Table1[[#This Row],[Scenario_unit_cost]]</f>
        <v>-1530.1824000000015</v>
      </c>
      <c r="AP30" s="5">
        <f>IF(Table1[[#This Row],[gross_revenue]]=0,0,Table1[[#This Row],[gross_profit]]/Table1[[#This Row],[gross_revenue]])</f>
        <v>-8.124542703534228E-2</v>
      </c>
    </row>
    <row r="31" spans="1:42" x14ac:dyDescent="0.35">
      <c r="A31" t="s">
        <v>108</v>
      </c>
      <c r="B31" t="str">
        <f>_xlfn.TEXTAFTER(Table1[[#This Row],[OrderID]],"-",2)</f>
        <v>997336</v>
      </c>
      <c r="C31">
        <f>YEAR(Table1[[#This Row],[OrderDate]])</f>
        <v>2024</v>
      </c>
      <c r="D31" s="9">
        <f>_xlfn.MINIFS(F:F,P:P,Table1[[#This Row],[Country]])</f>
        <v>44941</v>
      </c>
      <c r="E31" s="7">
        <f>DATEDIF(Table1[[#This Row],[first_time_orders]],Table1[[#This Row],[OrderDate]],"m")</f>
        <v>20</v>
      </c>
      <c r="F31" s="9">
        <v>45569</v>
      </c>
      <c r="G31" s="2" t="str">
        <f>TEXT(Table1[[#This Row],[OrderDate]],"MMM-YYYY")</f>
        <v>Oct-2024</v>
      </c>
      <c r="H31" s="7">
        <f>MONTH(Table1[[#This Row],[OrderDate]])</f>
        <v>10</v>
      </c>
      <c r="I31" s="7" t="str">
        <f>"Q"&amp;ROUNDUP(Table1[[#This Row],[months]]/3,0)&amp;"-"&amp;Table1[[#This Row],[order_year]]</f>
        <v>Q4-2024</v>
      </c>
      <c r="J31" s="7">
        <f>Table1[[#This Row],[RequiredDate]]-Table1[[#This Row],[OrderDate]]</f>
        <v>29</v>
      </c>
      <c r="K31" s="7">
        <f>IF(Table1[[#This Row],[lead_time]]&lt;0,MEDIAN(J:J),Table1[[#This Row],[lead_time]])</f>
        <v>29</v>
      </c>
      <c r="L31" s="7">
        <f>IF(Table1[[#This Row],[adj_lead_time]]&lt;=7,1,0)</f>
        <v>0</v>
      </c>
      <c r="M31" s="9">
        <v>45598</v>
      </c>
      <c r="N31" s="9">
        <f>IF(Table1[[#This Row],[lead_time]]&lt;0,(Table1[[#This Row],[OrderDate]]+Table1[[#This Row],[adj_lead_time]]),Table1[[#This Row],[RequiredDate]])</f>
        <v>45598</v>
      </c>
      <c r="O31" t="s">
        <v>646</v>
      </c>
      <c r="P31" t="s">
        <v>651</v>
      </c>
      <c r="Q31" t="s">
        <v>669</v>
      </c>
      <c r="R31" t="s">
        <v>701</v>
      </c>
      <c r="S31" t="s">
        <v>710</v>
      </c>
      <c r="T31" t="s">
        <v>721</v>
      </c>
      <c r="U31" t="s">
        <v>733</v>
      </c>
      <c r="V31" t="s">
        <v>827</v>
      </c>
      <c r="W31">
        <v>412.09</v>
      </c>
      <c r="X31">
        <f>Table1[[#This Row],[UnitCost]]*(1+'scenario modeling'!$B$3)</f>
        <v>453.29900000000004</v>
      </c>
      <c r="Y31">
        <v>968.94</v>
      </c>
      <c r="Z31" t="str">
        <f>IF(Table1[[#This Row],[UnitPrice]]&lt;=Quantiles!$B$2,Quantiles!$A$2,IF(Table1[[#This Row],[UnitPrice]]&lt;=Quantiles!$B$3,Quantiles!$A$3,Quantiles!$A$4))</f>
        <v>Medium</v>
      </c>
      <c r="AA31">
        <v>9.9000000000000005E-2</v>
      </c>
      <c r="AB31" s="5">
        <f>MIN(Table1[[#This Row],[DiscountPct]],'scenario modeling'!$B$2)</f>
        <v>9.9000000000000005E-2</v>
      </c>
      <c r="AC31" t="str">
        <f>IF(Table1[[#This Row],[DiscountPct]]&gt;0.3, "&gt;0.3","")</f>
        <v/>
      </c>
      <c r="AD31">
        <v>23</v>
      </c>
      <c r="AE31">
        <f>Table1[[#This Row],[Quantity]]*(1+'scenario modeling'!$B$4)</f>
        <v>27.599999999999998</v>
      </c>
      <c r="AF31">
        <f>Table1[[#This Row],[UnitCost]]*Table1[[#This Row],[Quantity]]</f>
        <v>9478.07</v>
      </c>
      <c r="AG31">
        <f>SUMIF($U:U,Table1[[#This Row],[ProductCategory]],$AM:AM)</f>
        <v>1331102.9440700002</v>
      </c>
      <c r="AH31">
        <f>SUMIFS($AM$2:AM31,$U$2:U31,U31)</f>
        <v>617386.9305299999</v>
      </c>
      <c r="AI31" s="5">
        <f>Table1[[#This Row],[Cumulative_revenue]]/Table1[[#This Row],[Category_revenue]]</f>
        <v>0.46381606567728595</v>
      </c>
      <c r="AJ31" t="str">
        <f>IF(Table1[[#This Row],[cumulative_pct]]&lt;=0.8,"A",IF(Table1[[#This Row],[cumulative_pct]]&lt;=0.95,"B","C"))</f>
        <v>A</v>
      </c>
      <c r="AK31">
        <f>Table1[[#This Row],[adj_unit_cost]]*Table1[[#This Row],[scenario_quantity]]</f>
        <v>12511.0524</v>
      </c>
      <c r="AL31" s="5">
        <f>Table1[[#This Row],[UnitPrice]]*Table1[[#This Row],[scenario_quantity]]*(1-Table1[[#This Row],[cap_adjusted_discount]])</f>
        <v>24095.212344</v>
      </c>
      <c r="AM31" s="5">
        <f>Table1[[#This Row],[UnitPrice]]*Table1[[#This Row],[Quantity]]*(1-Table1[[#This Row],[DiscountPct]])</f>
        <v>20079.343620000003</v>
      </c>
      <c r="AN31" s="5">
        <f>Table1[[#This Row],[gross_revenue]]-Table1[[#This Row],[cost_of_goods]]</f>
        <v>10601.273620000004</v>
      </c>
      <c r="AO31" s="5">
        <f>Table1[[#This Row],[scenario_revenue]]-Table1[[#This Row],[Scenario_unit_cost]]</f>
        <v>11584.159943999999</v>
      </c>
      <c r="AP31" s="5">
        <f>IF(Table1[[#This Row],[gross_revenue]]=0,0,Table1[[#This Row],[gross_profit]]/Table1[[#This Row],[gross_revenue]])</f>
        <v>0.52796913189137418</v>
      </c>
    </row>
    <row r="32" spans="1:42" x14ac:dyDescent="0.35">
      <c r="A32" t="s">
        <v>65</v>
      </c>
      <c r="B32" t="str">
        <f>_xlfn.TEXTAFTER(Table1[[#This Row],[OrderID]],"-",2)</f>
        <v>468501</v>
      </c>
      <c r="C32">
        <f>YEAR(Table1[[#This Row],[OrderDate]])</f>
        <v>2024</v>
      </c>
      <c r="D32" s="9">
        <f>_xlfn.MINIFS(F:F,P:P,Table1[[#This Row],[Country]])</f>
        <v>44928</v>
      </c>
      <c r="E32" s="7">
        <f>DATEDIF(Table1[[#This Row],[first_time_orders]],Table1[[#This Row],[OrderDate]],"m")</f>
        <v>22</v>
      </c>
      <c r="F32" s="9">
        <v>45602</v>
      </c>
      <c r="G32" s="2" t="str">
        <f>TEXT(Table1[[#This Row],[OrderDate]],"MMM-YYYY")</f>
        <v>Nov-2024</v>
      </c>
      <c r="H32" s="7">
        <f>MONTH(Table1[[#This Row],[OrderDate]])</f>
        <v>11</v>
      </c>
      <c r="I32" s="7" t="str">
        <f>"Q"&amp;ROUNDUP(Table1[[#This Row],[months]]/3,0)&amp;"-"&amp;Table1[[#This Row],[order_year]]</f>
        <v>Q4-2024</v>
      </c>
      <c r="J32" s="7">
        <f>Table1[[#This Row],[RequiredDate]]-Table1[[#This Row],[OrderDate]]</f>
        <v>16</v>
      </c>
      <c r="K32" s="7">
        <f>IF(Table1[[#This Row],[lead_time]]&lt;0,MEDIAN(J:J),Table1[[#This Row],[lead_time]])</f>
        <v>16</v>
      </c>
      <c r="L32" s="7">
        <f>IF(Table1[[#This Row],[adj_lead_time]]&lt;=7,1,0)</f>
        <v>0</v>
      </c>
      <c r="M32" s="9">
        <v>45618</v>
      </c>
      <c r="N32" s="9">
        <f>IF(Table1[[#This Row],[lead_time]]&lt;0,(Table1[[#This Row],[OrderDate]]+Table1[[#This Row],[adj_lead_time]]),Table1[[#This Row],[RequiredDate]])</f>
        <v>45618</v>
      </c>
      <c r="O32" t="s">
        <v>648</v>
      </c>
      <c r="P32" t="s">
        <v>653</v>
      </c>
      <c r="Q32" t="s">
        <v>667</v>
      </c>
      <c r="R32" t="s">
        <v>703</v>
      </c>
      <c r="S32" t="s">
        <v>710</v>
      </c>
      <c r="T32" t="s">
        <v>726</v>
      </c>
      <c r="U32" t="s">
        <v>733</v>
      </c>
      <c r="V32" t="s">
        <v>784</v>
      </c>
      <c r="W32">
        <v>1454.11</v>
      </c>
      <c r="X32">
        <f>Table1[[#This Row],[UnitCost]]*(1+'scenario modeling'!$B$3)</f>
        <v>1599.521</v>
      </c>
      <c r="Y32">
        <v>2629.75</v>
      </c>
      <c r="Z32" t="str">
        <f>IF(Table1[[#This Row],[UnitPrice]]&lt;=Quantiles!$B$2,Quantiles!$A$2,IF(Table1[[#This Row],[UnitPrice]]&lt;=Quantiles!$B$3,Quantiles!$A$3,Quantiles!$A$4))</f>
        <v>High</v>
      </c>
      <c r="AA32">
        <v>0.29199999999999998</v>
      </c>
      <c r="AB32" s="5">
        <f>MIN(Table1[[#This Row],[DiscountPct]],'scenario modeling'!$B$2)</f>
        <v>0.1</v>
      </c>
      <c r="AC32" t="str">
        <f>IF(Table1[[#This Row],[DiscountPct]]&gt;0.3, "&gt;0.3","")</f>
        <v/>
      </c>
      <c r="AD32">
        <v>8</v>
      </c>
      <c r="AE32">
        <f>Table1[[#This Row],[Quantity]]*(1+'scenario modeling'!$B$4)</f>
        <v>9.6</v>
      </c>
      <c r="AF32">
        <f>Table1[[#This Row],[UnitCost]]*Table1[[#This Row],[Quantity]]</f>
        <v>11632.88</v>
      </c>
      <c r="AG32">
        <f>SUMIF($U:U,Table1[[#This Row],[ProductCategory]],$AM:AM)</f>
        <v>1331102.9440700002</v>
      </c>
      <c r="AH32">
        <f>SUMIFS($AM$2:AM32,$U$2:U32,U32)</f>
        <v>632281.83452999988</v>
      </c>
      <c r="AI32" s="5">
        <f>Table1[[#This Row],[Cumulative_revenue]]/Table1[[#This Row],[Category_revenue]]</f>
        <v>0.47500596204582457</v>
      </c>
      <c r="AJ32" t="str">
        <f>IF(Table1[[#This Row],[cumulative_pct]]&lt;=0.8,"A",IF(Table1[[#This Row],[cumulative_pct]]&lt;=0.95,"B","C"))</f>
        <v>A</v>
      </c>
      <c r="AK32">
        <f>Table1[[#This Row],[adj_unit_cost]]*Table1[[#This Row],[scenario_quantity]]</f>
        <v>15355.401599999999</v>
      </c>
      <c r="AL32" s="5">
        <f>Table1[[#This Row],[UnitPrice]]*Table1[[#This Row],[scenario_quantity]]*(1-Table1[[#This Row],[cap_adjusted_discount]])</f>
        <v>22721.040000000001</v>
      </c>
      <c r="AM32" s="5">
        <f>Table1[[#This Row],[UnitPrice]]*Table1[[#This Row],[Quantity]]*(1-Table1[[#This Row],[DiscountPct]])</f>
        <v>14894.903999999999</v>
      </c>
      <c r="AN32" s="5">
        <f>Table1[[#This Row],[gross_revenue]]-Table1[[#This Row],[cost_of_goods]]</f>
        <v>3262.0239999999994</v>
      </c>
      <c r="AO32" s="5">
        <f>Table1[[#This Row],[scenario_revenue]]-Table1[[#This Row],[Scenario_unit_cost]]</f>
        <v>7365.6384000000016</v>
      </c>
      <c r="AP32" s="5">
        <f>IF(Table1[[#This Row],[gross_revenue]]=0,0,Table1[[#This Row],[gross_profit]]/Table1[[#This Row],[gross_revenue]])</f>
        <v>0.21900268709351867</v>
      </c>
    </row>
    <row r="33" spans="1:42" x14ac:dyDescent="0.35">
      <c r="A33" t="s">
        <v>372</v>
      </c>
      <c r="B33" t="str">
        <f>_xlfn.TEXTAFTER(Table1[[#This Row],[OrderID]],"-",2)</f>
        <v>961756</v>
      </c>
      <c r="C33">
        <f>YEAR(Table1[[#This Row],[OrderDate]])</f>
        <v>2024</v>
      </c>
      <c r="D33" s="9">
        <f>_xlfn.MINIFS(F:F,P:P,Table1[[#This Row],[Country]])</f>
        <v>44938</v>
      </c>
      <c r="E33" s="7">
        <f>DATEDIF(Table1[[#This Row],[first_time_orders]],Table1[[#This Row],[OrderDate]],"m")</f>
        <v>22</v>
      </c>
      <c r="F33" s="9">
        <v>45621</v>
      </c>
      <c r="G33" s="2" t="str">
        <f>TEXT(Table1[[#This Row],[OrderDate]],"MMM-YYYY")</f>
        <v>Nov-2024</v>
      </c>
      <c r="H33" s="7">
        <f>MONTH(Table1[[#This Row],[OrderDate]])</f>
        <v>11</v>
      </c>
      <c r="I33" s="7" t="str">
        <f>"Q"&amp;ROUNDUP(Table1[[#This Row],[months]]/3,0)&amp;"-"&amp;Table1[[#This Row],[order_year]]</f>
        <v>Q4-2024</v>
      </c>
      <c r="J33" s="7">
        <f>Table1[[#This Row],[RequiredDate]]-Table1[[#This Row],[OrderDate]]</f>
        <v>12</v>
      </c>
      <c r="K33" s="7">
        <f>IF(Table1[[#This Row],[lead_time]]&lt;0,MEDIAN(J:J),Table1[[#This Row],[lead_time]])</f>
        <v>12</v>
      </c>
      <c r="L33" s="7">
        <f>IF(Table1[[#This Row],[adj_lead_time]]&lt;=7,1,0)</f>
        <v>0</v>
      </c>
      <c r="M33" s="9">
        <v>45633</v>
      </c>
      <c r="N33" s="9">
        <f>IF(Table1[[#This Row],[lead_time]]&lt;0,(Table1[[#This Row],[OrderDate]]+Table1[[#This Row],[adj_lead_time]]),Table1[[#This Row],[RequiredDate]])</f>
        <v>45633</v>
      </c>
      <c r="O33" t="s">
        <v>647</v>
      </c>
      <c r="P33" t="s">
        <v>659</v>
      </c>
      <c r="Q33" t="s">
        <v>685</v>
      </c>
      <c r="R33" t="s">
        <v>701</v>
      </c>
      <c r="S33" t="s">
        <v>710</v>
      </c>
      <c r="T33" t="s">
        <v>720</v>
      </c>
      <c r="U33" t="s">
        <v>733</v>
      </c>
      <c r="V33" t="s">
        <v>1092</v>
      </c>
      <c r="W33">
        <v>769.9</v>
      </c>
      <c r="X33">
        <f>Table1[[#This Row],[UnitCost]]*(1+'scenario modeling'!$B$3)</f>
        <v>846.8900000000001</v>
      </c>
      <c r="Y33">
        <v>814.36</v>
      </c>
      <c r="Z33" t="str">
        <f>IF(Table1[[#This Row],[UnitPrice]]&lt;=Quantiles!$B$2,Quantiles!$A$2,IF(Table1[[#This Row],[UnitPrice]]&lt;=Quantiles!$B$3,Quantiles!$A$3,Quantiles!$A$4))</f>
        <v>Low</v>
      </c>
      <c r="AA33">
        <v>0</v>
      </c>
      <c r="AB33" s="5">
        <f>MIN(Table1[[#This Row],[DiscountPct]],'scenario modeling'!$B$2)</f>
        <v>0</v>
      </c>
      <c r="AC33" t="str">
        <f>IF(Table1[[#This Row],[DiscountPct]]&gt;0.3, "&gt;0.3","")</f>
        <v/>
      </c>
      <c r="AD33">
        <v>5</v>
      </c>
      <c r="AE33">
        <f>Table1[[#This Row],[Quantity]]*(1+'scenario modeling'!$B$4)</f>
        <v>6</v>
      </c>
      <c r="AF33">
        <f>Table1[[#This Row],[UnitCost]]*Table1[[#This Row],[Quantity]]</f>
        <v>3849.5</v>
      </c>
      <c r="AG33">
        <f>SUMIF($U:U,Table1[[#This Row],[ProductCategory]],$AM:AM)</f>
        <v>1331102.9440700002</v>
      </c>
      <c r="AH33">
        <f>SUMIFS($AM$2:AM33,$U$2:U33,U33)</f>
        <v>636353.63452999992</v>
      </c>
      <c r="AI33" s="5">
        <f>Table1[[#This Row],[Cumulative_revenue]]/Table1[[#This Row],[Category_revenue]]</f>
        <v>0.47806492906121562</v>
      </c>
      <c r="AJ33" t="str">
        <f>IF(Table1[[#This Row],[cumulative_pct]]&lt;=0.8,"A",IF(Table1[[#This Row],[cumulative_pct]]&lt;=0.95,"B","C"))</f>
        <v>A</v>
      </c>
      <c r="AK33">
        <f>Table1[[#This Row],[adj_unit_cost]]*Table1[[#This Row],[scenario_quantity]]</f>
        <v>5081.34</v>
      </c>
      <c r="AL33" s="5">
        <f>Table1[[#This Row],[UnitPrice]]*Table1[[#This Row],[scenario_quantity]]*(1-Table1[[#This Row],[cap_adjusted_discount]])</f>
        <v>4886.16</v>
      </c>
      <c r="AM33" s="5">
        <f>Table1[[#This Row],[UnitPrice]]*Table1[[#This Row],[Quantity]]*(1-Table1[[#This Row],[DiscountPct]])</f>
        <v>4071.8</v>
      </c>
      <c r="AN33" s="5">
        <f>Table1[[#This Row],[gross_revenue]]-Table1[[#This Row],[cost_of_goods]]</f>
        <v>222.30000000000018</v>
      </c>
      <c r="AO33" s="5">
        <f>Table1[[#This Row],[scenario_revenue]]-Table1[[#This Row],[Scenario_unit_cost]]</f>
        <v>-195.18000000000029</v>
      </c>
      <c r="AP33" s="5">
        <f>IF(Table1[[#This Row],[gross_revenue]]=0,0,Table1[[#This Row],[gross_profit]]/Table1[[#This Row],[gross_revenue]])</f>
        <v>5.4595019401738831E-2</v>
      </c>
    </row>
    <row r="34" spans="1:42" x14ac:dyDescent="0.35">
      <c r="A34" t="s">
        <v>430</v>
      </c>
      <c r="B34" t="str">
        <f>_xlfn.TEXTAFTER(Table1[[#This Row],[OrderID]],"-",2)</f>
        <v>655710</v>
      </c>
      <c r="C34">
        <f>YEAR(Table1[[#This Row],[OrderDate]])</f>
        <v>2024</v>
      </c>
      <c r="D34" s="9">
        <f>_xlfn.MINIFS(F:F,P:P,Table1[[#This Row],[Country]])</f>
        <v>44955</v>
      </c>
      <c r="E34" s="7">
        <f>DATEDIF(Table1[[#This Row],[first_time_orders]],Table1[[#This Row],[OrderDate]],"m")</f>
        <v>22</v>
      </c>
      <c r="F34" s="9">
        <v>45626</v>
      </c>
      <c r="G34" s="2" t="str">
        <f>TEXT(Table1[[#This Row],[OrderDate]],"MMM-YYYY")</f>
        <v>Nov-2024</v>
      </c>
      <c r="H34" s="7">
        <f>MONTH(Table1[[#This Row],[OrderDate]])</f>
        <v>11</v>
      </c>
      <c r="I34" s="7" t="str">
        <f>"Q"&amp;ROUNDUP(Table1[[#This Row],[months]]/3,0)&amp;"-"&amp;Table1[[#This Row],[order_year]]</f>
        <v>Q4-2024</v>
      </c>
      <c r="J34" s="7">
        <f>Table1[[#This Row],[RequiredDate]]-Table1[[#This Row],[OrderDate]]</f>
        <v>10</v>
      </c>
      <c r="K34" s="7">
        <f>IF(Table1[[#This Row],[lead_time]]&lt;0,MEDIAN(J:J),Table1[[#This Row],[lead_time]])</f>
        <v>10</v>
      </c>
      <c r="L34" s="7">
        <f>IF(Table1[[#This Row],[adj_lead_time]]&lt;=7,1,0)</f>
        <v>0</v>
      </c>
      <c r="M34" s="9">
        <v>45636</v>
      </c>
      <c r="N34" s="9">
        <f>IF(Table1[[#This Row],[lead_time]]&lt;0,(Table1[[#This Row],[OrderDate]]+Table1[[#This Row],[adj_lead_time]]),Table1[[#This Row],[RequiredDate]])</f>
        <v>45636</v>
      </c>
      <c r="O34" t="s">
        <v>647</v>
      </c>
      <c r="P34" t="s">
        <v>654</v>
      </c>
      <c r="Q34" t="s">
        <v>696</v>
      </c>
      <c r="R34" t="s">
        <v>705</v>
      </c>
      <c r="S34" t="s">
        <v>707</v>
      </c>
      <c r="T34" t="s">
        <v>721</v>
      </c>
      <c r="U34" t="s">
        <v>733</v>
      </c>
      <c r="V34" t="s">
        <v>1149</v>
      </c>
      <c r="W34">
        <v>851.49</v>
      </c>
      <c r="X34">
        <f>Table1[[#This Row],[UnitCost]]*(1+'scenario modeling'!$B$3)</f>
        <v>936.63900000000012</v>
      </c>
      <c r="Y34">
        <v>901.79</v>
      </c>
      <c r="Z34" t="str">
        <f>IF(Table1[[#This Row],[UnitPrice]]&lt;=Quantiles!$B$2,Quantiles!$A$2,IF(Table1[[#This Row],[UnitPrice]]&lt;=Quantiles!$B$3,Quantiles!$A$3,Quantiles!$A$4))</f>
        <v>Medium</v>
      </c>
      <c r="AA34">
        <v>0.245</v>
      </c>
      <c r="AB34" s="5">
        <f>MIN(Table1[[#This Row],[DiscountPct]],'scenario modeling'!$B$2)</f>
        <v>0.1</v>
      </c>
      <c r="AC34" t="str">
        <f>IF(Table1[[#This Row],[DiscountPct]]&gt;0.3, "&gt;0.3","")</f>
        <v/>
      </c>
      <c r="AD34">
        <v>16</v>
      </c>
      <c r="AE34">
        <f>Table1[[#This Row],[Quantity]]*(1+'scenario modeling'!$B$4)</f>
        <v>19.2</v>
      </c>
      <c r="AF34">
        <f>Table1[[#This Row],[UnitCost]]*Table1[[#This Row],[Quantity]]</f>
        <v>13623.84</v>
      </c>
      <c r="AG34">
        <f>SUMIF($U:U,Table1[[#This Row],[ProductCategory]],$AM:AM)</f>
        <v>1331102.9440700002</v>
      </c>
      <c r="AH34">
        <f>SUMIFS($AM$2:AM34,$U$2:U34,U34)</f>
        <v>647247.25772999995</v>
      </c>
      <c r="AI34" s="5">
        <f>Table1[[#This Row],[Cumulative_revenue]]/Table1[[#This Row],[Category_revenue]]</f>
        <v>0.48624883643557054</v>
      </c>
      <c r="AJ34" t="str">
        <f>IF(Table1[[#This Row],[cumulative_pct]]&lt;=0.8,"A",IF(Table1[[#This Row],[cumulative_pct]]&lt;=0.95,"B","C"))</f>
        <v>A</v>
      </c>
      <c r="AK34">
        <f>Table1[[#This Row],[adj_unit_cost]]*Table1[[#This Row],[scenario_quantity]]</f>
        <v>17983.468800000002</v>
      </c>
      <c r="AL34" s="5">
        <f>Table1[[#This Row],[UnitPrice]]*Table1[[#This Row],[scenario_quantity]]*(1-Table1[[#This Row],[cap_adjusted_discount]])</f>
        <v>15582.931199999999</v>
      </c>
      <c r="AM34" s="5">
        <f>Table1[[#This Row],[UnitPrice]]*Table1[[#This Row],[Quantity]]*(1-Table1[[#This Row],[DiscountPct]])</f>
        <v>10893.6232</v>
      </c>
      <c r="AN34" s="5">
        <f>Table1[[#This Row],[gross_revenue]]-Table1[[#This Row],[cost_of_goods]]</f>
        <v>-2730.2168000000001</v>
      </c>
      <c r="AO34" s="5">
        <f>Table1[[#This Row],[scenario_revenue]]-Table1[[#This Row],[Scenario_unit_cost]]</f>
        <v>-2400.5376000000033</v>
      </c>
      <c r="AP34" s="5">
        <f>IF(Table1[[#This Row],[gross_revenue]]=0,0,Table1[[#This Row],[gross_profit]]/Table1[[#This Row],[gross_revenue]])</f>
        <v>-0.25062522816100341</v>
      </c>
    </row>
    <row r="35" spans="1:42" x14ac:dyDescent="0.35">
      <c r="A35" t="s">
        <v>197</v>
      </c>
      <c r="B35" t="str">
        <f>_xlfn.TEXTAFTER(Table1[[#This Row],[OrderID]],"-",2)</f>
        <v>898843</v>
      </c>
      <c r="C35">
        <f>YEAR(Table1[[#This Row],[OrderDate]])</f>
        <v>2025</v>
      </c>
      <c r="D35" s="9">
        <f>_xlfn.MINIFS(F:F,P:P,Table1[[#This Row],[Country]])</f>
        <v>44988</v>
      </c>
      <c r="E35" s="7">
        <f>DATEDIF(Table1[[#This Row],[first_time_orders]],Table1[[#This Row],[OrderDate]],"m")</f>
        <v>22</v>
      </c>
      <c r="F35" s="9">
        <v>45690</v>
      </c>
      <c r="G35" s="2" t="str">
        <f>TEXT(Table1[[#This Row],[OrderDate]],"MMM-YYYY")</f>
        <v>Feb-2025</v>
      </c>
      <c r="H35" s="7">
        <f>MONTH(Table1[[#This Row],[OrderDate]])</f>
        <v>2</v>
      </c>
      <c r="I35" s="7" t="str">
        <f>"Q"&amp;ROUNDUP(Table1[[#This Row],[months]]/3,0)&amp;"-"&amp;Table1[[#This Row],[order_year]]</f>
        <v>Q1-2025</v>
      </c>
      <c r="J35" s="7">
        <f>Table1[[#This Row],[RequiredDate]]-Table1[[#This Row],[OrderDate]]</f>
        <v>30</v>
      </c>
      <c r="K35" s="7">
        <f>IF(Table1[[#This Row],[lead_time]]&lt;0,MEDIAN(J:J),Table1[[#This Row],[lead_time]])</f>
        <v>30</v>
      </c>
      <c r="L35" s="7">
        <f>IF(Table1[[#This Row],[adj_lead_time]]&lt;=7,1,0)</f>
        <v>0</v>
      </c>
      <c r="M35" s="9">
        <v>45720</v>
      </c>
      <c r="N35" s="9">
        <f>IF(Table1[[#This Row],[lead_time]]&lt;0,(Table1[[#This Row],[OrderDate]]+Table1[[#This Row],[adj_lead_time]]),Table1[[#This Row],[RequiredDate]])</f>
        <v>45720</v>
      </c>
      <c r="O35" t="s">
        <v>647</v>
      </c>
      <c r="P35" t="s">
        <v>652</v>
      </c>
      <c r="Q35" t="s">
        <v>666</v>
      </c>
      <c r="R35" t="s">
        <v>702</v>
      </c>
      <c r="S35" t="s">
        <v>710</v>
      </c>
      <c r="T35" t="s">
        <v>716</v>
      </c>
      <c r="U35" t="s">
        <v>733</v>
      </c>
      <c r="V35" t="s">
        <v>916</v>
      </c>
      <c r="W35">
        <v>766.59</v>
      </c>
      <c r="X35">
        <f>Table1[[#This Row],[UnitCost]]*(1+'scenario modeling'!$B$3)</f>
        <v>843.24900000000014</v>
      </c>
      <c r="Y35">
        <v>1912.8</v>
      </c>
      <c r="Z35" t="str">
        <f>IF(Table1[[#This Row],[UnitPrice]]&lt;=Quantiles!$B$2,Quantiles!$A$2,IF(Table1[[#This Row],[UnitPrice]]&lt;=Quantiles!$B$3,Quantiles!$A$3,Quantiles!$A$4))</f>
        <v>High</v>
      </c>
      <c r="AA35">
        <v>0.19600000000000001</v>
      </c>
      <c r="AB35" s="5">
        <f>MIN(Table1[[#This Row],[DiscountPct]],'scenario modeling'!$B$2)</f>
        <v>0.1</v>
      </c>
      <c r="AC35" t="str">
        <f>IF(Table1[[#This Row],[DiscountPct]]&gt;0.3, "&gt;0.3","")</f>
        <v/>
      </c>
      <c r="AD35">
        <v>5</v>
      </c>
      <c r="AE35">
        <f>Table1[[#This Row],[Quantity]]*(1+'scenario modeling'!$B$4)</f>
        <v>6</v>
      </c>
      <c r="AF35">
        <f>Table1[[#This Row],[UnitCost]]*Table1[[#This Row],[Quantity]]</f>
        <v>3832.9500000000003</v>
      </c>
      <c r="AG35">
        <f>SUMIF($U:U,Table1[[#This Row],[ProductCategory]],$AM:AM)</f>
        <v>1331102.9440700002</v>
      </c>
      <c r="AH35">
        <f>SUMIFS($AM$2:AM35,$U$2:U35,U35)</f>
        <v>654936.71372999996</v>
      </c>
      <c r="AI35" s="5">
        <f>Table1[[#This Row],[Cumulative_revenue]]/Table1[[#This Row],[Category_revenue]]</f>
        <v>0.49202559174533539</v>
      </c>
      <c r="AJ35" t="str">
        <f>IF(Table1[[#This Row],[cumulative_pct]]&lt;=0.8,"A",IF(Table1[[#This Row],[cumulative_pct]]&lt;=0.95,"B","C"))</f>
        <v>A</v>
      </c>
      <c r="AK35">
        <f>Table1[[#This Row],[adj_unit_cost]]*Table1[[#This Row],[scenario_quantity]]</f>
        <v>5059.4940000000006</v>
      </c>
      <c r="AL35" s="5">
        <f>Table1[[#This Row],[UnitPrice]]*Table1[[#This Row],[scenario_quantity]]*(1-Table1[[#This Row],[cap_adjusted_discount]])</f>
        <v>10329.119999999999</v>
      </c>
      <c r="AM35" s="5">
        <f>Table1[[#This Row],[UnitPrice]]*Table1[[#This Row],[Quantity]]*(1-Table1[[#This Row],[DiscountPct]])</f>
        <v>7689.4560000000001</v>
      </c>
      <c r="AN35" s="5">
        <f>Table1[[#This Row],[gross_revenue]]-Table1[[#This Row],[cost_of_goods]]</f>
        <v>3856.5059999999999</v>
      </c>
      <c r="AO35" s="5">
        <f>Table1[[#This Row],[scenario_revenue]]-Table1[[#This Row],[Scenario_unit_cost]]</f>
        <v>5269.6259999999984</v>
      </c>
      <c r="AP35" s="5">
        <f>IF(Table1[[#This Row],[gross_revenue]]=0,0,Table1[[#This Row],[gross_profit]]/Table1[[#This Row],[gross_revenue]])</f>
        <v>0.50153170783472845</v>
      </c>
    </row>
    <row r="36" spans="1:42" x14ac:dyDescent="0.35">
      <c r="A36" t="s">
        <v>72</v>
      </c>
      <c r="B36" t="str">
        <f>_xlfn.TEXTAFTER(Table1[[#This Row],[OrderID]],"-",2)</f>
        <v>289089</v>
      </c>
      <c r="C36">
        <f>YEAR(Table1[[#This Row],[OrderDate]])</f>
        <v>2024</v>
      </c>
      <c r="D36" s="9">
        <f>_xlfn.MINIFS(F:F,P:P,Table1[[#This Row],[Country]])</f>
        <v>44948</v>
      </c>
      <c r="E36" s="7">
        <f>DATEDIF(Table1[[#This Row],[first_time_orders]],Table1[[#This Row],[OrderDate]],"m")</f>
        <v>22</v>
      </c>
      <c r="F36" s="9">
        <v>45643</v>
      </c>
      <c r="G36" s="2" t="str">
        <f>TEXT(Table1[[#This Row],[OrderDate]],"MMM-YYYY")</f>
        <v>Dec-2024</v>
      </c>
      <c r="H36" s="7">
        <f>MONTH(Table1[[#This Row],[OrderDate]])</f>
        <v>12</v>
      </c>
      <c r="I36" s="7" t="str">
        <f>"Q"&amp;ROUNDUP(Table1[[#This Row],[months]]/3,0)&amp;"-"&amp;Table1[[#This Row],[order_year]]</f>
        <v>Q4-2024</v>
      </c>
      <c r="J36" s="7">
        <f>Table1[[#This Row],[RequiredDate]]-Table1[[#This Row],[OrderDate]]</f>
        <v>1</v>
      </c>
      <c r="K36" s="7">
        <f>IF(Table1[[#This Row],[lead_time]]&lt;0,MEDIAN(J:J),Table1[[#This Row],[lead_time]])</f>
        <v>1</v>
      </c>
      <c r="L36" s="7">
        <f>IF(Table1[[#This Row],[adj_lead_time]]&lt;=7,1,0)</f>
        <v>1</v>
      </c>
      <c r="M36" s="9">
        <v>45644</v>
      </c>
      <c r="N36" s="9">
        <f>IF(Table1[[#This Row],[lead_time]]&lt;0,(Table1[[#This Row],[OrderDate]]+Table1[[#This Row],[adj_lead_time]]),Table1[[#This Row],[RequiredDate]])</f>
        <v>45644</v>
      </c>
      <c r="O36" t="s">
        <v>649</v>
      </c>
      <c r="P36" t="s">
        <v>656</v>
      </c>
      <c r="Q36" t="s">
        <v>684</v>
      </c>
      <c r="R36" t="s">
        <v>702</v>
      </c>
      <c r="S36" t="s">
        <v>707</v>
      </c>
      <c r="T36" t="s">
        <v>716</v>
      </c>
      <c r="U36" t="s">
        <v>733</v>
      </c>
      <c r="V36" t="s">
        <v>791</v>
      </c>
      <c r="W36">
        <v>346.82</v>
      </c>
      <c r="X36">
        <f>Table1[[#This Row],[UnitCost]]*(1+'scenario modeling'!$B$3)</f>
        <v>381.50200000000001</v>
      </c>
      <c r="Y36">
        <v>701.95</v>
      </c>
      <c r="Z36" t="str">
        <f>IF(Table1[[#This Row],[UnitPrice]]&lt;=Quantiles!$B$2,Quantiles!$A$2,IF(Table1[[#This Row],[UnitPrice]]&lt;=Quantiles!$B$3,Quantiles!$A$3,Quantiles!$A$4))</f>
        <v>Low</v>
      </c>
      <c r="AA36">
        <v>0.14699999999999999</v>
      </c>
      <c r="AB36" s="5">
        <f>MIN(Table1[[#This Row],[DiscountPct]],'scenario modeling'!$B$2)</f>
        <v>0.1</v>
      </c>
      <c r="AC36" t="str">
        <f>IF(Table1[[#This Row],[DiscountPct]]&gt;0.3, "&gt;0.3","")</f>
        <v/>
      </c>
      <c r="AD36">
        <v>8</v>
      </c>
      <c r="AE36">
        <f>Table1[[#This Row],[Quantity]]*(1+'scenario modeling'!$B$4)</f>
        <v>9.6</v>
      </c>
      <c r="AF36">
        <f>Table1[[#This Row],[UnitCost]]*Table1[[#This Row],[Quantity]]</f>
        <v>2774.56</v>
      </c>
      <c r="AG36">
        <f>SUMIF($U:U,Table1[[#This Row],[ProductCategory]],$AM:AM)</f>
        <v>1331102.9440700002</v>
      </c>
      <c r="AH36">
        <f>SUMIFS($AM$2:AM36,$U$2:U36,U36)</f>
        <v>659726.82052999991</v>
      </c>
      <c r="AI36" s="5">
        <f>Table1[[#This Row],[Cumulative_revenue]]/Table1[[#This Row],[Category_revenue]]</f>
        <v>0.4956241915541178</v>
      </c>
      <c r="AJ36" t="str">
        <f>IF(Table1[[#This Row],[cumulative_pct]]&lt;=0.8,"A",IF(Table1[[#This Row],[cumulative_pct]]&lt;=0.95,"B","C"))</f>
        <v>A</v>
      </c>
      <c r="AK36">
        <f>Table1[[#This Row],[adj_unit_cost]]*Table1[[#This Row],[scenario_quantity]]</f>
        <v>3662.4191999999998</v>
      </c>
      <c r="AL36" s="5">
        <f>Table1[[#This Row],[UnitPrice]]*Table1[[#This Row],[scenario_quantity]]*(1-Table1[[#This Row],[cap_adjusted_discount]])</f>
        <v>6064.848</v>
      </c>
      <c r="AM36" s="5">
        <f>Table1[[#This Row],[UnitPrice]]*Table1[[#This Row],[Quantity]]*(1-Table1[[#This Row],[DiscountPct]])</f>
        <v>4790.1068000000005</v>
      </c>
      <c r="AN36" s="5">
        <f>Table1[[#This Row],[gross_revenue]]-Table1[[#This Row],[cost_of_goods]]</f>
        <v>2015.5468000000005</v>
      </c>
      <c r="AO36" s="5">
        <f>Table1[[#This Row],[scenario_revenue]]-Table1[[#This Row],[Scenario_unit_cost]]</f>
        <v>2402.4288000000001</v>
      </c>
      <c r="AP36" s="5">
        <f>IF(Table1[[#This Row],[gross_revenue]]=0,0,Table1[[#This Row],[gross_profit]]/Table1[[#This Row],[gross_revenue]])</f>
        <v>0.42077283120284509</v>
      </c>
    </row>
    <row r="37" spans="1:42" x14ac:dyDescent="0.35">
      <c r="A37" t="s">
        <v>118</v>
      </c>
      <c r="B37" t="str">
        <f>_xlfn.TEXTAFTER(Table1[[#This Row],[OrderID]],"-",2)</f>
        <v>478165</v>
      </c>
      <c r="C37">
        <f>YEAR(Table1[[#This Row],[OrderDate]])</f>
        <v>2024</v>
      </c>
      <c r="D37" s="9">
        <f>_xlfn.MINIFS(F:F,P:P,Table1[[#This Row],[Country]])</f>
        <v>44928</v>
      </c>
      <c r="E37" s="7">
        <f>DATEDIF(Table1[[#This Row],[first_time_orders]],Table1[[#This Row],[OrderDate]],"m")</f>
        <v>23</v>
      </c>
      <c r="F37" s="9">
        <v>45631</v>
      </c>
      <c r="G37" s="2" t="str">
        <f>TEXT(Table1[[#This Row],[OrderDate]],"MMM-YYYY")</f>
        <v>Dec-2024</v>
      </c>
      <c r="H37" s="7">
        <f>MONTH(Table1[[#This Row],[OrderDate]])</f>
        <v>12</v>
      </c>
      <c r="I37" s="7" t="str">
        <f>"Q"&amp;ROUNDUP(Table1[[#This Row],[months]]/3,0)&amp;"-"&amp;Table1[[#This Row],[order_year]]</f>
        <v>Q4-2024</v>
      </c>
      <c r="J37" s="7">
        <f>Table1[[#This Row],[RequiredDate]]-Table1[[#This Row],[OrderDate]]</f>
        <v>23</v>
      </c>
      <c r="K37" s="7">
        <f>IF(Table1[[#This Row],[lead_time]]&lt;0,MEDIAN(J:J),Table1[[#This Row],[lead_time]])</f>
        <v>23</v>
      </c>
      <c r="L37" s="7">
        <f>IF(Table1[[#This Row],[adj_lead_time]]&lt;=7,1,0)</f>
        <v>0</v>
      </c>
      <c r="M37" s="9">
        <v>45654</v>
      </c>
      <c r="N37" s="9">
        <f>IF(Table1[[#This Row],[lead_time]]&lt;0,(Table1[[#This Row],[OrderDate]]+Table1[[#This Row],[adj_lead_time]]),Table1[[#This Row],[RequiredDate]])</f>
        <v>45654</v>
      </c>
      <c r="O37" t="s">
        <v>648</v>
      </c>
      <c r="P37" t="s">
        <v>653</v>
      </c>
      <c r="Q37" t="s">
        <v>688</v>
      </c>
      <c r="R37" t="s">
        <v>701</v>
      </c>
      <c r="S37" t="s">
        <v>711</v>
      </c>
      <c r="T37" t="s">
        <v>721</v>
      </c>
      <c r="U37" t="s">
        <v>733</v>
      </c>
      <c r="V37" t="s">
        <v>837</v>
      </c>
      <c r="W37">
        <v>107.03</v>
      </c>
      <c r="X37">
        <f>Table1[[#This Row],[UnitCost]]*(1+'scenario modeling'!$B$3)</f>
        <v>117.733</v>
      </c>
      <c r="Y37">
        <v>242.29</v>
      </c>
      <c r="Z37" t="str">
        <f>IF(Table1[[#This Row],[UnitPrice]]&lt;=Quantiles!$B$2,Quantiles!$A$2,IF(Table1[[#This Row],[UnitPrice]]&lt;=Quantiles!$B$3,Quantiles!$A$3,Quantiles!$A$4))</f>
        <v>Low</v>
      </c>
      <c r="AA37">
        <v>0.18</v>
      </c>
      <c r="AB37" s="5">
        <f>MIN(Table1[[#This Row],[DiscountPct]],'scenario modeling'!$B$2)</f>
        <v>0.1</v>
      </c>
      <c r="AC37" t="str">
        <f>IF(Table1[[#This Row],[DiscountPct]]&gt;0.3, "&gt;0.3","")</f>
        <v/>
      </c>
      <c r="AD37">
        <v>30</v>
      </c>
      <c r="AE37">
        <f>Table1[[#This Row],[Quantity]]*(1+'scenario modeling'!$B$4)</f>
        <v>36</v>
      </c>
      <c r="AF37">
        <f>Table1[[#This Row],[UnitCost]]*Table1[[#This Row],[Quantity]]</f>
        <v>3210.9</v>
      </c>
      <c r="AG37">
        <f>SUMIF($U:U,Table1[[#This Row],[ProductCategory]],$AM:AM)</f>
        <v>1331102.9440700002</v>
      </c>
      <c r="AH37">
        <f>SUMIFS($AM$2:AM37,$U$2:U37,U37)</f>
        <v>665687.15452999994</v>
      </c>
      <c r="AI37" s="5">
        <f>Table1[[#This Row],[Cumulative_revenue]]/Table1[[#This Row],[Category_revenue]]</f>
        <v>0.50010193238291922</v>
      </c>
      <c r="AJ37" t="str">
        <f>IF(Table1[[#This Row],[cumulative_pct]]&lt;=0.8,"A",IF(Table1[[#This Row],[cumulative_pct]]&lt;=0.95,"B","C"))</f>
        <v>A</v>
      </c>
      <c r="AK37">
        <f>Table1[[#This Row],[adj_unit_cost]]*Table1[[#This Row],[scenario_quantity]]</f>
        <v>4238.3879999999999</v>
      </c>
      <c r="AL37" s="5">
        <f>Table1[[#This Row],[UnitPrice]]*Table1[[#This Row],[scenario_quantity]]*(1-Table1[[#This Row],[cap_adjusted_discount]])</f>
        <v>7850.1960000000008</v>
      </c>
      <c r="AM37" s="5">
        <f>Table1[[#This Row],[UnitPrice]]*Table1[[#This Row],[Quantity]]*(1-Table1[[#This Row],[DiscountPct]])</f>
        <v>5960.3340000000007</v>
      </c>
      <c r="AN37" s="5">
        <f>Table1[[#This Row],[gross_revenue]]-Table1[[#This Row],[cost_of_goods]]</f>
        <v>2749.4340000000007</v>
      </c>
      <c r="AO37" s="5">
        <f>Table1[[#This Row],[scenario_revenue]]-Table1[[#This Row],[Scenario_unit_cost]]</f>
        <v>3611.8080000000009</v>
      </c>
      <c r="AP37" s="5">
        <f>IF(Table1[[#This Row],[gross_revenue]]=0,0,Table1[[#This Row],[gross_profit]]/Table1[[#This Row],[gross_revenue]])</f>
        <v>0.46128857879440988</v>
      </c>
    </row>
    <row r="38" spans="1:42" x14ac:dyDescent="0.35">
      <c r="A38" t="s">
        <v>469</v>
      </c>
      <c r="B38" t="str">
        <f>_xlfn.TEXTAFTER(Table1[[#This Row],[OrderID]],"-",2)</f>
        <v>257550</v>
      </c>
      <c r="C38">
        <f>YEAR(Table1[[#This Row],[OrderDate]])</f>
        <v>2024</v>
      </c>
      <c r="D38" s="9">
        <f>_xlfn.MINIFS(F:F,P:P,Table1[[#This Row],[Country]])</f>
        <v>44928</v>
      </c>
      <c r="E38" s="7">
        <f>DATEDIF(Table1[[#This Row],[first_time_orders]],Table1[[#This Row],[OrderDate]],"m")</f>
        <v>23</v>
      </c>
      <c r="F38" s="9">
        <v>45653</v>
      </c>
      <c r="G38" s="2" t="str">
        <f>TEXT(Table1[[#This Row],[OrderDate]],"MMM-YYYY")</f>
        <v>Dec-2024</v>
      </c>
      <c r="H38" s="7">
        <f>MONTH(Table1[[#This Row],[OrderDate]])</f>
        <v>12</v>
      </c>
      <c r="I38" s="7" t="str">
        <f>"Q"&amp;ROUNDUP(Table1[[#This Row],[months]]/3,0)&amp;"-"&amp;Table1[[#This Row],[order_year]]</f>
        <v>Q4-2024</v>
      </c>
      <c r="J38" s="7">
        <f>Table1[[#This Row],[RequiredDate]]-Table1[[#This Row],[OrderDate]]</f>
        <v>2</v>
      </c>
      <c r="K38" s="7">
        <f>IF(Table1[[#This Row],[lead_time]]&lt;0,MEDIAN(J:J),Table1[[#This Row],[lead_time]])</f>
        <v>2</v>
      </c>
      <c r="L38" s="7">
        <f>IF(Table1[[#This Row],[adj_lead_time]]&lt;=7,1,0)</f>
        <v>1</v>
      </c>
      <c r="M38" s="9">
        <v>45655</v>
      </c>
      <c r="N38" s="9">
        <f>IF(Table1[[#This Row],[lead_time]]&lt;0,(Table1[[#This Row],[OrderDate]]+Table1[[#This Row],[adj_lead_time]]),Table1[[#This Row],[RequiredDate]])</f>
        <v>45655</v>
      </c>
      <c r="O38" t="s">
        <v>648</v>
      </c>
      <c r="P38" t="s">
        <v>653</v>
      </c>
      <c r="Q38" t="s">
        <v>688</v>
      </c>
      <c r="R38" t="s">
        <v>706</v>
      </c>
      <c r="S38" t="s">
        <v>709</v>
      </c>
      <c r="T38" t="s">
        <v>712</v>
      </c>
      <c r="U38" t="s">
        <v>733</v>
      </c>
      <c r="V38" t="s">
        <v>1188</v>
      </c>
      <c r="W38">
        <v>1146.72</v>
      </c>
      <c r="X38">
        <f>Table1[[#This Row],[UnitCost]]*(1+'scenario modeling'!$B$3)</f>
        <v>1261.3920000000001</v>
      </c>
      <c r="Y38">
        <v>2074.34</v>
      </c>
      <c r="Z38" t="str">
        <f>IF(Table1[[#This Row],[UnitPrice]]&lt;=Quantiles!$B$2,Quantiles!$A$2,IF(Table1[[#This Row],[UnitPrice]]&lt;=Quantiles!$B$3,Quantiles!$A$3,Quantiles!$A$4))</f>
        <v>High</v>
      </c>
      <c r="AA38">
        <v>0.111</v>
      </c>
      <c r="AB38" s="5">
        <f>MIN(Table1[[#This Row],[DiscountPct]],'scenario modeling'!$B$2)</f>
        <v>0.1</v>
      </c>
      <c r="AC38" t="str">
        <f>IF(Table1[[#This Row],[DiscountPct]]&gt;0.3, "&gt;0.3","")</f>
        <v/>
      </c>
      <c r="AD38">
        <v>8</v>
      </c>
      <c r="AE38">
        <f>Table1[[#This Row],[Quantity]]*(1+'scenario modeling'!$B$4)</f>
        <v>9.6</v>
      </c>
      <c r="AF38">
        <f>Table1[[#This Row],[UnitCost]]*Table1[[#This Row],[Quantity]]</f>
        <v>9173.76</v>
      </c>
      <c r="AG38">
        <f>SUMIF($U:U,Table1[[#This Row],[ProductCategory]],$AM:AM)</f>
        <v>1331102.9440700002</v>
      </c>
      <c r="AH38">
        <f>SUMIFS($AM$2:AM38,$U$2:U38,U38)</f>
        <v>680439.86060999997</v>
      </c>
      <c r="AI38" s="5">
        <f>Table1[[#This Row],[Cumulative_revenue]]/Table1[[#This Row],[Category_revenue]]</f>
        <v>0.51118500161187908</v>
      </c>
      <c r="AJ38" t="str">
        <f>IF(Table1[[#This Row],[cumulative_pct]]&lt;=0.8,"A",IF(Table1[[#This Row],[cumulative_pct]]&lt;=0.95,"B","C"))</f>
        <v>A</v>
      </c>
      <c r="AK38">
        <f>Table1[[#This Row],[adj_unit_cost]]*Table1[[#This Row],[scenario_quantity]]</f>
        <v>12109.3632</v>
      </c>
      <c r="AL38" s="5">
        <f>Table1[[#This Row],[UnitPrice]]*Table1[[#This Row],[scenario_quantity]]*(1-Table1[[#This Row],[cap_adjusted_discount]])</f>
        <v>17922.297600000002</v>
      </c>
      <c r="AM38" s="5">
        <f>Table1[[#This Row],[UnitPrice]]*Table1[[#This Row],[Quantity]]*(1-Table1[[#This Row],[DiscountPct]])</f>
        <v>14752.706080000002</v>
      </c>
      <c r="AN38" s="5">
        <f>Table1[[#This Row],[gross_revenue]]-Table1[[#This Row],[cost_of_goods]]</f>
        <v>5578.9460800000015</v>
      </c>
      <c r="AO38" s="5">
        <f>Table1[[#This Row],[scenario_revenue]]-Table1[[#This Row],[Scenario_unit_cost]]</f>
        <v>5812.9344000000019</v>
      </c>
      <c r="AP38" s="5">
        <f>IF(Table1[[#This Row],[gross_revenue]]=0,0,Table1[[#This Row],[gross_profit]]/Table1[[#This Row],[gross_revenue]])</f>
        <v>0.37816425337472737</v>
      </c>
    </row>
    <row r="39" spans="1:42" x14ac:dyDescent="0.35">
      <c r="A39" t="s">
        <v>568</v>
      </c>
      <c r="B39" t="str">
        <f>_xlfn.TEXTAFTER(Table1[[#This Row],[OrderID]],"-",2)</f>
        <v>332931</v>
      </c>
      <c r="C39">
        <f>YEAR(Table1[[#This Row],[OrderDate]])</f>
        <v>2025</v>
      </c>
      <c r="D39" s="9">
        <f>_xlfn.MINIFS(F:F,P:P,Table1[[#This Row],[Country]])</f>
        <v>44946</v>
      </c>
      <c r="E39" s="7">
        <f>DATEDIF(Table1[[#This Row],[first_time_orders]],Table1[[#This Row],[OrderDate]],"m")</f>
        <v>24</v>
      </c>
      <c r="F39" s="9">
        <v>45703</v>
      </c>
      <c r="G39" s="2" t="str">
        <f>TEXT(Table1[[#This Row],[OrderDate]],"MMM-YYYY")</f>
        <v>Feb-2025</v>
      </c>
      <c r="H39" s="7">
        <f>MONTH(Table1[[#This Row],[OrderDate]])</f>
        <v>2</v>
      </c>
      <c r="I39" s="7" t="str">
        <f>"Q"&amp;ROUNDUP(Table1[[#This Row],[months]]/3,0)&amp;"-"&amp;Table1[[#This Row],[order_year]]</f>
        <v>Q1-2025</v>
      </c>
      <c r="J39" s="7">
        <f>Table1[[#This Row],[RequiredDate]]-Table1[[#This Row],[OrderDate]]</f>
        <v>14</v>
      </c>
      <c r="K39" s="7">
        <f>IF(Table1[[#This Row],[lead_time]]&lt;0,MEDIAN(J:J),Table1[[#This Row],[lead_time]])</f>
        <v>14</v>
      </c>
      <c r="L39" s="7">
        <f>IF(Table1[[#This Row],[adj_lead_time]]&lt;=7,1,0)</f>
        <v>0</v>
      </c>
      <c r="M39" s="9">
        <v>45717</v>
      </c>
      <c r="N39" s="9">
        <f>IF(Table1[[#This Row],[lead_time]]&lt;0,(Table1[[#This Row],[OrderDate]]+Table1[[#This Row],[adj_lead_time]]),Table1[[#This Row],[RequiredDate]])</f>
        <v>45717</v>
      </c>
      <c r="O39" t="s">
        <v>646</v>
      </c>
      <c r="P39" t="s">
        <v>650</v>
      </c>
      <c r="Q39" t="s">
        <v>675</v>
      </c>
      <c r="R39" t="s">
        <v>702</v>
      </c>
      <c r="S39" t="s">
        <v>711</v>
      </c>
      <c r="T39" t="s">
        <v>716</v>
      </c>
      <c r="U39" t="s">
        <v>733</v>
      </c>
      <c r="V39" t="s">
        <v>1286</v>
      </c>
      <c r="W39">
        <v>1162.8599999999999</v>
      </c>
      <c r="X39">
        <f>Table1[[#This Row],[UnitCost]]*(1+'scenario modeling'!$B$3)</f>
        <v>1279.146</v>
      </c>
      <c r="Y39">
        <v>1447.68</v>
      </c>
      <c r="Z39" t="str">
        <f>IF(Table1[[#This Row],[UnitPrice]]&lt;=Quantiles!$B$2,Quantiles!$A$2,IF(Table1[[#This Row],[UnitPrice]]&lt;=Quantiles!$B$3,Quantiles!$A$3,Quantiles!$A$4))</f>
        <v>Medium</v>
      </c>
      <c r="AA39">
        <v>8.6999999999999994E-2</v>
      </c>
      <c r="AB39" s="5">
        <f>MIN(Table1[[#This Row],[DiscountPct]],'scenario modeling'!$B$2)</f>
        <v>8.6999999999999994E-2</v>
      </c>
      <c r="AC39" t="str">
        <f>IF(Table1[[#This Row],[DiscountPct]]&gt;0.3, "&gt;0.3","")</f>
        <v/>
      </c>
      <c r="AD39">
        <v>12</v>
      </c>
      <c r="AE39">
        <f>Table1[[#This Row],[Quantity]]*(1+'scenario modeling'!$B$4)</f>
        <v>14.399999999999999</v>
      </c>
      <c r="AF39">
        <f>Table1[[#This Row],[UnitCost]]*Table1[[#This Row],[Quantity]]</f>
        <v>13954.32</v>
      </c>
      <c r="AG39">
        <f>SUMIF($U:U,Table1[[#This Row],[ProductCategory]],$AM:AM)</f>
        <v>1331102.9440700002</v>
      </c>
      <c r="AH39">
        <f>SUMIFS($AM$2:AM39,$U$2:U39,U39)</f>
        <v>696300.64269000001</v>
      </c>
      <c r="AI39" s="5">
        <f>Table1[[#This Row],[Cumulative_revenue]]/Table1[[#This Row],[Category_revenue]]</f>
        <v>0.523100520355684</v>
      </c>
      <c r="AJ39" t="str">
        <f>IF(Table1[[#This Row],[cumulative_pct]]&lt;=0.8,"A",IF(Table1[[#This Row],[cumulative_pct]]&lt;=0.95,"B","C"))</f>
        <v>A</v>
      </c>
      <c r="AK39">
        <f>Table1[[#This Row],[adj_unit_cost]]*Table1[[#This Row],[scenario_quantity]]</f>
        <v>18419.702399999998</v>
      </c>
      <c r="AL39" s="5">
        <f>Table1[[#This Row],[UnitPrice]]*Table1[[#This Row],[scenario_quantity]]*(1-Table1[[#This Row],[cap_adjusted_discount]])</f>
        <v>19032.938496000002</v>
      </c>
      <c r="AM39" s="5">
        <f>Table1[[#This Row],[UnitPrice]]*Table1[[#This Row],[Quantity]]*(1-Table1[[#This Row],[DiscountPct]])</f>
        <v>15860.782080000001</v>
      </c>
      <c r="AN39" s="5">
        <f>Table1[[#This Row],[gross_revenue]]-Table1[[#This Row],[cost_of_goods]]</f>
        <v>1906.4620800000012</v>
      </c>
      <c r="AO39" s="5">
        <f>Table1[[#This Row],[scenario_revenue]]-Table1[[#This Row],[Scenario_unit_cost]]</f>
        <v>613.23609600000418</v>
      </c>
      <c r="AP39" s="5">
        <f>IF(Table1[[#This Row],[gross_revenue]]=0,0,Table1[[#This Row],[gross_profit]]/Table1[[#This Row],[gross_revenue]])</f>
        <v>0.12019975247021369</v>
      </c>
    </row>
    <row r="40" spans="1:42" x14ac:dyDescent="0.35">
      <c r="A40" t="s">
        <v>221</v>
      </c>
      <c r="B40" t="str">
        <f>_xlfn.TEXTAFTER(Table1[[#This Row],[OrderID]],"-",2)</f>
        <v>146850</v>
      </c>
      <c r="C40">
        <f>YEAR(Table1[[#This Row],[OrderDate]])</f>
        <v>2025</v>
      </c>
      <c r="D40" s="9">
        <f>_xlfn.MINIFS(F:F,P:P,Table1[[#This Row],[Country]])</f>
        <v>44946</v>
      </c>
      <c r="E40" s="7">
        <f>DATEDIF(Table1[[#This Row],[first_time_orders]],Table1[[#This Row],[OrderDate]],"m")</f>
        <v>24</v>
      </c>
      <c r="F40" s="9">
        <v>45678</v>
      </c>
      <c r="G40" s="2" t="str">
        <f>TEXT(Table1[[#This Row],[OrderDate]],"MMM-YYYY")</f>
        <v>Jan-2025</v>
      </c>
      <c r="H40" s="7">
        <f>MONTH(Table1[[#This Row],[OrderDate]])</f>
        <v>1</v>
      </c>
      <c r="I40" s="7" t="str">
        <f>"Q"&amp;ROUNDUP(Table1[[#This Row],[months]]/3,0)&amp;"-"&amp;Table1[[#This Row],[order_year]]</f>
        <v>Q1-2025</v>
      </c>
      <c r="J40" s="7">
        <f>Table1[[#This Row],[RequiredDate]]-Table1[[#This Row],[OrderDate]]</f>
        <v>24</v>
      </c>
      <c r="K40" s="7">
        <f>IF(Table1[[#This Row],[lead_time]]&lt;0,MEDIAN(J:J),Table1[[#This Row],[lead_time]])</f>
        <v>24</v>
      </c>
      <c r="L40" s="7">
        <f>IF(Table1[[#This Row],[adj_lead_time]]&lt;=7,1,0)</f>
        <v>0</v>
      </c>
      <c r="M40" s="9">
        <v>45702</v>
      </c>
      <c r="N40" s="9">
        <f>IF(Table1[[#This Row],[lead_time]]&lt;0,(Table1[[#This Row],[OrderDate]]+Table1[[#This Row],[adj_lead_time]]),Table1[[#This Row],[RequiredDate]])</f>
        <v>45702</v>
      </c>
      <c r="O40" t="s">
        <v>646</v>
      </c>
      <c r="P40" t="s">
        <v>650</v>
      </c>
      <c r="Q40" t="s">
        <v>664</v>
      </c>
      <c r="R40" t="s">
        <v>705</v>
      </c>
      <c r="S40" t="s">
        <v>707</v>
      </c>
      <c r="T40" t="s">
        <v>713</v>
      </c>
      <c r="U40" t="s">
        <v>733</v>
      </c>
      <c r="V40" t="s">
        <v>941</v>
      </c>
      <c r="W40">
        <v>1030.44</v>
      </c>
      <c r="X40">
        <f>Table1[[#This Row],[UnitCost]]*(1+'scenario modeling'!$B$3)</f>
        <v>1133.4840000000002</v>
      </c>
      <c r="Y40">
        <v>2562.84</v>
      </c>
      <c r="Z40" t="str">
        <f>IF(Table1[[#This Row],[UnitPrice]]&lt;=Quantiles!$B$2,Quantiles!$A$2,IF(Table1[[#This Row],[UnitPrice]]&lt;=Quantiles!$B$3,Quantiles!$A$3,Quantiles!$A$4))</f>
        <v>High</v>
      </c>
      <c r="AA40">
        <v>0.14799999999999999</v>
      </c>
      <c r="AB40" s="5">
        <f>MIN(Table1[[#This Row],[DiscountPct]],'scenario modeling'!$B$2)</f>
        <v>0.1</v>
      </c>
      <c r="AC40" t="str">
        <f>IF(Table1[[#This Row],[DiscountPct]]&gt;0.3, "&gt;0.3","")</f>
        <v/>
      </c>
      <c r="AD40">
        <v>13</v>
      </c>
      <c r="AE40">
        <f>Table1[[#This Row],[Quantity]]*(1+'scenario modeling'!$B$4)</f>
        <v>15.6</v>
      </c>
      <c r="AF40">
        <f>Table1[[#This Row],[UnitCost]]*Table1[[#This Row],[Quantity]]</f>
        <v>13395.720000000001</v>
      </c>
      <c r="AG40">
        <f>SUMIF($U:U,Table1[[#This Row],[ProductCategory]],$AM:AM)</f>
        <v>1331102.9440700002</v>
      </c>
      <c r="AH40">
        <f>SUMIFS($AM$2:AM40,$U$2:U40,U40)</f>
        <v>724686.65853000002</v>
      </c>
      <c r="AI40" s="5">
        <f>Table1[[#This Row],[Cumulative_revenue]]/Table1[[#This Row],[Category_revenue]]</f>
        <v>0.54442570483255581</v>
      </c>
      <c r="AJ40" t="str">
        <f>IF(Table1[[#This Row],[cumulative_pct]]&lt;=0.8,"A",IF(Table1[[#This Row],[cumulative_pct]]&lt;=0.95,"B","C"))</f>
        <v>A</v>
      </c>
      <c r="AK40">
        <f>Table1[[#This Row],[adj_unit_cost]]*Table1[[#This Row],[scenario_quantity]]</f>
        <v>17682.350400000003</v>
      </c>
      <c r="AL40" s="5">
        <f>Table1[[#This Row],[UnitPrice]]*Table1[[#This Row],[scenario_quantity]]*(1-Table1[[#This Row],[cap_adjusted_discount]])</f>
        <v>35982.273600000008</v>
      </c>
      <c r="AM40" s="5">
        <f>Table1[[#This Row],[UnitPrice]]*Table1[[#This Row],[Quantity]]*(1-Table1[[#This Row],[DiscountPct]])</f>
        <v>28386.015839999996</v>
      </c>
      <c r="AN40" s="5">
        <f>Table1[[#This Row],[gross_revenue]]-Table1[[#This Row],[cost_of_goods]]</f>
        <v>14990.295839999995</v>
      </c>
      <c r="AO40" s="5">
        <f>Table1[[#This Row],[scenario_revenue]]-Table1[[#This Row],[Scenario_unit_cost]]</f>
        <v>18299.923200000005</v>
      </c>
      <c r="AP40" s="5">
        <f>IF(Table1[[#This Row],[gross_revenue]]=0,0,Table1[[#This Row],[gross_profit]]/Table1[[#This Row],[gross_revenue]])</f>
        <v>0.52808734852027039</v>
      </c>
    </row>
    <row r="41" spans="1:42" x14ac:dyDescent="0.35">
      <c r="A41" t="s">
        <v>128</v>
      </c>
      <c r="B41" t="str">
        <f>_xlfn.TEXTAFTER(Table1[[#This Row],[OrderID]],"-",2)</f>
        <v>649239</v>
      </c>
      <c r="C41">
        <f>YEAR(Table1[[#This Row],[OrderDate]])</f>
        <v>2025</v>
      </c>
      <c r="D41" s="9">
        <f>_xlfn.MINIFS(F:F,P:P,Table1[[#This Row],[Country]])</f>
        <v>44939</v>
      </c>
      <c r="E41" s="7">
        <f>DATEDIF(Table1[[#This Row],[first_time_orders]],Table1[[#This Row],[OrderDate]],"m")</f>
        <v>24</v>
      </c>
      <c r="F41" s="9">
        <v>45674</v>
      </c>
      <c r="G41" s="2" t="str">
        <f>TEXT(Table1[[#This Row],[OrderDate]],"MMM-YYYY")</f>
        <v>Jan-2025</v>
      </c>
      <c r="H41" s="7">
        <f>MONTH(Table1[[#This Row],[OrderDate]])</f>
        <v>1</v>
      </c>
      <c r="I41" s="7" t="str">
        <f>"Q"&amp;ROUNDUP(Table1[[#This Row],[months]]/3,0)&amp;"-"&amp;Table1[[#This Row],[order_year]]</f>
        <v>Q1-2025</v>
      </c>
      <c r="J41" s="7">
        <f>Table1[[#This Row],[RequiredDate]]-Table1[[#This Row],[OrderDate]]</f>
        <v>7</v>
      </c>
      <c r="K41" s="7">
        <f>IF(Table1[[#This Row],[lead_time]]&lt;0,MEDIAN(J:J),Table1[[#This Row],[lead_time]])</f>
        <v>7</v>
      </c>
      <c r="L41" s="7">
        <f>IF(Table1[[#This Row],[adj_lead_time]]&lt;=7,1,0)</f>
        <v>1</v>
      </c>
      <c r="M41" s="9">
        <v>45681</v>
      </c>
      <c r="N41" s="9">
        <f>IF(Table1[[#This Row],[lead_time]]&lt;0,(Table1[[#This Row],[OrderDate]]+Table1[[#This Row],[adj_lead_time]]),Table1[[#This Row],[RequiredDate]])</f>
        <v>45681</v>
      </c>
      <c r="O41" t="s">
        <v>648</v>
      </c>
      <c r="P41" t="s">
        <v>660</v>
      </c>
      <c r="Q41" t="s">
        <v>697</v>
      </c>
      <c r="R41" t="s">
        <v>706</v>
      </c>
      <c r="S41" t="s">
        <v>708</v>
      </c>
      <c r="T41" t="s">
        <v>715</v>
      </c>
      <c r="U41" t="s">
        <v>733</v>
      </c>
      <c r="V41" t="s">
        <v>847</v>
      </c>
      <c r="W41">
        <v>142.09</v>
      </c>
      <c r="X41">
        <f>Table1[[#This Row],[UnitCost]]*(1+'scenario modeling'!$B$3)</f>
        <v>156.29900000000001</v>
      </c>
      <c r="Y41">
        <v>218.5</v>
      </c>
      <c r="Z41" t="str">
        <f>IF(Table1[[#This Row],[UnitPrice]]&lt;=Quantiles!$B$2,Quantiles!$A$2,IF(Table1[[#This Row],[UnitPrice]]&lt;=Quantiles!$B$3,Quantiles!$A$3,Quantiles!$A$4))</f>
        <v>Low</v>
      </c>
      <c r="AA41">
        <v>0.11899999999999999</v>
      </c>
      <c r="AB41" s="5">
        <f>MIN(Table1[[#This Row],[DiscountPct]],'scenario modeling'!$B$2)</f>
        <v>0.1</v>
      </c>
      <c r="AC41" t="str">
        <f>IF(Table1[[#This Row],[DiscountPct]]&gt;0.3, "&gt;0.3","")</f>
        <v/>
      </c>
      <c r="AD41">
        <v>11</v>
      </c>
      <c r="AE41">
        <f>Table1[[#This Row],[Quantity]]*(1+'scenario modeling'!$B$4)</f>
        <v>13.2</v>
      </c>
      <c r="AF41">
        <f>Table1[[#This Row],[UnitCost]]*Table1[[#This Row],[Quantity]]</f>
        <v>1562.99</v>
      </c>
      <c r="AG41">
        <f>SUMIF($U:U,Table1[[#This Row],[ProductCategory]],$AM:AM)</f>
        <v>1331102.9440700002</v>
      </c>
      <c r="AH41">
        <f>SUMIFS($AM$2:AM41,$U$2:U41,U41)</f>
        <v>726804.14202999999</v>
      </c>
      <c r="AI41" s="5">
        <f>Table1[[#This Row],[Cumulative_revenue]]/Table1[[#This Row],[Category_revenue]]</f>
        <v>0.54601647849092183</v>
      </c>
      <c r="AJ41" t="str">
        <f>IF(Table1[[#This Row],[cumulative_pct]]&lt;=0.8,"A",IF(Table1[[#This Row],[cumulative_pct]]&lt;=0.95,"B","C"))</f>
        <v>A</v>
      </c>
      <c r="AK41">
        <f>Table1[[#This Row],[adj_unit_cost]]*Table1[[#This Row],[scenario_quantity]]</f>
        <v>2063.1468</v>
      </c>
      <c r="AL41" s="5">
        <f>Table1[[#This Row],[UnitPrice]]*Table1[[#This Row],[scenario_quantity]]*(1-Table1[[#This Row],[cap_adjusted_discount]])</f>
        <v>2595.7799999999997</v>
      </c>
      <c r="AM41" s="5">
        <f>Table1[[#This Row],[UnitPrice]]*Table1[[#This Row],[Quantity]]*(1-Table1[[#This Row],[DiscountPct]])</f>
        <v>2117.4834999999998</v>
      </c>
      <c r="AN41" s="5">
        <f>Table1[[#This Row],[gross_revenue]]-Table1[[#This Row],[cost_of_goods]]</f>
        <v>554.49349999999981</v>
      </c>
      <c r="AO41" s="5">
        <f>Table1[[#This Row],[scenario_revenue]]-Table1[[#This Row],[Scenario_unit_cost]]</f>
        <v>532.63319999999976</v>
      </c>
      <c r="AP41" s="5">
        <f>IF(Table1[[#This Row],[gross_revenue]]=0,0,Table1[[#This Row],[gross_profit]]/Table1[[#This Row],[gross_revenue]])</f>
        <v>0.26186437816398561</v>
      </c>
    </row>
    <row r="42" spans="1:42" x14ac:dyDescent="0.35">
      <c r="A42" t="s">
        <v>313</v>
      </c>
      <c r="B42" t="str">
        <f>_xlfn.TEXTAFTER(Table1[[#This Row],[OrderID]],"-",2)</f>
        <v>939953</v>
      </c>
      <c r="C42">
        <f>YEAR(Table1[[#This Row],[OrderDate]])</f>
        <v>2025</v>
      </c>
      <c r="D42" s="9">
        <f>_xlfn.MINIFS(F:F,P:P,Table1[[#This Row],[Country]])</f>
        <v>44936</v>
      </c>
      <c r="E42" s="7">
        <f>DATEDIF(Table1[[#This Row],[first_time_orders]],Table1[[#This Row],[OrderDate]],"m")</f>
        <v>24</v>
      </c>
      <c r="F42" s="9">
        <v>45679</v>
      </c>
      <c r="G42" s="2" t="str">
        <f>TEXT(Table1[[#This Row],[OrderDate]],"MMM-YYYY")</f>
        <v>Jan-2025</v>
      </c>
      <c r="H42" s="7">
        <f>MONTH(Table1[[#This Row],[OrderDate]])</f>
        <v>1</v>
      </c>
      <c r="I42" s="7" t="str">
        <f>"Q"&amp;ROUNDUP(Table1[[#This Row],[months]]/3,0)&amp;"-"&amp;Table1[[#This Row],[order_year]]</f>
        <v>Q1-2025</v>
      </c>
      <c r="J42" s="7">
        <f>Table1[[#This Row],[RequiredDate]]-Table1[[#This Row],[OrderDate]]</f>
        <v>0</v>
      </c>
      <c r="K42" s="7">
        <f>IF(Table1[[#This Row],[lead_time]]&lt;0,MEDIAN(J:J),Table1[[#This Row],[lead_time]])</f>
        <v>0</v>
      </c>
      <c r="L42" s="7">
        <f>IF(Table1[[#This Row],[adj_lead_time]]&lt;=7,1,0)</f>
        <v>1</v>
      </c>
      <c r="M42" s="9">
        <v>45679</v>
      </c>
      <c r="N42" s="9">
        <f>IF(Table1[[#This Row],[lead_time]]&lt;0,(Table1[[#This Row],[OrderDate]]+Table1[[#This Row],[adj_lead_time]]),Table1[[#This Row],[RequiredDate]])</f>
        <v>45679</v>
      </c>
      <c r="O42" t="s">
        <v>649</v>
      </c>
      <c r="P42" t="s">
        <v>657</v>
      </c>
      <c r="Q42" t="s">
        <v>679</v>
      </c>
      <c r="R42" t="s">
        <v>705</v>
      </c>
      <c r="S42" t="s">
        <v>708</v>
      </c>
      <c r="T42" t="s">
        <v>717</v>
      </c>
      <c r="U42" t="s">
        <v>733</v>
      </c>
      <c r="V42" t="s">
        <v>1033</v>
      </c>
      <c r="W42">
        <v>591.72</v>
      </c>
      <c r="X42">
        <f>Table1[[#This Row],[UnitCost]]*(1+'scenario modeling'!$B$3)</f>
        <v>650.89200000000005</v>
      </c>
      <c r="Y42">
        <v>577.24</v>
      </c>
      <c r="Z42" t="str">
        <f>IF(Table1[[#This Row],[UnitPrice]]&lt;=Quantiles!$B$2,Quantiles!$A$2,IF(Table1[[#This Row],[UnitPrice]]&lt;=Quantiles!$B$3,Quantiles!$A$3,Quantiles!$A$4))</f>
        <v>Low</v>
      </c>
      <c r="AA42">
        <v>0</v>
      </c>
      <c r="AB42" s="5">
        <f>MIN(Table1[[#This Row],[DiscountPct]],'scenario modeling'!$B$2)</f>
        <v>0</v>
      </c>
      <c r="AC42" t="str">
        <f>IF(Table1[[#This Row],[DiscountPct]]&gt;0.3, "&gt;0.3","")</f>
        <v/>
      </c>
      <c r="AD42">
        <v>22</v>
      </c>
      <c r="AE42">
        <f>Table1[[#This Row],[Quantity]]*(1+'scenario modeling'!$B$4)</f>
        <v>26.4</v>
      </c>
      <c r="AF42">
        <f>Table1[[#This Row],[UnitCost]]*Table1[[#This Row],[Quantity]]</f>
        <v>13017.84</v>
      </c>
      <c r="AG42">
        <f>SUMIF($U:U,Table1[[#This Row],[ProductCategory]],$AM:AM)</f>
        <v>1331102.9440700002</v>
      </c>
      <c r="AH42">
        <f>SUMIFS($AM$2:AM42,$U$2:U42,U42)</f>
        <v>739503.42203000002</v>
      </c>
      <c r="AI42" s="5">
        <f>Table1[[#This Row],[Cumulative_revenue]]/Table1[[#This Row],[Category_revenue]]</f>
        <v>0.55555689762722882</v>
      </c>
      <c r="AJ42" t="str">
        <f>IF(Table1[[#This Row],[cumulative_pct]]&lt;=0.8,"A",IF(Table1[[#This Row],[cumulative_pct]]&lt;=0.95,"B","C"))</f>
        <v>A</v>
      </c>
      <c r="AK42">
        <f>Table1[[#This Row],[adj_unit_cost]]*Table1[[#This Row],[scenario_quantity]]</f>
        <v>17183.5488</v>
      </c>
      <c r="AL42" s="5">
        <f>Table1[[#This Row],[UnitPrice]]*Table1[[#This Row],[scenario_quantity]]*(1-Table1[[#This Row],[cap_adjusted_discount]])</f>
        <v>15239.135999999999</v>
      </c>
      <c r="AM42" s="5">
        <f>Table1[[#This Row],[UnitPrice]]*Table1[[#This Row],[Quantity]]*(1-Table1[[#This Row],[DiscountPct]])</f>
        <v>12699.28</v>
      </c>
      <c r="AN42" s="5">
        <f>Table1[[#This Row],[gross_revenue]]-Table1[[#This Row],[cost_of_goods]]</f>
        <v>-318.55999999999949</v>
      </c>
      <c r="AO42" s="5">
        <f>Table1[[#This Row],[scenario_revenue]]-Table1[[#This Row],[Scenario_unit_cost]]</f>
        <v>-1944.4128000000019</v>
      </c>
      <c r="AP42" s="5">
        <f>IF(Table1[[#This Row],[gross_revenue]]=0,0,Table1[[#This Row],[gross_profit]]/Table1[[#This Row],[gross_revenue]])</f>
        <v>-2.5084886702238195E-2</v>
      </c>
    </row>
    <row r="43" spans="1:42" x14ac:dyDescent="0.35">
      <c r="A43" t="s">
        <v>173</v>
      </c>
      <c r="B43" t="str">
        <f>_xlfn.TEXTAFTER(Table1[[#This Row],[OrderID]],"-",2)</f>
        <v>766923</v>
      </c>
      <c r="C43">
        <f>YEAR(Table1[[#This Row],[OrderDate]])</f>
        <v>2025</v>
      </c>
      <c r="D43" s="9">
        <f>_xlfn.MINIFS(F:F,P:P,Table1[[#This Row],[Country]])</f>
        <v>44948</v>
      </c>
      <c r="E43" s="7">
        <f>DATEDIF(Table1[[#This Row],[first_time_orders]],Table1[[#This Row],[OrderDate]],"m")</f>
        <v>24</v>
      </c>
      <c r="F43" s="9">
        <v>45703</v>
      </c>
      <c r="G43" s="2" t="str">
        <f>TEXT(Table1[[#This Row],[OrderDate]],"MMM-YYYY")</f>
        <v>Feb-2025</v>
      </c>
      <c r="H43" s="7">
        <f>MONTH(Table1[[#This Row],[OrderDate]])</f>
        <v>2</v>
      </c>
      <c r="I43" s="7" t="str">
        <f>"Q"&amp;ROUNDUP(Table1[[#This Row],[months]]/3,0)&amp;"-"&amp;Table1[[#This Row],[order_year]]</f>
        <v>Q1-2025</v>
      </c>
      <c r="J43" s="7">
        <f>Table1[[#This Row],[RequiredDate]]-Table1[[#This Row],[OrderDate]]</f>
        <v>0</v>
      </c>
      <c r="K43" s="7">
        <f>IF(Table1[[#This Row],[lead_time]]&lt;0,MEDIAN(J:J),Table1[[#This Row],[lead_time]])</f>
        <v>0</v>
      </c>
      <c r="L43" s="7">
        <f>IF(Table1[[#This Row],[adj_lead_time]]&lt;=7,1,0)</f>
        <v>1</v>
      </c>
      <c r="M43" s="9">
        <v>45703</v>
      </c>
      <c r="N43" s="9">
        <f>IF(Table1[[#This Row],[lead_time]]&lt;0,(Table1[[#This Row],[OrderDate]]+Table1[[#This Row],[adj_lead_time]]),Table1[[#This Row],[RequiredDate]])</f>
        <v>45703</v>
      </c>
      <c r="O43" t="s">
        <v>649</v>
      </c>
      <c r="P43" t="s">
        <v>656</v>
      </c>
      <c r="Q43" t="s">
        <v>698</v>
      </c>
      <c r="R43" t="s">
        <v>705</v>
      </c>
      <c r="S43" t="s">
        <v>709</v>
      </c>
      <c r="T43" t="s">
        <v>716</v>
      </c>
      <c r="U43" t="s">
        <v>733</v>
      </c>
      <c r="V43" t="s">
        <v>892</v>
      </c>
      <c r="W43">
        <v>815.83</v>
      </c>
      <c r="X43">
        <f>Table1[[#This Row],[UnitCost]]*(1+'scenario modeling'!$B$3)</f>
        <v>897.41300000000012</v>
      </c>
      <c r="Y43">
        <v>1982.18</v>
      </c>
      <c r="Z43" t="str">
        <f>IF(Table1[[#This Row],[UnitPrice]]&lt;=Quantiles!$B$2,Quantiles!$A$2,IF(Table1[[#This Row],[UnitPrice]]&lt;=Quantiles!$B$3,Quantiles!$A$3,Quantiles!$A$4))</f>
        <v>High</v>
      </c>
      <c r="AA43">
        <v>0.127</v>
      </c>
      <c r="AB43" s="5">
        <f>MIN(Table1[[#This Row],[DiscountPct]],'scenario modeling'!$B$2)</f>
        <v>0.1</v>
      </c>
      <c r="AC43" t="str">
        <f>IF(Table1[[#This Row],[DiscountPct]]&gt;0.3, "&gt;0.3","")</f>
        <v/>
      </c>
      <c r="AD43">
        <v>6</v>
      </c>
      <c r="AE43">
        <f>Table1[[#This Row],[Quantity]]*(1+'scenario modeling'!$B$4)</f>
        <v>7.1999999999999993</v>
      </c>
      <c r="AF43">
        <f>Table1[[#This Row],[UnitCost]]*Table1[[#This Row],[Quantity]]</f>
        <v>4894.9800000000005</v>
      </c>
      <c r="AG43">
        <f>SUMIF($U:U,Table1[[#This Row],[ProductCategory]],$AM:AM)</f>
        <v>1331102.9440700002</v>
      </c>
      <c r="AH43">
        <f>SUMIFS($AM$2:AM43,$U$2:U43,U43)</f>
        <v>749886.08087000006</v>
      </c>
      <c r="AI43" s="5">
        <f>Table1[[#This Row],[Cumulative_revenue]]/Table1[[#This Row],[Category_revenue]]</f>
        <v>0.56335693960463884</v>
      </c>
      <c r="AJ43" t="str">
        <f>IF(Table1[[#This Row],[cumulative_pct]]&lt;=0.8,"A",IF(Table1[[#This Row],[cumulative_pct]]&lt;=0.95,"B","C"))</f>
        <v>A</v>
      </c>
      <c r="AK43">
        <f>Table1[[#This Row],[adj_unit_cost]]*Table1[[#This Row],[scenario_quantity]]</f>
        <v>6461.3735999999999</v>
      </c>
      <c r="AL43" s="5">
        <f>Table1[[#This Row],[UnitPrice]]*Table1[[#This Row],[scenario_quantity]]*(1-Table1[[#This Row],[cap_adjusted_discount]])</f>
        <v>12844.526400000001</v>
      </c>
      <c r="AM43" s="5">
        <f>Table1[[#This Row],[UnitPrice]]*Table1[[#This Row],[Quantity]]*(1-Table1[[#This Row],[DiscountPct]])</f>
        <v>10382.65884</v>
      </c>
      <c r="AN43" s="5">
        <f>Table1[[#This Row],[gross_revenue]]-Table1[[#This Row],[cost_of_goods]]</f>
        <v>5487.6788399999996</v>
      </c>
      <c r="AO43" s="5">
        <f>Table1[[#This Row],[scenario_revenue]]-Table1[[#This Row],[Scenario_unit_cost]]</f>
        <v>6383.1528000000008</v>
      </c>
      <c r="AP43" s="5">
        <f>IF(Table1[[#This Row],[gross_revenue]]=0,0,Table1[[#This Row],[gross_profit]]/Table1[[#This Row],[gross_revenue]])</f>
        <v>0.52854272923408507</v>
      </c>
    </row>
    <row r="44" spans="1:42" x14ac:dyDescent="0.35">
      <c r="A44" t="s">
        <v>567</v>
      </c>
      <c r="B44" t="str">
        <f>_xlfn.TEXTAFTER(Table1[[#This Row],[OrderID]],"-",2)</f>
        <v>337268</v>
      </c>
      <c r="C44">
        <f>YEAR(Table1[[#This Row],[OrderDate]])</f>
        <v>2025</v>
      </c>
      <c r="D44" s="9">
        <f>_xlfn.MINIFS(F:F,P:P,Table1[[#This Row],[Country]])</f>
        <v>44948</v>
      </c>
      <c r="E44" s="7">
        <f>DATEDIF(Table1[[#This Row],[first_time_orders]],Table1[[#This Row],[OrderDate]],"m")</f>
        <v>24</v>
      </c>
      <c r="F44" s="9">
        <v>45704</v>
      </c>
      <c r="G44" s="2" t="str">
        <f>TEXT(Table1[[#This Row],[OrderDate]],"MMM-YYYY")</f>
        <v>Feb-2025</v>
      </c>
      <c r="H44" s="7">
        <f>MONTH(Table1[[#This Row],[OrderDate]])</f>
        <v>2</v>
      </c>
      <c r="I44" s="7" t="str">
        <f>"Q"&amp;ROUNDUP(Table1[[#This Row],[months]]/3,0)&amp;"-"&amp;Table1[[#This Row],[order_year]]</f>
        <v>Q1-2025</v>
      </c>
      <c r="J44" s="7">
        <f>Table1[[#This Row],[RequiredDate]]-Table1[[#This Row],[OrderDate]]</f>
        <v>29</v>
      </c>
      <c r="K44" s="7">
        <f>IF(Table1[[#This Row],[lead_time]]&lt;0,MEDIAN(J:J),Table1[[#This Row],[lead_time]])</f>
        <v>29</v>
      </c>
      <c r="L44" s="7">
        <f>IF(Table1[[#This Row],[adj_lead_time]]&lt;=7,1,0)</f>
        <v>0</v>
      </c>
      <c r="M44" s="9">
        <v>45733</v>
      </c>
      <c r="N44" s="9">
        <f>IF(Table1[[#This Row],[lead_time]]&lt;0,(Table1[[#This Row],[OrderDate]]+Table1[[#This Row],[adj_lead_time]]),Table1[[#This Row],[RequiredDate]])</f>
        <v>45733</v>
      </c>
      <c r="O44" t="s">
        <v>649</v>
      </c>
      <c r="P44" t="s">
        <v>656</v>
      </c>
      <c r="Q44" t="s">
        <v>684</v>
      </c>
      <c r="R44" t="s">
        <v>704</v>
      </c>
      <c r="S44" t="s">
        <v>707</v>
      </c>
      <c r="T44" t="s">
        <v>716</v>
      </c>
      <c r="U44" t="s">
        <v>733</v>
      </c>
      <c r="V44" t="s">
        <v>1285</v>
      </c>
      <c r="W44">
        <v>730.42</v>
      </c>
      <c r="X44">
        <f>Table1[[#This Row],[UnitCost]]*(1+'scenario modeling'!$B$3)</f>
        <v>803.46199999999999</v>
      </c>
      <c r="Y44">
        <v>956.7</v>
      </c>
      <c r="Z44" t="str">
        <f>IF(Table1[[#This Row],[UnitPrice]]&lt;=Quantiles!$B$2,Quantiles!$A$2,IF(Table1[[#This Row],[UnitPrice]]&lt;=Quantiles!$B$3,Quantiles!$A$3,Quantiles!$A$4))</f>
        <v>Medium</v>
      </c>
      <c r="AA44">
        <v>4.2000000000000003E-2</v>
      </c>
      <c r="AB44" s="5">
        <f>MIN(Table1[[#This Row],[DiscountPct]],'scenario modeling'!$B$2)</f>
        <v>4.2000000000000003E-2</v>
      </c>
      <c r="AC44" t="str">
        <f>IF(Table1[[#This Row],[DiscountPct]]&gt;0.3, "&gt;0.3","")</f>
        <v/>
      </c>
      <c r="AD44">
        <v>22</v>
      </c>
      <c r="AE44">
        <f>Table1[[#This Row],[Quantity]]*(1+'scenario modeling'!$B$4)</f>
        <v>26.4</v>
      </c>
      <c r="AF44">
        <f>Table1[[#This Row],[UnitCost]]*Table1[[#This Row],[Quantity]]</f>
        <v>16069.24</v>
      </c>
      <c r="AG44">
        <f>SUMIF($U:U,Table1[[#This Row],[ProductCategory]],$AM:AM)</f>
        <v>1331102.9440700002</v>
      </c>
      <c r="AH44">
        <f>SUMIFS($AM$2:AM44,$U$2:U44,U44)</f>
        <v>770049.49007000006</v>
      </c>
      <c r="AI44" s="5">
        <f>Table1[[#This Row],[Cumulative_revenue]]/Table1[[#This Row],[Category_revenue]]</f>
        <v>0.57850483578338818</v>
      </c>
      <c r="AJ44" t="str">
        <f>IF(Table1[[#This Row],[cumulative_pct]]&lt;=0.8,"A",IF(Table1[[#This Row],[cumulative_pct]]&lt;=0.95,"B","C"))</f>
        <v>A</v>
      </c>
      <c r="AK44">
        <f>Table1[[#This Row],[adj_unit_cost]]*Table1[[#This Row],[scenario_quantity]]</f>
        <v>21211.396799999999</v>
      </c>
      <c r="AL44" s="5">
        <f>Table1[[#This Row],[UnitPrice]]*Table1[[#This Row],[scenario_quantity]]*(1-Table1[[#This Row],[cap_adjusted_discount]])</f>
        <v>24196.091039999999</v>
      </c>
      <c r="AM44" s="5">
        <f>Table1[[#This Row],[UnitPrice]]*Table1[[#This Row],[Quantity]]*(1-Table1[[#This Row],[DiscountPct]])</f>
        <v>20163.409200000002</v>
      </c>
      <c r="AN44" s="5">
        <f>Table1[[#This Row],[gross_revenue]]-Table1[[#This Row],[cost_of_goods]]</f>
        <v>4094.1692000000021</v>
      </c>
      <c r="AO44" s="5">
        <f>Table1[[#This Row],[scenario_revenue]]-Table1[[#This Row],[Scenario_unit_cost]]</f>
        <v>2984.6942400000007</v>
      </c>
      <c r="AP44" s="5">
        <f>IF(Table1[[#This Row],[gross_revenue]]=0,0,Table1[[#This Row],[gross_profit]]/Table1[[#This Row],[gross_revenue]])</f>
        <v>0.20304945256975698</v>
      </c>
    </row>
    <row r="45" spans="1:42" x14ac:dyDescent="0.35">
      <c r="A45" t="s">
        <v>146</v>
      </c>
      <c r="B45" t="str">
        <f>_xlfn.TEXTAFTER(Table1[[#This Row],[OrderID]],"-",2)</f>
        <v>501927</v>
      </c>
      <c r="C45">
        <f>YEAR(Table1[[#This Row],[OrderDate]])</f>
        <v>2025</v>
      </c>
      <c r="D45" s="9">
        <f>_xlfn.MINIFS(F:F,P:P,Table1[[#This Row],[Country]])</f>
        <v>44941</v>
      </c>
      <c r="E45" s="7">
        <f>DATEDIF(Table1[[#This Row],[first_time_orders]],Table1[[#This Row],[OrderDate]],"m")</f>
        <v>25</v>
      </c>
      <c r="F45" s="9">
        <v>45719</v>
      </c>
      <c r="G45" s="2" t="str">
        <f>TEXT(Table1[[#This Row],[OrderDate]],"MMM-YYYY")</f>
        <v>Mar-2025</v>
      </c>
      <c r="H45" s="7">
        <f>MONTH(Table1[[#This Row],[OrderDate]])</f>
        <v>3</v>
      </c>
      <c r="I45" s="7" t="str">
        <f>"Q"&amp;ROUNDUP(Table1[[#This Row],[months]]/3,0)&amp;"-"&amp;Table1[[#This Row],[order_year]]</f>
        <v>Q1-2025</v>
      </c>
      <c r="J45" s="7">
        <f>Table1[[#This Row],[RequiredDate]]-Table1[[#This Row],[OrderDate]]</f>
        <v>21</v>
      </c>
      <c r="K45" s="7">
        <f>IF(Table1[[#This Row],[lead_time]]&lt;0,MEDIAN(J:J),Table1[[#This Row],[lead_time]])</f>
        <v>21</v>
      </c>
      <c r="L45" s="7">
        <f>IF(Table1[[#This Row],[adj_lead_time]]&lt;=7,1,0)</f>
        <v>0</v>
      </c>
      <c r="M45" s="9">
        <v>45740</v>
      </c>
      <c r="N45" s="9">
        <f>IF(Table1[[#This Row],[lead_time]]&lt;0,(Table1[[#This Row],[OrderDate]]+Table1[[#This Row],[adj_lead_time]]),Table1[[#This Row],[RequiredDate]])</f>
        <v>45740</v>
      </c>
      <c r="O45" t="s">
        <v>646</v>
      </c>
      <c r="P45" t="s">
        <v>651</v>
      </c>
      <c r="Q45" t="s">
        <v>669</v>
      </c>
      <c r="R45" t="s">
        <v>706</v>
      </c>
      <c r="S45" t="s">
        <v>711</v>
      </c>
      <c r="T45" t="s">
        <v>722</v>
      </c>
      <c r="U45" t="s">
        <v>733</v>
      </c>
      <c r="V45" t="s">
        <v>865</v>
      </c>
      <c r="W45">
        <v>555.95000000000005</v>
      </c>
      <c r="X45">
        <f>Table1[[#This Row],[UnitCost]]*(1+'scenario modeling'!$B$3)</f>
        <v>611.54500000000007</v>
      </c>
      <c r="Y45">
        <v>468.09</v>
      </c>
      <c r="Z45" t="str">
        <f>IF(Table1[[#This Row],[UnitPrice]]&lt;=Quantiles!$B$2,Quantiles!$A$2,IF(Table1[[#This Row],[UnitPrice]]&lt;=Quantiles!$B$3,Quantiles!$A$3,Quantiles!$A$4))</f>
        <v>Low</v>
      </c>
      <c r="AA45">
        <v>0.14199999999999999</v>
      </c>
      <c r="AB45" s="5">
        <f>MIN(Table1[[#This Row],[DiscountPct]],'scenario modeling'!$B$2)</f>
        <v>0.1</v>
      </c>
      <c r="AC45" t="str">
        <f>IF(Table1[[#This Row],[DiscountPct]]&gt;0.3, "&gt;0.3","")</f>
        <v/>
      </c>
      <c r="AD45">
        <v>11</v>
      </c>
      <c r="AE45">
        <f>Table1[[#This Row],[Quantity]]*(1+'scenario modeling'!$B$4)</f>
        <v>13.2</v>
      </c>
      <c r="AF45">
        <f>Table1[[#This Row],[UnitCost]]*Table1[[#This Row],[Quantity]]</f>
        <v>6115.4500000000007</v>
      </c>
      <c r="AG45">
        <f>SUMIF($U:U,Table1[[#This Row],[ProductCategory]],$AM:AM)</f>
        <v>1331102.9440700002</v>
      </c>
      <c r="AH45">
        <f>SUMIFS($AM$2:AM45,$U$2:U45,U45)</f>
        <v>774467.3234900001</v>
      </c>
      <c r="AI45" s="5">
        <f>Table1[[#This Row],[Cumulative_revenue]]/Table1[[#This Row],[Category_revenue]]</f>
        <v>0.58182376272264658</v>
      </c>
      <c r="AJ45" t="str">
        <f>IF(Table1[[#This Row],[cumulative_pct]]&lt;=0.8,"A",IF(Table1[[#This Row],[cumulative_pct]]&lt;=0.95,"B","C"))</f>
        <v>A</v>
      </c>
      <c r="AK45">
        <f>Table1[[#This Row],[adj_unit_cost]]*Table1[[#This Row],[scenario_quantity]]</f>
        <v>8072.3940000000002</v>
      </c>
      <c r="AL45" s="5">
        <f>Table1[[#This Row],[UnitPrice]]*Table1[[#This Row],[scenario_quantity]]*(1-Table1[[#This Row],[cap_adjusted_discount]])</f>
        <v>5560.9092000000001</v>
      </c>
      <c r="AM45" s="5">
        <f>Table1[[#This Row],[UnitPrice]]*Table1[[#This Row],[Quantity]]*(1-Table1[[#This Row],[DiscountPct]])</f>
        <v>4417.8334199999999</v>
      </c>
      <c r="AN45" s="5">
        <f>Table1[[#This Row],[gross_revenue]]-Table1[[#This Row],[cost_of_goods]]</f>
        <v>-1697.6165800000008</v>
      </c>
      <c r="AO45" s="5">
        <f>Table1[[#This Row],[scenario_revenue]]-Table1[[#This Row],[Scenario_unit_cost]]</f>
        <v>-2511.4848000000002</v>
      </c>
      <c r="AP45" s="5">
        <f>IF(Table1[[#This Row],[gross_revenue]]=0,0,Table1[[#This Row],[gross_profit]]/Table1[[#This Row],[gross_revenue]])</f>
        <v>-0.38426450674095375</v>
      </c>
    </row>
    <row r="46" spans="1:42" x14ac:dyDescent="0.35">
      <c r="A46" t="s">
        <v>603</v>
      </c>
      <c r="B46" t="str">
        <f>_xlfn.TEXTAFTER(Table1[[#This Row],[OrderID]],"-",2)</f>
        <v>281062</v>
      </c>
      <c r="C46">
        <f>YEAR(Table1[[#This Row],[OrderDate]])</f>
        <v>2025</v>
      </c>
      <c r="D46" s="9">
        <f>_xlfn.MINIFS(F:F,P:P,Table1[[#This Row],[Country]])</f>
        <v>44936</v>
      </c>
      <c r="E46" s="7">
        <f>DATEDIF(Table1[[#This Row],[first_time_orders]],Table1[[#This Row],[OrderDate]],"m")</f>
        <v>25</v>
      </c>
      <c r="F46" s="9">
        <v>45703</v>
      </c>
      <c r="G46" s="2" t="str">
        <f>TEXT(Table1[[#This Row],[OrderDate]],"MMM-YYYY")</f>
        <v>Feb-2025</v>
      </c>
      <c r="H46" s="7">
        <f>MONTH(Table1[[#This Row],[OrderDate]])</f>
        <v>2</v>
      </c>
      <c r="I46" s="7" t="str">
        <f>"Q"&amp;ROUNDUP(Table1[[#This Row],[months]]/3,0)&amp;"-"&amp;Table1[[#This Row],[order_year]]</f>
        <v>Q1-2025</v>
      </c>
      <c r="J46" s="7">
        <f>Table1[[#This Row],[RequiredDate]]-Table1[[#This Row],[OrderDate]]</f>
        <v>12</v>
      </c>
      <c r="K46" s="7">
        <f>IF(Table1[[#This Row],[lead_time]]&lt;0,MEDIAN(J:J),Table1[[#This Row],[lead_time]])</f>
        <v>12</v>
      </c>
      <c r="L46" s="7">
        <f>IF(Table1[[#This Row],[adj_lead_time]]&lt;=7,1,0)</f>
        <v>0</v>
      </c>
      <c r="M46" s="9">
        <v>45715</v>
      </c>
      <c r="N46" s="9">
        <f>IF(Table1[[#This Row],[lead_time]]&lt;0,(Table1[[#This Row],[OrderDate]]+Table1[[#This Row],[adj_lead_time]]),Table1[[#This Row],[RequiredDate]])</f>
        <v>45715</v>
      </c>
      <c r="O46" t="s">
        <v>649</v>
      </c>
      <c r="P46" t="s">
        <v>657</v>
      </c>
      <c r="Q46" t="s">
        <v>679</v>
      </c>
      <c r="R46" t="s">
        <v>703</v>
      </c>
      <c r="S46" t="s">
        <v>711</v>
      </c>
      <c r="T46" t="s">
        <v>723</v>
      </c>
      <c r="U46" t="s">
        <v>733</v>
      </c>
      <c r="V46" t="s">
        <v>1321</v>
      </c>
      <c r="W46">
        <v>1027.26</v>
      </c>
      <c r="X46">
        <f>Table1[[#This Row],[UnitCost]]*(1+'scenario modeling'!$B$3)</f>
        <v>1129.9860000000001</v>
      </c>
      <c r="Y46">
        <v>2200.41</v>
      </c>
      <c r="Z46" t="str">
        <f>IF(Table1[[#This Row],[UnitPrice]]&lt;=Quantiles!$B$2,Quantiles!$A$2,IF(Table1[[#This Row],[UnitPrice]]&lt;=Quantiles!$B$3,Quantiles!$A$3,Quantiles!$A$4))</f>
        <v>High</v>
      </c>
      <c r="AA46">
        <v>8.7999999999999995E-2</v>
      </c>
      <c r="AB46" s="5">
        <f>MIN(Table1[[#This Row],[DiscountPct]],'scenario modeling'!$B$2)</f>
        <v>8.7999999999999995E-2</v>
      </c>
      <c r="AC46" t="str">
        <f>IF(Table1[[#This Row],[DiscountPct]]&gt;0.3, "&gt;0.3","")</f>
        <v/>
      </c>
      <c r="AD46">
        <v>6</v>
      </c>
      <c r="AE46">
        <f>Table1[[#This Row],[Quantity]]*(1+'scenario modeling'!$B$4)</f>
        <v>7.1999999999999993</v>
      </c>
      <c r="AF46">
        <f>Table1[[#This Row],[UnitCost]]*Table1[[#This Row],[Quantity]]</f>
        <v>6163.5599999999995</v>
      </c>
      <c r="AG46">
        <f>SUMIF($U:U,Table1[[#This Row],[ProductCategory]],$AM:AM)</f>
        <v>1331102.9440700002</v>
      </c>
      <c r="AH46">
        <f>SUMIFS($AM$2:AM46,$U$2:U46,U46)</f>
        <v>786507.96701000014</v>
      </c>
      <c r="AI46" s="5">
        <f>Table1[[#This Row],[Cumulative_revenue]]/Table1[[#This Row],[Category_revenue]]</f>
        <v>0.59086937679302376</v>
      </c>
      <c r="AJ46" t="str">
        <f>IF(Table1[[#This Row],[cumulative_pct]]&lt;=0.8,"A",IF(Table1[[#This Row],[cumulative_pct]]&lt;=0.95,"B","C"))</f>
        <v>A</v>
      </c>
      <c r="AK46">
        <f>Table1[[#This Row],[adj_unit_cost]]*Table1[[#This Row],[scenario_quantity]]</f>
        <v>8135.8991999999998</v>
      </c>
      <c r="AL46" s="5">
        <f>Table1[[#This Row],[UnitPrice]]*Table1[[#This Row],[scenario_quantity]]*(1-Table1[[#This Row],[cap_adjusted_discount]])</f>
        <v>14448.772223999998</v>
      </c>
      <c r="AM46" s="5">
        <f>Table1[[#This Row],[UnitPrice]]*Table1[[#This Row],[Quantity]]*(1-Table1[[#This Row],[DiscountPct]])</f>
        <v>12040.64352</v>
      </c>
      <c r="AN46" s="5">
        <f>Table1[[#This Row],[gross_revenue]]-Table1[[#This Row],[cost_of_goods]]</f>
        <v>5877.0835200000001</v>
      </c>
      <c r="AO46" s="5">
        <f>Table1[[#This Row],[scenario_revenue]]-Table1[[#This Row],[Scenario_unit_cost]]</f>
        <v>6312.8730239999986</v>
      </c>
      <c r="AP46" s="5">
        <f>IF(Table1[[#This Row],[gross_revenue]]=0,0,Table1[[#This Row],[gross_profit]]/Table1[[#This Row],[gross_revenue]])</f>
        <v>0.48810377204822358</v>
      </c>
    </row>
    <row r="47" spans="1:42" x14ac:dyDescent="0.35">
      <c r="A47" t="s">
        <v>320</v>
      </c>
      <c r="B47" t="str">
        <f>_xlfn.TEXTAFTER(Table1[[#This Row],[OrderID]],"-",2)</f>
        <v>944081</v>
      </c>
      <c r="C47">
        <f>YEAR(Table1[[#This Row],[OrderDate]])</f>
        <v>2025</v>
      </c>
      <c r="D47" s="9">
        <f>_xlfn.MINIFS(F:F,P:P,Table1[[#This Row],[Country]])</f>
        <v>44941</v>
      </c>
      <c r="E47" s="7">
        <f>DATEDIF(Table1[[#This Row],[first_time_orders]],Table1[[#This Row],[OrderDate]],"m")</f>
        <v>26</v>
      </c>
      <c r="F47" s="9">
        <v>45741</v>
      </c>
      <c r="G47" s="2" t="str">
        <f>TEXT(Table1[[#This Row],[OrderDate]],"MMM-YYYY")</f>
        <v>Mar-2025</v>
      </c>
      <c r="H47" s="7">
        <f>MONTH(Table1[[#This Row],[OrderDate]])</f>
        <v>3</v>
      </c>
      <c r="I47" s="7" t="str">
        <f>"Q"&amp;ROUNDUP(Table1[[#This Row],[months]]/3,0)&amp;"-"&amp;Table1[[#This Row],[order_year]]</f>
        <v>Q1-2025</v>
      </c>
      <c r="J47" s="7">
        <f>Table1[[#This Row],[RequiredDate]]-Table1[[#This Row],[OrderDate]]</f>
        <v>1</v>
      </c>
      <c r="K47" s="7">
        <f>IF(Table1[[#This Row],[lead_time]]&lt;0,MEDIAN(J:J),Table1[[#This Row],[lead_time]])</f>
        <v>1</v>
      </c>
      <c r="L47" s="7">
        <f>IF(Table1[[#This Row],[adj_lead_time]]&lt;=7,1,0)</f>
        <v>1</v>
      </c>
      <c r="M47" s="9">
        <v>45742</v>
      </c>
      <c r="N47" s="9">
        <f>IF(Table1[[#This Row],[lead_time]]&lt;0,(Table1[[#This Row],[OrderDate]]+Table1[[#This Row],[adj_lead_time]]),Table1[[#This Row],[RequiredDate]])</f>
        <v>45742</v>
      </c>
      <c r="O47" t="s">
        <v>646</v>
      </c>
      <c r="P47" t="s">
        <v>651</v>
      </c>
      <c r="Q47" t="s">
        <v>665</v>
      </c>
      <c r="R47" t="s">
        <v>702</v>
      </c>
      <c r="S47" t="s">
        <v>710</v>
      </c>
      <c r="T47" t="s">
        <v>715</v>
      </c>
      <c r="U47" t="s">
        <v>733</v>
      </c>
      <c r="V47" t="s">
        <v>1040</v>
      </c>
      <c r="W47">
        <v>1450.43</v>
      </c>
      <c r="X47">
        <f>Table1[[#This Row],[UnitCost]]*(1+'scenario modeling'!$B$3)</f>
        <v>1595.4730000000002</v>
      </c>
      <c r="Y47">
        <v>1994.67</v>
      </c>
      <c r="Z47" t="str">
        <f>IF(Table1[[#This Row],[UnitPrice]]&lt;=Quantiles!$B$2,Quantiles!$A$2,IF(Table1[[#This Row],[UnitPrice]]&lt;=Quantiles!$B$3,Quantiles!$A$3,Quantiles!$A$4))</f>
        <v>High</v>
      </c>
      <c r="AA47">
        <v>0.1</v>
      </c>
      <c r="AB47" s="5">
        <f>MIN(Table1[[#This Row],[DiscountPct]],'scenario modeling'!$B$2)</f>
        <v>0.1</v>
      </c>
      <c r="AC47" t="str">
        <f>IF(Table1[[#This Row],[DiscountPct]]&gt;0.3, "&gt;0.3","")</f>
        <v/>
      </c>
      <c r="AD47">
        <v>24</v>
      </c>
      <c r="AE47">
        <f>Table1[[#This Row],[Quantity]]*(1+'scenario modeling'!$B$4)</f>
        <v>28.799999999999997</v>
      </c>
      <c r="AF47">
        <f>Table1[[#This Row],[UnitCost]]*Table1[[#This Row],[Quantity]]</f>
        <v>34810.32</v>
      </c>
      <c r="AG47">
        <f>SUMIF($U:U,Table1[[#This Row],[ProductCategory]],$AM:AM)</f>
        <v>1331102.9440700002</v>
      </c>
      <c r="AH47">
        <f>SUMIFS($AM$2:AM47,$U$2:U47,U47)</f>
        <v>829592.83901000011</v>
      </c>
      <c r="AI47" s="5">
        <f>Table1[[#This Row],[Cumulative_revenue]]/Table1[[#This Row],[Category_revenue]]</f>
        <v>0.62323717538586809</v>
      </c>
      <c r="AJ47" t="str">
        <f>IF(Table1[[#This Row],[cumulative_pct]]&lt;=0.8,"A",IF(Table1[[#This Row],[cumulative_pct]]&lt;=0.95,"B","C"))</f>
        <v>A</v>
      </c>
      <c r="AK47">
        <f>Table1[[#This Row],[adj_unit_cost]]*Table1[[#This Row],[scenario_quantity]]</f>
        <v>45949.6224</v>
      </c>
      <c r="AL47" s="5">
        <f>Table1[[#This Row],[UnitPrice]]*Table1[[#This Row],[scenario_quantity]]*(1-Table1[[#This Row],[cap_adjusted_discount]])</f>
        <v>51701.846400000002</v>
      </c>
      <c r="AM47" s="5">
        <f>Table1[[#This Row],[UnitPrice]]*Table1[[#This Row],[Quantity]]*(1-Table1[[#This Row],[DiscountPct]])</f>
        <v>43084.872000000003</v>
      </c>
      <c r="AN47" s="5">
        <f>Table1[[#This Row],[gross_revenue]]-Table1[[#This Row],[cost_of_goods]]</f>
        <v>8274.5520000000033</v>
      </c>
      <c r="AO47" s="5">
        <f>Table1[[#This Row],[scenario_revenue]]-Table1[[#This Row],[Scenario_unit_cost]]</f>
        <v>5752.224000000002</v>
      </c>
      <c r="AP47" s="5">
        <f>IF(Table1[[#This Row],[gross_revenue]]=0,0,Table1[[#This Row],[gross_profit]]/Table1[[#This Row],[gross_revenue]])</f>
        <v>0.19205237513529116</v>
      </c>
    </row>
    <row r="48" spans="1:42" x14ac:dyDescent="0.35">
      <c r="A48" t="s">
        <v>409</v>
      </c>
      <c r="B48" t="str">
        <f>_xlfn.TEXTAFTER(Table1[[#This Row],[OrderID]],"-",2)</f>
        <v>486350</v>
      </c>
      <c r="C48">
        <f>YEAR(Table1[[#This Row],[OrderDate]])</f>
        <v>2025</v>
      </c>
      <c r="D48" s="9">
        <f>_xlfn.MINIFS(F:F,P:P,Table1[[#This Row],[Country]])</f>
        <v>44988</v>
      </c>
      <c r="E48" s="7">
        <f>DATEDIF(Table1[[#This Row],[first_time_orders]],Table1[[#This Row],[OrderDate]],"m")</f>
        <v>26</v>
      </c>
      <c r="F48" s="9">
        <v>45804</v>
      </c>
      <c r="G48" s="2" t="str">
        <f>TEXT(Table1[[#This Row],[OrderDate]],"MMM-YYYY")</f>
        <v>May-2025</v>
      </c>
      <c r="H48" s="7">
        <f>MONTH(Table1[[#This Row],[OrderDate]])</f>
        <v>5</v>
      </c>
      <c r="I48" s="7" t="str">
        <f>"Q"&amp;ROUNDUP(Table1[[#This Row],[months]]/3,0)&amp;"-"&amp;Table1[[#This Row],[order_year]]</f>
        <v>Q2-2025</v>
      </c>
      <c r="J48" s="7">
        <f>Table1[[#This Row],[RequiredDate]]-Table1[[#This Row],[OrderDate]]</f>
        <v>12</v>
      </c>
      <c r="K48" s="7">
        <f>IF(Table1[[#This Row],[lead_time]]&lt;0,MEDIAN(J:J),Table1[[#This Row],[lead_time]])</f>
        <v>12</v>
      </c>
      <c r="L48" s="7">
        <f>IF(Table1[[#This Row],[adj_lead_time]]&lt;=7,1,0)</f>
        <v>0</v>
      </c>
      <c r="M48" s="9">
        <v>45816</v>
      </c>
      <c r="N48" s="9">
        <f>IF(Table1[[#This Row],[lead_time]]&lt;0,(Table1[[#This Row],[OrderDate]]+Table1[[#This Row],[adj_lead_time]]),Table1[[#This Row],[RequiredDate]])</f>
        <v>45816</v>
      </c>
      <c r="O48" t="s">
        <v>647</v>
      </c>
      <c r="P48" t="s">
        <v>652</v>
      </c>
      <c r="Q48" t="s">
        <v>666</v>
      </c>
      <c r="R48" t="s">
        <v>701</v>
      </c>
      <c r="S48" t="s">
        <v>707</v>
      </c>
      <c r="T48" t="s">
        <v>722</v>
      </c>
      <c r="U48" t="s">
        <v>733</v>
      </c>
      <c r="V48" t="s">
        <v>1128</v>
      </c>
      <c r="W48">
        <v>653.6</v>
      </c>
      <c r="X48">
        <f>Table1[[#This Row],[UnitCost]]*(1+'scenario modeling'!$B$3)</f>
        <v>718.96</v>
      </c>
      <c r="Y48">
        <v>842.09</v>
      </c>
      <c r="Z48" t="str">
        <f>IF(Table1[[#This Row],[UnitPrice]]&lt;=Quantiles!$B$2,Quantiles!$A$2,IF(Table1[[#This Row],[UnitPrice]]&lt;=Quantiles!$B$3,Quantiles!$A$3,Quantiles!$A$4))</f>
        <v>Medium</v>
      </c>
      <c r="AA48">
        <v>9.8000000000000004E-2</v>
      </c>
      <c r="AB48" s="5">
        <f>MIN(Table1[[#This Row],[DiscountPct]],'scenario modeling'!$B$2)</f>
        <v>9.8000000000000004E-2</v>
      </c>
      <c r="AC48" t="str">
        <f>IF(Table1[[#This Row],[DiscountPct]]&gt;0.3, "&gt;0.3","")</f>
        <v/>
      </c>
      <c r="AD48">
        <v>19</v>
      </c>
      <c r="AE48">
        <f>Table1[[#This Row],[Quantity]]*(1+'scenario modeling'!$B$4)</f>
        <v>22.8</v>
      </c>
      <c r="AF48">
        <f>Table1[[#This Row],[UnitCost]]*Table1[[#This Row],[Quantity]]</f>
        <v>12418.4</v>
      </c>
      <c r="AG48">
        <f>SUMIF($U:U,Table1[[#This Row],[ProductCategory]],$AM:AM)</f>
        <v>1331102.9440700002</v>
      </c>
      <c r="AH48">
        <f>SUMIFS($AM$2:AM48,$U$2:U48,U48)</f>
        <v>844024.57743000006</v>
      </c>
      <c r="AI48" s="5">
        <f>Table1[[#This Row],[Cumulative_revenue]]/Table1[[#This Row],[Category_revenue]]</f>
        <v>0.63407911551100471</v>
      </c>
      <c r="AJ48" t="str">
        <f>IF(Table1[[#This Row],[cumulative_pct]]&lt;=0.8,"A",IF(Table1[[#This Row],[cumulative_pct]]&lt;=0.95,"B","C"))</f>
        <v>A</v>
      </c>
      <c r="AK48">
        <f>Table1[[#This Row],[adj_unit_cost]]*Table1[[#This Row],[scenario_quantity]]</f>
        <v>16392.288</v>
      </c>
      <c r="AL48" s="5">
        <f>Table1[[#This Row],[UnitPrice]]*Table1[[#This Row],[scenario_quantity]]*(1-Table1[[#This Row],[cap_adjusted_discount]])</f>
        <v>17318.086104000002</v>
      </c>
      <c r="AM48" s="5">
        <f>Table1[[#This Row],[UnitPrice]]*Table1[[#This Row],[Quantity]]*(1-Table1[[#This Row],[DiscountPct]])</f>
        <v>14431.738420000001</v>
      </c>
      <c r="AN48" s="5">
        <f>Table1[[#This Row],[gross_revenue]]-Table1[[#This Row],[cost_of_goods]]</f>
        <v>2013.3384200000019</v>
      </c>
      <c r="AO48" s="5">
        <f>Table1[[#This Row],[scenario_revenue]]-Table1[[#This Row],[Scenario_unit_cost]]</f>
        <v>925.79810400000133</v>
      </c>
      <c r="AP48" s="5">
        <f>IF(Table1[[#This Row],[gross_revenue]]=0,0,Table1[[#This Row],[gross_profit]]/Table1[[#This Row],[gross_revenue]])</f>
        <v>0.13950768517324622</v>
      </c>
    </row>
    <row r="49" spans="1:42" x14ac:dyDescent="0.35">
      <c r="A49" t="s">
        <v>74</v>
      </c>
      <c r="B49" t="str">
        <f>_xlfn.TEXTAFTER(Table1[[#This Row],[OrderID]],"-",2)</f>
        <v>762301</v>
      </c>
      <c r="C49">
        <f>YEAR(Table1[[#This Row],[OrderDate]])</f>
        <v>2025</v>
      </c>
      <c r="D49" s="9">
        <f>_xlfn.MINIFS(F:F,P:P,Table1[[#This Row],[Country]])</f>
        <v>44946</v>
      </c>
      <c r="E49" s="7">
        <f>DATEDIF(Table1[[#This Row],[first_time_orders]],Table1[[#This Row],[OrderDate]],"m")</f>
        <v>27</v>
      </c>
      <c r="F49" s="9">
        <v>45779</v>
      </c>
      <c r="G49" s="2" t="str">
        <f>TEXT(Table1[[#This Row],[OrderDate]],"MMM-YYYY")</f>
        <v>May-2025</v>
      </c>
      <c r="H49" s="7">
        <f>MONTH(Table1[[#This Row],[OrderDate]])</f>
        <v>5</v>
      </c>
      <c r="I49" s="7" t="str">
        <f>"Q"&amp;ROUNDUP(Table1[[#This Row],[months]]/3,0)&amp;"-"&amp;Table1[[#This Row],[order_year]]</f>
        <v>Q2-2025</v>
      </c>
      <c r="J49" s="7">
        <f>Table1[[#This Row],[RequiredDate]]-Table1[[#This Row],[OrderDate]]</f>
        <v>11</v>
      </c>
      <c r="K49" s="7">
        <f>IF(Table1[[#This Row],[lead_time]]&lt;0,MEDIAN(J:J),Table1[[#This Row],[lead_time]])</f>
        <v>11</v>
      </c>
      <c r="L49" s="7">
        <f>IF(Table1[[#This Row],[adj_lead_time]]&lt;=7,1,0)</f>
        <v>0</v>
      </c>
      <c r="M49" s="9">
        <v>45790</v>
      </c>
      <c r="N49" s="9">
        <f>IF(Table1[[#This Row],[lead_time]]&lt;0,(Table1[[#This Row],[OrderDate]]+Table1[[#This Row],[adj_lead_time]]),Table1[[#This Row],[RequiredDate]])</f>
        <v>45790</v>
      </c>
      <c r="O49" t="s">
        <v>646</v>
      </c>
      <c r="P49" t="s">
        <v>650</v>
      </c>
      <c r="Q49" t="s">
        <v>678</v>
      </c>
      <c r="R49" t="s">
        <v>705</v>
      </c>
      <c r="S49" t="s">
        <v>708</v>
      </c>
      <c r="T49" t="s">
        <v>720</v>
      </c>
      <c r="U49" t="s">
        <v>733</v>
      </c>
      <c r="V49" t="s">
        <v>793</v>
      </c>
      <c r="W49">
        <v>1057.5999999999999</v>
      </c>
      <c r="X49">
        <f>Table1[[#This Row],[UnitCost]]*(1+'scenario modeling'!$B$3)</f>
        <v>1163.3599999999999</v>
      </c>
      <c r="Y49">
        <v>1437.06</v>
      </c>
      <c r="Z49" t="str">
        <f>IF(Table1[[#This Row],[UnitPrice]]&lt;=Quantiles!$B$2,Quantiles!$A$2,IF(Table1[[#This Row],[UnitPrice]]&lt;=Quantiles!$B$3,Quantiles!$A$3,Quantiles!$A$4))</f>
        <v>Medium</v>
      </c>
      <c r="AA49">
        <v>0.20499999999999999</v>
      </c>
      <c r="AB49" s="5">
        <f>MIN(Table1[[#This Row],[DiscountPct]],'scenario modeling'!$B$2)</f>
        <v>0.1</v>
      </c>
      <c r="AC49" t="str">
        <f>IF(Table1[[#This Row],[DiscountPct]]&gt;0.3, "&gt;0.3","")</f>
        <v/>
      </c>
      <c r="AD49">
        <v>4</v>
      </c>
      <c r="AE49">
        <f>Table1[[#This Row],[Quantity]]*(1+'scenario modeling'!$B$4)</f>
        <v>4.8</v>
      </c>
      <c r="AF49">
        <f>Table1[[#This Row],[UnitCost]]*Table1[[#This Row],[Quantity]]</f>
        <v>4230.3999999999996</v>
      </c>
      <c r="AG49">
        <f>SUMIF($U:U,Table1[[#This Row],[ProductCategory]],$AM:AM)</f>
        <v>1331102.9440700002</v>
      </c>
      <c r="AH49">
        <f>SUMIFS($AM$2:AM49,$U$2:U49,U49)</f>
        <v>848594.42823000008</v>
      </c>
      <c r="AI49" s="5">
        <f>Table1[[#This Row],[Cumulative_revenue]]/Table1[[#This Row],[Category_revenue]]</f>
        <v>0.63751224652491945</v>
      </c>
      <c r="AJ49" t="str">
        <f>IF(Table1[[#This Row],[cumulative_pct]]&lt;=0.8,"A",IF(Table1[[#This Row],[cumulative_pct]]&lt;=0.95,"B","C"))</f>
        <v>A</v>
      </c>
      <c r="AK49">
        <f>Table1[[#This Row],[adj_unit_cost]]*Table1[[#This Row],[scenario_quantity]]</f>
        <v>5584.1279999999997</v>
      </c>
      <c r="AL49" s="5">
        <f>Table1[[#This Row],[UnitPrice]]*Table1[[#This Row],[scenario_quantity]]*(1-Table1[[#This Row],[cap_adjusted_discount]])</f>
        <v>6208.0991999999997</v>
      </c>
      <c r="AM49" s="5">
        <f>Table1[[#This Row],[UnitPrice]]*Table1[[#This Row],[Quantity]]*(1-Table1[[#This Row],[DiscountPct]])</f>
        <v>4569.8508000000002</v>
      </c>
      <c r="AN49" s="5">
        <f>Table1[[#This Row],[gross_revenue]]-Table1[[#This Row],[cost_of_goods]]</f>
        <v>339.45080000000053</v>
      </c>
      <c r="AO49" s="5">
        <f>Table1[[#This Row],[scenario_revenue]]-Table1[[#This Row],[Scenario_unit_cost]]</f>
        <v>623.97119999999995</v>
      </c>
      <c r="AP49" s="5">
        <f>IF(Table1[[#This Row],[gross_revenue]]=0,0,Table1[[#This Row],[gross_profit]]/Table1[[#This Row],[gross_revenue]])</f>
        <v>7.4280499485891424E-2</v>
      </c>
    </row>
    <row r="50" spans="1:42" x14ac:dyDescent="0.35">
      <c r="A50" t="s">
        <v>531</v>
      </c>
      <c r="B50" t="str">
        <f>_xlfn.TEXTAFTER(Table1[[#This Row],[OrderID]],"-",2)</f>
        <v>828263</v>
      </c>
      <c r="C50">
        <f>YEAR(Table1[[#This Row],[OrderDate]])</f>
        <v>2025</v>
      </c>
      <c r="D50" s="9">
        <f>_xlfn.MINIFS(F:F,P:P,Table1[[#This Row],[Country]])</f>
        <v>44941</v>
      </c>
      <c r="E50" s="7">
        <f>DATEDIF(Table1[[#This Row],[first_time_orders]],Table1[[#This Row],[OrderDate]],"m")</f>
        <v>28</v>
      </c>
      <c r="F50" s="9">
        <v>45794</v>
      </c>
      <c r="G50" s="2" t="str">
        <f>TEXT(Table1[[#This Row],[OrderDate]],"MMM-YYYY")</f>
        <v>May-2025</v>
      </c>
      <c r="H50" s="7">
        <f>MONTH(Table1[[#This Row],[OrderDate]])</f>
        <v>5</v>
      </c>
      <c r="I50" s="7" t="str">
        <f>"Q"&amp;ROUNDUP(Table1[[#This Row],[months]]/3,0)&amp;"-"&amp;Table1[[#This Row],[order_year]]</f>
        <v>Q2-2025</v>
      </c>
      <c r="J50" s="7">
        <f>Table1[[#This Row],[RequiredDate]]-Table1[[#This Row],[OrderDate]]</f>
        <v>13</v>
      </c>
      <c r="K50" s="7">
        <f>IF(Table1[[#This Row],[lead_time]]&lt;0,MEDIAN(J:J),Table1[[#This Row],[lead_time]])</f>
        <v>13</v>
      </c>
      <c r="L50" s="7">
        <f>IF(Table1[[#This Row],[adj_lead_time]]&lt;=7,1,0)</f>
        <v>0</v>
      </c>
      <c r="M50" s="9">
        <v>45807</v>
      </c>
      <c r="N50" s="9">
        <f>IF(Table1[[#This Row],[lead_time]]&lt;0,(Table1[[#This Row],[OrderDate]]+Table1[[#This Row],[adj_lead_time]]),Table1[[#This Row],[RequiredDate]])</f>
        <v>45807</v>
      </c>
      <c r="O50" t="s">
        <v>646</v>
      </c>
      <c r="P50" t="s">
        <v>651</v>
      </c>
      <c r="Q50" t="s">
        <v>665</v>
      </c>
      <c r="R50" t="s">
        <v>704</v>
      </c>
      <c r="S50" t="s">
        <v>710</v>
      </c>
      <c r="T50" t="s">
        <v>721</v>
      </c>
      <c r="U50" t="s">
        <v>733</v>
      </c>
      <c r="V50" t="s">
        <v>1250</v>
      </c>
      <c r="W50">
        <v>66.400000000000006</v>
      </c>
      <c r="X50">
        <f>Table1[[#This Row],[UnitCost]]*(1+'scenario modeling'!$B$3)</f>
        <v>73.040000000000006</v>
      </c>
      <c r="Y50">
        <v>141.43</v>
      </c>
      <c r="Z50" t="str">
        <f>IF(Table1[[#This Row],[UnitPrice]]&lt;=Quantiles!$B$2,Quantiles!$A$2,IF(Table1[[#This Row],[UnitPrice]]&lt;=Quantiles!$B$3,Quantiles!$A$3,Quantiles!$A$4))</f>
        <v>Low</v>
      </c>
      <c r="AA50">
        <v>0.107</v>
      </c>
      <c r="AB50" s="5">
        <f>MIN(Table1[[#This Row],[DiscountPct]],'scenario modeling'!$B$2)</f>
        <v>0.1</v>
      </c>
      <c r="AC50" t="str">
        <f>IF(Table1[[#This Row],[DiscountPct]]&gt;0.3, "&gt;0.3","")</f>
        <v/>
      </c>
      <c r="AD50">
        <v>8</v>
      </c>
      <c r="AE50">
        <f>Table1[[#This Row],[Quantity]]*(1+'scenario modeling'!$B$4)</f>
        <v>9.6</v>
      </c>
      <c r="AF50">
        <f>Table1[[#This Row],[UnitCost]]*Table1[[#This Row],[Quantity]]</f>
        <v>531.20000000000005</v>
      </c>
      <c r="AG50">
        <f>SUMIF($U:U,Table1[[#This Row],[ProductCategory]],$AM:AM)</f>
        <v>1331102.9440700002</v>
      </c>
      <c r="AH50">
        <f>SUMIFS($AM$2:AM50,$U$2:U50,U50)</f>
        <v>849604.8041500001</v>
      </c>
      <c r="AI50" s="5">
        <f>Table1[[#This Row],[Cumulative_revenue]]/Table1[[#This Row],[Category_revenue]]</f>
        <v>0.63827129820045003</v>
      </c>
      <c r="AJ50" t="str">
        <f>IF(Table1[[#This Row],[cumulative_pct]]&lt;=0.8,"A",IF(Table1[[#This Row],[cumulative_pct]]&lt;=0.95,"B","C"))</f>
        <v>A</v>
      </c>
      <c r="AK50">
        <f>Table1[[#This Row],[adj_unit_cost]]*Table1[[#This Row],[scenario_quantity]]</f>
        <v>701.18400000000008</v>
      </c>
      <c r="AL50" s="5">
        <f>Table1[[#This Row],[UnitPrice]]*Table1[[#This Row],[scenario_quantity]]*(1-Table1[[#This Row],[cap_adjusted_discount]])</f>
        <v>1221.9552000000001</v>
      </c>
      <c r="AM50" s="5">
        <f>Table1[[#This Row],[UnitPrice]]*Table1[[#This Row],[Quantity]]*(1-Table1[[#This Row],[DiscountPct]])</f>
        <v>1010.3759200000001</v>
      </c>
      <c r="AN50" s="5">
        <f>Table1[[#This Row],[gross_revenue]]-Table1[[#This Row],[cost_of_goods]]</f>
        <v>479.17592000000002</v>
      </c>
      <c r="AO50" s="5">
        <f>Table1[[#This Row],[scenario_revenue]]-Table1[[#This Row],[Scenario_unit_cost]]</f>
        <v>520.77120000000002</v>
      </c>
      <c r="AP50" s="5">
        <f>IF(Table1[[#This Row],[gross_revenue]]=0,0,Table1[[#This Row],[gross_profit]]/Table1[[#This Row],[gross_revenue]])</f>
        <v>0.47425508715607551</v>
      </c>
    </row>
    <row r="51" spans="1:42" x14ac:dyDescent="0.35">
      <c r="A51" t="s">
        <v>37</v>
      </c>
      <c r="B51" t="str">
        <f>_xlfn.TEXTAFTER(Table1[[#This Row],[OrderID]],"-",2)</f>
        <v>580047</v>
      </c>
      <c r="C51">
        <f>YEAR(Table1[[#This Row],[OrderDate]])</f>
        <v>2025</v>
      </c>
      <c r="D51" s="9">
        <f>_xlfn.MINIFS(F:F,P:P,Table1[[#This Row],[Country]])</f>
        <v>44941</v>
      </c>
      <c r="E51" s="7">
        <f>DATEDIF(Table1[[#This Row],[first_time_orders]],Table1[[#This Row],[OrderDate]],"m")</f>
        <v>28</v>
      </c>
      <c r="F51" s="9">
        <v>45822</v>
      </c>
      <c r="G51" s="2" t="str">
        <f>TEXT(Table1[[#This Row],[OrderDate]],"MMM-YYYY")</f>
        <v>Jun-2025</v>
      </c>
      <c r="H51" s="7">
        <f>MONTH(Table1[[#This Row],[OrderDate]])</f>
        <v>6</v>
      </c>
      <c r="I51" s="7" t="str">
        <f>"Q"&amp;ROUNDUP(Table1[[#This Row],[months]]/3,0)&amp;"-"&amp;Table1[[#This Row],[order_year]]</f>
        <v>Q2-2025</v>
      </c>
      <c r="J51" s="7">
        <f>Table1[[#This Row],[RequiredDate]]-Table1[[#This Row],[OrderDate]]</f>
        <v>15</v>
      </c>
      <c r="K51" s="7">
        <f>IF(Table1[[#This Row],[lead_time]]&lt;0,MEDIAN(J:J),Table1[[#This Row],[lead_time]])</f>
        <v>15</v>
      </c>
      <c r="L51" s="7">
        <f>IF(Table1[[#This Row],[adj_lead_time]]&lt;=7,1,0)</f>
        <v>0</v>
      </c>
      <c r="M51" s="9">
        <v>45837</v>
      </c>
      <c r="N51" s="9">
        <f>IF(Table1[[#This Row],[lead_time]]&lt;0,(Table1[[#This Row],[OrderDate]]+Table1[[#This Row],[adj_lead_time]]),Table1[[#This Row],[RequiredDate]])</f>
        <v>45837</v>
      </c>
      <c r="O51" t="s">
        <v>646</v>
      </c>
      <c r="P51" t="s">
        <v>651</v>
      </c>
      <c r="Q51" t="s">
        <v>663</v>
      </c>
      <c r="R51" t="s">
        <v>704</v>
      </c>
      <c r="S51" t="s">
        <v>709</v>
      </c>
      <c r="T51" t="s">
        <v>724</v>
      </c>
      <c r="U51" t="s">
        <v>733</v>
      </c>
      <c r="V51" t="s">
        <v>756</v>
      </c>
      <c r="W51">
        <v>730.99</v>
      </c>
      <c r="X51">
        <f>Table1[[#This Row],[UnitCost]]*(1+'scenario modeling'!$B$3)</f>
        <v>804.08900000000006</v>
      </c>
      <c r="Y51">
        <v>1242.8399999999999</v>
      </c>
      <c r="Z51" t="str">
        <f>IF(Table1[[#This Row],[UnitPrice]]&lt;=Quantiles!$B$2,Quantiles!$A$2,IF(Table1[[#This Row],[UnitPrice]]&lt;=Quantiles!$B$3,Quantiles!$A$3,Quantiles!$A$4))</f>
        <v>Medium</v>
      </c>
      <c r="AA51">
        <v>0.12</v>
      </c>
      <c r="AB51" s="5">
        <f>MIN(Table1[[#This Row],[DiscountPct]],'scenario modeling'!$B$2)</f>
        <v>0.1</v>
      </c>
      <c r="AC51" t="str">
        <f>IF(Table1[[#This Row],[DiscountPct]]&gt;0.3, "&gt;0.3","")</f>
        <v/>
      </c>
      <c r="AD51">
        <v>10</v>
      </c>
      <c r="AE51">
        <f>Table1[[#This Row],[Quantity]]*(1+'scenario modeling'!$B$4)</f>
        <v>12</v>
      </c>
      <c r="AF51">
        <f>Table1[[#This Row],[UnitCost]]*Table1[[#This Row],[Quantity]]</f>
        <v>7309.9</v>
      </c>
      <c r="AG51">
        <f>SUMIF($U:U,Table1[[#This Row],[ProductCategory]],$AM:AM)</f>
        <v>1331102.9440700002</v>
      </c>
      <c r="AH51">
        <f>SUMIFS($AM$2:AM51,$U$2:U51,U51)</f>
        <v>860541.79615000007</v>
      </c>
      <c r="AI51" s="5">
        <f>Table1[[#This Row],[Cumulative_revenue]]/Table1[[#This Row],[Category_revenue]]</f>
        <v>0.64648778667620899</v>
      </c>
      <c r="AJ51" t="str">
        <f>IF(Table1[[#This Row],[cumulative_pct]]&lt;=0.8,"A",IF(Table1[[#This Row],[cumulative_pct]]&lt;=0.95,"B","C"))</f>
        <v>A</v>
      </c>
      <c r="AK51">
        <f>Table1[[#This Row],[adj_unit_cost]]*Table1[[#This Row],[scenario_quantity]]</f>
        <v>9649.0680000000011</v>
      </c>
      <c r="AL51" s="5">
        <f>Table1[[#This Row],[UnitPrice]]*Table1[[#This Row],[scenario_quantity]]*(1-Table1[[#This Row],[cap_adjusted_discount]])</f>
        <v>13422.671999999999</v>
      </c>
      <c r="AM51" s="5">
        <f>Table1[[#This Row],[UnitPrice]]*Table1[[#This Row],[Quantity]]*(1-Table1[[#This Row],[DiscountPct]])</f>
        <v>10936.992</v>
      </c>
      <c r="AN51" s="5">
        <f>Table1[[#This Row],[gross_revenue]]-Table1[[#This Row],[cost_of_goods]]</f>
        <v>3627.0920000000006</v>
      </c>
      <c r="AO51" s="5">
        <f>Table1[[#This Row],[scenario_revenue]]-Table1[[#This Row],[Scenario_unit_cost]]</f>
        <v>3773.6039999999975</v>
      </c>
      <c r="AP51" s="5">
        <f>IF(Table1[[#This Row],[gross_revenue]]=0,0,Table1[[#This Row],[gross_profit]]/Table1[[#This Row],[gross_revenue]])</f>
        <v>0.33163524303574515</v>
      </c>
    </row>
    <row r="52" spans="1:42" x14ac:dyDescent="0.35">
      <c r="A52" t="s">
        <v>431</v>
      </c>
      <c r="B52" t="str">
        <f>_xlfn.TEXTAFTER(Table1[[#This Row],[OrderID]],"-",2)</f>
        <v>411385</v>
      </c>
      <c r="C52">
        <f>YEAR(Table1[[#This Row],[OrderDate]])</f>
        <v>2025</v>
      </c>
      <c r="D52" s="9">
        <f>_xlfn.MINIFS(F:F,P:P,Table1[[#This Row],[Country]])</f>
        <v>44955</v>
      </c>
      <c r="E52" s="7">
        <f>DATEDIF(Table1[[#This Row],[first_time_orders]],Table1[[#This Row],[OrderDate]],"m")</f>
        <v>28</v>
      </c>
      <c r="F52" s="9">
        <v>45813</v>
      </c>
      <c r="G52" s="2" t="str">
        <f>TEXT(Table1[[#This Row],[OrderDate]],"MMM-YYYY")</f>
        <v>Jun-2025</v>
      </c>
      <c r="H52" s="7">
        <f>MONTH(Table1[[#This Row],[OrderDate]])</f>
        <v>6</v>
      </c>
      <c r="I52" s="7" t="str">
        <f>"Q"&amp;ROUNDUP(Table1[[#This Row],[months]]/3,0)&amp;"-"&amp;Table1[[#This Row],[order_year]]</f>
        <v>Q2-2025</v>
      </c>
      <c r="J52" s="7">
        <f>Table1[[#This Row],[RequiredDate]]-Table1[[#This Row],[OrderDate]]</f>
        <v>9</v>
      </c>
      <c r="K52" s="7">
        <f>IF(Table1[[#This Row],[lead_time]]&lt;0,MEDIAN(J:J),Table1[[#This Row],[lead_time]])</f>
        <v>9</v>
      </c>
      <c r="L52" s="7">
        <f>IF(Table1[[#This Row],[adj_lead_time]]&lt;=7,1,0)</f>
        <v>0</v>
      </c>
      <c r="M52" s="9">
        <v>45822</v>
      </c>
      <c r="N52" s="9">
        <f>IF(Table1[[#This Row],[lead_time]]&lt;0,(Table1[[#This Row],[OrderDate]]+Table1[[#This Row],[adj_lead_time]]),Table1[[#This Row],[RequiredDate]])</f>
        <v>45822</v>
      </c>
      <c r="O52" t="s">
        <v>647</v>
      </c>
      <c r="P52" t="s">
        <v>654</v>
      </c>
      <c r="Q52" t="s">
        <v>680</v>
      </c>
      <c r="R52" t="s">
        <v>703</v>
      </c>
      <c r="S52" t="s">
        <v>707</v>
      </c>
      <c r="T52" t="s">
        <v>720</v>
      </c>
      <c r="U52" t="s">
        <v>733</v>
      </c>
      <c r="V52" t="s">
        <v>1150</v>
      </c>
      <c r="W52">
        <v>618.69000000000005</v>
      </c>
      <c r="X52">
        <f>Table1[[#This Row],[UnitCost]]*(1+'scenario modeling'!$B$3)</f>
        <v>680.55900000000008</v>
      </c>
      <c r="Y52">
        <v>796.15</v>
      </c>
      <c r="Z52" t="str">
        <f>IF(Table1[[#This Row],[UnitPrice]]&lt;=Quantiles!$B$2,Quantiles!$A$2,IF(Table1[[#This Row],[UnitPrice]]&lt;=Quantiles!$B$3,Quantiles!$A$3,Quantiles!$A$4))</f>
        <v>Low</v>
      </c>
      <c r="AA52">
        <v>0.09</v>
      </c>
      <c r="AB52" s="5">
        <f>MIN(Table1[[#This Row],[DiscountPct]],'scenario modeling'!$B$2)</f>
        <v>0.09</v>
      </c>
      <c r="AC52" t="str">
        <f>IF(Table1[[#This Row],[DiscountPct]]&gt;0.3, "&gt;0.3","")</f>
        <v/>
      </c>
      <c r="AD52">
        <v>11</v>
      </c>
      <c r="AE52">
        <f>Table1[[#This Row],[Quantity]]*(1+'scenario modeling'!$B$4)</f>
        <v>13.2</v>
      </c>
      <c r="AF52">
        <f>Table1[[#This Row],[UnitCost]]*Table1[[#This Row],[Quantity]]</f>
        <v>6805.59</v>
      </c>
      <c r="AG52">
        <f>SUMIF($U:U,Table1[[#This Row],[ProductCategory]],$AM:AM)</f>
        <v>1331102.9440700002</v>
      </c>
      <c r="AH52">
        <f>SUMIFS($AM$2:AM52,$U$2:U52,U52)</f>
        <v>868511.25765000004</v>
      </c>
      <c r="AI52" s="5">
        <f>Table1[[#This Row],[Cumulative_revenue]]/Table1[[#This Row],[Category_revenue]]</f>
        <v>0.65247489799280822</v>
      </c>
      <c r="AJ52" t="str">
        <f>IF(Table1[[#This Row],[cumulative_pct]]&lt;=0.8,"A",IF(Table1[[#This Row],[cumulative_pct]]&lt;=0.95,"B","C"))</f>
        <v>A</v>
      </c>
      <c r="AK52">
        <f>Table1[[#This Row],[adj_unit_cost]]*Table1[[#This Row],[scenario_quantity]]</f>
        <v>8983.3788000000004</v>
      </c>
      <c r="AL52" s="5">
        <f>Table1[[#This Row],[UnitPrice]]*Table1[[#This Row],[scenario_quantity]]*(1-Table1[[#This Row],[cap_adjusted_discount]])</f>
        <v>9563.353799999999</v>
      </c>
      <c r="AM52" s="5">
        <f>Table1[[#This Row],[UnitPrice]]*Table1[[#This Row],[Quantity]]*(1-Table1[[#This Row],[DiscountPct]])</f>
        <v>7969.4615000000003</v>
      </c>
      <c r="AN52" s="5">
        <f>Table1[[#This Row],[gross_revenue]]-Table1[[#This Row],[cost_of_goods]]</f>
        <v>1163.8715000000002</v>
      </c>
      <c r="AO52" s="5">
        <f>Table1[[#This Row],[scenario_revenue]]-Table1[[#This Row],[Scenario_unit_cost]]</f>
        <v>579.97499999999854</v>
      </c>
      <c r="AP52" s="5">
        <f>IF(Table1[[#This Row],[gross_revenue]]=0,0,Table1[[#This Row],[gross_profit]]/Table1[[#This Row],[gross_revenue]])</f>
        <v>0.14604142325049191</v>
      </c>
    </row>
    <row r="53" spans="1:42" x14ac:dyDescent="0.35">
      <c r="A53" t="s">
        <v>506</v>
      </c>
      <c r="B53" t="str">
        <f>_xlfn.TEXTAFTER(Table1[[#This Row],[OrderID]],"-",2)</f>
        <v>703623</v>
      </c>
      <c r="C53">
        <f>YEAR(Table1[[#This Row],[OrderDate]])</f>
        <v>2025</v>
      </c>
      <c r="D53" s="9">
        <f>_xlfn.MINIFS(F:F,P:P,Table1[[#This Row],[Country]])</f>
        <v>44988</v>
      </c>
      <c r="E53" s="7">
        <f>DATEDIF(Table1[[#This Row],[first_time_orders]],Table1[[#This Row],[OrderDate]],"m")</f>
        <v>28</v>
      </c>
      <c r="F53" s="9">
        <v>45861</v>
      </c>
      <c r="G53" s="2" t="str">
        <f>TEXT(Table1[[#This Row],[OrderDate]],"MMM-YYYY")</f>
        <v>Jul-2025</v>
      </c>
      <c r="H53" s="7">
        <f>MONTH(Table1[[#This Row],[OrderDate]])</f>
        <v>7</v>
      </c>
      <c r="I53" s="7" t="str">
        <f>"Q"&amp;ROUNDUP(Table1[[#This Row],[months]]/3,0)&amp;"-"&amp;Table1[[#This Row],[order_year]]</f>
        <v>Q3-2025</v>
      </c>
      <c r="J53" s="7">
        <f>Table1[[#This Row],[RequiredDate]]-Table1[[#This Row],[OrderDate]]</f>
        <v>27</v>
      </c>
      <c r="K53" s="7">
        <f>IF(Table1[[#This Row],[lead_time]]&lt;0,MEDIAN(J:J),Table1[[#This Row],[lead_time]])</f>
        <v>27</v>
      </c>
      <c r="L53" s="7">
        <f>IF(Table1[[#This Row],[adj_lead_time]]&lt;=7,1,0)</f>
        <v>0</v>
      </c>
      <c r="M53" s="9">
        <v>45888</v>
      </c>
      <c r="N53" s="9">
        <f>IF(Table1[[#This Row],[lead_time]]&lt;0,(Table1[[#This Row],[OrderDate]]+Table1[[#This Row],[adj_lead_time]]),Table1[[#This Row],[RequiredDate]])</f>
        <v>45888</v>
      </c>
      <c r="O53" t="s">
        <v>647</v>
      </c>
      <c r="P53" t="s">
        <v>652</v>
      </c>
      <c r="Q53" t="s">
        <v>694</v>
      </c>
      <c r="R53" t="s">
        <v>704</v>
      </c>
      <c r="S53" t="s">
        <v>709</v>
      </c>
      <c r="T53" t="s">
        <v>717</v>
      </c>
      <c r="U53" t="s">
        <v>733</v>
      </c>
      <c r="V53" t="s">
        <v>1225</v>
      </c>
      <c r="W53">
        <v>896.09</v>
      </c>
      <c r="X53">
        <f>Table1[[#This Row],[UnitCost]]*(1+'scenario modeling'!$B$3)</f>
        <v>985.69900000000007</v>
      </c>
      <c r="Y53">
        <v>744.27</v>
      </c>
      <c r="Z53" t="str">
        <f>IF(Table1[[#This Row],[UnitPrice]]&lt;=Quantiles!$B$2,Quantiles!$A$2,IF(Table1[[#This Row],[UnitPrice]]&lt;=Quantiles!$B$3,Quantiles!$A$3,Quantiles!$A$4))</f>
        <v>Low</v>
      </c>
      <c r="AA53">
        <v>8.3000000000000004E-2</v>
      </c>
      <c r="AB53" s="5">
        <f>MIN(Table1[[#This Row],[DiscountPct]],'scenario modeling'!$B$2)</f>
        <v>8.3000000000000004E-2</v>
      </c>
      <c r="AC53" t="str">
        <f>IF(Table1[[#This Row],[DiscountPct]]&gt;0.3, "&gt;0.3","")</f>
        <v/>
      </c>
      <c r="AD53">
        <v>11</v>
      </c>
      <c r="AE53">
        <f>Table1[[#This Row],[Quantity]]*(1+'scenario modeling'!$B$4)</f>
        <v>13.2</v>
      </c>
      <c r="AF53">
        <f>Table1[[#This Row],[UnitCost]]*Table1[[#This Row],[Quantity]]</f>
        <v>9856.99</v>
      </c>
      <c r="AG53">
        <f>SUMIF($U:U,Table1[[#This Row],[ProductCategory]],$AM:AM)</f>
        <v>1331102.9440700002</v>
      </c>
      <c r="AH53">
        <f>SUMIFS($AM$2:AM53,$U$2:U53,U53)</f>
        <v>876018.70914000005</v>
      </c>
      <c r="AI53" s="5">
        <f>Table1[[#This Row],[Cumulative_revenue]]/Table1[[#This Row],[Category_revenue]]</f>
        <v>0.65811492119570569</v>
      </c>
      <c r="AJ53" t="str">
        <f>IF(Table1[[#This Row],[cumulative_pct]]&lt;=0.8,"A",IF(Table1[[#This Row],[cumulative_pct]]&lt;=0.95,"B","C"))</f>
        <v>A</v>
      </c>
      <c r="AK53">
        <f>Table1[[#This Row],[adj_unit_cost]]*Table1[[#This Row],[scenario_quantity]]</f>
        <v>13011.2268</v>
      </c>
      <c r="AL53" s="5">
        <f>Table1[[#This Row],[UnitPrice]]*Table1[[#This Row],[scenario_quantity]]*(1-Table1[[#This Row],[cap_adjusted_discount]])</f>
        <v>9008.9417880000001</v>
      </c>
      <c r="AM53" s="5">
        <f>Table1[[#This Row],[UnitPrice]]*Table1[[#This Row],[Quantity]]*(1-Table1[[#This Row],[DiscountPct]])</f>
        <v>7507.4514899999995</v>
      </c>
      <c r="AN53" s="5">
        <f>Table1[[#This Row],[gross_revenue]]-Table1[[#This Row],[cost_of_goods]]</f>
        <v>-2349.5385100000003</v>
      </c>
      <c r="AO53" s="5">
        <f>Table1[[#This Row],[scenario_revenue]]-Table1[[#This Row],[Scenario_unit_cost]]</f>
        <v>-4002.2850120000003</v>
      </c>
      <c r="AP53" s="5">
        <f>IF(Table1[[#This Row],[gross_revenue]]=0,0,Table1[[#This Row],[gross_profit]]/Table1[[#This Row],[gross_revenue]])</f>
        <v>-0.31296086469950679</v>
      </c>
    </row>
    <row r="54" spans="1:42" x14ac:dyDescent="0.35">
      <c r="A54" t="s">
        <v>73</v>
      </c>
      <c r="B54" t="str">
        <f>_xlfn.TEXTAFTER(Table1[[#This Row],[OrderID]],"-",2)</f>
        <v>639542</v>
      </c>
      <c r="C54">
        <f>YEAR(Table1[[#This Row],[OrderDate]])</f>
        <v>2025</v>
      </c>
      <c r="D54" s="9">
        <f>_xlfn.MINIFS(F:F,P:P,Table1[[#This Row],[Country]])</f>
        <v>44936</v>
      </c>
      <c r="E54" s="7">
        <f>DATEDIF(Table1[[#This Row],[first_time_orders]],Table1[[#This Row],[OrderDate]],"m")</f>
        <v>28</v>
      </c>
      <c r="F54" s="9">
        <v>45817</v>
      </c>
      <c r="G54" s="2" t="str">
        <f>TEXT(Table1[[#This Row],[OrderDate]],"MMM-YYYY")</f>
        <v>Jun-2025</v>
      </c>
      <c r="H54" s="7">
        <f>MONTH(Table1[[#This Row],[OrderDate]])</f>
        <v>6</v>
      </c>
      <c r="I54" s="7" t="str">
        <f>"Q"&amp;ROUNDUP(Table1[[#This Row],[months]]/3,0)&amp;"-"&amp;Table1[[#This Row],[order_year]]</f>
        <v>Q2-2025</v>
      </c>
      <c r="J54" s="7">
        <f>Table1[[#This Row],[RequiredDate]]-Table1[[#This Row],[OrderDate]]</f>
        <v>9</v>
      </c>
      <c r="K54" s="7">
        <f>IF(Table1[[#This Row],[lead_time]]&lt;0,MEDIAN(J:J),Table1[[#This Row],[lead_time]])</f>
        <v>9</v>
      </c>
      <c r="L54" s="7">
        <f>IF(Table1[[#This Row],[adj_lead_time]]&lt;=7,1,0)</f>
        <v>0</v>
      </c>
      <c r="M54" s="9">
        <v>45826</v>
      </c>
      <c r="N54" s="9">
        <f>IF(Table1[[#This Row],[lead_time]]&lt;0,(Table1[[#This Row],[OrderDate]]+Table1[[#This Row],[adj_lead_time]]),Table1[[#This Row],[RequiredDate]])</f>
        <v>45826</v>
      </c>
      <c r="O54" t="s">
        <v>649</v>
      </c>
      <c r="P54" t="s">
        <v>657</v>
      </c>
      <c r="Q54" t="s">
        <v>673</v>
      </c>
      <c r="R54" t="s">
        <v>705</v>
      </c>
      <c r="S54" t="s">
        <v>709</v>
      </c>
      <c r="T54" t="s">
        <v>722</v>
      </c>
      <c r="U54" t="s">
        <v>733</v>
      </c>
      <c r="V54" t="s">
        <v>792</v>
      </c>
      <c r="W54">
        <v>1225.5</v>
      </c>
      <c r="X54">
        <f>Table1[[#This Row],[UnitCost]]*(1+'scenario modeling'!$B$3)</f>
        <v>1348.0500000000002</v>
      </c>
      <c r="Y54">
        <v>-5.27</v>
      </c>
      <c r="Z54" t="str">
        <f>IF(Table1[[#This Row],[UnitPrice]]&lt;=Quantiles!$B$2,Quantiles!$A$2,IF(Table1[[#This Row],[UnitPrice]]&lt;=Quantiles!$B$3,Quantiles!$A$3,Quantiles!$A$4))</f>
        <v>Low</v>
      </c>
      <c r="AA54">
        <v>7.4999999999999997E-2</v>
      </c>
      <c r="AB54" s="5">
        <f>MIN(Table1[[#This Row],[DiscountPct]],'scenario modeling'!$B$2)</f>
        <v>7.4999999999999997E-2</v>
      </c>
      <c r="AC54" t="str">
        <f>IF(Table1[[#This Row],[DiscountPct]]&gt;0.3, "&gt;0.3","")</f>
        <v/>
      </c>
      <c r="AD54">
        <v>56</v>
      </c>
      <c r="AE54">
        <f>Table1[[#This Row],[Quantity]]*(1+'scenario modeling'!$B$4)</f>
        <v>67.2</v>
      </c>
      <c r="AF54">
        <f>Table1[[#This Row],[UnitCost]]*Table1[[#This Row],[Quantity]]</f>
        <v>68628</v>
      </c>
      <c r="AG54">
        <f>SUMIF($U:U,Table1[[#This Row],[ProductCategory]],$AM:AM)</f>
        <v>1331102.9440700002</v>
      </c>
      <c r="AH54">
        <f>SUMIFS($AM$2:AM54,$U$2:U54,U54)</f>
        <v>875745.72314000002</v>
      </c>
      <c r="AI54" s="5">
        <f>Table1[[#This Row],[Cumulative_revenue]]/Table1[[#This Row],[Category_revenue]]</f>
        <v>0.65790983863524999</v>
      </c>
      <c r="AJ54" t="str">
        <f>IF(Table1[[#This Row],[cumulative_pct]]&lt;=0.8,"A",IF(Table1[[#This Row],[cumulative_pct]]&lt;=0.95,"B","C"))</f>
        <v>A</v>
      </c>
      <c r="AK54">
        <f>Table1[[#This Row],[adj_unit_cost]]*Table1[[#This Row],[scenario_quantity]]</f>
        <v>90588.960000000021</v>
      </c>
      <c r="AL54" s="5">
        <f>Table1[[#This Row],[UnitPrice]]*Table1[[#This Row],[scenario_quantity]]*(1-Table1[[#This Row],[cap_adjusted_discount]])</f>
        <v>-327.58320000000003</v>
      </c>
      <c r="AM54" s="5">
        <f>Table1[[#This Row],[UnitPrice]]*Table1[[#This Row],[Quantity]]*(1-Table1[[#This Row],[DiscountPct]])</f>
        <v>-272.98599999999999</v>
      </c>
      <c r="AN54" s="5">
        <f>Table1[[#This Row],[gross_revenue]]-Table1[[#This Row],[cost_of_goods]]</f>
        <v>-68900.986000000004</v>
      </c>
      <c r="AO54" s="5">
        <f>Table1[[#This Row],[scenario_revenue]]-Table1[[#This Row],[Scenario_unit_cost]]</f>
        <v>-90916.543200000015</v>
      </c>
      <c r="AP54" s="5">
        <f>IF(Table1[[#This Row],[gross_revenue]]=0,0,Table1[[#This Row],[gross_profit]]/Table1[[#This Row],[gross_revenue]])</f>
        <v>252.39750756449052</v>
      </c>
    </row>
    <row r="55" spans="1:42" x14ac:dyDescent="0.35">
      <c r="A55" t="s">
        <v>637</v>
      </c>
      <c r="B55" t="str">
        <f>_xlfn.TEXTAFTER(Table1[[#This Row],[OrderID]],"-",2)</f>
        <v>649633</v>
      </c>
      <c r="C55">
        <f>YEAR(Table1[[#This Row],[OrderDate]])</f>
        <v>2025</v>
      </c>
      <c r="D55" s="9">
        <f>_xlfn.MINIFS(F:F,P:P,Table1[[#This Row],[Country]])</f>
        <v>44946</v>
      </c>
      <c r="E55" s="7">
        <f>DATEDIF(Table1[[#This Row],[first_time_orders]],Table1[[#This Row],[OrderDate]],"m")</f>
        <v>29</v>
      </c>
      <c r="F55" s="9">
        <v>45857</v>
      </c>
      <c r="G55" s="2" t="str">
        <f>TEXT(Table1[[#This Row],[OrderDate]],"MMM-YYYY")</f>
        <v>Jul-2025</v>
      </c>
      <c r="H55" s="7">
        <f>MONTH(Table1[[#This Row],[OrderDate]])</f>
        <v>7</v>
      </c>
      <c r="I55" s="7" t="str">
        <f>"Q"&amp;ROUNDUP(Table1[[#This Row],[months]]/3,0)&amp;"-"&amp;Table1[[#This Row],[order_year]]</f>
        <v>Q3-2025</v>
      </c>
      <c r="J55" s="7">
        <f>Table1[[#This Row],[RequiredDate]]-Table1[[#This Row],[OrderDate]]</f>
        <v>12</v>
      </c>
      <c r="K55" s="7">
        <f>IF(Table1[[#This Row],[lead_time]]&lt;0,MEDIAN(J:J),Table1[[#This Row],[lead_time]])</f>
        <v>12</v>
      </c>
      <c r="L55" s="7">
        <f>IF(Table1[[#This Row],[adj_lead_time]]&lt;=7,1,0)</f>
        <v>0</v>
      </c>
      <c r="M55" s="9">
        <v>45869</v>
      </c>
      <c r="N55" s="9">
        <f>IF(Table1[[#This Row],[lead_time]]&lt;0,(Table1[[#This Row],[OrderDate]]+Table1[[#This Row],[adj_lead_time]]),Table1[[#This Row],[RequiredDate]])</f>
        <v>45869</v>
      </c>
      <c r="O55" t="s">
        <v>646</v>
      </c>
      <c r="P55" t="s">
        <v>650</v>
      </c>
      <c r="Q55" t="s">
        <v>664</v>
      </c>
      <c r="R55" t="s">
        <v>705</v>
      </c>
      <c r="S55" t="s">
        <v>709</v>
      </c>
      <c r="T55" t="s">
        <v>719</v>
      </c>
      <c r="U55" t="s">
        <v>733</v>
      </c>
      <c r="V55" t="s">
        <v>1355</v>
      </c>
      <c r="W55">
        <v>619.64</v>
      </c>
      <c r="X55">
        <f>Table1[[#This Row],[UnitCost]]*(1+'scenario modeling'!$B$3)</f>
        <v>681.60400000000004</v>
      </c>
      <c r="Y55">
        <v>861.16</v>
      </c>
      <c r="Z55" t="str">
        <f>IF(Table1[[#This Row],[UnitPrice]]&lt;=Quantiles!$B$2,Quantiles!$A$2,IF(Table1[[#This Row],[UnitPrice]]&lt;=Quantiles!$B$3,Quantiles!$A$3,Quantiles!$A$4))</f>
        <v>Medium</v>
      </c>
      <c r="AA55">
        <v>0.113</v>
      </c>
      <c r="AB55" s="5">
        <f>MIN(Table1[[#This Row],[DiscountPct]],'scenario modeling'!$B$2)</f>
        <v>0.1</v>
      </c>
      <c r="AC55" t="str">
        <f>IF(Table1[[#This Row],[DiscountPct]]&gt;0.3, "&gt;0.3","")</f>
        <v/>
      </c>
      <c r="AD55">
        <v>14</v>
      </c>
      <c r="AE55">
        <f>Table1[[#This Row],[Quantity]]*(1+'scenario modeling'!$B$4)</f>
        <v>16.8</v>
      </c>
      <c r="AF55">
        <f>Table1[[#This Row],[UnitCost]]*Table1[[#This Row],[Quantity]]</f>
        <v>8674.9599999999991</v>
      </c>
      <c r="AG55">
        <f>SUMIF($U:U,Table1[[#This Row],[ProductCategory]],$AM:AM)</f>
        <v>1331102.9440700002</v>
      </c>
      <c r="AH55">
        <f>SUMIFS($AM$2:AM55,$U$2:U55,U55)</f>
        <v>886439.60802000004</v>
      </c>
      <c r="AI55" s="5">
        <f>Table1[[#This Row],[Cumulative_revenue]]/Table1[[#This Row],[Category_revenue]]</f>
        <v>0.66594369125922681</v>
      </c>
      <c r="AJ55" t="str">
        <f>IF(Table1[[#This Row],[cumulative_pct]]&lt;=0.8,"A",IF(Table1[[#This Row],[cumulative_pct]]&lt;=0.95,"B","C"))</f>
        <v>A</v>
      </c>
      <c r="AK55">
        <f>Table1[[#This Row],[adj_unit_cost]]*Table1[[#This Row],[scenario_quantity]]</f>
        <v>11450.947200000001</v>
      </c>
      <c r="AL55" s="5">
        <f>Table1[[#This Row],[UnitPrice]]*Table1[[#This Row],[scenario_quantity]]*(1-Table1[[#This Row],[cap_adjusted_discount]])</f>
        <v>13020.7392</v>
      </c>
      <c r="AM55" s="5">
        <f>Table1[[#This Row],[UnitPrice]]*Table1[[#This Row],[Quantity]]*(1-Table1[[#This Row],[DiscountPct]])</f>
        <v>10693.88488</v>
      </c>
      <c r="AN55" s="5">
        <f>Table1[[#This Row],[gross_revenue]]-Table1[[#This Row],[cost_of_goods]]</f>
        <v>2018.9248800000005</v>
      </c>
      <c r="AO55" s="5">
        <f>Table1[[#This Row],[scenario_revenue]]-Table1[[#This Row],[Scenario_unit_cost]]</f>
        <v>1569.7919999999995</v>
      </c>
      <c r="AP55" s="5">
        <f>IF(Table1[[#This Row],[gross_revenue]]=0,0,Table1[[#This Row],[gross_profit]]/Table1[[#This Row],[gross_revenue]])</f>
        <v>0.18879246435276761</v>
      </c>
    </row>
    <row r="56" spans="1:42" x14ac:dyDescent="0.35">
      <c r="A56" t="s">
        <v>33</v>
      </c>
      <c r="B56" t="str">
        <f>_xlfn.TEXTAFTER(Table1[[#This Row],[OrderID]],"-",2)</f>
        <v>843974</v>
      </c>
      <c r="C56">
        <f>YEAR(Table1[[#This Row],[OrderDate]])</f>
        <v>2025</v>
      </c>
      <c r="D56" s="9">
        <f>_xlfn.MINIFS(F:F,P:P,Table1[[#This Row],[Country]])</f>
        <v>44955</v>
      </c>
      <c r="E56" s="7">
        <f>DATEDIF(Table1[[#This Row],[first_time_orders]],Table1[[#This Row],[OrderDate]],"m")</f>
        <v>29</v>
      </c>
      <c r="F56" s="9">
        <v>45858</v>
      </c>
      <c r="G56" s="2" t="str">
        <f>TEXT(Table1[[#This Row],[OrderDate]],"MMM-YYYY")</f>
        <v>Jul-2025</v>
      </c>
      <c r="H56" s="7">
        <f>MONTH(Table1[[#This Row],[OrderDate]])</f>
        <v>7</v>
      </c>
      <c r="I56" s="7" t="str">
        <f>"Q"&amp;ROUNDUP(Table1[[#This Row],[months]]/3,0)&amp;"-"&amp;Table1[[#This Row],[order_year]]</f>
        <v>Q3-2025</v>
      </c>
      <c r="J56" s="7">
        <f>Table1[[#This Row],[RequiredDate]]-Table1[[#This Row],[OrderDate]]</f>
        <v>16</v>
      </c>
      <c r="K56" s="7">
        <f>IF(Table1[[#This Row],[lead_time]]&lt;0,MEDIAN(J:J),Table1[[#This Row],[lead_time]])</f>
        <v>16</v>
      </c>
      <c r="L56" s="7">
        <f>IF(Table1[[#This Row],[adj_lead_time]]&lt;=7,1,0)</f>
        <v>0</v>
      </c>
      <c r="M56" s="9">
        <v>45874</v>
      </c>
      <c r="N56" s="9">
        <f>IF(Table1[[#This Row],[lead_time]]&lt;0,(Table1[[#This Row],[OrderDate]]+Table1[[#This Row],[adj_lead_time]]),Table1[[#This Row],[RequiredDate]])</f>
        <v>45874</v>
      </c>
      <c r="O56" t="s">
        <v>648</v>
      </c>
      <c r="P56" t="s">
        <v>655</v>
      </c>
      <c r="Q56" t="s">
        <v>672</v>
      </c>
      <c r="R56" t="s">
        <v>706</v>
      </c>
      <c r="S56" t="s">
        <v>709</v>
      </c>
      <c r="T56" t="s">
        <v>715</v>
      </c>
      <c r="U56" t="s">
        <v>733</v>
      </c>
      <c r="V56" t="s">
        <v>752</v>
      </c>
      <c r="W56">
        <v>1068.17</v>
      </c>
      <c r="X56">
        <f>Table1[[#This Row],[UnitCost]]*(1+'scenario modeling'!$B$3)</f>
        <v>1174.9870000000001</v>
      </c>
      <c r="Y56">
        <v>2375.37</v>
      </c>
      <c r="Z56" t="str">
        <f>IF(Table1[[#This Row],[UnitPrice]]&lt;=Quantiles!$B$2,Quantiles!$A$2,IF(Table1[[#This Row],[UnitPrice]]&lt;=Quantiles!$B$3,Quantiles!$A$3,Quantiles!$A$4))</f>
        <v>High</v>
      </c>
      <c r="AA56">
        <v>0.109</v>
      </c>
      <c r="AB56" s="5">
        <f>MIN(Table1[[#This Row],[DiscountPct]],'scenario modeling'!$B$2)</f>
        <v>0.1</v>
      </c>
      <c r="AC56" t="str">
        <f>IF(Table1[[#This Row],[DiscountPct]]&gt;0.3, "&gt;0.3","")</f>
        <v/>
      </c>
      <c r="AD56">
        <v>18</v>
      </c>
      <c r="AE56">
        <f>Table1[[#This Row],[Quantity]]*(1+'scenario modeling'!$B$4)</f>
        <v>21.599999999999998</v>
      </c>
      <c r="AF56">
        <f>Table1[[#This Row],[UnitCost]]*Table1[[#This Row],[Quantity]]</f>
        <v>19227.060000000001</v>
      </c>
      <c r="AG56">
        <f>SUMIF($U:U,Table1[[#This Row],[ProductCategory]],$AM:AM)</f>
        <v>1331102.9440700002</v>
      </c>
      <c r="AH56">
        <f>SUMIFS($AM$2:AM56,$U$2:U56,U56)</f>
        <v>924535.79208000004</v>
      </c>
      <c r="AI56" s="5">
        <f>Table1[[#This Row],[Cumulative_revenue]]/Table1[[#This Row],[Category_revenue]]</f>
        <v>0.69456370463213435</v>
      </c>
      <c r="AJ56" t="str">
        <f>IF(Table1[[#This Row],[cumulative_pct]]&lt;=0.8,"A",IF(Table1[[#This Row],[cumulative_pct]]&lt;=0.95,"B","C"))</f>
        <v>A</v>
      </c>
      <c r="AK56">
        <f>Table1[[#This Row],[adj_unit_cost]]*Table1[[#This Row],[scenario_quantity]]</f>
        <v>25379.7192</v>
      </c>
      <c r="AL56" s="5">
        <f>Table1[[#This Row],[UnitPrice]]*Table1[[#This Row],[scenario_quantity]]*(1-Table1[[#This Row],[cap_adjusted_discount]])</f>
        <v>46177.19279999999</v>
      </c>
      <c r="AM56" s="5">
        <f>Table1[[#This Row],[UnitPrice]]*Table1[[#This Row],[Quantity]]*(1-Table1[[#This Row],[DiscountPct]])</f>
        <v>38096.18406</v>
      </c>
      <c r="AN56" s="5">
        <f>Table1[[#This Row],[gross_revenue]]-Table1[[#This Row],[cost_of_goods]]</f>
        <v>18869.124059999998</v>
      </c>
      <c r="AO56" s="5">
        <f>Table1[[#This Row],[scenario_revenue]]-Table1[[#This Row],[Scenario_unit_cost]]</f>
        <v>20797.47359999999</v>
      </c>
      <c r="AP56" s="5">
        <f>IF(Table1[[#This Row],[gross_revenue]]=0,0,Table1[[#This Row],[gross_profit]]/Table1[[#This Row],[gross_revenue]])</f>
        <v>0.49530220744108822</v>
      </c>
    </row>
    <row r="57" spans="1:42" x14ac:dyDescent="0.35">
      <c r="A57" t="s">
        <v>608</v>
      </c>
      <c r="B57" t="str">
        <f>_xlfn.TEXTAFTER(Table1[[#This Row],[OrderID]],"-",2)</f>
        <v>856556</v>
      </c>
      <c r="C57">
        <f>YEAR(Table1[[#This Row],[OrderDate]])</f>
        <v>2025</v>
      </c>
      <c r="D57" s="9">
        <f>_xlfn.MINIFS(F:F,P:P,Table1[[#This Row],[Country]])</f>
        <v>44936</v>
      </c>
      <c r="E57" s="7">
        <f>DATEDIF(Table1[[#This Row],[first_time_orders]],Table1[[#This Row],[OrderDate]],"m")</f>
        <v>29</v>
      </c>
      <c r="F57" s="9">
        <v>45823</v>
      </c>
      <c r="G57" s="2" t="str">
        <f>TEXT(Table1[[#This Row],[OrderDate]],"MMM-YYYY")</f>
        <v>Jun-2025</v>
      </c>
      <c r="H57" s="7">
        <f>MONTH(Table1[[#This Row],[OrderDate]])</f>
        <v>6</v>
      </c>
      <c r="I57" s="7" t="str">
        <f>"Q"&amp;ROUNDUP(Table1[[#This Row],[months]]/3,0)&amp;"-"&amp;Table1[[#This Row],[order_year]]</f>
        <v>Q2-2025</v>
      </c>
      <c r="J57" s="7">
        <f>Table1[[#This Row],[RequiredDate]]-Table1[[#This Row],[OrderDate]]</f>
        <v>27</v>
      </c>
      <c r="K57" s="7">
        <f>IF(Table1[[#This Row],[lead_time]]&lt;0,MEDIAN(J:J),Table1[[#This Row],[lead_time]])</f>
        <v>27</v>
      </c>
      <c r="L57" s="7">
        <f>IF(Table1[[#This Row],[adj_lead_time]]&lt;=7,1,0)</f>
        <v>0</v>
      </c>
      <c r="M57" s="9">
        <v>45850</v>
      </c>
      <c r="N57" s="9">
        <f>IF(Table1[[#This Row],[lead_time]]&lt;0,(Table1[[#This Row],[OrderDate]]+Table1[[#This Row],[adj_lead_time]]),Table1[[#This Row],[RequiredDate]])</f>
        <v>45850</v>
      </c>
      <c r="O57" t="s">
        <v>649</v>
      </c>
      <c r="P57" t="s">
        <v>657</v>
      </c>
      <c r="Q57" t="s">
        <v>673</v>
      </c>
      <c r="R57" t="s">
        <v>704</v>
      </c>
      <c r="S57" t="s">
        <v>711</v>
      </c>
      <c r="T57" t="s">
        <v>712</v>
      </c>
      <c r="U57" t="s">
        <v>733</v>
      </c>
      <c r="V57" t="s">
        <v>1326</v>
      </c>
      <c r="W57">
        <v>318.83</v>
      </c>
      <c r="X57">
        <f>Table1[[#This Row],[UnitCost]]*(1+'scenario modeling'!$B$3)</f>
        <v>350.71300000000002</v>
      </c>
      <c r="Y57">
        <v>699.5</v>
      </c>
      <c r="Z57" t="str">
        <f>IF(Table1[[#This Row],[UnitPrice]]&lt;=Quantiles!$B$2,Quantiles!$A$2,IF(Table1[[#This Row],[UnitPrice]]&lt;=Quantiles!$B$3,Quantiles!$A$3,Quantiles!$A$4))</f>
        <v>Low</v>
      </c>
      <c r="AA57">
        <v>0.08</v>
      </c>
      <c r="AB57" s="5">
        <f>MIN(Table1[[#This Row],[DiscountPct]],'scenario modeling'!$B$2)</f>
        <v>0.08</v>
      </c>
      <c r="AC57" t="str">
        <f>IF(Table1[[#This Row],[DiscountPct]]&gt;0.3, "&gt;0.3","")</f>
        <v/>
      </c>
      <c r="AD57">
        <v>13</v>
      </c>
      <c r="AE57">
        <f>Table1[[#This Row],[Quantity]]*(1+'scenario modeling'!$B$4)</f>
        <v>15.6</v>
      </c>
      <c r="AF57">
        <f>Table1[[#This Row],[UnitCost]]*Table1[[#This Row],[Quantity]]</f>
        <v>4144.79</v>
      </c>
      <c r="AG57">
        <f>SUMIF($U:U,Table1[[#This Row],[ProductCategory]],$AM:AM)</f>
        <v>1331102.9440700002</v>
      </c>
      <c r="AH57">
        <f>SUMIFS($AM$2:AM57,$U$2:U57,U57)</f>
        <v>932901.81208000006</v>
      </c>
      <c r="AI57" s="5">
        <f>Table1[[#This Row],[Cumulative_revenue]]/Table1[[#This Row],[Category_revenue]]</f>
        <v>0.70084873317727447</v>
      </c>
      <c r="AJ57" t="str">
        <f>IF(Table1[[#This Row],[cumulative_pct]]&lt;=0.8,"A",IF(Table1[[#This Row],[cumulative_pct]]&lt;=0.95,"B","C"))</f>
        <v>A</v>
      </c>
      <c r="AK57">
        <f>Table1[[#This Row],[adj_unit_cost]]*Table1[[#This Row],[scenario_quantity]]</f>
        <v>5471.1228000000001</v>
      </c>
      <c r="AL57" s="5">
        <f>Table1[[#This Row],[UnitPrice]]*Table1[[#This Row],[scenario_quantity]]*(1-Table1[[#This Row],[cap_adjusted_discount]])</f>
        <v>10039.224</v>
      </c>
      <c r="AM57" s="5">
        <f>Table1[[#This Row],[UnitPrice]]*Table1[[#This Row],[Quantity]]*(1-Table1[[#This Row],[DiscountPct]])</f>
        <v>8366.02</v>
      </c>
      <c r="AN57" s="5">
        <f>Table1[[#This Row],[gross_revenue]]-Table1[[#This Row],[cost_of_goods]]</f>
        <v>4221.2300000000005</v>
      </c>
      <c r="AO57" s="5">
        <f>Table1[[#This Row],[scenario_revenue]]-Table1[[#This Row],[Scenario_unit_cost]]</f>
        <v>4568.1012000000001</v>
      </c>
      <c r="AP57" s="5">
        <f>IF(Table1[[#This Row],[gross_revenue]]=0,0,Table1[[#This Row],[gross_profit]]/Table1[[#This Row],[gross_revenue]])</f>
        <v>0.50456848059172699</v>
      </c>
    </row>
    <row r="58" spans="1:42" x14ac:dyDescent="0.35">
      <c r="A58" t="s">
        <v>291</v>
      </c>
      <c r="B58" t="str">
        <f>_xlfn.TEXTAFTER(Table1[[#This Row],[OrderID]],"-",2)</f>
        <v>678328</v>
      </c>
      <c r="C58">
        <f>YEAR(Table1[[#This Row],[OrderDate]])</f>
        <v>2025</v>
      </c>
      <c r="D58" s="9">
        <f>_xlfn.MINIFS(F:F,P:P,Table1[[#This Row],[Country]])</f>
        <v>44948</v>
      </c>
      <c r="E58" s="7">
        <f>DATEDIF(Table1[[#This Row],[first_time_orders]],Table1[[#This Row],[OrderDate]],"m")</f>
        <v>29</v>
      </c>
      <c r="F58" s="9">
        <v>45832</v>
      </c>
      <c r="G58" s="2" t="str">
        <f>TEXT(Table1[[#This Row],[OrderDate]],"MMM-YYYY")</f>
        <v>Jun-2025</v>
      </c>
      <c r="H58" s="7">
        <f>MONTH(Table1[[#This Row],[OrderDate]])</f>
        <v>6</v>
      </c>
      <c r="I58" s="7" t="str">
        <f>"Q"&amp;ROUNDUP(Table1[[#This Row],[months]]/3,0)&amp;"-"&amp;Table1[[#This Row],[order_year]]</f>
        <v>Q2-2025</v>
      </c>
      <c r="J58" s="7">
        <f>Table1[[#This Row],[RequiredDate]]-Table1[[#This Row],[OrderDate]]</f>
        <v>20</v>
      </c>
      <c r="K58" s="7">
        <f>IF(Table1[[#This Row],[lead_time]]&lt;0,MEDIAN(J:J),Table1[[#This Row],[lead_time]])</f>
        <v>20</v>
      </c>
      <c r="L58" s="7">
        <f>IF(Table1[[#This Row],[adj_lead_time]]&lt;=7,1,0)</f>
        <v>0</v>
      </c>
      <c r="M58" s="9">
        <v>45852</v>
      </c>
      <c r="N58" s="9">
        <f>IF(Table1[[#This Row],[lead_time]]&lt;0,(Table1[[#This Row],[OrderDate]]+Table1[[#This Row],[adj_lead_time]]),Table1[[#This Row],[RequiredDate]])</f>
        <v>45852</v>
      </c>
      <c r="O58" t="s">
        <v>649</v>
      </c>
      <c r="P58" t="s">
        <v>656</v>
      </c>
      <c r="Q58" t="s">
        <v>671</v>
      </c>
      <c r="R58" t="s">
        <v>701</v>
      </c>
      <c r="S58" t="s">
        <v>711</v>
      </c>
      <c r="T58" t="s">
        <v>719</v>
      </c>
      <c r="U58" t="s">
        <v>733</v>
      </c>
      <c r="V58" t="s">
        <v>1011</v>
      </c>
      <c r="W58">
        <v>385.08</v>
      </c>
      <c r="X58">
        <f>Table1[[#This Row],[UnitCost]]*(1+'scenario modeling'!$B$3)</f>
        <v>423.58800000000002</v>
      </c>
      <c r="Y58">
        <v>893.19</v>
      </c>
      <c r="Z58" t="str">
        <f>IF(Table1[[#This Row],[UnitPrice]]&lt;=Quantiles!$B$2,Quantiles!$A$2,IF(Table1[[#This Row],[UnitPrice]]&lt;=Quantiles!$B$3,Quantiles!$A$3,Quantiles!$A$4))</f>
        <v>Medium</v>
      </c>
      <c r="AA58">
        <v>0.151</v>
      </c>
      <c r="AB58" s="5">
        <f>MIN(Table1[[#This Row],[DiscountPct]],'scenario modeling'!$B$2)</f>
        <v>0.1</v>
      </c>
      <c r="AC58" t="str">
        <f>IF(Table1[[#This Row],[DiscountPct]]&gt;0.3, "&gt;0.3","")</f>
        <v/>
      </c>
      <c r="AD58">
        <v>8</v>
      </c>
      <c r="AE58">
        <f>Table1[[#This Row],[Quantity]]*(1+'scenario modeling'!$B$4)</f>
        <v>9.6</v>
      </c>
      <c r="AF58">
        <f>Table1[[#This Row],[UnitCost]]*Table1[[#This Row],[Quantity]]</f>
        <v>3080.64</v>
      </c>
      <c r="AG58">
        <f>SUMIF($U:U,Table1[[#This Row],[ProductCategory]],$AM:AM)</f>
        <v>1331102.9440700002</v>
      </c>
      <c r="AH58">
        <f>SUMIFS($AM$2:AM58,$U$2:U58,U58)</f>
        <v>938968.35856000008</v>
      </c>
      <c r="AI58" s="5">
        <f>Table1[[#This Row],[Cumulative_revenue]]/Table1[[#This Row],[Category_revenue]]</f>
        <v>0.70540626684289076</v>
      </c>
      <c r="AJ58" t="str">
        <f>IF(Table1[[#This Row],[cumulative_pct]]&lt;=0.8,"A",IF(Table1[[#This Row],[cumulative_pct]]&lt;=0.95,"B","C"))</f>
        <v>A</v>
      </c>
      <c r="AK58">
        <f>Table1[[#This Row],[adj_unit_cost]]*Table1[[#This Row],[scenario_quantity]]</f>
        <v>4066.4448000000002</v>
      </c>
      <c r="AL58" s="5">
        <f>Table1[[#This Row],[UnitPrice]]*Table1[[#This Row],[scenario_quantity]]*(1-Table1[[#This Row],[cap_adjusted_discount]])</f>
        <v>7717.1616000000004</v>
      </c>
      <c r="AM58" s="5">
        <f>Table1[[#This Row],[UnitPrice]]*Table1[[#This Row],[Quantity]]*(1-Table1[[#This Row],[DiscountPct]])</f>
        <v>6066.54648</v>
      </c>
      <c r="AN58" s="5">
        <f>Table1[[#This Row],[gross_revenue]]-Table1[[#This Row],[cost_of_goods]]</f>
        <v>2985.9064800000001</v>
      </c>
      <c r="AO58" s="5">
        <f>Table1[[#This Row],[scenario_revenue]]-Table1[[#This Row],[Scenario_unit_cost]]</f>
        <v>3650.7168000000001</v>
      </c>
      <c r="AP58" s="5">
        <f>IF(Table1[[#This Row],[gross_revenue]]=0,0,Table1[[#This Row],[gross_profit]]/Table1[[#This Row],[gross_revenue]])</f>
        <v>0.49219213762621666</v>
      </c>
    </row>
    <row r="59" spans="1:42" x14ac:dyDescent="0.35">
      <c r="A59" t="s">
        <v>570</v>
      </c>
      <c r="B59" t="str">
        <f>_xlfn.TEXTAFTER(Table1[[#This Row],[OrderID]],"-",2)</f>
        <v>957692</v>
      </c>
      <c r="C59">
        <f>YEAR(Table1[[#This Row],[OrderDate]])</f>
        <v>2023</v>
      </c>
      <c r="D59" s="9">
        <f>_xlfn.MINIFS(F:F,P:P,Table1[[#This Row],[Country]])</f>
        <v>44955</v>
      </c>
      <c r="E59" s="7">
        <f>DATEDIF(Table1[[#This Row],[first_time_orders]],Table1[[#This Row],[OrderDate]],"m")</f>
        <v>3</v>
      </c>
      <c r="F59" s="9">
        <v>45053</v>
      </c>
      <c r="G59" s="2" t="str">
        <f>TEXT(Table1[[#This Row],[OrderDate]],"MMM-YYYY")</f>
        <v>May-2023</v>
      </c>
      <c r="H59" s="7">
        <f>MONTH(Table1[[#This Row],[OrderDate]])</f>
        <v>5</v>
      </c>
      <c r="I59" s="7" t="str">
        <f>"Q"&amp;ROUNDUP(Table1[[#This Row],[months]]/3,0)&amp;"-"&amp;Table1[[#This Row],[order_year]]</f>
        <v>Q2-2023</v>
      </c>
      <c r="J59" s="7">
        <f>Table1[[#This Row],[RequiredDate]]-Table1[[#This Row],[OrderDate]]</f>
        <v>13</v>
      </c>
      <c r="K59" s="7">
        <f>IF(Table1[[#This Row],[lead_time]]&lt;0,MEDIAN(J:J),Table1[[#This Row],[lead_time]])</f>
        <v>13</v>
      </c>
      <c r="L59" s="7">
        <f>IF(Table1[[#This Row],[adj_lead_time]]&lt;=7,1,0)</f>
        <v>0</v>
      </c>
      <c r="M59" s="9">
        <v>45066</v>
      </c>
      <c r="N59" s="9">
        <f>IF(Table1[[#This Row],[lead_time]]&lt;0,(Table1[[#This Row],[OrderDate]]+Table1[[#This Row],[adj_lead_time]]),Table1[[#This Row],[RequiredDate]])</f>
        <v>45066</v>
      </c>
      <c r="O59" t="s">
        <v>647</v>
      </c>
      <c r="P59" t="s">
        <v>654</v>
      </c>
      <c r="Q59" t="s">
        <v>691</v>
      </c>
      <c r="R59" t="s">
        <v>706</v>
      </c>
      <c r="S59" t="s">
        <v>707</v>
      </c>
      <c r="T59" t="s">
        <v>726</v>
      </c>
      <c r="U59" t="s">
        <v>733</v>
      </c>
      <c r="V59" t="s">
        <v>1288</v>
      </c>
      <c r="W59">
        <v>1443.28</v>
      </c>
      <c r="X59">
        <f>Table1[[#This Row],[UnitCost]]*(1+'scenario modeling'!$B$3)</f>
        <v>1587.6080000000002</v>
      </c>
      <c r="Y59">
        <v>2580.5700000000002</v>
      </c>
      <c r="Z59" t="str">
        <f>IF(Table1[[#This Row],[UnitPrice]]&lt;=Quantiles!$B$2,Quantiles!$A$2,IF(Table1[[#This Row],[UnitPrice]]&lt;=Quantiles!$B$3,Quantiles!$A$3,Quantiles!$A$4))</f>
        <v>High</v>
      </c>
      <c r="AA59">
        <v>0</v>
      </c>
      <c r="AB59" s="5">
        <f>MIN(Table1[[#This Row],[DiscountPct]],'scenario modeling'!$B$2)</f>
        <v>0</v>
      </c>
      <c r="AC59" t="str">
        <f>IF(Table1[[#This Row],[DiscountPct]]&gt;0.3, "&gt;0.3","")</f>
        <v/>
      </c>
      <c r="AD59">
        <v>18</v>
      </c>
      <c r="AE59">
        <f>Table1[[#This Row],[Quantity]]*(1+'scenario modeling'!$B$4)</f>
        <v>21.599999999999998</v>
      </c>
      <c r="AF59">
        <f>Table1[[#This Row],[UnitCost]]*Table1[[#This Row],[Quantity]]</f>
        <v>25979.040000000001</v>
      </c>
      <c r="AG59">
        <f>SUMIF($U:U,Table1[[#This Row],[ProductCategory]],$AM:AM)</f>
        <v>1331102.9440700002</v>
      </c>
      <c r="AH59">
        <f>SUMIFS($AM$2:AM59,$U$2:U59,U59)</f>
        <v>985418.61856000009</v>
      </c>
      <c r="AI59" s="5">
        <f>Table1[[#This Row],[Cumulative_revenue]]/Table1[[#This Row],[Category_revenue]]</f>
        <v>0.74030233570588422</v>
      </c>
      <c r="AJ59" t="str">
        <f>IF(Table1[[#This Row],[cumulative_pct]]&lt;=0.8,"A",IF(Table1[[#This Row],[cumulative_pct]]&lt;=0.95,"B","C"))</f>
        <v>A</v>
      </c>
      <c r="AK59">
        <f>Table1[[#This Row],[adj_unit_cost]]*Table1[[#This Row],[scenario_quantity]]</f>
        <v>34292.332800000004</v>
      </c>
      <c r="AL59" s="5">
        <f>Table1[[#This Row],[UnitPrice]]*Table1[[#This Row],[scenario_quantity]]*(1-Table1[[#This Row],[cap_adjusted_discount]])</f>
        <v>55740.311999999998</v>
      </c>
      <c r="AM59" s="5">
        <f>Table1[[#This Row],[UnitPrice]]*Table1[[#This Row],[Quantity]]*(1-Table1[[#This Row],[DiscountPct]])</f>
        <v>46450.26</v>
      </c>
      <c r="AN59" s="5">
        <f>Table1[[#This Row],[gross_revenue]]-Table1[[#This Row],[cost_of_goods]]</f>
        <v>20471.22</v>
      </c>
      <c r="AO59" s="5">
        <f>Table1[[#This Row],[scenario_revenue]]-Table1[[#This Row],[Scenario_unit_cost]]</f>
        <v>21447.979199999994</v>
      </c>
      <c r="AP59" s="5">
        <f>IF(Table1[[#This Row],[gross_revenue]]=0,0,Table1[[#This Row],[gross_profit]]/Table1[[#This Row],[gross_revenue]])</f>
        <v>0.4407127107577008</v>
      </c>
    </row>
    <row r="60" spans="1:42" x14ac:dyDescent="0.35">
      <c r="A60" t="s">
        <v>223</v>
      </c>
      <c r="B60" t="str">
        <f>_xlfn.TEXTAFTER(Table1[[#This Row],[OrderID]],"-",2)</f>
        <v>629393</v>
      </c>
      <c r="C60">
        <f>YEAR(Table1[[#This Row],[OrderDate]])</f>
        <v>2025</v>
      </c>
      <c r="D60" s="9">
        <f>_xlfn.MINIFS(F:F,P:P,Table1[[#This Row],[Country]])</f>
        <v>44941</v>
      </c>
      <c r="E60" s="7">
        <f>DATEDIF(Table1[[#This Row],[first_time_orders]],Table1[[#This Row],[OrderDate]],"m")</f>
        <v>30</v>
      </c>
      <c r="F60" s="9">
        <v>45859</v>
      </c>
      <c r="G60" s="2" t="str">
        <f>TEXT(Table1[[#This Row],[OrderDate]],"MMM-YYYY")</f>
        <v>Jul-2025</v>
      </c>
      <c r="H60" s="7">
        <f>MONTH(Table1[[#This Row],[OrderDate]])</f>
        <v>7</v>
      </c>
      <c r="I60" s="7" t="str">
        <f>"Q"&amp;ROUNDUP(Table1[[#This Row],[months]]/3,0)&amp;"-"&amp;Table1[[#This Row],[order_year]]</f>
        <v>Q3-2025</v>
      </c>
      <c r="J60" s="7">
        <f>Table1[[#This Row],[RequiredDate]]-Table1[[#This Row],[OrderDate]]</f>
        <v>17</v>
      </c>
      <c r="K60" s="7">
        <f>IF(Table1[[#This Row],[lead_time]]&lt;0,MEDIAN(J:J),Table1[[#This Row],[lead_time]])</f>
        <v>17</v>
      </c>
      <c r="L60" s="7">
        <f>IF(Table1[[#This Row],[adj_lead_time]]&lt;=7,1,0)</f>
        <v>0</v>
      </c>
      <c r="M60" s="9">
        <v>45876</v>
      </c>
      <c r="N60" s="9">
        <f>IF(Table1[[#This Row],[lead_time]]&lt;0,(Table1[[#This Row],[OrderDate]]+Table1[[#This Row],[adj_lead_time]]),Table1[[#This Row],[RequiredDate]])</f>
        <v>45876</v>
      </c>
      <c r="O60" t="s">
        <v>646</v>
      </c>
      <c r="P60" t="s">
        <v>651</v>
      </c>
      <c r="Q60" t="s">
        <v>665</v>
      </c>
      <c r="R60" t="s">
        <v>706</v>
      </c>
      <c r="S60" t="s">
        <v>711</v>
      </c>
      <c r="T60" t="s">
        <v>724</v>
      </c>
      <c r="U60" t="s">
        <v>733</v>
      </c>
      <c r="V60" t="s">
        <v>943</v>
      </c>
      <c r="W60">
        <v>1204.95</v>
      </c>
      <c r="X60">
        <f>Table1[[#This Row],[UnitCost]]*(1+'scenario modeling'!$B$3)</f>
        <v>1325.4450000000002</v>
      </c>
      <c r="Y60">
        <v>2065.73</v>
      </c>
      <c r="Z60" t="str">
        <f>IF(Table1[[#This Row],[UnitPrice]]&lt;=Quantiles!$B$2,Quantiles!$A$2,IF(Table1[[#This Row],[UnitPrice]]&lt;=Quantiles!$B$3,Quantiles!$A$3,Quantiles!$A$4))</f>
        <v>High</v>
      </c>
      <c r="AA60">
        <v>0.13600000000000001</v>
      </c>
      <c r="AB60" s="5">
        <f>MIN(Table1[[#This Row],[DiscountPct]],'scenario modeling'!$B$2)</f>
        <v>0.1</v>
      </c>
      <c r="AC60" t="str">
        <f>IF(Table1[[#This Row],[DiscountPct]]&gt;0.3, "&gt;0.3","")</f>
        <v/>
      </c>
      <c r="AD60">
        <v>10</v>
      </c>
      <c r="AE60">
        <f>Table1[[#This Row],[Quantity]]*(1+'scenario modeling'!$B$4)</f>
        <v>12</v>
      </c>
      <c r="AF60">
        <f>Table1[[#This Row],[UnitCost]]*Table1[[#This Row],[Quantity]]</f>
        <v>12049.5</v>
      </c>
      <c r="AG60">
        <f>SUMIF($U:U,Table1[[#This Row],[ProductCategory]],$AM:AM)</f>
        <v>1331102.9440700002</v>
      </c>
      <c r="AH60">
        <f>SUMIFS($AM$2:AM60,$U$2:U60,U60)</f>
        <v>1003266.5257600001</v>
      </c>
      <c r="AI60" s="5">
        <f>Table1[[#This Row],[Cumulative_revenue]]/Table1[[#This Row],[Category_revenue]]</f>
        <v>0.75371069550218062</v>
      </c>
      <c r="AJ60" t="str">
        <f>IF(Table1[[#This Row],[cumulative_pct]]&lt;=0.8,"A",IF(Table1[[#This Row],[cumulative_pct]]&lt;=0.95,"B","C"))</f>
        <v>A</v>
      </c>
      <c r="AK60">
        <f>Table1[[#This Row],[adj_unit_cost]]*Table1[[#This Row],[scenario_quantity]]</f>
        <v>15905.340000000002</v>
      </c>
      <c r="AL60" s="5">
        <f>Table1[[#This Row],[UnitPrice]]*Table1[[#This Row],[scenario_quantity]]*(1-Table1[[#This Row],[cap_adjusted_discount]])</f>
        <v>22309.884000000002</v>
      </c>
      <c r="AM60" s="5">
        <f>Table1[[#This Row],[UnitPrice]]*Table1[[#This Row],[Quantity]]*(1-Table1[[#This Row],[DiscountPct]])</f>
        <v>17847.907199999998</v>
      </c>
      <c r="AN60" s="5">
        <f>Table1[[#This Row],[gross_revenue]]-Table1[[#This Row],[cost_of_goods]]</f>
        <v>5798.4071999999978</v>
      </c>
      <c r="AO60" s="5">
        <f>Table1[[#This Row],[scenario_revenue]]-Table1[[#This Row],[Scenario_unit_cost]]</f>
        <v>6404.5439999999999</v>
      </c>
      <c r="AP60" s="5">
        <f>IF(Table1[[#This Row],[gross_revenue]]=0,0,Table1[[#This Row],[gross_profit]]/Table1[[#This Row],[gross_revenue]])</f>
        <v>0.32487882949100039</v>
      </c>
    </row>
    <row r="61" spans="1:42" x14ac:dyDescent="0.35">
      <c r="A61" t="s">
        <v>304</v>
      </c>
      <c r="B61" t="str">
        <f>_xlfn.TEXTAFTER(Table1[[#This Row],[OrderID]],"-",2)</f>
        <v>922513</v>
      </c>
      <c r="C61">
        <f>YEAR(Table1[[#This Row],[OrderDate]])</f>
        <v>2025</v>
      </c>
      <c r="D61" s="9">
        <f>_xlfn.MINIFS(F:F,P:P,Table1[[#This Row],[Country]])</f>
        <v>44941</v>
      </c>
      <c r="E61" s="7">
        <f>DATEDIF(Table1[[#This Row],[first_time_orders]],Table1[[#This Row],[OrderDate]],"m")</f>
        <v>31</v>
      </c>
      <c r="F61" s="9">
        <v>45897</v>
      </c>
      <c r="G61" s="2" t="str">
        <f>TEXT(Table1[[#This Row],[OrderDate]],"MMM-YYYY")</f>
        <v>Aug-2025</v>
      </c>
      <c r="H61" s="7">
        <f>MONTH(Table1[[#This Row],[OrderDate]])</f>
        <v>8</v>
      </c>
      <c r="I61" s="7" t="str">
        <f>"Q"&amp;ROUNDUP(Table1[[#This Row],[months]]/3,0)&amp;"-"&amp;Table1[[#This Row],[order_year]]</f>
        <v>Q3-2025</v>
      </c>
      <c r="J61" s="7">
        <f>Table1[[#This Row],[RequiredDate]]-Table1[[#This Row],[OrderDate]]</f>
        <v>-2</v>
      </c>
      <c r="K61" s="7">
        <f>IF(Table1[[#This Row],[lead_time]]&lt;0,MEDIAN(J:J),Table1[[#This Row],[lead_time]])</f>
        <v>15</v>
      </c>
      <c r="L61" s="7">
        <f>IF(Table1[[#This Row],[adj_lead_time]]&lt;=7,1,0)</f>
        <v>0</v>
      </c>
      <c r="M61" s="9">
        <v>45895</v>
      </c>
      <c r="N61" s="9">
        <f>IF(Table1[[#This Row],[lead_time]]&lt;0,(Table1[[#This Row],[OrderDate]]+Table1[[#This Row],[adj_lead_time]]),Table1[[#This Row],[RequiredDate]])</f>
        <v>45912</v>
      </c>
      <c r="O61" t="s">
        <v>646</v>
      </c>
      <c r="P61" t="s">
        <v>651</v>
      </c>
      <c r="Q61" t="s">
        <v>663</v>
      </c>
      <c r="R61" t="s">
        <v>705</v>
      </c>
      <c r="S61" t="s">
        <v>707</v>
      </c>
      <c r="T61" t="s">
        <v>720</v>
      </c>
      <c r="U61" t="s">
        <v>733</v>
      </c>
      <c r="V61" t="s">
        <v>1024</v>
      </c>
      <c r="W61">
        <v>521.05999999999995</v>
      </c>
      <c r="X61">
        <f>Table1[[#This Row],[UnitCost]]*(1+'scenario modeling'!$B$3)</f>
        <v>573.16599999999994</v>
      </c>
      <c r="Y61">
        <v>1240.31</v>
      </c>
      <c r="Z61" t="str">
        <f>IF(Table1[[#This Row],[UnitPrice]]&lt;=Quantiles!$B$2,Quantiles!$A$2,IF(Table1[[#This Row],[UnitPrice]]&lt;=Quantiles!$B$3,Quantiles!$A$3,Quantiles!$A$4))</f>
        <v>Medium</v>
      </c>
      <c r="AA61">
        <v>0.14599999999999999</v>
      </c>
      <c r="AB61" s="5">
        <f>MIN(Table1[[#This Row],[DiscountPct]],'scenario modeling'!$B$2)</f>
        <v>0.1</v>
      </c>
      <c r="AC61" t="str">
        <f>IF(Table1[[#This Row],[DiscountPct]]&gt;0.3, "&gt;0.3","")</f>
        <v/>
      </c>
      <c r="AD61">
        <v>18</v>
      </c>
      <c r="AE61">
        <f>Table1[[#This Row],[Quantity]]*(1+'scenario modeling'!$B$4)</f>
        <v>21.599999999999998</v>
      </c>
      <c r="AF61">
        <f>Table1[[#This Row],[UnitCost]]*Table1[[#This Row],[Quantity]]</f>
        <v>9379.0799999999981</v>
      </c>
      <c r="AG61">
        <f>SUMIF($U:U,Table1[[#This Row],[ProductCategory]],$AM:AM)</f>
        <v>1331102.9440700002</v>
      </c>
      <c r="AH61">
        <f>SUMIFS($AM$2:AM61,$U$2:U61,U61)</f>
        <v>1022332.5710800001</v>
      </c>
      <c r="AI61" s="5">
        <f>Table1[[#This Row],[Cumulative_revenue]]/Table1[[#This Row],[Category_revenue]]</f>
        <v>0.76803418971796489</v>
      </c>
      <c r="AJ61" t="str">
        <f>IF(Table1[[#This Row],[cumulative_pct]]&lt;=0.8,"A",IF(Table1[[#This Row],[cumulative_pct]]&lt;=0.95,"B","C"))</f>
        <v>A</v>
      </c>
      <c r="AK61">
        <f>Table1[[#This Row],[adj_unit_cost]]*Table1[[#This Row],[scenario_quantity]]</f>
        <v>12380.385599999998</v>
      </c>
      <c r="AL61" s="5">
        <f>Table1[[#This Row],[UnitPrice]]*Table1[[#This Row],[scenario_quantity]]*(1-Table1[[#This Row],[cap_adjusted_discount]])</f>
        <v>24111.626399999997</v>
      </c>
      <c r="AM61" s="5">
        <f>Table1[[#This Row],[UnitPrice]]*Table1[[#This Row],[Quantity]]*(1-Table1[[#This Row],[DiscountPct]])</f>
        <v>19066.045319999997</v>
      </c>
      <c r="AN61" s="5">
        <f>Table1[[#This Row],[gross_revenue]]-Table1[[#This Row],[cost_of_goods]]</f>
        <v>9686.9653199999993</v>
      </c>
      <c r="AO61" s="5">
        <f>Table1[[#This Row],[scenario_revenue]]-Table1[[#This Row],[Scenario_unit_cost]]</f>
        <v>11731.2408</v>
      </c>
      <c r="AP61" s="5">
        <f>IF(Table1[[#This Row],[gross_revenue]]=0,0,Table1[[#This Row],[gross_profit]]/Table1[[#This Row],[gross_revenue]])</f>
        <v>0.50807417885650974</v>
      </c>
    </row>
    <row r="62" spans="1:42" x14ac:dyDescent="0.35">
      <c r="A62" t="s">
        <v>29</v>
      </c>
      <c r="B62" t="str">
        <f>_xlfn.TEXTAFTER(Table1[[#This Row],[OrderID]],"-",2)</f>
        <v>840976</v>
      </c>
      <c r="C62">
        <f>YEAR(Table1[[#This Row],[OrderDate]])</f>
        <v>2025</v>
      </c>
      <c r="D62" s="9">
        <f>_xlfn.MINIFS(F:F,P:P,Table1[[#This Row],[Country]])</f>
        <v>44955</v>
      </c>
      <c r="E62" s="7">
        <f>DATEDIF(Table1[[#This Row],[first_time_orders]],Table1[[#This Row],[OrderDate]],"m")</f>
        <v>31</v>
      </c>
      <c r="F62" s="9">
        <v>45901</v>
      </c>
      <c r="G62" s="2" t="str">
        <f>TEXT(Table1[[#This Row],[OrderDate]],"MMM-YYYY")</f>
        <v>Sept-2025</v>
      </c>
      <c r="H62" s="7">
        <f>MONTH(Table1[[#This Row],[OrderDate]])</f>
        <v>9</v>
      </c>
      <c r="I62" s="7" t="str">
        <f>"Q"&amp;ROUNDUP(Table1[[#This Row],[months]]/3,0)&amp;"-"&amp;Table1[[#This Row],[order_year]]</f>
        <v>Q3-2025</v>
      </c>
      <c r="J62" s="7">
        <f>Table1[[#This Row],[RequiredDate]]-Table1[[#This Row],[OrderDate]]</f>
        <v>29</v>
      </c>
      <c r="K62" s="7">
        <f>IF(Table1[[#This Row],[lead_time]]&lt;0,MEDIAN(J:J),Table1[[#This Row],[lead_time]])</f>
        <v>29</v>
      </c>
      <c r="L62" s="7">
        <f>IF(Table1[[#This Row],[adj_lead_time]]&lt;=7,1,0)</f>
        <v>0</v>
      </c>
      <c r="M62" s="9">
        <v>45930</v>
      </c>
      <c r="N62" s="9">
        <f>IF(Table1[[#This Row],[lead_time]]&lt;0,(Table1[[#This Row],[OrderDate]]+Table1[[#This Row],[adj_lead_time]]),Table1[[#This Row],[RequiredDate]])</f>
        <v>45930</v>
      </c>
      <c r="O62" t="s">
        <v>648</v>
      </c>
      <c r="P62" t="s">
        <v>655</v>
      </c>
      <c r="Q62" t="s">
        <v>672</v>
      </c>
      <c r="R62" t="s">
        <v>702</v>
      </c>
      <c r="S62" t="s">
        <v>707</v>
      </c>
      <c r="T62" t="s">
        <v>723</v>
      </c>
      <c r="U62" t="s">
        <v>733</v>
      </c>
      <c r="V62" t="s">
        <v>748</v>
      </c>
      <c r="W62">
        <v>780.59</v>
      </c>
      <c r="X62">
        <f>Table1[[#This Row],[UnitCost]]*(1+'scenario modeling'!$B$3)</f>
        <v>858.64900000000011</v>
      </c>
      <c r="Y62">
        <v>631.57000000000005</v>
      </c>
      <c r="Z62" t="str">
        <f>IF(Table1[[#This Row],[UnitPrice]]&lt;=Quantiles!$B$2,Quantiles!$A$2,IF(Table1[[#This Row],[UnitPrice]]&lt;=Quantiles!$B$3,Quantiles!$A$3,Quantiles!$A$4))</f>
        <v>Low</v>
      </c>
      <c r="AA62">
        <v>0</v>
      </c>
      <c r="AB62" s="5">
        <f>MIN(Table1[[#This Row],[DiscountPct]],'scenario modeling'!$B$2)</f>
        <v>0</v>
      </c>
      <c r="AC62" t="str">
        <f>IF(Table1[[#This Row],[DiscountPct]]&gt;0.3, "&gt;0.3","")</f>
        <v/>
      </c>
      <c r="AD62">
        <v>12</v>
      </c>
      <c r="AE62">
        <f>Table1[[#This Row],[Quantity]]*(1+'scenario modeling'!$B$4)</f>
        <v>14.399999999999999</v>
      </c>
      <c r="AF62">
        <f>Table1[[#This Row],[UnitCost]]*Table1[[#This Row],[Quantity]]</f>
        <v>9367.08</v>
      </c>
      <c r="AG62">
        <f>SUMIF($U:U,Table1[[#This Row],[ProductCategory]],$AM:AM)</f>
        <v>1331102.9440700002</v>
      </c>
      <c r="AH62">
        <f>SUMIFS($AM$2:AM62,$U$2:U62,U62)</f>
        <v>1029911.4110800001</v>
      </c>
      <c r="AI62" s="5">
        <f>Table1[[#This Row],[Cumulative_revenue]]/Table1[[#This Row],[Category_revenue]]</f>
        <v>0.77372784401702821</v>
      </c>
      <c r="AJ62" t="str">
        <f>IF(Table1[[#This Row],[cumulative_pct]]&lt;=0.8,"A",IF(Table1[[#This Row],[cumulative_pct]]&lt;=0.95,"B","C"))</f>
        <v>A</v>
      </c>
      <c r="AK62">
        <f>Table1[[#This Row],[adj_unit_cost]]*Table1[[#This Row],[scenario_quantity]]</f>
        <v>12364.545600000001</v>
      </c>
      <c r="AL62" s="5">
        <f>Table1[[#This Row],[UnitPrice]]*Table1[[#This Row],[scenario_quantity]]*(1-Table1[[#This Row],[cap_adjusted_discount]])</f>
        <v>9094.6080000000002</v>
      </c>
      <c r="AM62" s="5">
        <f>Table1[[#This Row],[UnitPrice]]*Table1[[#This Row],[Quantity]]*(1-Table1[[#This Row],[DiscountPct]])</f>
        <v>7578.84</v>
      </c>
      <c r="AN62" s="5">
        <f>Table1[[#This Row],[gross_revenue]]-Table1[[#This Row],[cost_of_goods]]</f>
        <v>-1788.2399999999998</v>
      </c>
      <c r="AO62" s="5">
        <f>Table1[[#This Row],[scenario_revenue]]-Table1[[#This Row],[Scenario_unit_cost]]</f>
        <v>-3269.9376000000011</v>
      </c>
      <c r="AP62" s="5">
        <f>IF(Table1[[#This Row],[gross_revenue]]=0,0,Table1[[#This Row],[gross_profit]]/Table1[[#This Row],[gross_revenue]])</f>
        <v>-0.23595167598207639</v>
      </c>
    </row>
    <row r="63" spans="1:42" x14ac:dyDescent="0.35">
      <c r="A63" t="s">
        <v>195</v>
      </c>
      <c r="B63" t="str">
        <f>_xlfn.TEXTAFTER(Table1[[#This Row],[OrderID]],"-",2)</f>
        <v>667201</v>
      </c>
      <c r="C63">
        <f>YEAR(Table1[[#This Row],[OrderDate]])</f>
        <v>2025</v>
      </c>
      <c r="D63" s="9">
        <f>_xlfn.MINIFS(F:F,P:P,Table1[[#This Row],[Country]])</f>
        <v>44955</v>
      </c>
      <c r="E63" s="7">
        <f>DATEDIF(Table1[[#This Row],[first_time_orders]],Table1[[#This Row],[OrderDate]],"m")</f>
        <v>31</v>
      </c>
      <c r="F63" s="9">
        <v>45915</v>
      </c>
      <c r="G63" s="2" t="str">
        <f>TEXT(Table1[[#This Row],[OrderDate]],"MMM-YYYY")</f>
        <v>Sept-2025</v>
      </c>
      <c r="H63" s="7">
        <f>MONTH(Table1[[#This Row],[OrderDate]])</f>
        <v>9</v>
      </c>
      <c r="I63" s="7" t="str">
        <f>"Q"&amp;ROUNDUP(Table1[[#This Row],[months]]/3,0)&amp;"-"&amp;Table1[[#This Row],[order_year]]</f>
        <v>Q3-2025</v>
      </c>
      <c r="J63" s="7">
        <f>Table1[[#This Row],[RequiredDate]]-Table1[[#This Row],[OrderDate]]</f>
        <v>3</v>
      </c>
      <c r="K63" s="7">
        <f>IF(Table1[[#This Row],[lead_time]]&lt;0,MEDIAN(J:J),Table1[[#This Row],[lead_time]])</f>
        <v>3</v>
      </c>
      <c r="L63" s="7">
        <f>IF(Table1[[#This Row],[adj_lead_time]]&lt;=7,1,0)</f>
        <v>1</v>
      </c>
      <c r="M63" s="9">
        <v>45918</v>
      </c>
      <c r="N63" s="9">
        <f>IF(Table1[[#This Row],[lead_time]]&lt;0,(Table1[[#This Row],[OrderDate]]+Table1[[#This Row],[adj_lead_time]]),Table1[[#This Row],[RequiredDate]])</f>
        <v>45918</v>
      </c>
      <c r="O63" t="s">
        <v>648</v>
      </c>
      <c r="P63" t="s">
        <v>655</v>
      </c>
      <c r="Q63" t="s">
        <v>692</v>
      </c>
      <c r="R63" t="s">
        <v>703</v>
      </c>
      <c r="S63" t="s">
        <v>711</v>
      </c>
      <c r="T63" t="s">
        <v>716</v>
      </c>
      <c r="U63" t="s">
        <v>733</v>
      </c>
      <c r="V63" t="s">
        <v>914</v>
      </c>
      <c r="W63">
        <v>5.5</v>
      </c>
      <c r="X63">
        <f>Table1[[#This Row],[UnitCost]]*(1+'scenario modeling'!$B$3)</f>
        <v>6.0500000000000007</v>
      </c>
      <c r="Y63">
        <v>5.92</v>
      </c>
      <c r="Z63" t="str">
        <f>IF(Table1[[#This Row],[UnitPrice]]&lt;=Quantiles!$B$2,Quantiles!$A$2,IF(Table1[[#This Row],[UnitPrice]]&lt;=Quantiles!$B$3,Quantiles!$A$3,Quantiles!$A$4))</f>
        <v>Low</v>
      </c>
      <c r="AA63">
        <v>0.21199999999999999</v>
      </c>
      <c r="AB63" s="5">
        <f>MIN(Table1[[#This Row],[DiscountPct]],'scenario modeling'!$B$2)</f>
        <v>0.1</v>
      </c>
      <c r="AC63" t="str">
        <f>IF(Table1[[#This Row],[DiscountPct]]&gt;0.3, "&gt;0.3","")</f>
        <v/>
      </c>
      <c r="AD63">
        <v>4</v>
      </c>
      <c r="AE63">
        <f>Table1[[#This Row],[Quantity]]*(1+'scenario modeling'!$B$4)</f>
        <v>4.8</v>
      </c>
      <c r="AF63">
        <f>Table1[[#This Row],[UnitCost]]*Table1[[#This Row],[Quantity]]</f>
        <v>22</v>
      </c>
      <c r="AG63">
        <f>SUMIF($U:U,Table1[[#This Row],[ProductCategory]],$AM:AM)</f>
        <v>1331102.9440700002</v>
      </c>
      <c r="AH63">
        <f>SUMIFS($AM$2:AM63,$U$2:U63,U63)</f>
        <v>1029930.0709200001</v>
      </c>
      <c r="AI63" s="5">
        <f>Table1[[#This Row],[Cumulative_revenue]]/Table1[[#This Row],[Category_revenue]]</f>
        <v>0.77374186234677733</v>
      </c>
      <c r="AJ63" t="str">
        <f>IF(Table1[[#This Row],[cumulative_pct]]&lt;=0.8,"A",IF(Table1[[#This Row],[cumulative_pct]]&lt;=0.95,"B","C"))</f>
        <v>A</v>
      </c>
      <c r="AK63">
        <f>Table1[[#This Row],[adj_unit_cost]]*Table1[[#This Row],[scenario_quantity]]</f>
        <v>29.040000000000003</v>
      </c>
      <c r="AL63" s="5">
        <f>Table1[[#This Row],[UnitPrice]]*Table1[[#This Row],[scenario_quantity]]*(1-Table1[[#This Row],[cap_adjusted_discount]])</f>
        <v>25.574400000000001</v>
      </c>
      <c r="AM63" s="5">
        <f>Table1[[#This Row],[UnitPrice]]*Table1[[#This Row],[Quantity]]*(1-Table1[[#This Row],[DiscountPct]])</f>
        <v>18.659839999999999</v>
      </c>
      <c r="AN63" s="5">
        <f>Table1[[#This Row],[gross_revenue]]-Table1[[#This Row],[cost_of_goods]]</f>
        <v>-3.3401600000000009</v>
      </c>
      <c r="AO63" s="5">
        <f>Table1[[#This Row],[scenario_revenue]]-Table1[[#This Row],[Scenario_unit_cost]]</f>
        <v>-3.465600000000002</v>
      </c>
      <c r="AP63" s="5">
        <f>IF(Table1[[#This Row],[gross_revenue]]=0,0,Table1[[#This Row],[gross_profit]]/Table1[[#This Row],[gross_revenue]])</f>
        <v>-0.17900260666758133</v>
      </c>
    </row>
    <row r="64" spans="1:42" x14ac:dyDescent="0.35">
      <c r="A64" t="s">
        <v>339</v>
      </c>
      <c r="B64" t="str">
        <f>_xlfn.TEXTAFTER(Table1[[#This Row],[OrderID]],"-",2)</f>
        <v>144816</v>
      </c>
      <c r="C64">
        <f>YEAR(Table1[[#This Row],[OrderDate]])</f>
        <v>2023</v>
      </c>
      <c r="D64" s="9">
        <f>_xlfn.MINIFS(F:F,P:P,Table1[[#This Row],[Country]])</f>
        <v>44933</v>
      </c>
      <c r="E64" s="7">
        <f>DATEDIF(Table1[[#This Row],[first_time_orders]],Table1[[#This Row],[OrderDate]],"m")</f>
        <v>4</v>
      </c>
      <c r="F64" s="9">
        <v>45053</v>
      </c>
      <c r="G64" s="2" t="str">
        <f>TEXT(Table1[[#This Row],[OrderDate]],"MMM-YYYY")</f>
        <v>May-2023</v>
      </c>
      <c r="H64" s="7">
        <f>MONTH(Table1[[#This Row],[OrderDate]])</f>
        <v>5</v>
      </c>
      <c r="I64" s="7" t="str">
        <f>"Q"&amp;ROUNDUP(Table1[[#This Row],[months]]/3,0)&amp;"-"&amp;Table1[[#This Row],[order_year]]</f>
        <v>Q2-2023</v>
      </c>
      <c r="J64" s="7">
        <f>Table1[[#This Row],[RequiredDate]]-Table1[[#This Row],[OrderDate]]</f>
        <v>22</v>
      </c>
      <c r="K64" s="7">
        <f>IF(Table1[[#This Row],[lead_time]]&lt;0,MEDIAN(J:J),Table1[[#This Row],[lead_time]])</f>
        <v>22</v>
      </c>
      <c r="L64" s="7">
        <f>IF(Table1[[#This Row],[adj_lead_time]]&lt;=7,1,0)</f>
        <v>0</v>
      </c>
      <c r="M64" s="9">
        <v>45075</v>
      </c>
      <c r="N64" s="9">
        <f>IF(Table1[[#This Row],[lead_time]]&lt;0,(Table1[[#This Row],[OrderDate]]+Table1[[#This Row],[adj_lead_time]]),Table1[[#This Row],[RequiredDate]])</f>
        <v>45075</v>
      </c>
      <c r="O64" t="s">
        <v>646</v>
      </c>
      <c r="P64" t="s">
        <v>661</v>
      </c>
      <c r="Q64" t="s">
        <v>687</v>
      </c>
      <c r="R64" t="s">
        <v>702</v>
      </c>
      <c r="S64" t="s">
        <v>710</v>
      </c>
      <c r="T64" t="s">
        <v>723</v>
      </c>
      <c r="U64" t="s">
        <v>733</v>
      </c>
      <c r="V64" t="s">
        <v>1059</v>
      </c>
      <c r="W64">
        <v>653.86</v>
      </c>
      <c r="X64">
        <f>Table1[[#This Row],[UnitCost]]*(1+'scenario modeling'!$B$3)</f>
        <v>719.24600000000009</v>
      </c>
      <c r="Y64">
        <v>931.84</v>
      </c>
      <c r="Z64" t="str">
        <f>IF(Table1[[#This Row],[UnitPrice]]&lt;=Quantiles!$B$2,Quantiles!$A$2,IF(Table1[[#This Row],[UnitPrice]]&lt;=Quantiles!$B$3,Quantiles!$A$3,Quantiles!$A$4))</f>
        <v>Medium</v>
      </c>
      <c r="AA64">
        <v>0.121</v>
      </c>
      <c r="AB64" s="5">
        <f>MIN(Table1[[#This Row],[DiscountPct]],'scenario modeling'!$B$2)</f>
        <v>0.1</v>
      </c>
      <c r="AC64" t="str">
        <f>IF(Table1[[#This Row],[DiscountPct]]&gt;0.3, "&gt;0.3","")</f>
        <v/>
      </c>
      <c r="AD64">
        <v>12</v>
      </c>
      <c r="AE64">
        <f>Table1[[#This Row],[Quantity]]*(1+'scenario modeling'!$B$4)</f>
        <v>14.399999999999999</v>
      </c>
      <c r="AF64">
        <f>Table1[[#This Row],[UnitCost]]*Table1[[#This Row],[Quantity]]</f>
        <v>7846.32</v>
      </c>
      <c r="AG64">
        <f>SUMIF($U:U,Table1[[#This Row],[ProductCategory]],$AM:AM)</f>
        <v>1331102.9440700002</v>
      </c>
      <c r="AH64">
        <f>SUMIFS($AM$2:AM64,$U$2:U64,U64)</f>
        <v>1039759.11924</v>
      </c>
      <c r="AI64" s="5">
        <f>Table1[[#This Row],[Cumulative_revenue]]/Table1[[#This Row],[Category_revenue]]</f>
        <v>0.78112600071397709</v>
      </c>
      <c r="AJ64" t="str">
        <f>IF(Table1[[#This Row],[cumulative_pct]]&lt;=0.8,"A",IF(Table1[[#This Row],[cumulative_pct]]&lt;=0.95,"B","C"))</f>
        <v>A</v>
      </c>
      <c r="AK64">
        <f>Table1[[#This Row],[adj_unit_cost]]*Table1[[#This Row],[scenario_quantity]]</f>
        <v>10357.142400000001</v>
      </c>
      <c r="AL64" s="5">
        <f>Table1[[#This Row],[UnitPrice]]*Table1[[#This Row],[scenario_quantity]]*(1-Table1[[#This Row],[cap_adjusted_discount]])</f>
        <v>12076.6464</v>
      </c>
      <c r="AM64" s="5">
        <f>Table1[[#This Row],[UnitPrice]]*Table1[[#This Row],[Quantity]]*(1-Table1[[#This Row],[DiscountPct]])</f>
        <v>9829.0483199999999</v>
      </c>
      <c r="AN64" s="5">
        <f>Table1[[#This Row],[gross_revenue]]-Table1[[#This Row],[cost_of_goods]]</f>
        <v>1982.7283200000002</v>
      </c>
      <c r="AO64" s="5">
        <f>Table1[[#This Row],[scenario_revenue]]-Table1[[#This Row],[Scenario_unit_cost]]</f>
        <v>1719.503999999999</v>
      </c>
      <c r="AP64" s="5">
        <f>IF(Table1[[#This Row],[gross_revenue]]=0,0,Table1[[#This Row],[gross_profit]]/Table1[[#This Row],[gross_revenue]])</f>
        <v>0.20172129136506273</v>
      </c>
    </row>
    <row r="65" spans="1:42" x14ac:dyDescent="0.35">
      <c r="A65" t="s">
        <v>475</v>
      </c>
      <c r="B65" t="str">
        <f>_xlfn.TEXTAFTER(Table1[[#This Row],[OrderID]],"-",2)</f>
        <v>704111</v>
      </c>
      <c r="C65">
        <f>YEAR(Table1[[#This Row],[OrderDate]])</f>
        <v>2023</v>
      </c>
      <c r="D65" s="9">
        <f>_xlfn.MINIFS(F:F,P:P,Table1[[#This Row],[Country]])</f>
        <v>44933</v>
      </c>
      <c r="E65" s="7">
        <f>DATEDIF(Table1[[#This Row],[first_time_orders]],Table1[[#This Row],[OrderDate]],"m")</f>
        <v>4</v>
      </c>
      <c r="F65" s="9">
        <v>45063</v>
      </c>
      <c r="G65" s="2" t="str">
        <f>TEXT(Table1[[#This Row],[OrderDate]],"MMM-YYYY")</f>
        <v>May-2023</v>
      </c>
      <c r="H65" s="7">
        <f>MONTH(Table1[[#This Row],[OrderDate]])</f>
        <v>5</v>
      </c>
      <c r="I65" s="7" t="str">
        <f>"Q"&amp;ROUNDUP(Table1[[#This Row],[months]]/3,0)&amp;"-"&amp;Table1[[#This Row],[order_year]]</f>
        <v>Q2-2023</v>
      </c>
      <c r="J65" s="7">
        <f>Table1[[#This Row],[RequiredDate]]-Table1[[#This Row],[OrderDate]]</f>
        <v>29</v>
      </c>
      <c r="K65" s="7">
        <f>IF(Table1[[#This Row],[lead_time]]&lt;0,MEDIAN(J:J),Table1[[#This Row],[lead_time]])</f>
        <v>29</v>
      </c>
      <c r="L65" s="7">
        <f>IF(Table1[[#This Row],[adj_lead_time]]&lt;=7,1,0)</f>
        <v>0</v>
      </c>
      <c r="M65" s="9">
        <v>45092</v>
      </c>
      <c r="N65" s="9">
        <f>IF(Table1[[#This Row],[lead_time]]&lt;0,(Table1[[#This Row],[OrderDate]]+Table1[[#This Row],[adj_lead_time]]),Table1[[#This Row],[RequiredDate]])</f>
        <v>45092</v>
      </c>
      <c r="O65" t="s">
        <v>646</v>
      </c>
      <c r="P65" t="s">
        <v>661</v>
      </c>
      <c r="Q65" t="s">
        <v>687</v>
      </c>
      <c r="R65" t="s">
        <v>706</v>
      </c>
      <c r="S65" t="s">
        <v>707</v>
      </c>
      <c r="T65" t="s">
        <v>723</v>
      </c>
      <c r="U65" t="s">
        <v>733</v>
      </c>
      <c r="V65" t="s">
        <v>1194</v>
      </c>
      <c r="W65">
        <v>40.89</v>
      </c>
      <c r="X65">
        <f>Table1[[#This Row],[UnitCost]]*(1+'scenario modeling'!$B$3)</f>
        <v>44.979000000000006</v>
      </c>
      <c r="Y65">
        <v>62.82</v>
      </c>
      <c r="Z65" t="str">
        <f>IF(Table1[[#This Row],[UnitPrice]]&lt;=Quantiles!$B$2,Quantiles!$A$2,IF(Table1[[#This Row],[UnitPrice]]&lt;=Quantiles!$B$3,Quantiles!$A$3,Quantiles!$A$4))</f>
        <v>Low</v>
      </c>
      <c r="AA65">
        <v>0.129</v>
      </c>
      <c r="AB65" s="5">
        <f>MIN(Table1[[#This Row],[DiscountPct]],'scenario modeling'!$B$2)</f>
        <v>0.1</v>
      </c>
      <c r="AC65" t="str">
        <f>IF(Table1[[#This Row],[DiscountPct]]&gt;0.3, "&gt;0.3","")</f>
        <v/>
      </c>
      <c r="AD65">
        <v>17</v>
      </c>
      <c r="AE65">
        <f>Table1[[#This Row],[Quantity]]*(1+'scenario modeling'!$B$4)</f>
        <v>20.399999999999999</v>
      </c>
      <c r="AF65">
        <f>Table1[[#This Row],[UnitCost]]*Table1[[#This Row],[Quantity]]</f>
        <v>695.13</v>
      </c>
      <c r="AG65">
        <f>SUMIF($U:U,Table1[[#This Row],[ProductCategory]],$AM:AM)</f>
        <v>1331102.9440700002</v>
      </c>
      <c r="AH65">
        <f>SUMIFS($AM$2:AM65,$U$2:U65,U65)</f>
        <v>1040689.29498</v>
      </c>
      <c r="AI65" s="5">
        <f>Table1[[#This Row],[Cumulative_revenue]]/Table1[[#This Row],[Category_revenue]]</f>
        <v>0.78182480146725009</v>
      </c>
      <c r="AJ65" t="str">
        <f>IF(Table1[[#This Row],[cumulative_pct]]&lt;=0.8,"A",IF(Table1[[#This Row],[cumulative_pct]]&lt;=0.95,"B","C"))</f>
        <v>A</v>
      </c>
      <c r="AK65">
        <f>Table1[[#This Row],[adj_unit_cost]]*Table1[[#This Row],[scenario_quantity]]</f>
        <v>917.5716000000001</v>
      </c>
      <c r="AL65" s="5">
        <f>Table1[[#This Row],[UnitPrice]]*Table1[[#This Row],[scenario_quantity]]*(1-Table1[[#This Row],[cap_adjusted_discount]])</f>
        <v>1153.3751999999999</v>
      </c>
      <c r="AM65" s="5">
        <f>Table1[[#This Row],[UnitPrice]]*Table1[[#This Row],[Quantity]]*(1-Table1[[#This Row],[DiscountPct]])</f>
        <v>930.17574000000002</v>
      </c>
      <c r="AN65" s="5">
        <f>Table1[[#This Row],[gross_revenue]]-Table1[[#This Row],[cost_of_goods]]</f>
        <v>235.04574000000002</v>
      </c>
      <c r="AO65" s="5">
        <f>Table1[[#This Row],[scenario_revenue]]-Table1[[#This Row],[Scenario_unit_cost]]</f>
        <v>235.80359999999985</v>
      </c>
      <c r="AP65" s="5">
        <f>IF(Table1[[#This Row],[gross_revenue]]=0,0,Table1[[#This Row],[gross_profit]]/Table1[[#This Row],[gross_revenue]])</f>
        <v>0.25268960465470752</v>
      </c>
    </row>
    <row r="66" spans="1:42" x14ac:dyDescent="0.35">
      <c r="A66" t="s">
        <v>585</v>
      </c>
      <c r="B66" t="str">
        <f>_xlfn.TEXTAFTER(Table1[[#This Row],[OrderID]],"-",2)</f>
        <v>868460</v>
      </c>
      <c r="C66">
        <f>YEAR(Table1[[#This Row],[OrderDate]])</f>
        <v>2023</v>
      </c>
      <c r="D66" s="9">
        <f>_xlfn.MINIFS(F:F,P:P,Table1[[#This Row],[Country]])</f>
        <v>44955</v>
      </c>
      <c r="E66" s="7">
        <f>DATEDIF(Table1[[#This Row],[first_time_orders]],Table1[[#This Row],[OrderDate]],"m")</f>
        <v>4</v>
      </c>
      <c r="F66" s="9">
        <v>45078</v>
      </c>
      <c r="G66" s="2" t="str">
        <f>TEXT(Table1[[#This Row],[OrderDate]],"MMM-YYYY")</f>
        <v>Jun-2023</v>
      </c>
      <c r="H66" s="7">
        <f>MONTH(Table1[[#This Row],[OrderDate]])</f>
        <v>6</v>
      </c>
      <c r="I66" s="7" t="str">
        <f>"Q"&amp;ROUNDUP(Table1[[#This Row],[months]]/3,0)&amp;"-"&amp;Table1[[#This Row],[order_year]]</f>
        <v>Q2-2023</v>
      </c>
      <c r="J66" s="7">
        <f>Table1[[#This Row],[RequiredDate]]-Table1[[#This Row],[OrderDate]]</f>
        <v>0</v>
      </c>
      <c r="K66" s="7">
        <f>IF(Table1[[#This Row],[lead_time]]&lt;0,MEDIAN(J:J),Table1[[#This Row],[lead_time]])</f>
        <v>0</v>
      </c>
      <c r="L66" s="7">
        <f>IF(Table1[[#This Row],[adj_lead_time]]&lt;=7,1,0)</f>
        <v>1</v>
      </c>
      <c r="M66" s="9">
        <v>45078</v>
      </c>
      <c r="N66" s="9">
        <f>IF(Table1[[#This Row],[lead_time]]&lt;0,(Table1[[#This Row],[OrderDate]]+Table1[[#This Row],[adj_lead_time]]),Table1[[#This Row],[RequiredDate]])</f>
        <v>45078</v>
      </c>
      <c r="O66" t="s">
        <v>647</v>
      </c>
      <c r="P66" t="s">
        <v>654</v>
      </c>
      <c r="Q66" t="s">
        <v>668</v>
      </c>
      <c r="R66" t="s">
        <v>701</v>
      </c>
      <c r="S66" t="s">
        <v>707</v>
      </c>
      <c r="T66" t="s">
        <v>718</v>
      </c>
      <c r="U66" t="s">
        <v>733</v>
      </c>
      <c r="V66" t="s">
        <v>1303</v>
      </c>
      <c r="W66">
        <v>669.37</v>
      </c>
      <c r="X66">
        <f>Table1[[#This Row],[UnitCost]]*(1+'scenario modeling'!$B$3)</f>
        <v>736.30700000000002</v>
      </c>
      <c r="Y66">
        <v>997.2</v>
      </c>
      <c r="Z66" t="str">
        <f>IF(Table1[[#This Row],[UnitPrice]]&lt;=Quantiles!$B$2,Quantiles!$A$2,IF(Table1[[#This Row],[UnitPrice]]&lt;=Quantiles!$B$3,Quantiles!$A$3,Quantiles!$A$4))</f>
        <v>Medium</v>
      </c>
      <c r="AA66">
        <v>8.2000000000000003E-2</v>
      </c>
      <c r="AB66" s="5">
        <f>MIN(Table1[[#This Row],[DiscountPct]],'scenario modeling'!$B$2)</f>
        <v>8.2000000000000003E-2</v>
      </c>
      <c r="AC66" t="str">
        <f>IF(Table1[[#This Row],[DiscountPct]]&gt;0.3, "&gt;0.3","")</f>
        <v/>
      </c>
      <c r="AD66">
        <v>5</v>
      </c>
      <c r="AE66">
        <f>Table1[[#This Row],[Quantity]]*(1+'scenario modeling'!$B$4)</f>
        <v>6</v>
      </c>
      <c r="AF66">
        <f>Table1[[#This Row],[UnitCost]]*Table1[[#This Row],[Quantity]]</f>
        <v>3346.85</v>
      </c>
      <c r="AG66">
        <f>SUMIF($U:U,Table1[[#This Row],[ProductCategory]],$AM:AM)</f>
        <v>1331102.9440700002</v>
      </c>
      <c r="AH66">
        <f>SUMIFS($AM$2:AM66,$U$2:U66,U66)</f>
        <v>1045266.4429800001</v>
      </c>
      <c r="AI66" s="5">
        <f>Table1[[#This Row],[Cumulative_revenue]]/Table1[[#This Row],[Category_revenue]]</f>
        <v>0.78526341455152804</v>
      </c>
      <c r="AJ66" t="str">
        <f>IF(Table1[[#This Row],[cumulative_pct]]&lt;=0.8,"A",IF(Table1[[#This Row],[cumulative_pct]]&lt;=0.95,"B","C"))</f>
        <v>A</v>
      </c>
      <c r="AK66">
        <f>Table1[[#This Row],[adj_unit_cost]]*Table1[[#This Row],[scenario_quantity]]</f>
        <v>4417.8420000000006</v>
      </c>
      <c r="AL66" s="5">
        <f>Table1[[#This Row],[UnitPrice]]*Table1[[#This Row],[scenario_quantity]]*(1-Table1[[#This Row],[cap_adjusted_discount]])</f>
        <v>5492.5776000000005</v>
      </c>
      <c r="AM66" s="5">
        <f>Table1[[#This Row],[UnitPrice]]*Table1[[#This Row],[Quantity]]*(1-Table1[[#This Row],[DiscountPct]])</f>
        <v>4577.1480000000001</v>
      </c>
      <c r="AN66" s="5">
        <f>Table1[[#This Row],[gross_revenue]]-Table1[[#This Row],[cost_of_goods]]</f>
        <v>1230.2980000000002</v>
      </c>
      <c r="AO66" s="5">
        <f>Table1[[#This Row],[scenario_revenue]]-Table1[[#This Row],[Scenario_unit_cost]]</f>
        <v>1074.7356</v>
      </c>
      <c r="AP66" s="5">
        <f>IF(Table1[[#This Row],[gross_revenue]]=0,0,Table1[[#This Row],[gross_profit]]/Table1[[#This Row],[gross_revenue]])</f>
        <v>0.26879139586484863</v>
      </c>
    </row>
    <row r="67" spans="1:42" x14ac:dyDescent="0.35">
      <c r="A67" t="s">
        <v>275</v>
      </c>
      <c r="B67" t="str">
        <f>_xlfn.TEXTAFTER(Table1[[#This Row],[OrderID]],"-",2)</f>
        <v>521280</v>
      </c>
      <c r="C67">
        <f>YEAR(Table1[[#This Row],[OrderDate]])</f>
        <v>2023</v>
      </c>
      <c r="D67" s="9">
        <f>_xlfn.MINIFS(F:F,P:P,Table1[[#This Row],[Country]])</f>
        <v>44948</v>
      </c>
      <c r="E67" s="7">
        <f>DATEDIF(Table1[[#This Row],[first_time_orders]],Table1[[#This Row],[OrderDate]],"m")</f>
        <v>4</v>
      </c>
      <c r="F67" s="9">
        <v>45073</v>
      </c>
      <c r="G67" s="2" t="str">
        <f>TEXT(Table1[[#This Row],[OrderDate]],"MMM-YYYY")</f>
        <v>May-2023</v>
      </c>
      <c r="H67" s="7">
        <f>MONTH(Table1[[#This Row],[OrderDate]])</f>
        <v>5</v>
      </c>
      <c r="I67" s="7" t="str">
        <f>"Q"&amp;ROUNDUP(Table1[[#This Row],[months]]/3,0)&amp;"-"&amp;Table1[[#This Row],[order_year]]</f>
        <v>Q2-2023</v>
      </c>
      <c r="J67" s="7">
        <f>Table1[[#This Row],[RequiredDate]]-Table1[[#This Row],[OrderDate]]</f>
        <v>23</v>
      </c>
      <c r="K67" s="7">
        <f>IF(Table1[[#This Row],[lead_time]]&lt;0,MEDIAN(J:J),Table1[[#This Row],[lead_time]])</f>
        <v>23</v>
      </c>
      <c r="L67" s="7">
        <f>IF(Table1[[#This Row],[adj_lead_time]]&lt;=7,1,0)</f>
        <v>0</v>
      </c>
      <c r="M67" s="9">
        <v>45096</v>
      </c>
      <c r="N67" s="9">
        <f>IF(Table1[[#This Row],[lead_time]]&lt;0,(Table1[[#This Row],[OrderDate]]+Table1[[#This Row],[adj_lead_time]]),Table1[[#This Row],[RequiredDate]])</f>
        <v>45096</v>
      </c>
      <c r="O67" t="s">
        <v>649</v>
      </c>
      <c r="P67" t="s">
        <v>656</v>
      </c>
      <c r="Q67" t="s">
        <v>671</v>
      </c>
      <c r="R67" t="s">
        <v>702</v>
      </c>
      <c r="S67" t="s">
        <v>707</v>
      </c>
      <c r="T67" t="s">
        <v>719</v>
      </c>
      <c r="U67" t="s">
        <v>733</v>
      </c>
      <c r="V67" t="s">
        <v>995</v>
      </c>
      <c r="W67">
        <v>1471.58</v>
      </c>
      <c r="X67">
        <f>Table1[[#This Row],[UnitCost]]*(1+'scenario modeling'!$B$3)</f>
        <v>1618.7380000000001</v>
      </c>
      <c r="Y67">
        <v>2576.65</v>
      </c>
      <c r="Z67" t="str">
        <f>IF(Table1[[#This Row],[UnitPrice]]&lt;=Quantiles!$B$2,Quantiles!$A$2,IF(Table1[[#This Row],[UnitPrice]]&lt;=Quantiles!$B$3,Quantiles!$A$3,Quantiles!$A$4))</f>
        <v>High</v>
      </c>
      <c r="AA67">
        <v>4.0000000000000001E-3</v>
      </c>
      <c r="AB67" s="5">
        <f>MIN(Table1[[#This Row],[DiscountPct]],'scenario modeling'!$B$2)</f>
        <v>4.0000000000000001E-3</v>
      </c>
      <c r="AC67" t="str">
        <f>IF(Table1[[#This Row],[DiscountPct]]&gt;0.3, "&gt;0.3","")</f>
        <v/>
      </c>
      <c r="AD67">
        <v>7</v>
      </c>
      <c r="AE67">
        <f>Table1[[#This Row],[Quantity]]*(1+'scenario modeling'!$B$4)</f>
        <v>8.4</v>
      </c>
      <c r="AF67">
        <f>Table1[[#This Row],[UnitCost]]*Table1[[#This Row],[Quantity]]</f>
        <v>10301.06</v>
      </c>
      <c r="AG67">
        <f>SUMIF($U:U,Table1[[#This Row],[ProductCategory]],$AM:AM)</f>
        <v>1331102.9440700002</v>
      </c>
      <c r="AH67">
        <f>SUMIFS($AM$2:AM67,$U$2:U67,U67)</f>
        <v>1063230.84678</v>
      </c>
      <c r="AI67" s="5">
        <f>Table1[[#This Row],[Cumulative_revenue]]/Table1[[#This Row],[Category_revenue]]</f>
        <v>0.79875929319865335</v>
      </c>
      <c r="AJ67" t="str">
        <f>IF(Table1[[#This Row],[cumulative_pct]]&lt;=0.8,"A",IF(Table1[[#This Row],[cumulative_pct]]&lt;=0.95,"B","C"))</f>
        <v>A</v>
      </c>
      <c r="AK67">
        <f>Table1[[#This Row],[adj_unit_cost]]*Table1[[#This Row],[scenario_quantity]]</f>
        <v>13597.399200000002</v>
      </c>
      <c r="AL67" s="5">
        <f>Table1[[#This Row],[UnitPrice]]*Table1[[#This Row],[scenario_quantity]]*(1-Table1[[#This Row],[cap_adjusted_discount]])</f>
        <v>21557.28456</v>
      </c>
      <c r="AM67" s="5">
        <f>Table1[[#This Row],[UnitPrice]]*Table1[[#This Row],[Quantity]]*(1-Table1[[#This Row],[DiscountPct]])</f>
        <v>17964.4038</v>
      </c>
      <c r="AN67" s="5">
        <f>Table1[[#This Row],[gross_revenue]]-Table1[[#This Row],[cost_of_goods]]</f>
        <v>7663.3438000000006</v>
      </c>
      <c r="AO67" s="5">
        <f>Table1[[#This Row],[scenario_revenue]]-Table1[[#This Row],[Scenario_unit_cost]]</f>
        <v>7959.8853599999984</v>
      </c>
      <c r="AP67" s="5">
        <f>IF(Table1[[#This Row],[gross_revenue]]=0,0,Table1[[#This Row],[gross_profit]]/Table1[[#This Row],[gross_revenue]])</f>
        <v>0.4265849223451546</v>
      </c>
    </row>
    <row r="68" spans="1:42" x14ac:dyDescent="0.35">
      <c r="A68" t="s">
        <v>592</v>
      </c>
      <c r="B68" t="str">
        <f>_xlfn.TEXTAFTER(Table1[[#This Row],[OrderID]],"-",2)</f>
        <v>173313</v>
      </c>
      <c r="C68">
        <f>YEAR(Table1[[#This Row],[OrderDate]])</f>
        <v>2023</v>
      </c>
      <c r="D68" s="9">
        <f>_xlfn.MINIFS(F:F,P:P,Table1[[#This Row],[Country]])</f>
        <v>44945</v>
      </c>
      <c r="E68" s="7">
        <f>DATEDIF(Table1[[#This Row],[first_time_orders]],Table1[[#This Row],[OrderDate]],"m")</f>
        <v>4</v>
      </c>
      <c r="F68" s="9">
        <v>45092</v>
      </c>
      <c r="G68" s="2" t="str">
        <f>TEXT(Table1[[#This Row],[OrderDate]],"MMM-YYYY")</f>
        <v>Jun-2023</v>
      </c>
      <c r="H68" s="7">
        <f>MONTH(Table1[[#This Row],[OrderDate]])</f>
        <v>6</v>
      </c>
      <c r="I68" s="7" t="str">
        <f>"Q"&amp;ROUNDUP(Table1[[#This Row],[months]]/3,0)&amp;"-"&amp;Table1[[#This Row],[order_year]]</f>
        <v>Q2-2023</v>
      </c>
      <c r="J68" s="7">
        <f>Table1[[#This Row],[RequiredDate]]-Table1[[#This Row],[OrderDate]]</f>
        <v>27</v>
      </c>
      <c r="K68" s="7">
        <f>IF(Table1[[#This Row],[lead_time]]&lt;0,MEDIAN(J:J),Table1[[#This Row],[lead_time]])</f>
        <v>27</v>
      </c>
      <c r="L68" s="7">
        <f>IF(Table1[[#This Row],[adj_lead_time]]&lt;=7,1,0)</f>
        <v>0</v>
      </c>
      <c r="M68" s="9">
        <v>45119</v>
      </c>
      <c r="N68" s="9">
        <f>IF(Table1[[#This Row],[lead_time]]&lt;0,(Table1[[#This Row],[OrderDate]]+Table1[[#This Row],[adj_lead_time]]),Table1[[#This Row],[RequiredDate]])</f>
        <v>45119</v>
      </c>
      <c r="O68" t="s">
        <v>649</v>
      </c>
      <c r="P68" t="s">
        <v>658</v>
      </c>
      <c r="Q68" t="s">
        <v>693</v>
      </c>
      <c r="R68" t="s">
        <v>704</v>
      </c>
      <c r="S68" t="s">
        <v>711</v>
      </c>
      <c r="T68" t="s">
        <v>714</v>
      </c>
      <c r="U68" t="s">
        <v>733</v>
      </c>
      <c r="V68" t="s">
        <v>1310</v>
      </c>
      <c r="W68">
        <v>751.28</v>
      </c>
      <c r="X68">
        <f>Table1[[#This Row],[UnitCost]]*(1+'scenario modeling'!$B$3)</f>
        <v>826.40800000000002</v>
      </c>
      <c r="Y68">
        <v>1111.8800000000001</v>
      </c>
      <c r="Z68" t="str">
        <f>IF(Table1[[#This Row],[UnitPrice]]&lt;=Quantiles!$B$2,Quantiles!$A$2,IF(Table1[[#This Row],[UnitPrice]]&lt;=Quantiles!$B$3,Quantiles!$A$3,Quantiles!$A$4))</f>
        <v>Medium</v>
      </c>
      <c r="AA68">
        <v>0.13500000000000001</v>
      </c>
      <c r="AB68" s="5">
        <f>MIN(Table1[[#This Row],[DiscountPct]],'scenario modeling'!$B$2)</f>
        <v>0.1</v>
      </c>
      <c r="AC68" t="str">
        <f>IF(Table1[[#This Row],[DiscountPct]]&gt;0.3, "&gt;0.3","")</f>
        <v/>
      </c>
      <c r="AD68">
        <v>7</v>
      </c>
      <c r="AE68">
        <f>Table1[[#This Row],[Quantity]]*(1+'scenario modeling'!$B$4)</f>
        <v>8.4</v>
      </c>
      <c r="AF68">
        <f>Table1[[#This Row],[UnitCost]]*Table1[[#This Row],[Quantity]]</f>
        <v>5258.96</v>
      </c>
      <c r="AG68">
        <f>SUMIF($U:U,Table1[[#This Row],[ProductCategory]],$AM:AM)</f>
        <v>1331102.9440700002</v>
      </c>
      <c r="AH68">
        <f>SUMIFS($AM$2:AM68,$U$2:U68,U68)</f>
        <v>1069963.28018</v>
      </c>
      <c r="AI68" s="5">
        <f>Table1[[#This Row],[Cumulative_revenue]]/Table1[[#This Row],[Category_revenue]]</f>
        <v>0.80381707887179965</v>
      </c>
      <c r="AJ68" t="str">
        <f>IF(Table1[[#This Row],[cumulative_pct]]&lt;=0.8,"A",IF(Table1[[#This Row],[cumulative_pct]]&lt;=0.95,"B","C"))</f>
        <v>B</v>
      </c>
      <c r="AK68">
        <f>Table1[[#This Row],[adj_unit_cost]]*Table1[[#This Row],[scenario_quantity]]</f>
        <v>6941.8272000000006</v>
      </c>
      <c r="AL68" s="5">
        <f>Table1[[#This Row],[UnitPrice]]*Table1[[#This Row],[scenario_quantity]]*(1-Table1[[#This Row],[cap_adjusted_discount]])</f>
        <v>8405.8128000000015</v>
      </c>
      <c r="AM68" s="5">
        <f>Table1[[#This Row],[UnitPrice]]*Table1[[#This Row],[Quantity]]*(1-Table1[[#This Row],[DiscountPct]])</f>
        <v>6732.4334000000008</v>
      </c>
      <c r="AN68" s="5">
        <f>Table1[[#This Row],[gross_revenue]]-Table1[[#This Row],[cost_of_goods]]</f>
        <v>1473.4734000000008</v>
      </c>
      <c r="AO68" s="5">
        <f>Table1[[#This Row],[scenario_revenue]]-Table1[[#This Row],[Scenario_unit_cost]]</f>
        <v>1463.9856000000009</v>
      </c>
      <c r="AP68" s="5">
        <f>IF(Table1[[#This Row],[gross_revenue]]=0,0,Table1[[#This Row],[gross_profit]]/Table1[[#This Row],[gross_revenue]])</f>
        <v>0.21886193482433863</v>
      </c>
    </row>
    <row r="69" spans="1:42" x14ac:dyDescent="0.35">
      <c r="A69" t="s">
        <v>366</v>
      </c>
      <c r="B69" t="str">
        <f>_xlfn.TEXTAFTER(Table1[[#This Row],[OrderID]],"-",2)</f>
        <v>479747</v>
      </c>
      <c r="C69">
        <f>YEAR(Table1[[#This Row],[OrderDate]])</f>
        <v>2023</v>
      </c>
      <c r="D69" s="9">
        <f>_xlfn.MINIFS(F:F,P:P,Table1[[#This Row],[Country]])</f>
        <v>44941</v>
      </c>
      <c r="E69" s="7">
        <f>DATEDIF(Table1[[#This Row],[first_time_orders]],Table1[[#This Row],[OrderDate]],"m")</f>
        <v>5</v>
      </c>
      <c r="F69" s="9">
        <v>45121</v>
      </c>
      <c r="G69" s="2" t="str">
        <f>TEXT(Table1[[#This Row],[OrderDate]],"MMM-YYYY")</f>
        <v>Jul-2023</v>
      </c>
      <c r="H69" s="7">
        <f>MONTH(Table1[[#This Row],[OrderDate]])</f>
        <v>7</v>
      </c>
      <c r="I69" s="7" t="str">
        <f>"Q"&amp;ROUNDUP(Table1[[#This Row],[months]]/3,0)&amp;"-"&amp;Table1[[#This Row],[order_year]]</f>
        <v>Q3-2023</v>
      </c>
      <c r="J69" s="7">
        <f>Table1[[#This Row],[RequiredDate]]-Table1[[#This Row],[OrderDate]]</f>
        <v>0</v>
      </c>
      <c r="K69" s="7">
        <f>IF(Table1[[#This Row],[lead_time]]&lt;0,MEDIAN(J:J),Table1[[#This Row],[lead_time]])</f>
        <v>0</v>
      </c>
      <c r="L69" s="7">
        <f>IF(Table1[[#This Row],[adj_lead_time]]&lt;=7,1,0)</f>
        <v>1</v>
      </c>
      <c r="M69" s="9">
        <v>45121</v>
      </c>
      <c r="N69" s="9">
        <f>IF(Table1[[#This Row],[lead_time]]&lt;0,(Table1[[#This Row],[OrderDate]]+Table1[[#This Row],[adj_lead_time]]),Table1[[#This Row],[RequiredDate]])</f>
        <v>45121</v>
      </c>
      <c r="O69" t="s">
        <v>646</v>
      </c>
      <c r="P69" t="s">
        <v>651</v>
      </c>
      <c r="Q69" t="s">
        <v>665</v>
      </c>
      <c r="R69" t="s">
        <v>702</v>
      </c>
      <c r="S69" t="s">
        <v>707</v>
      </c>
      <c r="T69" t="s">
        <v>714</v>
      </c>
      <c r="U69" t="s">
        <v>733</v>
      </c>
      <c r="V69" t="s">
        <v>1086</v>
      </c>
      <c r="W69">
        <v>956.38</v>
      </c>
      <c r="X69">
        <f>Table1[[#This Row],[UnitCost]]*(1+'scenario modeling'!$B$3)</f>
        <v>1052.018</v>
      </c>
      <c r="Y69">
        <v>1454.22</v>
      </c>
      <c r="Z69" t="str">
        <f>IF(Table1[[#This Row],[UnitPrice]]&lt;=Quantiles!$B$2,Quantiles!$A$2,IF(Table1[[#This Row],[UnitPrice]]&lt;=Quantiles!$B$3,Quantiles!$A$3,Quantiles!$A$4))</f>
        <v>Medium</v>
      </c>
      <c r="AA69">
        <v>3.9E-2</v>
      </c>
      <c r="AB69" s="5">
        <f>MIN(Table1[[#This Row],[DiscountPct]],'scenario modeling'!$B$2)</f>
        <v>3.9E-2</v>
      </c>
      <c r="AC69" t="str">
        <f>IF(Table1[[#This Row],[DiscountPct]]&gt;0.3, "&gt;0.3","")</f>
        <v/>
      </c>
      <c r="AD69">
        <v>19</v>
      </c>
      <c r="AE69">
        <f>Table1[[#This Row],[Quantity]]*(1+'scenario modeling'!$B$4)</f>
        <v>22.8</v>
      </c>
      <c r="AF69">
        <f>Table1[[#This Row],[UnitCost]]*Table1[[#This Row],[Quantity]]</f>
        <v>18171.22</v>
      </c>
      <c r="AG69">
        <f>SUMIF($U:U,Table1[[#This Row],[ProductCategory]],$AM:AM)</f>
        <v>1331102.9440700002</v>
      </c>
      <c r="AH69">
        <f>SUMIFS($AM$2:AM69,$U$2:U69,U69)</f>
        <v>1096515.88316</v>
      </c>
      <c r="AI69" s="5">
        <f>Table1[[#This Row],[Cumulative_revenue]]/Table1[[#This Row],[Category_revenue]]</f>
        <v>0.82376489966078559</v>
      </c>
      <c r="AJ69" t="str">
        <f>IF(Table1[[#This Row],[cumulative_pct]]&lt;=0.8,"A",IF(Table1[[#This Row],[cumulative_pct]]&lt;=0.95,"B","C"))</f>
        <v>B</v>
      </c>
      <c r="AK69">
        <f>Table1[[#This Row],[adj_unit_cost]]*Table1[[#This Row],[scenario_quantity]]</f>
        <v>23986.010400000003</v>
      </c>
      <c r="AL69" s="5">
        <f>Table1[[#This Row],[UnitPrice]]*Table1[[#This Row],[scenario_quantity]]*(1-Table1[[#This Row],[cap_adjusted_discount]])</f>
        <v>31863.123575999998</v>
      </c>
      <c r="AM69" s="5">
        <f>Table1[[#This Row],[UnitPrice]]*Table1[[#This Row],[Quantity]]*(1-Table1[[#This Row],[DiscountPct]])</f>
        <v>26552.60298</v>
      </c>
      <c r="AN69" s="5">
        <f>Table1[[#This Row],[gross_revenue]]-Table1[[#This Row],[cost_of_goods]]</f>
        <v>8381.3829799999985</v>
      </c>
      <c r="AO69" s="5">
        <f>Table1[[#This Row],[scenario_revenue]]-Table1[[#This Row],[Scenario_unit_cost]]</f>
        <v>7877.1131759999953</v>
      </c>
      <c r="AP69" s="5">
        <f>IF(Table1[[#This Row],[gross_revenue]]=0,0,Table1[[#This Row],[gross_profit]]/Table1[[#This Row],[gross_revenue]])</f>
        <v>0.31565202802576603</v>
      </c>
    </row>
    <row r="70" spans="1:42" x14ac:dyDescent="0.35">
      <c r="A70" t="s">
        <v>326</v>
      </c>
      <c r="B70" t="str">
        <f>_xlfn.TEXTAFTER(Table1[[#This Row],[OrderID]],"-",2)</f>
        <v>890605</v>
      </c>
      <c r="C70">
        <f>YEAR(Table1[[#This Row],[OrderDate]])</f>
        <v>2023</v>
      </c>
      <c r="D70" s="9">
        <f>_xlfn.MINIFS(F:F,P:P,Table1[[#This Row],[Country]])</f>
        <v>44928</v>
      </c>
      <c r="E70" s="7">
        <f>DATEDIF(Table1[[#This Row],[first_time_orders]],Table1[[#This Row],[OrderDate]],"m")</f>
        <v>5</v>
      </c>
      <c r="F70" s="9">
        <v>45101</v>
      </c>
      <c r="G70" s="2" t="str">
        <f>TEXT(Table1[[#This Row],[OrderDate]],"MMM-YYYY")</f>
        <v>Jun-2023</v>
      </c>
      <c r="H70" s="7">
        <f>MONTH(Table1[[#This Row],[OrderDate]])</f>
        <v>6</v>
      </c>
      <c r="I70" s="7" t="str">
        <f>"Q"&amp;ROUNDUP(Table1[[#This Row],[months]]/3,0)&amp;"-"&amp;Table1[[#This Row],[order_year]]</f>
        <v>Q2-2023</v>
      </c>
      <c r="J70" s="7">
        <f>Table1[[#This Row],[RequiredDate]]-Table1[[#This Row],[OrderDate]]</f>
        <v>-2</v>
      </c>
      <c r="K70" s="7">
        <f>IF(Table1[[#This Row],[lead_time]]&lt;0,MEDIAN(J:J),Table1[[#This Row],[lead_time]])</f>
        <v>15</v>
      </c>
      <c r="L70" s="7">
        <f>IF(Table1[[#This Row],[adj_lead_time]]&lt;=7,1,0)</f>
        <v>0</v>
      </c>
      <c r="M70" s="9">
        <v>45099</v>
      </c>
      <c r="N70" s="9">
        <f>IF(Table1[[#This Row],[lead_time]]&lt;0,(Table1[[#This Row],[OrderDate]]+Table1[[#This Row],[adj_lead_time]]),Table1[[#This Row],[RequiredDate]])</f>
        <v>45116</v>
      </c>
      <c r="O70" t="s">
        <v>648</v>
      </c>
      <c r="P70" t="s">
        <v>653</v>
      </c>
      <c r="Q70" t="s">
        <v>667</v>
      </c>
      <c r="R70" t="s">
        <v>703</v>
      </c>
      <c r="S70" t="s">
        <v>707</v>
      </c>
      <c r="T70" t="s">
        <v>724</v>
      </c>
      <c r="U70" t="s">
        <v>733</v>
      </c>
      <c r="V70" t="s">
        <v>1046</v>
      </c>
      <c r="W70">
        <v>471.42</v>
      </c>
      <c r="X70">
        <f>Table1[[#This Row],[UnitCost]]*(1+'scenario modeling'!$B$3)</f>
        <v>518.56200000000001</v>
      </c>
      <c r="Y70">
        <v>824.81</v>
      </c>
      <c r="Z70" t="str">
        <f>IF(Table1[[#This Row],[UnitPrice]]&lt;=Quantiles!$B$2,Quantiles!$A$2,IF(Table1[[#This Row],[UnitPrice]]&lt;=Quantiles!$B$3,Quantiles!$A$3,Quantiles!$A$4))</f>
        <v>Medium</v>
      </c>
      <c r="AA70">
        <v>8.7999999999999995E-2</v>
      </c>
      <c r="AB70" s="5">
        <f>MIN(Table1[[#This Row],[DiscountPct]],'scenario modeling'!$B$2)</f>
        <v>8.7999999999999995E-2</v>
      </c>
      <c r="AC70" t="str">
        <f>IF(Table1[[#This Row],[DiscountPct]]&gt;0.3, "&gt;0.3","")</f>
        <v/>
      </c>
      <c r="AD70">
        <v>15</v>
      </c>
      <c r="AE70">
        <f>Table1[[#This Row],[Quantity]]*(1+'scenario modeling'!$B$4)</f>
        <v>18</v>
      </c>
      <c r="AF70">
        <f>Table1[[#This Row],[UnitCost]]*Table1[[#This Row],[Quantity]]</f>
        <v>7071.3</v>
      </c>
      <c r="AG70">
        <f>SUMIF($U:U,Table1[[#This Row],[ProductCategory]],$AM:AM)</f>
        <v>1331102.9440700002</v>
      </c>
      <c r="AH70">
        <f>SUMIFS($AM$2:AM70,$U$2:U70,U70)</f>
        <v>1107799.2839599999</v>
      </c>
      <c r="AI70" s="5">
        <f>Table1[[#This Row],[Cumulative_revenue]]/Table1[[#This Row],[Category_revenue]]</f>
        <v>0.83224163006715046</v>
      </c>
      <c r="AJ70" t="str">
        <f>IF(Table1[[#This Row],[cumulative_pct]]&lt;=0.8,"A",IF(Table1[[#This Row],[cumulative_pct]]&lt;=0.95,"B","C"))</f>
        <v>B</v>
      </c>
      <c r="AK70">
        <f>Table1[[#This Row],[adj_unit_cost]]*Table1[[#This Row],[scenario_quantity]]</f>
        <v>9334.116</v>
      </c>
      <c r="AL70" s="5">
        <f>Table1[[#This Row],[UnitPrice]]*Table1[[#This Row],[scenario_quantity]]*(1-Table1[[#This Row],[cap_adjusted_discount]])</f>
        <v>13540.080959999999</v>
      </c>
      <c r="AM70" s="5">
        <f>Table1[[#This Row],[UnitPrice]]*Table1[[#This Row],[Quantity]]*(1-Table1[[#This Row],[DiscountPct]])</f>
        <v>11283.400799999999</v>
      </c>
      <c r="AN70" s="5">
        <f>Table1[[#This Row],[gross_revenue]]-Table1[[#This Row],[cost_of_goods]]</f>
        <v>4212.1007999999993</v>
      </c>
      <c r="AO70" s="5">
        <f>Table1[[#This Row],[scenario_revenue]]-Table1[[#This Row],[Scenario_unit_cost]]</f>
        <v>4205.9649599999993</v>
      </c>
      <c r="AP70" s="5">
        <f>IF(Table1[[#This Row],[gross_revenue]]=0,0,Table1[[#This Row],[gross_profit]]/Table1[[#This Row],[gross_revenue]])</f>
        <v>0.37330064531608231</v>
      </c>
    </row>
    <row r="71" spans="1:42" x14ac:dyDescent="0.35">
      <c r="A71" t="s">
        <v>200</v>
      </c>
      <c r="B71" t="str">
        <f>_xlfn.TEXTAFTER(Table1[[#This Row],[OrderID]],"-",2)</f>
        <v>399631</v>
      </c>
      <c r="C71">
        <f>YEAR(Table1[[#This Row],[OrderDate]])</f>
        <v>2023</v>
      </c>
      <c r="D71" s="9">
        <f>_xlfn.MINIFS(F:F,P:P,Table1[[#This Row],[Country]])</f>
        <v>44936</v>
      </c>
      <c r="E71" s="7">
        <f>DATEDIF(Table1[[#This Row],[first_time_orders]],Table1[[#This Row],[OrderDate]],"m")</f>
        <v>5</v>
      </c>
      <c r="F71" s="9">
        <v>45099</v>
      </c>
      <c r="G71" s="2" t="str">
        <f>TEXT(Table1[[#This Row],[OrderDate]],"MMM-YYYY")</f>
        <v>Jun-2023</v>
      </c>
      <c r="H71" s="7">
        <f>MONTH(Table1[[#This Row],[OrderDate]])</f>
        <v>6</v>
      </c>
      <c r="I71" s="7" t="str">
        <f>"Q"&amp;ROUNDUP(Table1[[#This Row],[months]]/3,0)&amp;"-"&amp;Table1[[#This Row],[order_year]]</f>
        <v>Q2-2023</v>
      </c>
      <c r="J71" s="7">
        <f>Table1[[#This Row],[RequiredDate]]-Table1[[#This Row],[OrderDate]]</f>
        <v>29</v>
      </c>
      <c r="K71" s="7">
        <f>IF(Table1[[#This Row],[lead_time]]&lt;0,MEDIAN(J:J),Table1[[#This Row],[lead_time]])</f>
        <v>29</v>
      </c>
      <c r="L71" s="7">
        <f>IF(Table1[[#This Row],[adj_lead_time]]&lt;=7,1,0)</f>
        <v>0</v>
      </c>
      <c r="M71" s="9">
        <v>45128</v>
      </c>
      <c r="N71" s="9">
        <f>IF(Table1[[#This Row],[lead_time]]&lt;0,(Table1[[#This Row],[OrderDate]]+Table1[[#This Row],[adj_lead_time]]),Table1[[#This Row],[RequiredDate]])</f>
        <v>45128</v>
      </c>
      <c r="O71" t="s">
        <v>649</v>
      </c>
      <c r="P71" t="s">
        <v>657</v>
      </c>
      <c r="Q71" t="s">
        <v>679</v>
      </c>
      <c r="R71" t="s">
        <v>701</v>
      </c>
      <c r="S71" t="s">
        <v>707</v>
      </c>
      <c r="T71" t="s">
        <v>713</v>
      </c>
      <c r="U71" t="s">
        <v>733</v>
      </c>
      <c r="V71" t="s">
        <v>919</v>
      </c>
      <c r="W71">
        <v>734.34</v>
      </c>
      <c r="X71">
        <f>Table1[[#This Row],[UnitCost]]*(1+'scenario modeling'!$B$3)</f>
        <v>807.77400000000011</v>
      </c>
      <c r="Y71">
        <v>887.9</v>
      </c>
      <c r="Z71" t="str">
        <f>IF(Table1[[#This Row],[UnitPrice]]&lt;=Quantiles!$B$2,Quantiles!$A$2,IF(Table1[[#This Row],[UnitPrice]]&lt;=Quantiles!$B$3,Quantiles!$A$3,Quantiles!$A$4))</f>
        <v>Medium</v>
      </c>
      <c r="AA71">
        <v>2.5000000000000001E-2</v>
      </c>
      <c r="AB71" s="5">
        <f>MIN(Table1[[#This Row],[DiscountPct]],'scenario modeling'!$B$2)</f>
        <v>2.5000000000000001E-2</v>
      </c>
      <c r="AC71" t="str">
        <f>IF(Table1[[#This Row],[DiscountPct]]&gt;0.3, "&gt;0.3","")</f>
        <v/>
      </c>
      <c r="AD71">
        <v>12</v>
      </c>
      <c r="AE71">
        <f>Table1[[#This Row],[Quantity]]*(1+'scenario modeling'!$B$4)</f>
        <v>14.399999999999999</v>
      </c>
      <c r="AF71">
        <f>Table1[[#This Row],[UnitCost]]*Table1[[#This Row],[Quantity]]</f>
        <v>8812.08</v>
      </c>
      <c r="AG71">
        <f>SUMIF($U:U,Table1[[#This Row],[ProductCategory]],$AM:AM)</f>
        <v>1331102.9440700002</v>
      </c>
      <c r="AH71">
        <f>SUMIFS($AM$2:AM71,$U$2:U71,U71)</f>
        <v>1118187.7139599998</v>
      </c>
      <c r="AI71" s="5">
        <f>Table1[[#This Row],[Cumulative_revenue]]/Table1[[#This Row],[Category_revenue]]</f>
        <v>0.84004600766715487</v>
      </c>
      <c r="AJ71" t="str">
        <f>IF(Table1[[#This Row],[cumulative_pct]]&lt;=0.8,"A",IF(Table1[[#This Row],[cumulative_pct]]&lt;=0.95,"B","C"))</f>
        <v>B</v>
      </c>
      <c r="AK71">
        <f>Table1[[#This Row],[adj_unit_cost]]*Table1[[#This Row],[scenario_quantity]]</f>
        <v>11631.945600000001</v>
      </c>
      <c r="AL71" s="5">
        <f>Table1[[#This Row],[UnitPrice]]*Table1[[#This Row],[scenario_quantity]]*(1-Table1[[#This Row],[cap_adjusted_discount]])</f>
        <v>12466.115999999998</v>
      </c>
      <c r="AM71" s="5">
        <f>Table1[[#This Row],[UnitPrice]]*Table1[[#This Row],[Quantity]]*(1-Table1[[#This Row],[DiscountPct]])</f>
        <v>10388.429999999998</v>
      </c>
      <c r="AN71" s="5">
        <f>Table1[[#This Row],[gross_revenue]]-Table1[[#This Row],[cost_of_goods]]</f>
        <v>1576.3499999999985</v>
      </c>
      <c r="AO71" s="5">
        <f>Table1[[#This Row],[scenario_revenue]]-Table1[[#This Row],[Scenario_unit_cost]]</f>
        <v>834.17039999999724</v>
      </c>
      <c r="AP71" s="5">
        <f>IF(Table1[[#This Row],[gross_revenue]]=0,0,Table1[[#This Row],[gross_profit]]/Table1[[#This Row],[gross_revenue]])</f>
        <v>0.15174092716608753</v>
      </c>
    </row>
    <row r="72" spans="1:42" x14ac:dyDescent="0.35">
      <c r="A72" t="s">
        <v>354</v>
      </c>
      <c r="B72" t="str">
        <f>_xlfn.TEXTAFTER(Table1[[#This Row],[OrderID]],"-",2)</f>
        <v>261081</v>
      </c>
      <c r="C72">
        <f>YEAR(Table1[[#This Row],[OrderDate]])</f>
        <v>2023</v>
      </c>
      <c r="D72" s="9">
        <f>_xlfn.MINIFS(F:F,P:P,Table1[[#This Row],[Country]])</f>
        <v>44946</v>
      </c>
      <c r="E72" s="7">
        <f>DATEDIF(Table1[[#This Row],[first_time_orders]],Table1[[#This Row],[OrderDate]],"m")</f>
        <v>6</v>
      </c>
      <c r="F72" s="9">
        <v>45131</v>
      </c>
      <c r="G72" s="2" t="str">
        <f>TEXT(Table1[[#This Row],[OrderDate]],"MMM-YYYY")</f>
        <v>Jul-2023</v>
      </c>
      <c r="H72" s="7">
        <f>MONTH(Table1[[#This Row],[OrderDate]])</f>
        <v>7</v>
      </c>
      <c r="I72" s="7" t="str">
        <f>"Q"&amp;ROUNDUP(Table1[[#This Row],[months]]/3,0)&amp;"-"&amp;Table1[[#This Row],[order_year]]</f>
        <v>Q3-2023</v>
      </c>
      <c r="J72" s="7">
        <f>Table1[[#This Row],[RequiredDate]]-Table1[[#This Row],[OrderDate]]</f>
        <v>26</v>
      </c>
      <c r="K72" s="7">
        <f>IF(Table1[[#This Row],[lead_time]]&lt;0,MEDIAN(J:J),Table1[[#This Row],[lead_time]])</f>
        <v>26</v>
      </c>
      <c r="L72" s="7">
        <f>IF(Table1[[#This Row],[adj_lead_time]]&lt;=7,1,0)</f>
        <v>0</v>
      </c>
      <c r="M72" s="9">
        <v>45157</v>
      </c>
      <c r="N72" s="9">
        <f>IF(Table1[[#This Row],[lead_time]]&lt;0,(Table1[[#This Row],[OrderDate]]+Table1[[#This Row],[adj_lead_time]]),Table1[[#This Row],[RequiredDate]])</f>
        <v>45157</v>
      </c>
      <c r="O72" t="s">
        <v>646</v>
      </c>
      <c r="P72" t="s">
        <v>650</v>
      </c>
      <c r="Q72" t="s">
        <v>664</v>
      </c>
      <c r="R72" t="s">
        <v>706</v>
      </c>
      <c r="S72" t="s">
        <v>710</v>
      </c>
      <c r="T72" t="s">
        <v>724</v>
      </c>
      <c r="U72" t="s">
        <v>733</v>
      </c>
      <c r="V72" t="s">
        <v>1074</v>
      </c>
      <c r="W72">
        <v>661.45</v>
      </c>
      <c r="X72">
        <f>Table1[[#This Row],[UnitCost]]*(1+'scenario modeling'!$B$3)</f>
        <v>727.59500000000014</v>
      </c>
      <c r="Y72">
        <v>1634.86</v>
      </c>
      <c r="Z72" t="str">
        <f>IF(Table1[[#This Row],[UnitPrice]]&lt;=Quantiles!$B$2,Quantiles!$A$2,IF(Table1[[#This Row],[UnitPrice]]&lt;=Quantiles!$B$3,Quantiles!$A$3,Quantiles!$A$4))</f>
        <v>Medium</v>
      </c>
      <c r="AA72">
        <v>0.56499999999999995</v>
      </c>
      <c r="AB72" s="5">
        <f>MIN(Table1[[#This Row],[DiscountPct]],'scenario modeling'!$B$2)</f>
        <v>0.1</v>
      </c>
      <c r="AC72" t="str">
        <f>IF(Table1[[#This Row],[DiscountPct]]&gt;0.3, "&gt;0.3","")</f>
        <v>&gt;0.3</v>
      </c>
      <c r="AD72">
        <v>24</v>
      </c>
      <c r="AE72">
        <f>Table1[[#This Row],[Quantity]]*(1+'scenario modeling'!$B$4)</f>
        <v>28.799999999999997</v>
      </c>
      <c r="AF72">
        <f>Table1[[#This Row],[UnitCost]]*Table1[[#This Row],[Quantity]]</f>
        <v>15874.800000000001</v>
      </c>
      <c r="AG72">
        <f>SUMIF($U:U,Table1[[#This Row],[ProductCategory]],$AM:AM)</f>
        <v>1331102.9440700002</v>
      </c>
      <c r="AH72">
        <f>SUMIFS($AM$2:AM72,$U$2:U72,U72)</f>
        <v>1135255.6523599999</v>
      </c>
      <c r="AI72" s="5">
        <f>Table1[[#This Row],[Cumulative_revenue]]/Table1[[#This Row],[Category_revenue]]</f>
        <v>0.8528684106796619</v>
      </c>
      <c r="AJ72" t="str">
        <f>IF(Table1[[#This Row],[cumulative_pct]]&lt;=0.8,"A",IF(Table1[[#This Row],[cumulative_pct]]&lt;=0.95,"B","C"))</f>
        <v>B</v>
      </c>
      <c r="AK72">
        <f>Table1[[#This Row],[adj_unit_cost]]*Table1[[#This Row],[scenario_quantity]]</f>
        <v>20954.736000000001</v>
      </c>
      <c r="AL72" s="5">
        <f>Table1[[#This Row],[UnitPrice]]*Table1[[#This Row],[scenario_quantity]]*(1-Table1[[#This Row],[cap_adjusted_discount]])</f>
        <v>42375.571199999998</v>
      </c>
      <c r="AM72" s="5">
        <f>Table1[[#This Row],[UnitPrice]]*Table1[[#This Row],[Quantity]]*(1-Table1[[#This Row],[DiscountPct]])</f>
        <v>17067.938400000003</v>
      </c>
      <c r="AN72" s="5">
        <f>Table1[[#This Row],[gross_revenue]]-Table1[[#This Row],[cost_of_goods]]</f>
        <v>1193.1384000000016</v>
      </c>
      <c r="AO72" s="5">
        <f>Table1[[#This Row],[scenario_revenue]]-Table1[[#This Row],[Scenario_unit_cost]]</f>
        <v>21420.835199999998</v>
      </c>
      <c r="AP72" s="5">
        <f>IF(Table1[[#This Row],[gross_revenue]]=0,0,Table1[[#This Row],[gross_profit]]/Table1[[#This Row],[gross_revenue]])</f>
        <v>6.9905244092045793E-2</v>
      </c>
    </row>
    <row r="73" spans="1:42" x14ac:dyDescent="0.35">
      <c r="A73" t="s">
        <v>352</v>
      </c>
      <c r="B73" t="str">
        <f>_xlfn.TEXTAFTER(Table1[[#This Row],[OrderID]],"-",2)</f>
        <v>660608</v>
      </c>
      <c r="C73">
        <f>YEAR(Table1[[#This Row],[OrderDate]])</f>
        <v>2023</v>
      </c>
      <c r="D73" s="9">
        <f>_xlfn.MINIFS(F:F,P:P,Table1[[#This Row],[Country]])</f>
        <v>44941</v>
      </c>
      <c r="E73" s="7">
        <f>DATEDIF(Table1[[#This Row],[first_time_orders]],Table1[[#This Row],[OrderDate]],"m")</f>
        <v>6</v>
      </c>
      <c r="F73" s="9">
        <v>45132</v>
      </c>
      <c r="G73" s="2" t="str">
        <f>TEXT(Table1[[#This Row],[OrderDate]],"MMM-YYYY")</f>
        <v>Jul-2023</v>
      </c>
      <c r="H73" s="7">
        <f>MONTH(Table1[[#This Row],[OrderDate]])</f>
        <v>7</v>
      </c>
      <c r="I73" s="7" t="str">
        <f>"Q"&amp;ROUNDUP(Table1[[#This Row],[months]]/3,0)&amp;"-"&amp;Table1[[#This Row],[order_year]]</f>
        <v>Q3-2023</v>
      </c>
      <c r="J73" s="7">
        <f>Table1[[#This Row],[RequiredDate]]-Table1[[#This Row],[OrderDate]]</f>
        <v>16</v>
      </c>
      <c r="K73" s="7">
        <f>IF(Table1[[#This Row],[lead_time]]&lt;0,MEDIAN(J:J),Table1[[#This Row],[lead_time]])</f>
        <v>16</v>
      </c>
      <c r="L73" s="7">
        <f>IF(Table1[[#This Row],[adj_lead_time]]&lt;=7,1,0)</f>
        <v>0</v>
      </c>
      <c r="M73" s="9">
        <v>45148</v>
      </c>
      <c r="N73" s="9">
        <f>IF(Table1[[#This Row],[lead_time]]&lt;0,(Table1[[#This Row],[OrderDate]]+Table1[[#This Row],[adj_lead_time]]),Table1[[#This Row],[RequiredDate]])</f>
        <v>45148</v>
      </c>
      <c r="O73" t="s">
        <v>646</v>
      </c>
      <c r="P73" t="s">
        <v>651</v>
      </c>
      <c r="Q73" t="s">
        <v>663</v>
      </c>
      <c r="R73" t="s">
        <v>701</v>
      </c>
      <c r="S73" t="s">
        <v>710</v>
      </c>
      <c r="T73" t="s">
        <v>714</v>
      </c>
      <c r="U73" t="s">
        <v>733</v>
      </c>
      <c r="V73" t="s">
        <v>1072</v>
      </c>
      <c r="W73">
        <v>506.83</v>
      </c>
      <c r="X73">
        <f>Table1[[#This Row],[UnitCost]]*(1+'scenario modeling'!$B$3)</f>
        <v>557.51300000000003</v>
      </c>
      <c r="Y73">
        <v>441.74</v>
      </c>
      <c r="Z73" t="str">
        <f>IF(Table1[[#This Row],[UnitPrice]]&lt;=Quantiles!$B$2,Quantiles!$A$2,IF(Table1[[#This Row],[UnitPrice]]&lt;=Quantiles!$B$3,Quantiles!$A$3,Quantiles!$A$4))</f>
        <v>Low</v>
      </c>
      <c r="AA73">
        <v>0.24</v>
      </c>
      <c r="AB73" s="5">
        <f>MIN(Table1[[#This Row],[DiscountPct]],'scenario modeling'!$B$2)</f>
        <v>0.1</v>
      </c>
      <c r="AC73" t="str">
        <f>IF(Table1[[#This Row],[DiscountPct]]&gt;0.3, "&gt;0.3","")</f>
        <v/>
      </c>
      <c r="AD73">
        <v>9</v>
      </c>
      <c r="AE73">
        <f>Table1[[#This Row],[Quantity]]*(1+'scenario modeling'!$B$4)</f>
        <v>10.799999999999999</v>
      </c>
      <c r="AF73">
        <f>Table1[[#This Row],[UnitCost]]*Table1[[#This Row],[Quantity]]</f>
        <v>4561.47</v>
      </c>
      <c r="AG73">
        <f>SUMIF($U:U,Table1[[#This Row],[ProductCategory]],$AM:AM)</f>
        <v>1331102.9440700002</v>
      </c>
      <c r="AH73">
        <f>SUMIFS($AM$2:AM73,$U$2:U73,U73)</f>
        <v>1138277.15396</v>
      </c>
      <c r="AI73" s="5">
        <f>Table1[[#This Row],[Cumulative_revenue]]/Table1[[#This Row],[Category_revenue]]</f>
        <v>0.85513833398909544</v>
      </c>
      <c r="AJ73" t="str">
        <f>IF(Table1[[#This Row],[cumulative_pct]]&lt;=0.8,"A",IF(Table1[[#This Row],[cumulative_pct]]&lt;=0.95,"B","C"))</f>
        <v>B</v>
      </c>
      <c r="AK73">
        <f>Table1[[#This Row],[adj_unit_cost]]*Table1[[#This Row],[scenario_quantity]]</f>
        <v>6021.1403999999993</v>
      </c>
      <c r="AL73" s="5">
        <f>Table1[[#This Row],[UnitPrice]]*Table1[[#This Row],[scenario_quantity]]*(1-Table1[[#This Row],[cap_adjusted_discount]])</f>
        <v>4293.7127999999993</v>
      </c>
      <c r="AM73" s="5">
        <f>Table1[[#This Row],[UnitPrice]]*Table1[[#This Row],[Quantity]]*(1-Table1[[#This Row],[DiscountPct]])</f>
        <v>3021.5016000000001</v>
      </c>
      <c r="AN73" s="5">
        <f>Table1[[#This Row],[gross_revenue]]-Table1[[#This Row],[cost_of_goods]]</f>
        <v>-1539.9684000000002</v>
      </c>
      <c r="AO73" s="5">
        <f>Table1[[#This Row],[scenario_revenue]]-Table1[[#This Row],[Scenario_unit_cost]]</f>
        <v>-1727.4276</v>
      </c>
      <c r="AP73" s="5">
        <f>IF(Table1[[#This Row],[gross_revenue]]=0,0,Table1[[#This Row],[gross_profit]]/Table1[[#This Row],[gross_revenue]])</f>
        <v>-0.50966989393618067</v>
      </c>
    </row>
    <row r="74" spans="1:42" x14ac:dyDescent="0.35">
      <c r="A74" t="s">
        <v>552</v>
      </c>
      <c r="B74" t="str">
        <f>_xlfn.TEXTAFTER(Table1[[#This Row],[OrderID]],"-",2)</f>
        <v>621393</v>
      </c>
      <c r="C74">
        <f>YEAR(Table1[[#This Row],[OrderDate]])</f>
        <v>2023</v>
      </c>
      <c r="D74" s="9">
        <f>_xlfn.MINIFS(F:F,P:P,Table1[[#This Row],[Country]])</f>
        <v>44933</v>
      </c>
      <c r="E74" s="7">
        <f>DATEDIF(Table1[[#This Row],[first_time_orders]],Table1[[#This Row],[OrderDate]],"m")</f>
        <v>6</v>
      </c>
      <c r="F74" s="9">
        <v>45114</v>
      </c>
      <c r="G74" s="2" t="str">
        <f>TEXT(Table1[[#This Row],[OrderDate]],"MMM-YYYY")</f>
        <v>Jul-2023</v>
      </c>
      <c r="H74" s="7">
        <f>MONTH(Table1[[#This Row],[OrderDate]])</f>
        <v>7</v>
      </c>
      <c r="I74" s="7" t="str">
        <f>"Q"&amp;ROUNDUP(Table1[[#This Row],[months]]/3,0)&amp;"-"&amp;Table1[[#This Row],[order_year]]</f>
        <v>Q3-2023</v>
      </c>
      <c r="J74" s="7">
        <f>Table1[[#This Row],[RequiredDate]]-Table1[[#This Row],[OrderDate]]</f>
        <v>6</v>
      </c>
      <c r="K74" s="7">
        <f>IF(Table1[[#This Row],[lead_time]]&lt;0,MEDIAN(J:J),Table1[[#This Row],[lead_time]])</f>
        <v>6</v>
      </c>
      <c r="L74" s="7">
        <f>IF(Table1[[#This Row],[adj_lead_time]]&lt;=7,1,0)</f>
        <v>1</v>
      </c>
      <c r="M74" s="9">
        <v>45120</v>
      </c>
      <c r="N74" s="9">
        <f>IF(Table1[[#This Row],[lead_time]]&lt;0,(Table1[[#This Row],[OrderDate]]+Table1[[#This Row],[adj_lead_time]]),Table1[[#This Row],[RequiredDate]])</f>
        <v>45120</v>
      </c>
      <c r="O74" t="s">
        <v>646</v>
      </c>
      <c r="P74" t="s">
        <v>661</v>
      </c>
      <c r="Q74" t="s">
        <v>695</v>
      </c>
      <c r="R74" t="s">
        <v>705</v>
      </c>
      <c r="S74" t="s">
        <v>709</v>
      </c>
      <c r="T74" t="s">
        <v>717</v>
      </c>
      <c r="U74" t="s">
        <v>733</v>
      </c>
      <c r="V74" t="s">
        <v>1270</v>
      </c>
      <c r="W74">
        <v>612.59</v>
      </c>
      <c r="X74">
        <f>Table1[[#This Row],[UnitCost]]*(1+'scenario modeling'!$B$3)</f>
        <v>673.84900000000005</v>
      </c>
      <c r="Y74">
        <v>1424.74</v>
      </c>
      <c r="Z74" t="str">
        <f>IF(Table1[[#This Row],[UnitPrice]]&lt;=Quantiles!$B$2,Quantiles!$A$2,IF(Table1[[#This Row],[UnitPrice]]&lt;=Quantiles!$B$3,Quantiles!$A$3,Quantiles!$A$4))</f>
        <v>Medium</v>
      </c>
      <c r="AA74">
        <v>4.3999999999999997E-2</v>
      </c>
      <c r="AB74" s="5">
        <f>MIN(Table1[[#This Row],[DiscountPct]],'scenario modeling'!$B$2)</f>
        <v>4.3999999999999997E-2</v>
      </c>
      <c r="AC74" t="str">
        <f>IF(Table1[[#This Row],[DiscountPct]]&gt;0.3, "&gt;0.3","")</f>
        <v/>
      </c>
      <c r="AD74">
        <v>15</v>
      </c>
      <c r="AE74">
        <f>Table1[[#This Row],[Quantity]]*(1+'scenario modeling'!$B$4)</f>
        <v>18</v>
      </c>
      <c r="AF74">
        <f>Table1[[#This Row],[UnitCost]]*Table1[[#This Row],[Quantity]]</f>
        <v>9188.85</v>
      </c>
      <c r="AG74">
        <f>SUMIF($U:U,Table1[[#This Row],[ProductCategory]],$AM:AM)</f>
        <v>1331102.9440700002</v>
      </c>
      <c r="AH74">
        <f>SUMIFS($AM$2:AM74,$U$2:U74,U74)</f>
        <v>1158707.9255600001</v>
      </c>
      <c r="AI74" s="5">
        <f>Table1[[#This Row],[Cumulative_revenue]]/Table1[[#This Row],[Category_revenue]]</f>
        <v>0.87048708796114405</v>
      </c>
      <c r="AJ74" t="str">
        <f>IF(Table1[[#This Row],[cumulative_pct]]&lt;=0.8,"A",IF(Table1[[#This Row],[cumulative_pct]]&lt;=0.95,"B","C"))</f>
        <v>B</v>
      </c>
      <c r="AK74">
        <f>Table1[[#This Row],[adj_unit_cost]]*Table1[[#This Row],[scenario_quantity]]</f>
        <v>12129.282000000001</v>
      </c>
      <c r="AL74" s="5">
        <f>Table1[[#This Row],[UnitPrice]]*Table1[[#This Row],[scenario_quantity]]*(1-Table1[[#This Row],[cap_adjusted_discount]])</f>
        <v>24516.925919999998</v>
      </c>
      <c r="AM74" s="5">
        <f>Table1[[#This Row],[UnitPrice]]*Table1[[#This Row],[Quantity]]*(1-Table1[[#This Row],[DiscountPct]])</f>
        <v>20430.771599999996</v>
      </c>
      <c r="AN74" s="5">
        <f>Table1[[#This Row],[gross_revenue]]-Table1[[#This Row],[cost_of_goods]]</f>
        <v>11241.921599999996</v>
      </c>
      <c r="AO74" s="5">
        <f>Table1[[#This Row],[scenario_revenue]]-Table1[[#This Row],[Scenario_unit_cost]]</f>
        <v>12387.643919999997</v>
      </c>
      <c r="AP74" s="5">
        <f>IF(Table1[[#This Row],[gross_revenue]]=0,0,Table1[[#This Row],[gross_profit]]/Table1[[#This Row],[gross_revenue]])</f>
        <v>0.55024459281802152</v>
      </c>
    </row>
    <row r="75" spans="1:42" x14ac:dyDescent="0.35">
      <c r="A75" t="s">
        <v>284</v>
      </c>
      <c r="B75" t="str">
        <f>_xlfn.TEXTAFTER(Table1[[#This Row],[OrderID]],"-",2)</f>
        <v>253245</v>
      </c>
      <c r="C75">
        <f>YEAR(Table1[[#This Row],[OrderDate]])</f>
        <v>2023</v>
      </c>
      <c r="D75" s="9">
        <f>_xlfn.MINIFS(F:F,P:P,Table1[[#This Row],[Country]])</f>
        <v>44955</v>
      </c>
      <c r="E75" s="7">
        <f>DATEDIF(Table1[[#This Row],[first_time_orders]],Table1[[#This Row],[OrderDate]],"m")</f>
        <v>6</v>
      </c>
      <c r="F75" s="9">
        <v>45141</v>
      </c>
      <c r="G75" s="2" t="str">
        <f>TEXT(Table1[[#This Row],[OrderDate]],"MMM-YYYY")</f>
        <v>Aug-2023</v>
      </c>
      <c r="H75" s="7">
        <f>MONTH(Table1[[#This Row],[OrderDate]])</f>
        <v>8</v>
      </c>
      <c r="I75" s="7" t="str">
        <f>"Q"&amp;ROUNDUP(Table1[[#This Row],[months]]/3,0)&amp;"-"&amp;Table1[[#This Row],[order_year]]</f>
        <v>Q3-2023</v>
      </c>
      <c r="J75" s="7">
        <f>Table1[[#This Row],[RequiredDate]]-Table1[[#This Row],[OrderDate]]</f>
        <v>11</v>
      </c>
      <c r="K75" s="7">
        <f>IF(Table1[[#This Row],[lead_time]]&lt;0,MEDIAN(J:J),Table1[[#This Row],[lead_time]])</f>
        <v>11</v>
      </c>
      <c r="L75" s="7">
        <f>IF(Table1[[#This Row],[adj_lead_time]]&lt;=7,1,0)</f>
        <v>0</v>
      </c>
      <c r="M75" s="9">
        <v>45152</v>
      </c>
      <c r="N75" s="9">
        <f>IF(Table1[[#This Row],[lead_time]]&lt;0,(Table1[[#This Row],[OrderDate]]+Table1[[#This Row],[adj_lead_time]]),Table1[[#This Row],[RequiredDate]])</f>
        <v>45152</v>
      </c>
      <c r="O75" t="s">
        <v>648</v>
      </c>
      <c r="P75" t="s">
        <v>655</v>
      </c>
      <c r="Q75" t="s">
        <v>672</v>
      </c>
      <c r="R75" t="s">
        <v>701</v>
      </c>
      <c r="S75" t="s">
        <v>711</v>
      </c>
      <c r="T75" t="s">
        <v>713</v>
      </c>
      <c r="U75" t="s">
        <v>733</v>
      </c>
      <c r="V75" t="s">
        <v>1004</v>
      </c>
      <c r="W75">
        <v>232.73</v>
      </c>
      <c r="X75">
        <f>Table1[[#This Row],[UnitCost]]*(1+'scenario modeling'!$B$3)</f>
        <v>256.00299999999999</v>
      </c>
      <c r="Y75">
        <v>334.19</v>
      </c>
      <c r="Z75" t="str">
        <f>IF(Table1[[#This Row],[UnitPrice]]&lt;=Quantiles!$B$2,Quantiles!$A$2,IF(Table1[[#This Row],[UnitPrice]]&lt;=Quantiles!$B$3,Quantiles!$A$3,Quantiles!$A$4))</f>
        <v>Low</v>
      </c>
      <c r="AA75">
        <v>0.13400000000000001</v>
      </c>
      <c r="AB75" s="5">
        <f>MIN(Table1[[#This Row],[DiscountPct]],'scenario modeling'!$B$2)</f>
        <v>0.1</v>
      </c>
      <c r="AC75" t="str">
        <f>IF(Table1[[#This Row],[DiscountPct]]&gt;0.3, "&gt;0.3","")</f>
        <v/>
      </c>
      <c r="AD75">
        <v>25</v>
      </c>
      <c r="AE75">
        <f>Table1[[#This Row],[Quantity]]*(1+'scenario modeling'!$B$4)</f>
        <v>30</v>
      </c>
      <c r="AF75">
        <f>Table1[[#This Row],[UnitCost]]*Table1[[#This Row],[Quantity]]</f>
        <v>5818.25</v>
      </c>
      <c r="AG75">
        <f>SUMIF($U:U,Table1[[#This Row],[ProductCategory]],$AM:AM)</f>
        <v>1331102.9440700002</v>
      </c>
      <c r="AH75">
        <f>SUMIFS($AM$2:AM75,$U$2:U75,U75)</f>
        <v>1165943.1390600002</v>
      </c>
      <c r="AI75" s="5">
        <f>Table1[[#This Row],[Cumulative_revenue]]/Table1[[#This Row],[Category_revenue]]</f>
        <v>0.87592259055110722</v>
      </c>
      <c r="AJ75" t="str">
        <f>IF(Table1[[#This Row],[cumulative_pct]]&lt;=0.8,"A",IF(Table1[[#This Row],[cumulative_pct]]&lt;=0.95,"B","C"))</f>
        <v>B</v>
      </c>
      <c r="AK75">
        <f>Table1[[#This Row],[adj_unit_cost]]*Table1[[#This Row],[scenario_quantity]]</f>
        <v>7680.0899999999992</v>
      </c>
      <c r="AL75" s="5">
        <f>Table1[[#This Row],[UnitPrice]]*Table1[[#This Row],[scenario_quantity]]*(1-Table1[[#This Row],[cap_adjusted_discount]])</f>
        <v>9023.130000000001</v>
      </c>
      <c r="AM75" s="5">
        <f>Table1[[#This Row],[UnitPrice]]*Table1[[#This Row],[Quantity]]*(1-Table1[[#This Row],[DiscountPct]])</f>
        <v>7235.2134999999998</v>
      </c>
      <c r="AN75" s="5">
        <f>Table1[[#This Row],[gross_revenue]]-Table1[[#This Row],[cost_of_goods]]</f>
        <v>1416.9634999999998</v>
      </c>
      <c r="AO75" s="5">
        <f>Table1[[#This Row],[scenario_revenue]]-Table1[[#This Row],[Scenario_unit_cost]]</f>
        <v>1343.0400000000018</v>
      </c>
      <c r="AP75" s="5">
        <f>IF(Table1[[#This Row],[gross_revenue]]=0,0,Table1[[#This Row],[gross_profit]]/Table1[[#This Row],[gross_revenue]])</f>
        <v>0.1958426658729559</v>
      </c>
    </row>
    <row r="76" spans="1:42" x14ac:dyDescent="0.35">
      <c r="A76" t="s">
        <v>157</v>
      </c>
      <c r="B76" t="str">
        <f>_xlfn.TEXTAFTER(Table1[[#This Row],[OrderID]],"-",2)</f>
        <v>912395</v>
      </c>
      <c r="C76">
        <f>YEAR(Table1[[#This Row],[OrderDate]])</f>
        <v>2023</v>
      </c>
      <c r="D76" s="9">
        <f>_xlfn.MINIFS(F:F,P:P,Table1[[#This Row],[Country]])</f>
        <v>44939</v>
      </c>
      <c r="E76" s="7">
        <f>DATEDIF(Table1[[#This Row],[first_time_orders]],Table1[[#This Row],[OrderDate]],"m")</f>
        <v>6</v>
      </c>
      <c r="F76" s="9">
        <v>45133</v>
      </c>
      <c r="G76" s="2" t="str">
        <f>TEXT(Table1[[#This Row],[OrderDate]],"MMM-YYYY")</f>
        <v>Jul-2023</v>
      </c>
      <c r="H76" s="7">
        <f>MONTH(Table1[[#This Row],[OrderDate]])</f>
        <v>7</v>
      </c>
      <c r="I76" s="7" t="str">
        <f>"Q"&amp;ROUNDUP(Table1[[#This Row],[months]]/3,0)&amp;"-"&amp;Table1[[#This Row],[order_year]]</f>
        <v>Q3-2023</v>
      </c>
      <c r="J76" s="7">
        <f>Table1[[#This Row],[RequiredDate]]-Table1[[#This Row],[OrderDate]]</f>
        <v>30</v>
      </c>
      <c r="K76" s="7">
        <f>IF(Table1[[#This Row],[lead_time]]&lt;0,MEDIAN(J:J),Table1[[#This Row],[lead_time]])</f>
        <v>30</v>
      </c>
      <c r="L76" s="7">
        <f>IF(Table1[[#This Row],[adj_lead_time]]&lt;=7,1,0)</f>
        <v>0</v>
      </c>
      <c r="M76" s="9">
        <v>45163</v>
      </c>
      <c r="N76" s="9">
        <f>IF(Table1[[#This Row],[lead_time]]&lt;0,(Table1[[#This Row],[OrderDate]]+Table1[[#This Row],[adj_lead_time]]),Table1[[#This Row],[RequiredDate]])</f>
        <v>45163</v>
      </c>
      <c r="O76" t="s">
        <v>648</v>
      </c>
      <c r="P76" t="s">
        <v>660</v>
      </c>
      <c r="Q76" t="s">
        <v>700</v>
      </c>
      <c r="R76" t="s">
        <v>704</v>
      </c>
      <c r="S76" t="s">
        <v>707</v>
      </c>
      <c r="T76" t="s">
        <v>724</v>
      </c>
      <c r="U76" t="s">
        <v>733</v>
      </c>
      <c r="V76" t="s">
        <v>876</v>
      </c>
      <c r="W76">
        <v>1261.48</v>
      </c>
      <c r="X76">
        <f>Table1[[#This Row],[UnitCost]]*(1+'scenario modeling'!$B$3)</f>
        <v>1387.6280000000002</v>
      </c>
      <c r="Y76">
        <v>1643.18</v>
      </c>
      <c r="Z76" t="str">
        <f>IF(Table1[[#This Row],[UnitPrice]]&lt;=Quantiles!$B$2,Quantiles!$A$2,IF(Table1[[#This Row],[UnitPrice]]&lt;=Quantiles!$B$3,Quantiles!$A$3,Quantiles!$A$4))</f>
        <v>High</v>
      </c>
      <c r="AA76">
        <v>0.151</v>
      </c>
      <c r="AB76" s="5">
        <f>MIN(Table1[[#This Row],[DiscountPct]],'scenario modeling'!$B$2)</f>
        <v>0.1</v>
      </c>
      <c r="AC76" t="str">
        <f>IF(Table1[[#This Row],[DiscountPct]]&gt;0.3, "&gt;0.3","")</f>
        <v/>
      </c>
      <c r="AD76">
        <v>23</v>
      </c>
      <c r="AE76">
        <f>Table1[[#This Row],[Quantity]]*(1+'scenario modeling'!$B$4)</f>
        <v>27.599999999999998</v>
      </c>
      <c r="AF76">
        <f>Table1[[#This Row],[UnitCost]]*Table1[[#This Row],[Quantity]]</f>
        <v>29014.04</v>
      </c>
      <c r="AG76">
        <f>SUMIF($U:U,Table1[[#This Row],[ProductCategory]],$AM:AM)</f>
        <v>1331102.9440700002</v>
      </c>
      <c r="AH76">
        <f>SUMIFS($AM$2:AM76,$U$2:U76,U76)</f>
        <v>1198029.5149200002</v>
      </c>
      <c r="AI76" s="5">
        <f>Table1[[#This Row],[Cumulative_revenue]]/Table1[[#This Row],[Category_revenue]]</f>
        <v>0.90002769527117665</v>
      </c>
      <c r="AJ76" t="str">
        <f>IF(Table1[[#This Row],[cumulative_pct]]&lt;=0.8,"A",IF(Table1[[#This Row],[cumulative_pct]]&lt;=0.95,"B","C"))</f>
        <v>B</v>
      </c>
      <c r="AK76">
        <f>Table1[[#This Row],[adj_unit_cost]]*Table1[[#This Row],[scenario_quantity]]</f>
        <v>38298.532800000001</v>
      </c>
      <c r="AL76" s="5">
        <f>Table1[[#This Row],[UnitPrice]]*Table1[[#This Row],[scenario_quantity]]*(1-Table1[[#This Row],[cap_adjusted_discount]])</f>
        <v>40816.591199999995</v>
      </c>
      <c r="AM76" s="5">
        <f>Table1[[#This Row],[UnitPrice]]*Table1[[#This Row],[Quantity]]*(1-Table1[[#This Row],[DiscountPct]])</f>
        <v>32086.37586</v>
      </c>
      <c r="AN76" s="5">
        <f>Table1[[#This Row],[gross_revenue]]-Table1[[#This Row],[cost_of_goods]]</f>
        <v>3072.3358599999992</v>
      </c>
      <c r="AO76" s="5">
        <f>Table1[[#This Row],[scenario_revenue]]-Table1[[#This Row],[Scenario_unit_cost]]</f>
        <v>2518.0583999999944</v>
      </c>
      <c r="AP76" s="5">
        <f>IF(Table1[[#This Row],[gross_revenue]]=0,0,Table1[[#This Row],[gross_profit]]/Table1[[#This Row],[gross_revenue]])</f>
        <v>9.5752037357079045E-2</v>
      </c>
    </row>
    <row r="77" spans="1:42" x14ac:dyDescent="0.35">
      <c r="A77" t="s">
        <v>634</v>
      </c>
      <c r="B77" t="str">
        <f>_xlfn.TEXTAFTER(Table1[[#This Row],[OrderID]],"-",2)</f>
        <v>755337</v>
      </c>
      <c r="C77">
        <f>YEAR(Table1[[#This Row],[OrderDate]])</f>
        <v>2023</v>
      </c>
      <c r="D77" s="9">
        <f>_xlfn.MINIFS(F:F,P:P,Table1[[#This Row],[Country]])</f>
        <v>44946</v>
      </c>
      <c r="E77" s="7">
        <f>DATEDIF(Table1[[#This Row],[first_time_orders]],Table1[[#This Row],[OrderDate]],"m")</f>
        <v>7</v>
      </c>
      <c r="F77" s="9">
        <v>45177</v>
      </c>
      <c r="G77" s="2" t="str">
        <f>TEXT(Table1[[#This Row],[OrderDate]],"MMM-YYYY")</f>
        <v>Sept-2023</v>
      </c>
      <c r="H77" s="7">
        <f>MONTH(Table1[[#This Row],[OrderDate]])</f>
        <v>9</v>
      </c>
      <c r="I77" s="7" t="str">
        <f>"Q"&amp;ROUNDUP(Table1[[#This Row],[months]]/3,0)&amp;"-"&amp;Table1[[#This Row],[order_year]]</f>
        <v>Q3-2023</v>
      </c>
      <c r="J77" s="7">
        <f>Table1[[#This Row],[RequiredDate]]-Table1[[#This Row],[OrderDate]]</f>
        <v>6</v>
      </c>
      <c r="K77" s="7">
        <f>IF(Table1[[#This Row],[lead_time]]&lt;0,MEDIAN(J:J),Table1[[#This Row],[lead_time]])</f>
        <v>6</v>
      </c>
      <c r="L77" s="7">
        <f>IF(Table1[[#This Row],[adj_lead_time]]&lt;=7,1,0)</f>
        <v>1</v>
      </c>
      <c r="M77" s="9">
        <v>45183</v>
      </c>
      <c r="N77" s="9">
        <f>IF(Table1[[#This Row],[lead_time]]&lt;0,(Table1[[#This Row],[OrderDate]]+Table1[[#This Row],[adj_lead_time]]),Table1[[#This Row],[RequiredDate]])</f>
        <v>45183</v>
      </c>
      <c r="O77" t="s">
        <v>646</v>
      </c>
      <c r="P77" t="s">
        <v>650</v>
      </c>
      <c r="Q77" t="s">
        <v>678</v>
      </c>
      <c r="R77" t="s">
        <v>702</v>
      </c>
      <c r="S77" t="s">
        <v>711</v>
      </c>
      <c r="T77" t="s">
        <v>714</v>
      </c>
      <c r="U77" t="s">
        <v>733</v>
      </c>
      <c r="V77" t="s">
        <v>1352</v>
      </c>
      <c r="W77">
        <v>251.03</v>
      </c>
      <c r="X77">
        <f>Table1[[#This Row],[UnitCost]]*(1+'scenario modeling'!$B$3)</f>
        <v>276.13300000000004</v>
      </c>
      <c r="Y77">
        <v>411.48</v>
      </c>
      <c r="Z77" t="str">
        <f>IF(Table1[[#This Row],[UnitPrice]]&lt;=Quantiles!$B$2,Quantiles!$A$2,IF(Table1[[#This Row],[UnitPrice]]&lt;=Quantiles!$B$3,Quantiles!$A$3,Quantiles!$A$4))</f>
        <v>Low</v>
      </c>
      <c r="AA77">
        <v>0.16500000000000001</v>
      </c>
      <c r="AB77" s="5">
        <f>MIN(Table1[[#This Row],[DiscountPct]],'scenario modeling'!$B$2)</f>
        <v>0.1</v>
      </c>
      <c r="AC77" t="str">
        <f>IF(Table1[[#This Row],[DiscountPct]]&gt;0.3, "&gt;0.3","")</f>
        <v/>
      </c>
      <c r="AD77">
        <v>3</v>
      </c>
      <c r="AE77">
        <f>Table1[[#This Row],[Quantity]]*(1+'scenario modeling'!$B$4)</f>
        <v>3.5999999999999996</v>
      </c>
      <c r="AF77">
        <f>Table1[[#This Row],[UnitCost]]*Table1[[#This Row],[Quantity]]</f>
        <v>753.09</v>
      </c>
      <c r="AG77">
        <f>SUMIF($U:U,Table1[[#This Row],[ProductCategory]],$AM:AM)</f>
        <v>1331102.9440700002</v>
      </c>
      <c r="AH77">
        <f>SUMIFS($AM$2:AM77,$U$2:U77,U77)</f>
        <v>1199060.2723200002</v>
      </c>
      <c r="AI77" s="5">
        <f>Table1[[#This Row],[Cumulative_revenue]]/Table1[[#This Row],[Category_revenue]]</f>
        <v>0.90080205867003471</v>
      </c>
      <c r="AJ77" t="str">
        <f>IF(Table1[[#This Row],[cumulative_pct]]&lt;=0.8,"A",IF(Table1[[#This Row],[cumulative_pct]]&lt;=0.95,"B","C"))</f>
        <v>B</v>
      </c>
      <c r="AK77">
        <f>Table1[[#This Row],[adj_unit_cost]]*Table1[[#This Row],[scenario_quantity]]</f>
        <v>994.0788</v>
      </c>
      <c r="AL77" s="5">
        <f>Table1[[#This Row],[UnitPrice]]*Table1[[#This Row],[scenario_quantity]]*(1-Table1[[#This Row],[cap_adjusted_discount]])</f>
        <v>1333.1952000000001</v>
      </c>
      <c r="AM77" s="5">
        <f>Table1[[#This Row],[UnitPrice]]*Table1[[#This Row],[Quantity]]*(1-Table1[[#This Row],[DiscountPct]])</f>
        <v>1030.7574</v>
      </c>
      <c r="AN77" s="5">
        <f>Table1[[#This Row],[gross_revenue]]-Table1[[#This Row],[cost_of_goods]]</f>
        <v>277.66739999999993</v>
      </c>
      <c r="AO77" s="5">
        <f>Table1[[#This Row],[scenario_revenue]]-Table1[[#This Row],[Scenario_unit_cost]]</f>
        <v>339.11640000000011</v>
      </c>
      <c r="AP77" s="5">
        <f>IF(Table1[[#This Row],[gross_revenue]]=0,0,Table1[[#This Row],[gross_profit]]/Table1[[#This Row],[gross_revenue]])</f>
        <v>0.26938191275658069</v>
      </c>
    </row>
    <row r="78" spans="1:42" x14ac:dyDescent="0.35">
      <c r="A78" t="s">
        <v>346</v>
      </c>
      <c r="B78" t="str">
        <f>_xlfn.TEXTAFTER(Table1[[#This Row],[OrderID]],"-",2)</f>
        <v>944052</v>
      </c>
      <c r="C78">
        <f>YEAR(Table1[[#This Row],[OrderDate]])</f>
        <v>2023</v>
      </c>
      <c r="D78" s="9">
        <f>_xlfn.MINIFS(F:F,P:P,Table1[[#This Row],[Country]])</f>
        <v>44955</v>
      </c>
      <c r="E78" s="7">
        <f>DATEDIF(Table1[[#This Row],[first_time_orders]],Table1[[#This Row],[OrderDate]],"m")</f>
        <v>7</v>
      </c>
      <c r="F78" s="9">
        <v>45168</v>
      </c>
      <c r="G78" s="2" t="str">
        <f>TEXT(Table1[[#This Row],[OrderDate]],"MMM-YYYY")</f>
        <v>Aug-2023</v>
      </c>
      <c r="H78" s="7">
        <f>MONTH(Table1[[#This Row],[OrderDate]])</f>
        <v>8</v>
      </c>
      <c r="I78" s="7" t="str">
        <f>"Q"&amp;ROUNDUP(Table1[[#This Row],[months]]/3,0)&amp;"-"&amp;Table1[[#This Row],[order_year]]</f>
        <v>Q3-2023</v>
      </c>
      <c r="J78" s="7">
        <f>Table1[[#This Row],[RequiredDate]]-Table1[[#This Row],[OrderDate]]</f>
        <v>4</v>
      </c>
      <c r="K78" s="7">
        <f>IF(Table1[[#This Row],[lead_time]]&lt;0,MEDIAN(J:J),Table1[[#This Row],[lead_time]])</f>
        <v>4</v>
      </c>
      <c r="L78" s="7">
        <f>IF(Table1[[#This Row],[adj_lead_time]]&lt;=7,1,0)</f>
        <v>1</v>
      </c>
      <c r="M78" s="9">
        <v>45172</v>
      </c>
      <c r="N78" s="9">
        <f>IF(Table1[[#This Row],[lead_time]]&lt;0,(Table1[[#This Row],[OrderDate]]+Table1[[#This Row],[adj_lead_time]]),Table1[[#This Row],[RequiredDate]])</f>
        <v>45172</v>
      </c>
      <c r="O78" t="s">
        <v>647</v>
      </c>
      <c r="P78" t="s">
        <v>654</v>
      </c>
      <c r="Q78" t="s">
        <v>680</v>
      </c>
      <c r="R78" t="s">
        <v>705</v>
      </c>
      <c r="S78" t="s">
        <v>709</v>
      </c>
      <c r="T78" t="s">
        <v>716</v>
      </c>
      <c r="U78" t="s">
        <v>733</v>
      </c>
      <c r="V78" t="s">
        <v>1066</v>
      </c>
      <c r="W78">
        <v>1082.25</v>
      </c>
      <c r="X78">
        <f>Table1[[#This Row],[UnitCost]]*(1+'scenario modeling'!$B$3)</f>
        <v>1190.4750000000001</v>
      </c>
      <c r="Y78">
        <v>2433.34</v>
      </c>
      <c r="Z78" t="str">
        <f>IF(Table1[[#This Row],[UnitPrice]]&lt;=Quantiles!$B$2,Quantiles!$A$2,IF(Table1[[#This Row],[UnitPrice]]&lt;=Quantiles!$B$3,Quantiles!$A$3,Quantiles!$A$4))</f>
        <v>High</v>
      </c>
      <c r="AA78">
        <v>0.27</v>
      </c>
      <c r="AB78" s="5">
        <f>MIN(Table1[[#This Row],[DiscountPct]],'scenario modeling'!$B$2)</f>
        <v>0.1</v>
      </c>
      <c r="AC78" t="str">
        <f>IF(Table1[[#This Row],[DiscountPct]]&gt;0.3, "&gt;0.3","")</f>
        <v/>
      </c>
      <c r="AD78">
        <v>4</v>
      </c>
      <c r="AE78">
        <f>Table1[[#This Row],[Quantity]]*(1+'scenario modeling'!$B$4)</f>
        <v>4.8</v>
      </c>
      <c r="AF78">
        <f>Table1[[#This Row],[UnitCost]]*Table1[[#This Row],[Quantity]]</f>
        <v>4329</v>
      </c>
      <c r="AG78">
        <f>SUMIF($U:U,Table1[[#This Row],[ProductCategory]],$AM:AM)</f>
        <v>1331102.9440700002</v>
      </c>
      <c r="AH78">
        <f>SUMIFS($AM$2:AM78,$U$2:U78,U78)</f>
        <v>1206165.6251200002</v>
      </c>
      <c r="AI78" s="5">
        <f>Table1[[#This Row],[Cumulative_revenue]]/Table1[[#This Row],[Category_revenue]]</f>
        <v>0.90614000253955584</v>
      </c>
      <c r="AJ78" t="str">
        <f>IF(Table1[[#This Row],[cumulative_pct]]&lt;=0.8,"A",IF(Table1[[#This Row],[cumulative_pct]]&lt;=0.95,"B","C"))</f>
        <v>B</v>
      </c>
      <c r="AK78">
        <f>Table1[[#This Row],[adj_unit_cost]]*Table1[[#This Row],[scenario_quantity]]</f>
        <v>5714.2800000000007</v>
      </c>
      <c r="AL78" s="5">
        <f>Table1[[#This Row],[UnitPrice]]*Table1[[#This Row],[scenario_quantity]]*(1-Table1[[#This Row],[cap_adjusted_discount]])</f>
        <v>10512.028800000002</v>
      </c>
      <c r="AM78" s="5">
        <f>Table1[[#This Row],[UnitPrice]]*Table1[[#This Row],[Quantity]]*(1-Table1[[#This Row],[DiscountPct]])</f>
        <v>7105.3528000000006</v>
      </c>
      <c r="AN78" s="5">
        <f>Table1[[#This Row],[gross_revenue]]-Table1[[#This Row],[cost_of_goods]]</f>
        <v>2776.3528000000006</v>
      </c>
      <c r="AO78" s="5">
        <f>Table1[[#This Row],[scenario_revenue]]-Table1[[#This Row],[Scenario_unit_cost]]</f>
        <v>4797.7488000000012</v>
      </c>
      <c r="AP78" s="5">
        <f>IF(Table1[[#This Row],[gross_revenue]]=0,0,Table1[[#This Row],[gross_profit]]/Table1[[#This Row],[gross_revenue]])</f>
        <v>0.3907410199251472</v>
      </c>
    </row>
    <row r="79" spans="1:42" x14ac:dyDescent="0.35">
      <c r="A79" t="s">
        <v>456</v>
      </c>
      <c r="B79" t="str">
        <f>_xlfn.TEXTAFTER(Table1[[#This Row],[OrderID]],"-",2)</f>
        <v>842820</v>
      </c>
      <c r="C79">
        <f>YEAR(Table1[[#This Row],[OrderDate]])</f>
        <v>2023</v>
      </c>
      <c r="D79" s="9">
        <f>_xlfn.MINIFS(F:F,P:P,Table1[[#This Row],[Country]])</f>
        <v>44955</v>
      </c>
      <c r="E79" s="7">
        <f>DATEDIF(Table1[[#This Row],[first_time_orders]],Table1[[#This Row],[OrderDate]],"m")</f>
        <v>7</v>
      </c>
      <c r="F79" s="9">
        <v>45189</v>
      </c>
      <c r="G79" s="2" t="str">
        <f>TEXT(Table1[[#This Row],[OrderDate]],"MMM-YYYY")</f>
        <v>Sept-2023</v>
      </c>
      <c r="H79" s="7">
        <f>MONTH(Table1[[#This Row],[OrderDate]])</f>
        <v>9</v>
      </c>
      <c r="I79" s="7" t="str">
        <f>"Q"&amp;ROUNDUP(Table1[[#This Row],[months]]/3,0)&amp;"-"&amp;Table1[[#This Row],[order_year]]</f>
        <v>Q3-2023</v>
      </c>
      <c r="J79" s="7">
        <f>Table1[[#This Row],[RequiredDate]]-Table1[[#This Row],[OrderDate]]</f>
        <v>8</v>
      </c>
      <c r="K79" s="7">
        <f>IF(Table1[[#This Row],[lead_time]]&lt;0,MEDIAN(J:J),Table1[[#This Row],[lead_time]])</f>
        <v>8</v>
      </c>
      <c r="L79" s="7">
        <f>IF(Table1[[#This Row],[adj_lead_time]]&lt;=7,1,0)</f>
        <v>0</v>
      </c>
      <c r="M79" s="9">
        <v>45197</v>
      </c>
      <c r="N79" s="9">
        <f>IF(Table1[[#This Row],[lead_time]]&lt;0,(Table1[[#This Row],[OrderDate]]+Table1[[#This Row],[adj_lead_time]]),Table1[[#This Row],[RequiredDate]])</f>
        <v>45197</v>
      </c>
      <c r="O79" t="s">
        <v>647</v>
      </c>
      <c r="P79" t="s">
        <v>654</v>
      </c>
      <c r="Q79" t="s">
        <v>680</v>
      </c>
      <c r="R79" t="s">
        <v>701</v>
      </c>
      <c r="S79" t="s">
        <v>709</v>
      </c>
      <c r="T79" t="s">
        <v>717</v>
      </c>
      <c r="U79" t="s">
        <v>733</v>
      </c>
      <c r="V79" t="s">
        <v>1175</v>
      </c>
      <c r="W79">
        <v>1362.06</v>
      </c>
      <c r="X79">
        <f>Table1[[#This Row],[UnitCost]]*(1+'scenario modeling'!$B$3)</f>
        <v>1498.2660000000001</v>
      </c>
      <c r="Y79">
        <v>3398.37</v>
      </c>
      <c r="Z79" t="str">
        <f>IF(Table1[[#This Row],[UnitPrice]]&lt;=Quantiles!$B$2,Quantiles!$A$2,IF(Table1[[#This Row],[UnitPrice]]&lt;=Quantiles!$B$3,Quantiles!$A$3,Quantiles!$A$4))</f>
        <v>High</v>
      </c>
      <c r="AA79">
        <v>0.157</v>
      </c>
      <c r="AB79" s="5">
        <f>MIN(Table1[[#This Row],[DiscountPct]],'scenario modeling'!$B$2)</f>
        <v>0.1</v>
      </c>
      <c r="AC79" t="str">
        <f>IF(Table1[[#This Row],[DiscountPct]]&gt;0.3, "&gt;0.3","")</f>
        <v/>
      </c>
      <c r="AD79">
        <v>11</v>
      </c>
      <c r="AE79">
        <f>Table1[[#This Row],[Quantity]]*(1+'scenario modeling'!$B$4)</f>
        <v>13.2</v>
      </c>
      <c r="AF79">
        <f>Table1[[#This Row],[UnitCost]]*Table1[[#This Row],[Quantity]]</f>
        <v>14982.66</v>
      </c>
      <c r="AG79">
        <f>SUMIF($U:U,Table1[[#This Row],[ProductCategory]],$AM:AM)</f>
        <v>1331102.9440700002</v>
      </c>
      <c r="AH79">
        <f>SUMIFS($AM$2:AM79,$U$2:U79,U79)</f>
        <v>1237678.7101300003</v>
      </c>
      <c r="AI79" s="5">
        <f>Table1[[#This Row],[Cumulative_revenue]]/Table1[[#This Row],[Category_revenue]]</f>
        <v>0.92981441866972014</v>
      </c>
      <c r="AJ79" t="str">
        <f>IF(Table1[[#This Row],[cumulative_pct]]&lt;=0.8,"A",IF(Table1[[#This Row],[cumulative_pct]]&lt;=0.95,"B","C"))</f>
        <v>B</v>
      </c>
      <c r="AK79">
        <f>Table1[[#This Row],[adj_unit_cost]]*Table1[[#This Row],[scenario_quantity]]</f>
        <v>19777.111199999999</v>
      </c>
      <c r="AL79" s="5">
        <f>Table1[[#This Row],[UnitPrice]]*Table1[[#This Row],[scenario_quantity]]*(1-Table1[[#This Row],[cap_adjusted_discount]])</f>
        <v>40372.635600000001</v>
      </c>
      <c r="AM79" s="5">
        <f>Table1[[#This Row],[UnitPrice]]*Table1[[#This Row],[Quantity]]*(1-Table1[[#This Row],[DiscountPct]])</f>
        <v>31513.085009999999</v>
      </c>
      <c r="AN79" s="5">
        <f>Table1[[#This Row],[gross_revenue]]-Table1[[#This Row],[cost_of_goods]]</f>
        <v>16530.425009999999</v>
      </c>
      <c r="AO79" s="5">
        <f>Table1[[#This Row],[scenario_revenue]]-Table1[[#This Row],[Scenario_unit_cost]]</f>
        <v>20595.524400000002</v>
      </c>
      <c r="AP79" s="5">
        <f>IF(Table1[[#This Row],[gross_revenue]]=0,0,Table1[[#This Row],[gross_profit]]/Table1[[#This Row],[gross_revenue]])</f>
        <v>0.52455749745714919</v>
      </c>
    </row>
    <row r="80" spans="1:42" x14ac:dyDescent="0.35">
      <c r="A80" t="s">
        <v>307</v>
      </c>
      <c r="B80" t="str">
        <f>_xlfn.TEXTAFTER(Table1[[#This Row],[OrderID]],"-",2)</f>
        <v>375011</v>
      </c>
      <c r="C80">
        <f>YEAR(Table1[[#This Row],[OrderDate]])</f>
        <v>2023</v>
      </c>
      <c r="D80" s="9">
        <f>_xlfn.MINIFS(F:F,P:P,Table1[[#This Row],[Country]])</f>
        <v>44945</v>
      </c>
      <c r="E80" s="7">
        <f>DATEDIF(Table1[[#This Row],[first_time_orders]],Table1[[#This Row],[OrderDate]],"m")</f>
        <v>7</v>
      </c>
      <c r="F80" s="9">
        <v>45161</v>
      </c>
      <c r="G80" s="2" t="str">
        <f>TEXT(Table1[[#This Row],[OrderDate]],"MMM-YYYY")</f>
        <v>Aug-2023</v>
      </c>
      <c r="H80" s="7">
        <f>MONTH(Table1[[#This Row],[OrderDate]])</f>
        <v>8</v>
      </c>
      <c r="I80" s="7" t="str">
        <f>"Q"&amp;ROUNDUP(Table1[[#This Row],[months]]/3,0)&amp;"-"&amp;Table1[[#This Row],[order_year]]</f>
        <v>Q3-2023</v>
      </c>
      <c r="J80" s="7">
        <f>Table1[[#This Row],[RequiredDate]]-Table1[[#This Row],[OrderDate]]</f>
        <v>30</v>
      </c>
      <c r="K80" s="7">
        <f>IF(Table1[[#This Row],[lead_time]]&lt;0,MEDIAN(J:J),Table1[[#This Row],[lead_time]])</f>
        <v>30</v>
      </c>
      <c r="L80" s="7">
        <f>IF(Table1[[#This Row],[adj_lead_time]]&lt;=7,1,0)</f>
        <v>0</v>
      </c>
      <c r="M80" s="9">
        <v>45191</v>
      </c>
      <c r="N80" s="9">
        <f>IF(Table1[[#This Row],[lead_time]]&lt;0,(Table1[[#This Row],[OrderDate]]+Table1[[#This Row],[adj_lead_time]]),Table1[[#This Row],[RequiredDate]])</f>
        <v>45191</v>
      </c>
      <c r="O80" t="s">
        <v>649</v>
      </c>
      <c r="P80" t="s">
        <v>658</v>
      </c>
      <c r="Q80" t="s">
        <v>683</v>
      </c>
      <c r="R80" t="s">
        <v>704</v>
      </c>
      <c r="S80" t="s">
        <v>710</v>
      </c>
      <c r="T80" t="s">
        <v>719</v>
      </c>
      <c r="U80" t="s">
        <v>733</v>
      </c>
      <c r="V80" t="s">
        <v>1027</v>
      </c>
      <c r="W80">
        <v>209.81</v>
      </c>
      <c r="X80">
        <f>Table1[[#This Row],[UnitCost]]*(1+'scenario modeling'!$B$3)</f>
        <v>230.79100000000003</v>
      </c>
      <c r="Y80">
        <v>523</v>
      </c>
      <c r="Z80" t="str">
        <f>IF(Table1[[#This Row],[UnitPrice]]&lt;=Quantiles!$B$2,Quantiles!$A$2,IF(Table1[[#This Row],[UnitPrice]]&lt;=Quantiles!$B$3,Quantiles!$A$3,Quantiles!$A$4))</f>
        <v>Low</v>
      </c>
      <c r="AA80">
        <v>5.8999999999999997E-2</v>
      </c>
      <c r="AB80" s="5">
        <f>MIN(Table1[[#This Row],[DiscountPct]],'scenario modeling'!$B$2)</f>
        <v>5.8999999999999997E-2</v>
      </c>
      <c r="AC80" t="str">
        <f>IF(Table1[[#This Row],[DiscountPct]]&gt;0.3, "&gt;0.3","")</f>
        <v/>
      </c>
      <c r="AD80">
        <v>15</v>
      </c>
      <c r="AE80">
        <f>Table1[[#This Row],[Quantity]]*(1+'scenario modeling'!$B$4)</f>
        <v>18</v>
      </c>
      <c r="AF80">
        <f>Table1[[#This Row],[UnitCost]]*Table1[[#This Row],[Quantity]]</f>
        <v>3147.15</v>
      </c>
      <c r="AG80">
        <f>SUMIF($U:U,Table1[[#This Row],[ProductCategory]],$AM:AM)</f>
        <v>1331102.9440700002</v>
      </c>
      <c r="AH80">
        <f>SUMIFS($AM$2:AM80,$U$2:U80,U80)</f>
        <v>1245060.8551300003</v>
      </c>
      <c r="AI80" s="5">
        <f>Table1[[#This Row],[Cumulative_revenue]]/Table1[[#This Row],[Category_revenue]]</f>
        <v>0.93536030453293395</v>
      </c>
      <c r="AJ80" t="str">
        <f>IF(Table1[[#This Row],[cumulative_pct]]&lt;=0.8,"A",IF(Table1[[#This Row],[cumulative_pct]]&lt;=0.95,"B","C"))</f>
        <v>B</v>
      </c>
      <c r="AK80">
        <f>Table1[[#This Row],[adj_unit_cost]]*Table1[[#This Row],[scenario_quantity]]</f>
        <v>4154.2380000000003</v>
      </c>
      <c r="AL80" s="5">
        <f>Table1[[#This Row],[UnitPrice]]*Table1[[#This Row],[scenario_quantity]]*(1-Table1[[#This Row],[cap_adjusted_discount]])</f>
        <v>8858.5740000000005</v>
      </c>
      <c r="AM80" s="5">
        <f>Table1[[#This Row],[UnitPrice]]*Table1[[#This Row],[Quantity]]*(1-Table1[[#This Row],[DiscountPct]])</f>
        <v>7382.1450000000004</v>
      </c>
      <c r="AN80" s="5">
        <f>Table1[[#This Row],[gross_revenue]]-Table1[[#This Row],[cost_of_goods]]</f>
        <v>4234.9950000000008</v>
      </c>
      <c r="AO80" s="5">
        <f>Table1[[#This Row],[scenario_revenue]]-Table1[[#This Row],[Scenario_unit_cost]]</f>
        <v>4704.3360000000002</v>
      </c>
      <c r="AP80" s="5">
        <f>IF(Table1[[#This Row],[gross_revenue]]=0,0,Table1[[#This Row],[gross_profit]]/Table1[[#This Row],[gross_revenue]])</f>
        <v>0.57368082041195356</v>
      </c>
    </row>
    <row r="81" spans="1:42" x14ac:dyDescent="0.35">
      <c r="A81" t="s">
        <v>273</v>
      </c>
      <c r="B81" t="str">
        <f>_xlfn.TEXTAFTER(Table1[[#This Row],[OrderID]],"-",2)</f>
        <v>888140</v>
      </c>
      <c r="C81">
        <f>YEAR(Table1[[#This Row],[OrderDate]])</f>
        <v>2023</v>
      </c>
      <c r="D81" s="9">
        <f>_xlfn.MINIFS(F:F,P:P,Table1[[#This Row],[Country]])</f>
        <v>44955</v>
      </c>
      <c r="E81" s="7">
        <f>DATEDIF(Table1[[#This Row],[first_time_orders]],Table1[[#This Row],[OrderDate]],"m")</f>
        <v>8</v>
      </c>
      <c r="F81" s="9">
        <v>45210</v>
      </c>
      <c r="G81" s="2" t="str">
        <f>TEXT(Table1[[#This Row],[OrderDate]],"MMM-YYYY")</f>
        <v>Oct-2023</v>
      </c>
      <c r="H81" s="7">
        <f>MONTH(Table1[[#This Row],[OrderDate]])</f>
        <v>10</v>
      </c>
      <c r="I81" s="7" t="str">
        <f>"Q"&amp;ROUNDUP(Table1[[#This Row],[months]]/3,0)&amp;"-"&amp;Table1[[#This Row],[order_year]]</f>
        <v>Q4-2023</v>
      </c>
      <c r="J81" s="7">
        <f>Table1[[#This Row],[RequiredDate]]-Table1[[#This Row],[OrderDate]]</f>
        <v>2</v>
      </c>
      <c r="K81" s="7">
        <f>IF(Table1[[#This Row],[lead_time]]&lt;0,MEDIAN(J:J),Table1[[#This Row],[lead_time]])</f>
        <v>2</v>
      </c>
      <c r="L81" s="7">
        <f>IF(Table1[[#This Row],[adj_lead_time]]&lt;=7,1,0)</f>
        <v>1</v>
      </c>
      <c r="M81" s="9">
        <v>45212</v>
      </c>
      <c r="N81" s="9">
        <f>IF(Table1[[#This Row],[lead_time]]&lt;0,(Table1[[#This Row],[OrderDate]]+Table1[[#This Row],[adj_lead_time]]),Table1[[#This Row],[RequiredDate]])</f>
        <v>45212</v>
      </c>
      <c r="O81" t="s">
        <v>648</v>
      </c>
      <c r="P81" t="s">
        <v>655</v>
      </c>
      <c r="Q81" t="s">
        <v>672</v>
      </c>
      <c r="R81" t="s">
        <v>704</v>
      </c>
      <c r="S81" t="s">
        <v>710</v>
      </c>
      <c r="T81" t="s">
        <v>716</v>
      </c>
      <c r="U81" t="s">
        <v>733</v>
      </c>
      <c r="V81" t="s">
        <v>993</v>
      </c>
      <c r="W81">
        <v>715.94</v>
      </c>
      <c r="X81">
        <f>Table1[[#This Row],[UnitCost]]*(1+'scenario modeling'!$B$3)</f>
        <v>787.53400000000011</v>
      </c>
      <c r="Y81">
        <v>550.07000000000005</v>
      </c>
      <c r="Z81" t="str">
        <f>IF(Table1[[#This Row],[UnitPrice]]&lt;=Quantiles!$B$2,Quantiles!$A$2,IF(Table1[[#This Row],[UnitPrice]]&lt;=Quantiles!$B$3,Quantiles!$A$3,Quantiles!$A$4))</f>
        <v>Low</v>
      </c>
      <c r="AA81">
        <v>0.14000000000000001</v>
      </c>
      <c r="AB81" s="5">
        <f>MIN(Table1[[#This Row],[DiscountPct]],'scenario modeling'!$B$2)</f>
        <v>0.1</v>
      </c>
      <c r="AC81" t="str">
        <f>IF(Table1[[#This Row],[DiscountPct]]&gt;0.3, "&gt;0.3","")</f>
        <v/>
      </c>
      <c r="AD81">
        <v>16</v>
      </c>
      <c r="AE81">
        <f>Table1[[#This Row],[Quantity]]*(1+'scenario modeling'!$B$4)</f>
        <v>19.2</v>
      </c>
      <c r="AF81">
        <f>Table1[[#This Row],[UnitCost]]*Table1[[#This Row],[Quantity]]</f>
        <v>11455.04</v>
      </c>
      <c r="AG81">
        <f>SUMIF($U:U,Table1[[#This Row],[ProductCategory]],$AM:AM)</f>
        <v>1331102.9440700002</v>
      </c>
      <c r="AH81">
        <f>SUMIFS($AM$2:AM81,$U$2:U81,U81)</f>
        <v>1252629.8183300004</v>
      </c>
      <c r="AI81" s="5">
        <f>Table1[[#This Row],[Cumulative_revenue]]/Table1[[#This Row],[Category_revenue]]</f>
        <v>0.94104653881986078</v>
      </c>
      <c r="AJ81" t="str">
        <f>IF(Table1[[#This Row],[cumulative_pct]]&lt;=0.8,"A",IF(Table1[[#This Row],[cumulative_pct]]&lt;=0.95,"B","C"))</f>
        <v>B</v>
      </c>
      <c r="AK81">
        <f>Table1[[#This Row],[adj_unit_cost]]*Table1[[#This Row],[scenario_quantity]]</f>
        <v>15120.652800000002</v>
      </c>
      <c r="AL81" s="5">
        <f>Table1[[#This Row],[UnitPrice]]*Table1[[#This Row],[scenario_quantity]]*(1-Table1[[#This Row],[cap_adjusted_discount]])</f>
        <v>9505.209600000002</v>
      </c>
      <c r="AM81" s="5">
        <f>Table1[[#This Row],[UnitPrice]]*Table1[[#This Row],[Quantity]]*(1-Table1[[#This Row],[DiscountPct]])</f>
        <v>7568.9632000000001</v>
      </c>
      <c r="AN81" s="5">
        <f>Table1[[#This Row],[gross_revenue]]-Table1[[#This Row],[cost_of_goods]]</f>
        <v>-3886.0768000000007</v>
      </c>
      <c r="AO81" s="5">
        <f>Table1[[#This Row],[scenario_revenue]]-Table1[[#This Row],[Scenario_unit_cost]]</f>
        <v>-5615.4431999999997</v>
      </c>
      <c r="AP81" s="5">
        <f>IF(Table1[[#This Row],[gross_revenue]]=0,0,Table1[[#This Row],[gross_profit]]/Table1[[#This Row],[gross_revenue]])</f>
        <v>-0.51342260456491595</v>
      </c>
    </row>
    <row r="82" spans="1:42" x14ac:dyDescent="0.35">
      <c r="A82" t="s">
        <v>512</v>
      </c>
      <c r="B82" t="str">
        <f>_xlfn.TEXTAFTER(Table1[[#This Row],[OrderID]],"-",2)</f>
        <v>406606</v>
      </c>
      <c r="C82">
        <f>YEAR(Table1[[#This Row],[OrderDate]])</f>
        <v>2023</v>
      </c>
      <c r="D82" s="9">
        <f>_xlfn.MINIFS(F:F,P:P,Table1[[#This Row],[Country]])</f>
        <v>44955</v>
      </c>
      <c r="E82" s="7">
        <f>DATEDIF(Table1[[#This Row],[first_time_orders]],Table1[[#This Row],[OrderDate]],"m")</f>
        <v>8</v>
      </c>
      <c r="F82" s="9">
        <v>45224</v>
      </c>
      <c r="G82" s="2" t="str">
        <f>TEXT(Table1[[#This Row],[OrderDate]],"MMM-YYYY")</f>
        <v>Oct-2023</v>
      </c>
      <c r="H82" s="7">
        <f>MONTH(Table1[[#This Row],[OrderDate]])</f>
        <v>10</v>
      </c>
      <c r="I82" s="7" t="str">
        <f>"Q"&amp;ROUNDUP(Table1[[#This Row],[months]]/3,0)&amp;"-"&amp;Table1[[#This Row],[order_year]]</f>
        <v>Q4-2023</v>
      </c>
      <c r="J82" s="7">
        <f>Table1[[#This Row],[RequiredDate]]-Table1[[#This Row],[OrderDate]]</f>
        <v>3</v>
      </c>
      <c r="K82" s="7">
        <f>IF(Table1[[#This Row],[lead_time]]&lt;0,MEDIAN(J:J),Table1[[#This Row],[lead_time]])</f>
        <v>3</v>
      </c>
      <c r="L82" s="7">
        <f>IF(Table1[[#This Row],[adj_lead_time]]&lt;=7,1,0)</f>
        <v>1</v>
      </c>
      <c r="M82" s="9">
        <v>45227</v>
      </c>
      <c r="N82" s="9">
        <f>IF(Table1[[#This Row],[lead_time]]&lt;0,(Table1[[#This Row],[OrderDate]]+Table1[[#This Row],[adj_lead_time]]),Table1[[#This Row],[RequiredDate]])</f>
        <v>45227</v>
      </c>
      <c r="O82" t="s">
        <v>648</v>
      </c>
      <c r="P82" t="s">
        <v>655</v>
      </c>
      <c r="Q82" t="s">
        <v>672</v>
      </c>
      <c r="R82" t="s">
        <v>701</v>
      </c>
      <c r="S82" t="s">
        <v>710</v>
      </c>
      <c r="T82" t="s">
        <v>716</v>
      </c>
      <c r="U82" t="s">
        <v>733</v>
      </c>
      <c r="V82" t="s">
        <v>1231</v>
      </c>
      <c r="W82">
        <v>509.31</v>
      </c>
      <c r="X82">
        <f>Table1[[#This Row],[UnitCost]]*(1+'scenario modeling'!$B$3)</f>
        <v>560.2410000000001</v>
      </c>
      <c r="Y82">
        <v>1145.9000000000001</v>
      </c>
      <c r="Z82" t="str">
        <f>IF(Table1[[#This Row],[UnitPrice]]&lt;=Quantiles!$B$2,Quantiles!$A$2,IF(Table1[[#This Row],[UnitPrice]]&lt;=Quantiles!$B$3,Quantiles!$A$3,Quantiles!$A$4))</f>
        <v>Medium</v>
      </c>
      <c r="AA82">
        <v>5.7000000000000002E-2</v>
      </c>
      <c r="AB82" s="5">
        <f>MIN(Table1[[#This Row],[DiscountPct]],'scenario modeling'!$B$2)</f>
        <v>5.7000000000000002E-2</v>
      </c>
      <c r="AC82" t="str">
        <f>IF(Table1[[#This Row],[DiscountPct]]&gt;0.3, "&gt;0.3","")</f>
        <v/>
      </c>
      <c r="AD82">
        <v>8</v>
      </c>
      <c r="AE82">
        <f>Table1[[#This Row],[Quantity]]*(1+'scenario modeling'!$B$4)</f>
        <v>9.6</v>
      </c>
      <c r="AF82">
        <f>Table1[[#This Row],[UnitCost]]*Table1[[#This Row],[Quantity]]</f>
        <v>4074.48</v>
      </c>
      <c r="AG82">
        <f>SUMIF($U:U,Table1[[#This Row],[ProductCategory]],$AM:AM)</f>
        <v>1331102.9440700002</v>
      </c>
      <c r="AH82">
        <f>SUMIFS($AM$2:AM82,$U$2:U82,U82)</f>
        <v>1261274.4879300003</v>
      </c>
      <c r="AI82" s="5">
        <f>Table1[[#This Row],[Cumulative_revenue]]/Table1[[#This Row],[Category_revenue]]</f>
        <v>0.94754090474288089</v>
      </c>
      <c r="AJ82" t="str">
        <f>IF(Table1[[#This Row],[cumulative_pct]]&lt;=0.8,"A",IF(Table1[[#This Row],[cumulative_pct]]&lt;=0.95,"B","C"))</f>
        <v>B</v>
      </c>
      <c r="AK82">
        <f>Table1[[#This Row],[adj_unit_cost]]*Table1[[#This Row],[scenario_quantity]]</f>
        <v>5378.3136000000004</v>
      </c>
      <c r="AL82" s="5">
        <f>Table1[[#This Row],[UnitPrice]]*Table1[[#This Row],[scenario_quantity]]*(1-Table1[[#This Row],[cap_adjusted_discount]])</f>
        <v>10373.603520000001</v>
      </c>
      <c r="AM82" s="5">
        <f>Table1[[#This Row],[UnitPrice]]*Table1[[#This Row],[Quantity]]*(1-Table1[[#This Row],[DiscountPct]])</f>
        <v>8644.6696000000011</v>
      </c>
      <c r="AN82" s="5">
        <f>Table1[[#This Row],[gross_revenue]]-Table1[[#This Row],[cost_of_goods]]</f>
        <v>4570.1896000000015</v>
      </c>
      <c r="AO82" s="5">
        <f>Table1[[#This Row],[scenario_revenue]]-Table1[[#This Row],[Scenario_unit_cost]]</f>
        <v>4995.2899200000002</v>
      </c>
      <c r="AP82" s="5">
        <f>IF(Table1[[#This Row],[gross_revenue]]=0,0,Table1[[#This Row],[gross_profit]]/Table1[[#This Row],[gross_revenue]])</f>
        <v>0.52867140231709964</v>
      </c>
    </row>
    <row r="83" spans="1:42" x14ac:dyDescent="0.35">
      <c r="A83" t="s">
        <v>561</v>
      </c>
      <c r="B83" t="str">
        <f>_xlfn.TEXTAFTER(Table1[[#This Row],[OrderID]],"-",2)</f>
        <v>488227</v>
      </c>
      <c r="C83">
        <f>YEAR(Table1[[#This Row],[OrderDate]])</f>
        <v>2023</v>
      </c>
      <c r="D83" s="9">
        <f>_xlfn.MINIFS(F:F,P:P,Table1[[#This Row],[Country]])</f>
        <v>44928</v>
      </c>
      <c r="E83" s="7">
        <f>DATEDIF(Table1[[#This Row],[first_time_orders]],Table1[[#This Row],[OrderDate]],"m")</f>
        <v>8</v>
      </c>
      <c r="F83" s="9">
        <v>45177</v>
      </c>
      <c r="G83" s="2" t="str">
        <f>TEXT(Table1[[#This Row],[OrderDate]],"MMM-YYYY")</f>
        <v>Sept-2023</v>
      </c>
      <c r="H83" s="7">
        <f>MONTH(Table1[[#This Row],[OrderDate]])</f>
        <v>9</v>
      </c>
      <c r="I83" s="7" t="str">
        <f>"Q"&amp;ROUNDUP(Table1[[#This Row],[months]]/3,0)&amp;"-"&amp;Table1[[#This Row],[order_year]]</f>
        <v>Q3-2023</v>
      </c>
      <c r="J83" s="7">
        <f>Table1[[#This Row],[RequiredDate]]-Table1[[#This Row],[OrderDate]]</f>
        <v>24</v>
      </c>
      <c r="K83" s="7">
        <f>IF(Table1[[#This Row],[lead_time]]&lt;0,MEDIAN(J:J),Table1[[#This Row],[lead_time]])</f>
        <v>24</v>
      </c>
      <c r="L83" s="7">
        <f>IF(Table1[[#This Row],[adj_lead_time]]&lt;=7,1,0)</f>
        <v>0</v>
      </c>
      <c r="M83" s="9">
        <v>45201</v>
      </c>
      <c r="N83" s="9">
        <f>IF(Table1[[#This Row],[lead_time]]&lt;0,(Table1[[#This Row],[OrderDate]]+Table1[[#This Row],[adj_lead_time]]),Table1[[#This Row],[RequiredDate]])</f>
        <v>45201</v>
      </c>
      <c r="O83" t="s">
        <v>648</v>
      </c>
      <c r="P83" t="s">
        <v>653</v>
      </c>
      <c r="Q83" t="s">
        <v>667</v>
      </c>
      <c r="R83" t="s">
        <v>702</v>
      </c>
      <c r="S83" t="s">
        <v>711</v>
      </c>
      <c r="T83" t="s">
        <v>720</v>
      </c>
      <c r="U83" t="s">
        <v>733</v>
      </c>
      <c r="V83" t="s">
        <v>1279</v>
      </c>
      <c r="W83">
        <v>1299.03</v>
      </c>
      <c r="X83">
        <f>Table1[[#This Row],[UnitCost]]*(1+'scenario modeling'!$B$3)</f>
        <v>1428.933</v>
      </c>
      <c r="Y83">
        <v>2451.2199999999998</v>
      </c>
      <c r="Z83" t="str">
        <f>IF(Table1[[#This Row],[UnitPrice]]&lt;=Quantiles!$B$2,Quantiles!$A$2,IF(Table1[[#This Row],[UnitPrice]]&lt;=Quantiles!$B$3,Quantiles!$A$3,Quantiles!$A$4))</f>
        <v>High</v>
      </c>
      <c r="AA83">
        <v>0.20799999999999999</v>
      </c>
      <c r="AB83" s="5">
        <f>MIN(Table1[[#This Row],[DiscountPct]],'scenario modeling'!$B$2)</f>
        <v>0.1</v>
      </c>
      <c r="AC83" t="str">
        <f>IF(Table1[[#This Row],[DiscountPct]]&gt;0.3, "&gt;0.3","")</f>
        <v/>
      </c>
      <c r="AD83">
        <v>8</v>
      </c>
      <c r="AE83">
        <f>Table1[[#This Row],[Quantity]]*(1+'scenario modeling'!$B$4)</f>
        <v>9.6</v>
      </c>
      <c r="AF83">
        <f>Table1[[#This Row],[UnitCost]]*Table1[[#This Row],[Quantity]]</f>
        <v>10392.24</v>
      </c>
      <c r="AG83">
        <f>SUMIF($U:U,Table1[[#This Row],[ProductCategory]],$AM:AM)</f>
        <v>1331102.9440700002</v>
      </c>
      <c r="AH83">
        <f>SUMIFS($AM$2:AM83,$U$2:U83,U83)</f>
        <v>1276805.4178500003</v>
      </c>
      <c r="AI83" s="5">
        <f>Table1[[#This Row],[Cumulative_revenue]]/Table1[[#This Row],[Category_revenue]]</f>
        <v>0.95920861984274564</v>
      </c>
      <c r="AJ83" t="str">
        <f>IF(Table1[[#This Row],[cumulative_pct]]&lt;=0.8,"A",IF(Table1[[#This Row],[cumulative_pct]]&lt;=0.95,"B","C"))</f>
        <v>C</v>
      </c>
      <c r="AK83">
        <f>Table1[[#This Row],[adj_unit_cost]]*Table1[[#This Row],[scenario_quantity]]</f>
        <v>13717.756799999999</v>
      </c>
      <c r="AL83" s="5">
        <f>Table1[[#This Row],[UnitPrice]]*Table1[[#This Row],[scenario_quantity]]*(1-Table1[[#This Row],[cap_adjusted_discount]])</f>
        <v>21178.540799999995</v>
      </c>
      <c r="AM83" s="5">
        <f>Table1[[#This Row],[UnitPrice]]*Table1[[#This Row],[Quantity]]*(1-Table1[[#This Row],[DiscountPct]])</f>
        <v>15530.929919999999</v>
      </c>
      <c r="AN83" s="5">
        <f>Table1[[#This Row],[gross_revenue]]-Table1[[#This Row],[cost_of_goods]]</f>
        <v>5138.6899199999989</v>
      </c>
      <c r="AO83" s="5">
        <f>Table1[[#This Row],[scenario_revenue]]-Table1[[#This Row],[Scenario_unit_cost]]</f>
        <v>7460.783999999996</v>
      </c>
      <c r="AP83" s="5">
        <f>IF(Table1[[#This Row],[gross_revenue]]=0,0,Table1[[#This Row],[gross_profit]]/Table1[[#This Row],[gross_revenue]])</f>
        <v>0.3308681416032041</v>
      </c>
    </row>
    <row r="84" spans="1:42" x14ac:dyDescent="0.35">
      <c r="A84" t="s">
        <v>235</v>
      </c>
      <c r="B84" t="str">
        <f>_xlfn.TEXTAFTER(Table1[[#This Row],[OrderID]],"-",2)</f>
        <v>271918</v>
      </c>
      <c r="C84">
        <f>YEAR(Table1[[#This Row],[OrderDate]])</f>
        <v>2023</v>
      </c>
      <c r="D84" s="9">
        <f>_xlfn.MINIFS(F:F,P:P,Table1[[#This Row],[Country]])</f>
        <v>44939</v>
      </c>
      <c r="E84" s="7">
        <f>DATEDIF(Table1[[#This Row],[first_time_orders]],Table1[[#This Row],[OrderDate]],"m")</f>
        <v>8</v>
      </c>
      <c r="F84" s="9">
        <v>45194</v>
      </c>
      <c r="G84" s="2" t="str">
        <f>TEXT(Table1[[#This Row],[OrderDate]],"MMM-YYYY")</f>
        <v>Sept-2023</v>
      </c>
      <c r="H84" s="7">
        <f>MONTH(Table1[[#This Row],[OrderDate]])</f>
        <v>9</v>
      </c>
      <c r="I84" s="7" t="str">
        <f>"Q"&amp;ROUNDUP(Table1[[#This Row],[months]]/3,0)&amp;"-"&amp;Table1[[#This Row],[order_year]]</f>
        <v>Q3-2023</v>
      </c>
      <c r="J84" s="7">
        <f>Table1[[#This Row],[RequiredDate]]-Table1[[#This Row],[OrderDate]]</f>
        <v>7</v>
      </c>
      <c r="K84" s="7">
        <f>IF(Table1[[#This Row],[lead_time]]&lt;0,MEDIAN(J:J),Table1[[#This Row],[lead_time]])</f>
        <v>7</v>
      </c>
      <c r="L84" s="7">
        <f>IF(Table1[[#This Row],[adj_lead_time]]&lt;=7,1,0)</f>
        <v>1</v>
      </c>
      <c r="M84" s="9">
        <v>45201</v>
      </c>
      <c r="N84" s="9">
        <f>IF(Table1[[#This Row],[lead_time]]&lt;0,(Table1[[#This Row],[OrderDate]]+Table1[[#This Row],[adj_lead_time]]),Table1[[#This Row],[RequiredDate]])</f>
        <v>45201</v>
      </c>
      <c r="O84" t="s">
        <v>648</v>
      </c>
      <c r="P84" t="s">
        <v>660</v>
      </c>
      <c r="Q84" t="s">
        <v>700</v>
      </c>
      <c r="R84" t="s">
        <v>702</v>
      </c>
      <c r="S84" t="s">
        <v>709</v>
      </c>
      <c r="T84" t="s">
        <v>714</v>
      </c>
      <c r="U84" t="s">
        <v>733</v>
      </c>
      <c r="V84" t="s">
        <v>955</v>
      </c>
      <c r="W84">
        <v>145.58000000000001</v>
      </c>
      <c r="X84">
        <f>Table1[[#This Row],[UnitCost]]*(1+'scenario modeling'!$B$3)</f>
        <v>160.13800000000003</v>
      </c>
      <c r="Y84">
        <v>228.15</v>
      </c>
      <c r="Z84" t="str">
        <f>IF(Table1[[#This Row],[UnitPrice]]&lt;=Quantiles!$B$2,Quantiles!$A$2,IF(Table1[[#This Row],[UnitPrice]]&lt;=Quantiles!$B$3,Quantiles!$A$3,Quantiles!$A$4))</f>
        <v>Low</v>
      </c>
      <c r="AA84">
        <v>0.20399999999999999</v>
      </c>
      <c r="AB84" s="5">
        <f>MIN(Table1[[#This Row],[DiscountPct]],'scenario modeling'!$B$2)</f>
        <v>0.1</v>
      </c>
      <c r="AC84" t="str">
        <f>IF(Table1[[#This Row],[DiscountPct]]&gt;0.3, "&gt;0.3","")</f>
        <v/>
      </c>
      <c r="AD84">
        <v>5</v>
      </c>
      <c r="AE84">
        <f>Table1[[#This Row],[Quantity]]*(1+'scenario modeling'!$B$4)</f>
        <v>6</v>
      </c>
      <c r="AF84">
        <f>Table1[[#This Row],[UnitCost]]*Table1[[#This Row],[Quantity]]</f>
        <v>727.90000000000009</v>
      </c>
      <c r="AG84">
        <f>SUMIF($U:U,Table1[[#This Row],[ProductCategory]],$AM:AM)</f>
        <v>1331102.9440700002</v>
      </c>
      <c r="AH84">
        <f>SUMIFS($AM$2:AM84,$U$2:U84,U84)</f>
        <v>1277713.4548500003</v>
      </c>
      <c r="AI84" s="5">
        <f>Table1[[#This Row],[Cumulative_revenue]]/Table1[[#This Row],[Category_revenue]]</f>
        <v>0.9598907887193493</v>
      </c>
      <c r="AJ84" t="str">
        <f>IF(Table1[[#This Row],[cumulative_pct]]&lt;=0.8,"A",IF(Table1[[#This Row],[cumulative_pct]]&lt;=0.95,"B","C"))</f>
        <v>C</v>
      </c>
      <c r="AK84">
        <f>Table1[[#This Row],[adj_unit_cost]]*Table1[[#This Row],[scenario_quantity]]</f>
        <v>960.8280000000002</v>
      </c>
      <c r="AL84" s="5">
        <f>Table1[[#This Row],[UnitPrice]]*Table1[[#This Row],[scenario_quantity]]*(1-Table1[[#This Row],[cap_adjusted_discount]])</f>
        <v>1232.0100000000002</v>
      </c>
      <c r="AM84" s="5">
        <f>Table1[[#This Row],[UnitPrice]]*Table1[[#This Row],[Quantity]]*(1-Table1[[#This Row],[DiscountPct]])</f>
        <v>908.03700000000003</v>
      </c>
      <c r="AN84" s="5">
        <f>Table1[[#This Row],[gross_revenue]]-Table1[[#This Row],[cost_of_goods]]</f>
        <v>180.13699999999994</v>
      </c>
      <c r="AO84" s="5">
        <f>Table1[[#This Row],[scenario_revenue]]-Table1[[#This Row],[Scenario_unit_cost]]</f>
        <v>271.18200000000002</v>
      </c>
      <c r="AP84" s="5">
        <f>IF(Table1[[#This Row],[gross_revenue]]=0,0,Table1[[#This Row],[gross_profit]]/Table1[[#This Row],[gross_revenue]])</f>
        <v>0.19838068272548359</v>
      </c>
    </row>
    <row r="85" spans="1:42" x14ac:dyDescent="0.35">
      <c r="A85" t="s">
        <v>241</v>
      </c>
      <c r="B85" t="str">
        <f>_xlfn.TEXTAFTER(Table1[[#This Row],[OrderID]],"-",2)</f>
        <v>302041</v>
      </c>
      <c r="C85">
        <f>YEAR(Table1[[#This Row],[OrderDate]])</f>
        <v>2023</v>
      </c>
      <c r="D85" s="9">
        <f>_xlfn.MINIFS(F:F,P:P,Table1[[#This Row],[Country]])</f>
        <v>44939</v>
      </c>
      <c r="E85" s="7">
        <f>DATEDIF(Table1[[#This Row],[first_time_orders]],Table1[[#This Row],[OrderDate]],"m")</f>
        <v>8</v>
      </c>
      <c r="F85" s="9">
        <v>45203</v>
      </c>
      <c r="G85" s="2" t="str">
        <f>TEXT(Table1[[#This Row],[OrderDate]],"MMM-YYYY")</f>
        <v>Oct-2023</v>
      </c>
      <c r="H85" s="7">
        <f>MONTH(Table1[[#This Row],[OrderDate]])</f>
        <v>10</v>
      </c>
      <c r="I85" s="7" t="str">
        <f>"Q"&amp;ROUNDUP(Table1[[#This Row],[months]]/3,0)&amp;"-"&amp;Table1[[#This Row],[order_year]]</f>
        <v>Q4-2023</v>
      </c>
      <c r="J85" s="7">
        <f>Table1[[#This Row],[RequiredDate]]-Table1[[#This Row],[OrderDate]]</f>
        <v>25</v>
      </c>
      <c r="K85" s="7">
        <f>IF(Table1[[#This Row],[lead_time]]&lt;0,MEDIAN(J:J),Table1[[#This Row],[lead_time]])</f>
        <v>25</v>
      </c>
      <c r="L85" s="7">
        <f>IF(Table1[[#This Row],[adj_lead_time]]&lt;=7,1,0)</f>
        <v>0</v>
      </c>
      <c r="M85" s="9">
        <v>45228</v>
      </c>
      <c r="N85" s="9">
        <f>IF(Table1[[#This Row],[lead_time]]&lt;0,(Table1[[#This Row],[OrderDate]]+Table1[[#This Row],[adj_lead_time]]),Table1[[#This Row],[RequiredDate]])</f>
        <v>45228</v>
      </c>
      <c r="O85" t="s">
        <v>648</v>
      </c>
      <c r="P85" t="s">
        <v>660</v>
      </c>
      <c r="Q85" t="s">
        <v>686</v>
      </c>
      <c r="R85" t="s">
        <v>705</v>
      </c>
      <c r="S85" t="s">
        <v>710</v>
      </c>
      <c r="T85" t="s">
        <v>719</v>
      </c>
      <c r="U85" t="s">
        <v>733</v>
      </c>
      <c r="V85" t="s">
        <v>961</v>
      </c>
      <c r="W85">
        <v>1239.8399999999999</v>
      </c>
      <c r="X85">
        <f>Table1[[#This Row],[UnitCost]]*(1+'scenario modeling'!$B$3)</f>
        <v>1363.8240000000001</v>
      </c>
      <c r="Y85">
        <v>1482.75</v>
      </c>
      <c r="Z85" t="str">
        <f>IF(Table1[[#This Row],[UnitPrice]]&lt;=Quantiles!$B$2,Quantiles!$A$2,IF(Table1[[#This Row],[UnitPrice]]&lt;=Quantiles!$B$3,Quantiles!$A$3,Quantiles!$A$4))</f>
        <v>Medium</v>
      </c>
      <c r="AA85">
        <v>6.7000000000000004E-2</v>
      </c>
      <c r="AB85" s="5">
        <f>MIN(Table1[[#This Row],[DiscountPct]],'scenario modeling'!$B$2)</f>
        <v>6.7000000000000004E-2</v>
      </c>
      <c r="AC85" t="str">
        <f>IF(Table1[[#This Row],[DiscountPct]]&gt;0.3, "&gt;0.3","")</f>
        <v/>
      </c>
      <c r="AD85">
        <v>4</v>
      </c>
      <c r="AE85">
        <f>Table1[[#This Row],[Quantity]]*(1+'scenario modeling'!$B$4)</f>
        <v>4.8</v>
      </c>
      <c r="AF85">
        <f>Table1[[#This Row],[UnitCost]]*Table1[[#This Row],[Quantity]]</f>
        <v>4959.3599999999997</v>
      </c>
      <c r="AG85">
        <f>SUMIF($U:U,Table1[[#This Row],[ProductCategory]],$AM:AM)</f>
        <v>1331102.9440700002</v>
      </c>
      <c r="AH85">
        <f>SUMIFS($AM$2:AM85,$U$2:U85,U85)</f>
        <v>1283247.0778500002</v>
      </c>
      <c r="AI85" s="5">
        <f>Table1[[#This Row],[Cumulative_revenue]]/Table1[[#This Row],[Category_revenue]]</f>
        <v>0.96404796005207893</v>
      </c>
      <c r="AJ85" t="str">
        <f>IF(Table1[[#This Row],[cumulative_pct]]&lt;=0.8,"A",IF(Table1[[#This Row],[cumulative_pct]]&lt;=0.95,"B","C"))</f>
        <v>C</v>
      </c>
      <c r="AK85">
        <f>Table1[[#This Row],[adj_unit_cost]]*Table1[[#This Row],[scenario_quantity]]</f>
        <v>6546.3552</v>
      </c>
      <c r="AL85" s="5">
        <f>Table1[[#This Row],[UnitPrice]]*Table1[[#This Row],[scenario_quantity]]*(1-Table1[[#This Row],[cap_adjusted_discount]])</f>
        <v>6640.3476000000001</v>
      </c>
      <c r="AM85" s="5">
        <f>Table1[[#This Row],[UnitPrice]]*Table1[[#This Row],[Quantity]]*(1-Table1[[#This Row],[DiscountPct]])</f>
        <v>5533.6230000000005</v>
      </c>
      <c r="AN85" s="5">
        <f>Table1[[#This Row],[gross_revenue]]-Table1[[#This Row],[cost_of_goods]]</f>
        <v>574.26300000000083</v>
      </c>
      <c r="AO85" s="5">
        <f>Table1[[#This Row],[scenario_revenue]]-Table1[[#This Row],[Scenario_unit_cost]]</f>
        <v>93.992400000000089</v>
      </c>
      <c r="AP85" s="5">
        <f>IF(Table1[[#This Row],[gross_revenue]]=0,0,Table1[[#This Row],[gross_profit]]/Table1[[#This Row],[gross_revenue]])</f>
        <v>0.10377703721413634</v>
      </c>
    </row>
    <row r="86" spans="1:42" x14ac:dyDescent="0.35">
      <c r="A86" t="s">
        <v>169</v>
      </c>
      <c r="B86" t="str">
        <f>_xlfn.TEXTAFTER(Table1[[#This Row],[OrderID]],"-",2)</f>
        <v>842488</v>
      </c>
      <c r="C86">
        <f>YEAR(Table1[[#This Row],[OrderDate]])</f>
        <v>2023</v>
      </c>
      <c r="D86" s="9">
        <f>_xlfn.MINIFS(F:F,P:P,Table1[[#This Row],[Country]])</f>
        <v>44946</v>
      </c>
      <c r="E86" s="7">
        <f>DATEDIF(Table1[[#This Row],[first_time_orders]],Table1[[#This Row],[OrderDate]],"m")</f>
        <v>9</v>
      </c>
      <c r="F86" s="9">
        <v>45230</v>
      </c>
      <c r="G86" s="2" t="str">
        <f>TEXT(Table1[[#This Row],[OrderDate]],"MMM-YYYY")</f>
        <v>Oct-2023</v>
      </c>
      <c r="H86" s="7">
        <f>MONTH(Table1[[#This Row],[OrderDate]])</f>
        <v>10</v>
      </c>
      <c r="I86" s="7" t="str">
        <f>"Q"&amp;ROUNDUP(Table1[[#This Row],[months]]/3,0)&amp;"-"&amp;Table1[[#This Row],[order_year]]</f>
        <v>Q4-2023</v>
      </c>
      <c r="J86" s="7">
        <f>Table1[[#This Row],[RequiredDate]]-Table1[[#This Row],[OrderDate]]</f>
        <v>2</v>
      </c>
      <c r="K86" s="7">
        <f>IF(Table1[[#This Row],[lead_time]]&lt;0,MEDIAN(J:J),Table1[[#This Row],[lead_time]])</f>
        <v>2</v>
      </c>
      <c r="L86" s="7">
        <f>IF(Table1[[#This Row],[adj_lead_time]]&lt;=7,1,0)</f>
        <v>1</v>
      </c>
      <c r="M86" s="9">
        <v>45232</v>
      </c>
      <c r="N86" s="9">
        <f>IF(Table1[[#This Row],[lead_time]]&lt;0,(Table1[[#This Row],[OrderDate]]+Table1[[#This Row],[adj_lead_time]]),Table1[[#This Row],[RequiredDate]])</f>
        <v>45232</v>
      </c>
      <c r="O86" t="s">
        <v>646</v>
      </c>
      <c r="P86" t="s">
        <v>650</v>
      </c>
      <c r="Q86" t="s">
        <v>662</v>
      </c>
      <c r="R86" t="s">
        <v>702</v>
      </c>
      <c r="S86" t="s">
        <v>707</v>
      </c>
      <c r="T86" t="s">
        <v>719</v>
      </c>
      <c r="U86" t="s">
        <v>733</v>
      </c>
      <c r="V86" t="s">
        <v>888</v>
      </c>
      <c r="W86">
        <v>867.89</v>
      </c>
      <c r="X86">
        <f>Table1[[#This Row],[UnitCost]]*(1+'scenario modeling'!$B$3)</f>
        <v>954.67900000000009</v>
      </c>
      <c r="Y86">
        <v>1349.94</v>
      </c>
      <c r="Z86" t="str">
        <f>IF(Table1[[#This Row],[UnitPrice]]&lt;=Quantiles!$B$2,Quantiles!$A$2,IF(Table1[[#This Row],[UnitPrice]]&lt;=Quantiles!$B$3,Quantiles!$A$3,Quantiles!$A$4))</f>
        <v>Medium</v>
      </c>
      <c r="AA86">
        <v>0.184</v>
      </c>
      <c r="AB86" s="5">
        <f>MIN(Table1[[#This Row],[DiscountPct]],'scenario modeling'!$B$2)</f>
        <v>0.1</v>
      </c>
      <c r="AC86" t="str">
        <f>IF(Table1[[#This Row],[DiscountPct]]&gt;0.3, "&gt;0.3","")</f>
        <v/>
      </c>
      <c r="AD86">
        <v>10</v>
      </c>
      <c r="AE86">
        <f>Table1[[#This Row],[Quantity]]*(1+'scenario modeling'!$B$4)</f>
        <v>12</v>
      </c>
      <c r="AF86">
        <f>Table1[[#This Row],[UnitCost]]*Table1[[#This Row],[Quantity]]</f>
        <v>8678.9</v>
      </c>
      <c r="AG86">
        <f>SUMIF($U:U,Table1[[#This Row],[ProductCategory]],$AM:AM)</f>
        <v>1331102.9440700002</v>
      </c>
      <c r="AH86">
        <f>SUMIFS($AM$2:AM86,$U$2:U86,U86)</f>
        <v>1294262.5882500003</v>
      </c>
      <c r="AI86" s="5">
        <f>Table1[[#This Row],[Cumulative_revenue]]/Table1[[#This Row],[Category_revenue]]</f>
        <v>0.97232343600160909</v>
      </c>
      <c r="AJ86" t="str">
        <f>IF(Table1[[#This Row],[cumulative_pct]]&lt;=0.8,"A",IF(Table1[[#This Row],[cumulative_pct]]&lt;=0.95,"B","C"))</f>
        <v>C</v>
      </c>
      <c r="AK86">
        <f>Table1[[#This Row],[adj_unit_cost]]*Table1[[#This Row],[scenario_quantity]]</f>
        <v>11456.148000000001</v>
      </c>
      <c r="AL86" s="5">
        <f>Table1[[#This Row],[UnitPrice]]*Table1[[#This Row],[scenario_quantity]]*(1-Table1[[#This Row],[cap_adjusted_discount]])</f>
        <v>14579.352000000001</v>
      </c>
      <c r="AM86" s="5">
        <f>Table1[[#This Row],[UnitPrice]]*Table1[[#This Row],[Quantity]]*(1-Table1[[#This Row],[DiscountPct]])</f>
        <v>11015.510400000003</v>
      </c>
      <c r="AN86" s="5">
        <f>Table1[[#This Row],[gross_revenue]]-Table1[[#This Row],[cost_of_goods]]</f>
        <v>2336.6104000000032</v>
      </c>
      <c r="AO86" s="5">
        <f>Table1[[#This Row],[scenario_revenue]]-Table1[[#This Row],[Scenario_unit_cost]]</f>
        <v>3123.2039999999997</v>
      </c>
      <c r="AP86" s="5">
        <f>IF(Table1[[#This Row],[gross_revenue]]=0,0,Table1[[#This Row],[gross_profit]]/Table1[[#This Row],[gross_revenue]])</f>
        <v>0.21212003031652557</v>
      </c>
    </row>
    <row r="87" spans="1:42" x14ac:dyDescent="0.35">
      <c r="A87" t="s">
        <v>228</v>
      </c>
      <c r="B87" t="str">
        <f>_xlfn.TEXTAFTER(Table1[[#This Row],[OrderID]],"-",2)</f>
        <v>653343</v>
      </c>
      <c r="C87">
        <f>YEAR(Table1[[#This Row],[OrderDate]])</f>
        <v>2023</v>
      </c>
      <c r="D87" s="9">
        <f>_xlfn.MINIFS(F:F,P:P,Table1[[#This Row],[Country]])</f>
        <v>44955</v>
      </c>
      <c r="E87" s="7">
        <f>DATEDIF(Table1[[#This Row],[first_time_orders]],Table1[[#This Row],[OrderDate]],"m")</f>
        <v>9</v>
      </c>
      <c r="F87" s="9">
        <v>45240</v>
      </c>
      <c r="G87" s="2" t="str">
        <f>TEXT(Table1[[#This Row],[OrderDate]],"MMM-YYYY")</f>
        <v>Nov-2023</v>
      </c>
      <c r="H87" s="7">
        <f>MONTH(Table1[[#This Row],[OrderDate]])</f>
        <v>11</v>
      </c>
      <c r="I87" s="7" t="str">
        <f>"Q"&amp;ROUNDUP(Table1[[#This Row],[months]]/3,0)&amp;"-"&amp;Table1[[#This Row],[order_year]]</f>
        <v>Q4-2023</v>
      </c>
      <c r="J87" s="7">
        <f>Table1[[#This Row],[RequiredDate]]-Table1[[#This Row],[OrderDate]]</f>
        <v>18</v>
      </c>
      <c r="K87" s="7">
        <f>IF(Table1[[#This Row],[lead_time]]&lt;0,MEDIAN(J:J),Table1[[#This Row],[lead_time]])</f>
        <v>18</v>
      </c>
      <c r="L87" s="7">
        <f>IF(Table1[[#This Row],[adj_lead_time]]&lt;=7,1,0)</f>
        <v>0</v>
      </c>
      <c r="M87" s="9">
        <v>45258</v>
      </c>
      <c r="N87" s="9">
        <f>IF(Table1[[#This Row],[lead_time]]&lt;0,(Table1[[#This Row],[OrderDate]]+Table1[[#This Row],[adj_lead_time]]),Table1[[#This Row],[RequiredDate]])</f>
        <v>45258</v>
      </c>
      <c r="O87" t="s">
        <v>648</v>
      </c>
      <c r="P87" t="s">
        <v>655</v>
      </c>
      <c r="Q87" t="s">
        <v>672</v>
      </c>
      <c r="R87" t="s">
        <v>702</v>
      </c>
      <c r="S87" t="s">
        <v>709</v>
      </c>
      <c r="T87" t="s">
        <v>716</v>
      </c>
      <c r="U87" t="s">
        <v>733</v>
      </c>
      <c r="V87" t="s">
        <v>948</v>
      </c>
      <c r="W87">
        <v>388.51</v>
      </c>
      <c r="X87">
        <f>Table1[[#This Row],[UnitCost]]*(1+'scenario modeling'!$B$3)</f>
        <v>427.36100000000005</v>
      </c>
      <c r="Y87">
        <v>776.46</v>
      </c>
      <c r="Z87" t="str">
        <f>IF(Table1[[#This Row],[UnitPrice]]&lt;=Quantiles!$B$2,Quantiles!$A$2,IF(Table1[[#This Row],[UnitPrice]]&lt;=Quantiles!$B$3,Quantiles!$A$3,Quantiles!$A$4))</f>
        <v>Low</v>
      </c>
      <c r="AA87">
        <v>0.157</v>
      </c>
      <c r="AB87" s="5">
        <f>MIN(Table1[[#This Row],[DiscountPct]],'scenario modeling'!$B$2)</f>
        <v>0.1</v>
      </c>
      <c r="AC87" t="str">
        <f>IF(Table1[[#This Row],[DiscountPct]]&gt;0.3, "&gt;0.3","")</f>
        <v/>
      </c>
      <c r="AD87">
        <v>12</v>
      </c>
      <c r="AE87">
        <f>Table1[[#This Row],[Quantity]]*(1+'scenario modeling'!$B$4)</f>
        <v>14.399999999999999</v>
      </c>
      <c r="AF87">
        <f>Table1[[#This Row],[UnitCost]]*Table1[[#This Row],[Quantity]]</f>
        <v>4662.12</v>
      </c>
      <c r="AG87">
        <f>SUMIF($U:U,Table1[[#This Row],[ProductCategory]],$AM:AM)</f>
        <v>1331102.9440700002</v>
      </c>
      <c r="AH87">
        <f>SUMIFS($AM$2:AM87,$U$2:U87,U87)</f>
        <v>1302117.2576100002</v>
      </c>
      <c r="AI87" s="5">
        <f>Table1[[#This Row],[Cumulative_revenue]]/Table1[[#This Row],[Category_revenue]]</f>
        <v>0.97822430895436763</v>
      </c>
      <c r="AJ87" t="str">
        <f>IF(Table1[[#This Row],[cumulative_pct]]&lt;=0.8,"A",IF(Table1[[#This Row],[cumulative_pct]]&lt;=0.95,"B","C"))</f>
        <v>C</v>
      </c>
      <c r="AK87">
        <f>Table1[[#This Row],[adj_unit_cost]]*Table1[[#This Row],[scenario_quantity]]</f>
        <v>6153.9984000000004</v>
      </c>
      <c r="AL87" s="5">
        <f>Table1[[#This Row],[UnitPrice]]*Table1[[#This Row],[scenario_quantity]]*(1-Table1[[#This Row],[cap_adjusted_discount]])</f>
        <v>10062.9216</v>
      </c>
      <c r="AM87" s="5">
        <f>Table1[[#This Row],[UnitPrice]]*Table1[[#This Row],[Quantity]]*(1-Table1[[#This Row],[DiscountPct]])</f>
        <v>7854.6693599999999</v>
      </c>
      <c r="AN87" s="5">
        <f>Table1[[#This Row],[gross_revenue]]-Table1[[#This Row],[cost_of_goods]]</f>
        <v>3192.54936</v>
      </c>
      <c r="AO87" s="5">
        <f>Table1[[#This Row],[scenario_revenue]]-Table1[[#This Row],[Scenario_unit_cost]]</f>
        <v>3908.9231999999993</v>
      </c>
      <c r="AP87" s="5">
        <f>IF(Table1[[#This Row],[gross_revenue]]=0,0,Table1[[#This Row],[gross_profit]]/Table1[[#This Row],[gross_revenue]])</f>
        <v>0.40645241876864946</v>
      </c>
    </row>
    <row r="88" spans="1:42" x14ac:dyDescent="0.35">
      <c r="A88" t="s">
        <v>306</v>
      </c>
      <c r="B88" t="str">
        <f>_xlfn.TEXTAFTER(Table1[[#This Row],[OrderID]],"-",2)</f>
        <v>667815</v>
      </c>
      <c r="C88">
        <f>YEAR(Table1[[#This Row],[OrderDate]])</f>
        <v>2023</v>
      </c>
      <c r="D88" s="9">
        <f>_xlfn.MINIFS(F:F,P:P,Table1[[#This Row],[Country]])</f>
        <v>44945</v>
      </c>
      <c r="E88" s="7">
        <f>DATEDIF(Table1[[#This Row],[first_time_orders]],Table1[[#This Row],[OrderDate]],"m")</f>
        <v>9</v>
      </c>
      <c r="F88" s="9">
        <v>45220</v>
      </c>
      <c r="G88" s="2" t="str">
        <f>TEXT(Table1[[#This Row],[OrderDate]],"MMM-YYYY")</f>
        <v>Oct-2023</v>
      </c>
      <c r="H88" s="7">
        <f>MONTH(Table1[[#This Row],[OrderDate]])</f>
        <v>10</v>
      </c>
      <c r="I88" s="7" t="str">
        <f>"Q"&amp;ROUNDUP(Table1[[#This Row],[months]]/3,0)&amp;"-"&amp;Table1[[#This Row],[order_year]]</f>
        <v>Q4-2023</v>
      </c>
      <c r="J88" s="7">
        <f>Table1[[#This Row],[RequiredDate]]-Table1[[#This Row],[OrderDate]]</f>
        <v>19</v>
      </c>
      <c r="K88" s="7">
        <f>IF(Table1[[#This Row],[lead_time]]&lt;0,MEDIAN(J:J),Table1[[#This Row],[lead_time]])</f>
        <v>19</v>
      </c>
      <c r="L88" s="7">
        <f>IF(Table1[[#This Row],[adj_lead_time]]&lt;=7,1,0)</f>
        <v>0</v>
      </c>
      <c r="M88" s="9">
        <v>45239</v>
      </c>
      <c r="N88" s="9">
        <f>IF(Table1[[#This Row],[lead_time]]&lt;0,(Table1[[#This Row],[OrderDate]]+Table1[[#This Row],[adj_lead_time]]),Table1[[#This Row],[RequiredDate]])</f>
        <v>45239</v>
      </c>
      <c r="O88" t="s">
        <v>649</v>
      </c>
      <c r="P88" t="s">
        <v>658</v>
      </c>
      <c r="Q88" t="s">
        <v>683</v>
      </c>
      <c r="R88" t="s">
        <v>703</v>
      </c>
      <c r="S88" t="s">
        <v>711</v>
      </c>
      <c r="T88" t="s">
        <v>720</v>
      </c>
      <c r="U88" t="s">
        <v>733</v>
      </c>
      <c r="V88" t="s">
        <v>1026</v>
      </c>
      <c r="W88">
        <v>1142.48</v>
      </c>
      <c r="X88">
        <f>Table1[[#This Row],[UnitCost]]*(1+'scenario modeling'!$B$3)</f>
        <v>1256.7280000000001</v>
      </c>
      <c r="Y88">
        <v>2105.5300000000002</v>
      </c>
      <c r="Z88" t="str">
        <f>IF(Table1[[#This Row],[UnitPrice]]&lt;=Quantiles!$B$2,Quantiles!$A$2,IF(Table1[[#This Row],[UnitPrice]]&lt;=Quantiles!$B$3,Quantiles!$A$3,Quantiles!$A$4))</f>
        <v>High</v>
      </c>
      <c r="AA88">
        <v>0.20699999999999999</v>
      </c>
      <c r="AB88" s="5">
        <f>MIN(Table1[[#This Row],[DiscountPct]],'scenario modeling'!$B$2)</f>
        <v>0.1</v>
      </c>
      <c r="AC88" t="str">
        <f>IF(Table1[[#This Row],[DiscountPct]]&gt;0.3, "&gt;0.3","")</f>
        <v/>
      </c>
      <c r="AD88">
        <v>14</v>
      </c>
      <c r="AE88">
        <f>Table1[[#This Row],[Quantity]]*(1+'scenario modeling'!$B$4)</f>
        <v>16.8</v>
      </c>
      <c r="AF88">
        <f>Table1[[#This Row],[UnitCost]]*Table1[[#This Row],[Quantity]]</f>
        <v>15994.720000000001</v>
      </c>
      <c r="AG88">
        <f>SUMIF($U:U,Table1[[#This Row],[ProductCategory]],$AM:AM)</f>
        <v>1331102.9440700002</v>
      </c>
      <c r="AH88">
        <f>SUMIFS($AM$2:AM88,$U$2:U88,U88)</f>
        <v>1325492.8516700002</v>
      </c>
      <c r="AI88" s="5">
        <f>Table1[[#This Row],[Cumulative_revenue]]/Table1[[#This Row],[Category_revenue]]</f>
        <v>0.99578538051846954</v>
      </c>
      <c r="AJ88" t="str">
        <f>IF(Table1[[#This Row],[cumulative_pct]]&lt;=0.8,"A",IF(Table1[[#This Row],[cumulative_pct]]&lt;=0.95,"B","C"))</f>
        <v>C</v>
      </c>
      <c r="AK88">
        <f>Table1[[#This Row],[adj_unit_cost]]*Table1[[#This Row],[scenario_quantity]]</f>
        <v>21113.030400000003</v>
      </c>
      <c r="AL88" s="5">
        <f>Table1[[#This Row],[UnitPrice]]*Table1[[#This Row],[scenario_quantity]]*(1-Table1[[#This Row],[cap_adjusted_discount]])</f>
        <v>31835.613600000004</v>
      </c>
      <c r="AM88" s="5">
        <f>Table1[[#This Row],[UnitPrice]]*Table1[[#This Row],[Quantity]]*(1-Table1[[#This Row],[DiscountPct]])</f>
        <v>23375.594060000003</v>
      </c>
      <c r="AN88" s="5">
        <f>Table1[[#This Row],[gross_revenue]]-Table1[[#This Row],[cost_of_goods]]</f>
        <v>7380.8740600000019</v>
      </c>
      <c r="AO88" s="5">
        <f>Table1[[#This Row],[scenario_revenue]]-Table1[[#This Row],[Scenario_unit_cost]]</f>
        <v>10722.583200000001</v>
      </c>
      <c r="AP88" s="5">
        <f>IF(Table1[[#This Row],[gross_revenue]]=0,0,Table1[[#This Row],[gross_profit]]/Table1[[#This Row],[gross_revenue]])</f>
        <v>0.31575129346680658</v>
      </c>
    </row>
    <row r="89" spans="1:42" x14ac:dyDescent="0.35">
      <c r="A89" t="s">
        <v>347</v>
      </c>
      <c r="B89" t="str">
        <f>_xlfn.TEXTAFTER(Table1[[#This Row],[OrderID]],"-",2)</f>
        <v>181257</v>
      </c>
      <c r="C89">
        <f>YEAR(Table1[[#This Row],[OrderDate]])</f>
        <v>2023</v>
      </c>
      <c r="D89" s="9">
        <f>_xlfn.MINIFS(F:F,P:P,Table1[[#This Row],[Country]])</f>
        <v>44945</v>
      </c>
      <c r="E89" s="7">
        <f>DATEDIF(Table1[[#This Row],[first_time_orders]],Table1[[#This Row],[OrderDate]],"m")</f>
        <v>9</v>
      </c>
      <c r="F89" s="9">
        <v>45245</v>
      </c>
      <c r="G89" s="2" t="str">
        <f>TEXT(Table1[[#This Row],[OrderDate]],"MMM-YYYY")</f>
        <v>Nov-2023</v>
      </c>
      <c r="H89" s="7">
        <f>MONTH(Table1[[#This Row],[OrderDate]])</f>
        <v>11</v>
      </c>
      <c r="I89" s="7" t="str">
        <f>"Q"&amp;ROUNDUP(Table1[[#This Row],[months]]/3,0)&amp;"-"&amp;Table1[[#This Row],[order_year]]</f>
        <v>Q4-2023</v>
      </c>
      <c r="J89" s="7">
        <f>Table1[[#This Row],[RequiredDate]]-Table1[[#This Row],[OrderDate]]</f>
        <v>21</v>
      </c>
      <c r="K89" s="7">
        <f>IF(Table1[[#This Row],[lead_time]]&lt;0,MEDIAN(J:J),Table1[[#This Row],[lead_time]])</f>
        <v>21</v>
      </c>
      <c r="L89" s="7">
        <f>IF(Table1[[#This Row],[adj_lead_time]]&lt;=7,1,0)</f>
        <v>0</v>
      </c>
      <c r="M89" s="9">
        <v>45266</v>
      </c>
      <c r="N89" s="9">
        <f>IF(Table1[[#This Row],[lead_time]]&lt;0,(Table1[[#This Row],[OrderDate]]+Table1[[#This Row],[adj_lead_time]]),Table1[[#This Row],[RequiredDate]])</f>
        <v>45266</v>
      </c>
      <c r="O89" t="s">
        <v>649</v>
      </c>
      <c r="P89" t="s">
        <v>658</v>
      </c>
      <c r="Q89" t="s">
        <v>693</v>
      </c>
      <c r="R89" t="s">
        <v>702</v>
      </c>
      <c r="S89" t="s">
        <v>711</v>
      </c>
      <c r="T89" t="s">
        <v>722</v>
      </c>
      <c r="U89" t="s">
        <v>733</v>
      </c>
      <c r="V89" t="s">
        <v>1067</v>
      </c>
      <c r="W89">
        <v>1184.99</v>
      </c>
      <c r="X89">
        <f>Table1[[#This Row],[UnitCost]]*(1+'scenario modeling'!$B$3)</f>
        <v>1303.489</v>
      </c>
      <c r="Y89">
        <v>1154.3399999999999</v>
      </c>
      <c r="Z89" t="str">
        <f>IF(Table1[[#This Row],[UnitPrice]]&lt;=Quantiles!$B$2,Quantiles!$A$2,IF(Table1[[#This Row],[UnitPrice]]&lt;=Quantiles!$B$3,Quantiles!$A$3,Quantiles!$A$4))</f>
        <v>Medium</v>
      </c>
      <c r="AA89">
        <v>2.8000000000000001E-2</v>
      </c>
      <c r="AB89" s="5">
        <f>MIN(Table1[[#This Row],[DiscountPct]],'scenario modeling'!$B$2)</f>
        <v>2.8000000000000001E-2</v>
      </c>
      <c r="AC89" t="str">
        <f>IF(Table1[[#This Row],[DiscountPct]]&gt;0.3, "&gt;0.3","")</f>
        <v/>
      </c>
      <c r="AD89">
        <v>5</v>
      </c>
      <c r="AE89">
        <f>Table1[[#This Row],[Quantity]]*(1+'scenario modeling'!$B$4)</f>
        <v>6</v>
      </c>
      <c r="AF89">
        <f>Table1[[#This Row],[UnitCost]]*Table1[[#This Row],[Quantity]]</f>
        <v>5924.95</v>
      </c>
      <c r="AG89">
        <f>SUMIF($U:U,Table1[[#This Row],[ProductCategory]],$AM:AM)</f>
        <v>1331102.9440700002</v>
      </c>
      <c r="AH89">
        <f>SUMIFS($AM$2:AM89,$U$2:U89,U89)</f>
        <v>1331102.9440700002</v>
      </c>
      <c r="AI89" s="5">
        <f>Table1[[#This Row],[Cumulative_revenue]]/Table1[[#This Row],[Category_revenue]]</f>
        <v>1</v>
      </c>
      <c r="AJ89" t="str">
        <f>IF(Table1[[#This Row],[cumulative_pct]]&lt;=0.8,"A",IF(Table1[[#This Row],[cumulative_pct]]&lt;=0.95,"B","C"))</f>
        <v>C</v>
      </c>
      <c r="AK89">
        <f>Table1[[#This Row],[adj_unit_cost]]*Table1[[#This Row],[scenario_quantity]]</f>
        <v>7820.9340000000002</v>
      </c>
      <c r="AL89" s="5">
        <f>Table1[[#This Row],[UnitPrice]]*Table1[[#This Row],[scenario_quantity]]*(1-Table1[[#This Row],[cap_adjusted_discount]])</f>
        <v>6732.1108799999993</v>
      </c>
      <c r="AM89" s="5">
        <f>Table1[[#This Row],[UnitPrice]]*Table1[[#This Row],[Quantity]]*(1-Table1[[#This Row],[DiscountPct]])</f>
        <v>5610.0923999999995</v>
      </c>
      <c r="AN89" s="5">
        <f>Table1[[#This Row],[gross_revenue]]-Table1[[#This Row],[cost_of_goods]]</f>
        <v>-314.85760000000028</v>
      </c>
      <c r="AO89" s="5">
        <f>Table1[[#This Row],[scenario_revenue]]-Table1[[#This Row],[Scenario_unit_cost]]</f>
        <v>-1088.8231200000009</v>
      </c>
      <c r="AP89" s="5">
        <f>IF(Table1[[#This Row],[gross_revenue]]=0,0,Table1[[#This Row],[gross_profit]]/Table1[[#This Row],[gross_revenue]])</f>
        <v>-5.6123424990290764E-2</v>
      </c>
    </row>
    <row r="90" spans="1:42" x14ac:dyDescent="0.35">
      <c r="A90" t="s">
        <v>39</v>
      </c>
      <c r="B90" t="str">
        <f>_xlfn.TEXTAFTER(Table1[[#This Row],[OrderID]],"-",2)</f>
        <v>271836</v>
      </c>
      <c r="C90">
        <f>YEAR(Table1[[#This Row],[OrderDate]])</f>
        <v>2023</v>
      </c>
      <c r="D90" s="9">
        <f>_xlfn.MINIFS(F:F,P:P,Table1[[#This Row],[Country]])</f>
        <v>44955</v>
      </c>
      <c r="E90" s="7">
        <f>DATEDIF(Table1[[#This Row],[first_time_orders]],Table1[[#This Row],[OrderDate]],"m")</f>
        <v>0</v>
      </c>
      <c r="F90" s="9">
        <v>44964</v>
      </c>
      <c r="G90" s="2" t="str">
        <f>TEXT(Table1[[#This Row],[OrderDate]],"MMM-YYYY")</f>
        <v>Feb-2023</v>
      </c>
      <c r="H90" s="7">
        <f>MONTH(Table1[[#This Row],[OrderDate]])</f>
        <v>2</v>
      </c>
      <c r="I90" s="7" t="str">
        <f>"Q"&amp;ROUNDUP(Table1[[#This Row],[months]]/3,0)&amp;"-"&amp;Table1[[#This Row],[order_year]]</f>
        <v>Q1-2023</v>
      </c>
      <c r="J90" s="7">
        <f>Table1[[#This Row],[RequiredDate]]-Table1[[#This Row],[OrderDate]]</f>
        <v>5</v>
      </c>
      <c r="K90" s="7">
        <f>IF(Table1[[#This Row],[lead_time]]&lt;0,MEDIAN(J:J),Table1[[#This Row],[lead_time]])</f>
        <v>5</v>
      </c>
      <c r="L90" s="7">
        <f>IF(Table1[[#This Row],[adj_lead_time]]&lt;=7,1,0)</f>
        <v>1</v>
      </c>
      <c r="M90" s="9">
        <v>44969</v>
      </c>
      <c r="N90" s="9">
        <f>IF(Table1[[#This Row],[lead_time]]&lt;0,(Table1[[#This Row],[OrderDate]]+Table1[[#This Row],[adj_lead_time]]),Table1[[#This Row],[RequiredDate]])</f>
        <v>44969</v>
      </c>
      <c r="O90" t="s">
        <v>648</v>
      </c>
      <c r="P90" t="s">
        <v>655</v>
      </c>
      <c r="Q90" t="s">
        <v>670</v>
      </c>
      <c r="R90" t="s">
        <v>702</v>
      </c>
      <c r="S90" t="s">
        <v>708</v>
      </c>
      <c r="T90" t="s">
        <v>725</v>
      </c>
      <c r="U90" t="s">
        <v>727</v>
      </c>
      <c r="V90" t="s">
        <v>758</v>
      </c>
      <c r="W90">
        <v>948.55</v>
      </c>
      <c r="X90">
        <f>Table1[[#This Row],[UnitCost]]*(1+'scenario modeling'!$B$3)</f>
        <v>1043.405</v>
      </c>
      <c r="Y90">
        <v>2089.16</v>
      </c>
      <c r="Z90" t="str">
        <f>IF(Table1[[#This Row],[UnitPrice]]&lt;=Quantiles!$B$2,Quantiles!$A$2,IF(Table1[[#This Row],[UnitPrice]]&lt;=Quantiles!$B$3,Quantiles!$A$3,Quantiles!$A$4))</f>
        <v>High</v>
      </c>
      <c r="AA90">
        <v>7.0000000000000001E-3</v>
      </c>
      <c r="AB90" s="5">
        <f>MIN(Table1[[#This Row],[DiscountPct]],'scenario modeling'!$B$2)</f>
        <v>7.0000000000000001E-3</v>
      </c>
      <c r="AC90" t="str">
        <f>IF(Table1[[#This Row],[DiscountPct]]&gt;0.3, "&gt;0.3","")</f>
        <v/>
      </c>
      <c r="AD90">
        <v>12</v>
      </c>
      <c r="AE90">
        <f>Table1[[#This Row],[Quantity]]*(1+'scenario modeling'!$B$4)</f>
        <v>14.399999999999999</v>
      </c>
      <c r="AF90">
        <f>Table1[[#This Row],[UnitCost]]*Table1[[#This Row],[Quantity]]</f>
        <v>11382.599999999999</v>
      </c>
      <c r="AG90">
        <f>SUMIF($U:U,Table1[[#This Row],[ProductCategory]],$AM:AM)</f>
        <v>1545646.9975799995</v>
      </c>
      <c r="AH90">
        <f>SUMIFS($AM$2:AM90,$U$2:U90,U90)</f>
        <v>24894.430559999997</v>
      </c>
      <c r="AI90" s="5">
        <f>Table1[[#This Row],[Cumulative_revenue]]/Table1[[#This Row],[Category_revenue]]</f>
        <v>1.6106155285765054E-2</v>
      </c>
      <c r="AJ90" t="str">
        <f>IF(Table1[[#This Row],[cumulative_pct]]&lt;=0.8,"A",IF(Table1[[#This Row],[cumulative_pct]]&lt;=0.95,"B","C"))</f>
        <v>A</v>
      </c>
      <c r="AK90">
        <f>Table1[[#This Row],[adj_unit_cost]]*Table1[[#This Row],[scenario_quantity]]</f>
        <v>15025.031999999997</v>
      </c>
      <c r="AL90" s="5">
        <f>Table1[[#This Row],[UnitPrice]]*Table1[[#This Row],[scenario_quantity]]*(1-Table1[[#This Row],[cap_adjusted_discount]])</f>
        <v>29873.316671999994</v>
      </c>
      <c r="AM90" s="5">
        <f>Table1[[#This Row],[UnitPrice]]*Table1[[#This Row],[Quantity]]*(1-Table1[[#This Row],[DiscountPct]])</f>
        <v>24894.430559999997</v>
      </c>
      <c r="AN90" s="5">
        <f>Table1[[#This Row],[gross_revenue]]-Table1[[#This Row],[cost_of_goods]]</f>
        <v>13511.830559999999</v>
      </c>
      <c r="AO90" s="5">
        <f>Table1[[#This Row],[scenario_revenue]]-Table1[[#This Row],[Scenario_unit_cost]]</f>
        <v>14848.284671999996</v>
      </c>
      <c r="AP90" s="5">
        <f>IF(Table1[[#This Row],[gross_revenue]]=0,0,Table1[[#This Row],[gross_profit]]/Table1[[#This Row],[gross_revenue]])</f>
        <v>0.54276519912492427</v>
      </c>
    </row>
    <row r="91" spans="1:42" x14ac:dyDescent="0.35">
      <c r="A91" t="s">
        <v>187</v>
      </c>
      <c r="B91" t="str">
        <f>_xlfn.TEXTAFTER(Table1[[#This Row],[OrderID]],"-",2)</f>
        <v>286994</v>
      </c>
      <c r="C91">
        <f>YEAR(Table1[[#This Row],[OrderDate]])</f>
        <v>2023</v>
      </c>
      <c r="D91" s="9">
        <f>_xlfn.MINIFS(F:F,P:P,Table1[[#This Row],[Country]])</f>
        <v>44939</v>
      </c>
      <c r="E91" s="7">
        <f>DATEDIF(Table1[[#This Row],[first_time_orders]],Table1[[#This Row],[OrderDate]],"m")</f>
        <v>1</v>
      </c>
      <c r="F91" s="9">
        <v>44981</v>
      </c>
      <c r="G91" s="2" t="str">
        <f>TEXT(Table1[[#This Row],[OrderDate]],"MMM-YYYY")</f>
        <v>Feb-2023</v>
      </c>
      <c r="H91" s="7">
        <f>MONTH(Table1[[#This Row],[OrderDate]])</f>
        <v>2</v>
      </c>
      <c r="I91" s="7" t="str">
        <f>"Q"&amp;ROUNDUP(Table1[[#This Row],[months]]/3,0)&amp;"-"&amp;Table1[[#This Row],[order_year]]</f>
        <v>Q1-2023</v>
      </c>
      <c r="J91" s="7">
        <f>Table1[[#This Row],[RequiredDate]]-Table1[[#This Row],[OrderDate]]</f>
        <v>13</v>
      </c>
      <c r="K91" s="7">
        <f>IF(Table1[[#This Row],[lead_time]]&lt;0,MEDIAN(J:J),Table1[[#This Row],[lead_time]])</f>
        <v>13</v>
      </c>
      <c r="L91" s="7">
        <f>IF(Table1[[#This Row],[adj_lead_time]]&lt;=7,1,0)</f>
        <v>0</v>
      </c>
      <c r="M91" s="9">
        <v>44994</v>
      </c>
      <c r="N91" s="9">
        <f>IF(Table1[[#This Row],[lead_time]]&lt;0,(Table1[[#This Row],[OrderDate]]+Table1[[#This Row],[adj_lead_time]]),Table1[[#This Row],[RequiredDate]])</f>
        <v>44994</v>
      </c>
      <c r="O91" t="s">
        <v>648</v>
      </c>
      <c r="P91" t="s">
        <v>660</v>
      </c>
      <c r="Q91" t="s">
        <v>700</v>
      </c>
      <c r="R91" t="s">
        <v>706</v>
      </c>
      <c r="S91" t="s">
        <v>708</v>
      </c>
      <c r="T91" t="s">
        <v>724</v>
      </c>
      <c r="U91" t="s">
        <v>727</v>
      </c>
      <c r="V91" t="s">
        <v>906</v>
      </c>
      <c r="W91">
        <v>6.85</v>
      </c>
      <c r="X91">
        <f>Table1[[#This Row],[UnitCost]]*(1+'scenario modeling'!$B$3)</f>
        <v>7.5350000000000001</v>
      </c>
      <c r="Y91">
        <v>10.18</v>
      </c>
      <c r="Z91" t="str">
        <f>IF(Table1[[#This Row],[UnitPrice]]&lt;=Quantiles!$B$2,Quantiles!$A$2,IF(Table1[[#This Row],[UnitPrice]]&lt;=Quantiles!$B$3,Quantiles!$A$3,Quantiles!$A$4))</f>
        <v>Low</v>
      </c>
      <c r="AA91">
        <v>4.7E-2</v>
      </c>
      <c r="AB91" s="5">
        <f>MIN(Table1[[#This Row],[DiscountPct]],'scenario modeling'!$B$2)</f>
        <v>4.7E-2</v>
      </c>
      <c r="AC91" t="str">
        <f>IF(Table1[[#This Row],[DiscountPct]]&gt;0.3, "&gt;0.3","")</f>
        <v/>
      </c>
      <c r="AD91">
        <v>10</v>
      </c>
      <c r="AE91">
        <f>Table1[[#This Row],[Quantity]]*(1+'scenario modeling'!$B$4)</f>
        <v>12</v>
      </c>
      <c r="AF91">
        <f>Table1[[#This Row],[UnitCost]]*Table1[[#This Row],[Quantity]]</f>
        <v>68.5</v>
      </c>
      <c r="AG91">
        <f>SUMIF($U:U,Table1[[#This Row],[ProductCategory]],$AM:AM)</f>
        <v>1545646.9975799995</v>
      </c>
      <c r="AH91">
        <f>SUMIFS($AM$2:AM91,$U$2:U91,U91)</f>
        <v>24991.445959999997</v>
      </c>
      <c r="AI91" s="5">
        <f>Table1[[#This Row],[Cumulative_revenue]]/Table1[[#This Row],[Category_revenue]]</f>
        <v>1.6168922140132123E-2</v>
      </c>
      <c r="AJ91" t="str">
        <f>IF(Table1[[#This Row],[cumulative_pct]]&lt;=0.8,"A",IF(Table1[[#This Row],[cumulative_pct]]&lt;=0.95,"B","C"))</f>
        <v>A</v>
      </c>
      <c r="AK91">
        <f>Table1[[#This Row],[adj_unit_cost]]*Table1[[#This Row],[scenario_quantity]]</f>
        <v>90.42</v>
      </c>
      <c r="AL91" s="5">
        <f>Table1[[#This Row],[UnitPrice]]*Table1[[#This Row],[scenario_quantity]]*(1-Table1[[#This Row],[cap_adjusted_discount]])</f>
        <v>116.41847999999999</v>
      </c>
      <c r="AM91" s="5">
        <f>Table1[[#This Row],[UnitPrice]]*Table1[[#This Row],[Quantity]]*(1-Table1[[#This Row],[DiscountPct]])</f>
        <v>97.0154</v>
      </c>
      <c r="AN91" s="5">
        <f>Table1[[#This Row],[gross_revenue]]-Table1[[#This Row],[cost_of_goods]]</f>
        <v>28.5154</v>
      </c>
      <c r="AO91" s="5">
        <f>Table1[[#This Row],[scenario_revenue]]-Table1[[#This Row],[Scenario_unit_cost]]</f>
        <v>25.998479999999986</v>
      </c>
      <c r="AP91" s="5">
        <f>IF(Table1[[#This Row],[gross_revenue]]=0,0,Table1[[#This Row],[gross_profit]]/Table1[[#This Row],[gross_revenue]])</f>
        <v>0.2939265312517394</v>
      </c>
    </row>
    <row r="92" spans="1:42" x14ac:dyDescent="0.35">
      <c r="A92" t="s">
        <v>451</v>
      </c>
      <c r="B92" t="str">
        <f>_xlfn.TEXTAFTER(Table1[[#This Row],[OrderID]],"-",2)</f>
        <v>752962</v>
      </c>
      <c r="C92">
        <f>YEAR(Table1[[#This Row],[OrderDate]])</f>
        <v>2023</v>
      </c>
      <c r="D92" s="9">
        <f>_xlfn.MINIFS(F:F,P:P,Table1[[#This Row],[Country]])</f>
        <v>44988</v>
      </c>
      <c r="E92" s="7">
        <f>DATEDIF(Table1[[#This Row],[first_time_orders]],Table1[[#This Row],[OrderDate]],"m")</f>
        <v>1</v>
      </c>
      <c r="F92" s="9">
        <v>45037</v>
      </c>
      <c r="G92" s="2" t="str">
        <f>TEXT(Table1[[#This Row],[OrderDate]],"MMM-YYYY")</f>
        <v>Apr-2023</v>
      </c>
      <c r="H92" s="7">
        <f>MONTH(Table1[[#This Row],[OrderDate]])</f>
        <v>4</v>
      </c>
      <c r="I92" s="7" t="str">
        <f>"Q"&amp;ROUNDUP(Table1[[#This Row],[months]]/3,0)&amp;"-"&amp;Table1[[#This Row],[order_year]]</f>
        <v>Q2-2023</v>
      </c>
      <c r="J92" s="7">
        <f>Table1[[#This Row],[RequiredDate]]-Table1[[#This Row],[OrderDate]]</f>
        <v>-2</v>
      </c>
      <c r="K92" s="7">
        <f>IF(Table1[[#This Row],[lead_time]]&lt;0,MEDIAN(J:J),Table1[[#This Row],[lead_time]])</f>
        <v>15</v>
      </c>
      <c r="L92" s="7">
        <f>IF(Table1[[#This Row],[adj_lead_time]]&lt;=7,1,0)</f>
        <v>0</v>
      </c>
      <c r="M92" s="9">
        <v>45035</v>
      </c>
      <c r="N92" s="9">
        <f>IF(Table1[[#This Row],[lead_time]]&lt;0,(Table1[[#This Row],[OrderDate]]+Table1[[#This Row],[adj_lead_time]]),Table1[[#This Row],[RequiredDate]])</f>
        <v>45052</v>
      </c>
      <c r="O92" t="s">
        <v>647</v>
      </c>
      <c r="P92" t="s">
        <v>652</v>
      </c>
      <c r="Q92" t="s">
        <v>694</v>
      </c>
      <c r="R92" t="s">
        <v>705</v>
      </c>
      <c r="S92" t="s">
        <v>711</v>
      </c>
      <c r="T92" t="s">
        <v>724</v>
      </c>
      <c r="U92" t="s">
        <v>727</v>
      </c>
      <c r="V92" t="s">
        <v>1170</v>
      </c>
      <c r="W92">
        <v>607.04</v>
      </c>
      <c r="X92">
        <f>Table1[[#This Row],[UnitCost]]*(1+'scenario modeling'!$B$3)</f>
        <v>667.74400000000003</v>
      </c>
      <c r="Y92">
        <v>1229.3399999999999</v>
      </c>
      <c r="Z92" t="str">
        <f>IF(Table1[[#This Row],[UnitPrice]]&lt;=Quantiles!$B$2,Quantiles!$A$2,IF(Table1[[#This Row],[UnitPrice]]&lt;=Quantiles!$B$3,Quantiles!$A$3,Quantiles!$A$4))</f>
        <v>Medium</v>
      </c>
      <c r="AA92">
        <v>0.14699999999999999</v>
      </c>
      <c r="AB92" s="5">
        <f>MIN(Table1[[#This Row],[DiscountPct]],'scenario modeling'!$B$2)</f>
        <v>0.1</v>
      </c>
      <c r="AC92" t="str">
        <f>IF(Table1[[#This Row],[DiscountPct]]&gt;0.3, "&gt;0.3","")</f>
        <v/>
      </c>
      <c r="AD92">
        <v>7</v>
      </c>
      <c r="AE92">
        <f>Table1[[#This Row],[Quantity]]*(1+'scenario modeling'!$B$4)</f>
        <v>8.4</v>
      </c>
      <c r="AF92">
        <f>Table1[[#This Row],[UnitCost]]*Table1[[#This Row],[Quantity]]</f>
        <v>4249.28</v>
      </c>
      <c r="AG92">
        <f>SUMIF($U:U,Table1[[#This Row],[ProductCategory]],$AM:AM)</f>
        <v>1545646.9975799995</v>
      </c>
      <c r="AH92">
        <f>SUMIFS($AM$2:AM92,$U$2:U92,U92)</f>
        <v>32331.835099999997</v>
      </c>
      <c r="AI92" s="5">
        <f>Table1[[#This Row],[Cumulative_revenue]]/Table1[[#This Row],[Category_revenue]]</f>
        <v>2.0917994309581394E-2</v>
      </c>
      <c r="AJ92" t="str">
        <f>IF(Table1[[#This Row],[cumulative_pct]]&lt;=0.8,"A",IF(Table1[[#This Row],[cumulative_pct]]&lt;=0.95,"B","C"))</f>
        <v>A</v>
      </c>
      <c r="AK92">
        <f>Table1[[#This Row],[adj_unit_cost]]*Table1[[#This Row],[scenario_quantity]]</f>
        <v>5609.0496000000003</v>
      </c>
      <c r="AL92" s="5">
        <f>Table1[[#This Row],[UnitPrice]]*Table1[[#This Row],[scenario_quantity]]*(1-Table1[[#This Row],[cap_adjusted_discount]])</f>
        <v>9293.8104000000003</v>
      </c>
      <c r="AM92" s="5">
        <f>Table1[[#This Row],[UnitPrice]]*Table1[[#This Row],[Quantity]]*(1-Table1[[#This Row],[DiscountPct]])</f>
        <v>7340.3891399999993</v>
      </c>
      <c r="AN92" s="5">
        <f>Table1[[#This Row],[gross_revenue]]-Table1[[#This Row],[cost_of_goods]]</f>
        <v>3091.1091399999996</v>
      </c>
      <c r="AO92" s="5">
        <f>Table1[[#This Row],[scenario_revenue]]-Table1[[#This Row],[Scenario_unit_cost]]</f>
        <v>3684.7608</v>
      </c>
      <c r="AP92" s="5">
        <f>IF(Table1[[#This Row],[gross_revenue]]=0,0,Table1[[#This Row],[gross_profit]]/Table1[[#This Row],[gross_revenue]])</f>
        <v>0.42110970972310058</v>
      </c>
    </row>
    <row r="93" spans="1:42" x14ac:dyDescent="0.35">
      <c r="A93" t="s">
        <v>491</v>
      </c>
      <c r="B93" t="str">
        <f>_xlfn.TEXTAFTER(Table1[[#This Row],[OrderID]],"-",2)</f>
        <v>799597</v>
      </c>
      <c r="C93">
        <f>YEAR(Table1[[#This Row],[OrderDate]])</f>
        <v>2023</v>
      </c>
      <c r="D93" s="9">
        <f>_xlfn.MINIFS(F:F,P:P,Table1[[#This Row],[Country]])</f>
        <v>44948</v>
      </c>
      <c r="E93" s="7">
        <f>DATEDIF(Table1[[#This Row],[first_time_orders]],Table1[[#This Row],[OrderDate]],"m")</f>
        <v>1</v>
      </c>
      <c r="F93" s="9">
        <v>44999</v>
      </c>
      <c r="G93" s="2" t="str">
        <f>TEXT(Table1[[#This Row],[OrderDate]],"MMM-YYYY")</f>
        <v>Mar-2023</v>
      </c>
      <c r="H93" s="7">
        <f>MONTH(Table1[[#This Row],[OrderDate]])</f>
        <v>3</v>
      </c>
      <c r="I93" s="7" t="str">
        <f>"Q"&amp;ROUNDUP(Table1[[#This Row],[months]]/3,0)&amp;"-"&amp;Table1[[#This Row],[order_year]]</f>
        <v>Q1-2023</v>
      </c>
      <c r="J93" s="7">
        <f>Table1[[#This Row],[RequiredDate]]-Table1[[#This Row],[OrderDate]]</f>
        <v>4</v>
      </c>
      <c r="K93" s="7">
        <f>IF(Table1[[#This Row],[lead_time]]&lt;0,MEDIAN(J:J),Table1[[#This Row],[lead_time]])</f>
        <v>4</v>
      </c>
      <c r="L93" s="7">
        <f>IF(Table1[[#This Row],[adj_lead_time]]&lt;=7,1,0)</f>
        <v>1</v>
      </c>
      <c r="M93" s="9">
        <v>45003</v>
      </c>
      <c r="N93" s="9">
        <f>IF(Table1[[#This Row],[lead_time]]&lt;0,(Table1[[#This Row],[OrderDate]]+Table1[[#This Row],[adj_lead_time]]),Table1[[#This Row],[RequiredDate]])</f>
        <v>45003</v>
      </c>
      <c r="O93" t="s">
        <v>649</v>
      </c>
      <c r="P93" t="s">
        <v>656</v>
      </c>
      <c r="Q93" t="s">
        <v>698</v>
      </c>
      <c r="R93" t="s">
        <v>706</v>
      </c>
      <c r="S93" t="s">
        <v>711</v>
      </c>
      <c r="T93" t="s">
        <v>720</v>
      </c>
      <c r="U93" t="s">
        <v>727</v>
      </c>
      <c r="V93" t="s">
        <v>1210</v>
      </c>
      <c r="W93">
        <v>472.33</v>
      </c>
      <c r="X93">
        <f>Table1[[#This Row],[UnitCost]]*(1+'scenario modeling'!$B$3)</f>
        <v>519.56299999999999</v>
      </c>
      <c r="Y93">
        <v>360.34</v>
      </c>
      <c r="Z93" t="str">
        <f>IF(Table1[[#This Row],[UnitPrice]]&lt;=Quantiles!$B$2,Quantiles!$A$2,IF(Table1[[#This Row],[UnitPrice]]&lt;=Quantiles!$B$3,Quantiles!$A$3,Quantiles!$A$4))</f>
        <v>Low</v>
      </c>
      <c r="AA93">
        <v>0.16500000000000001</v>
      </c>
      <c r="AB93" s="5">
        <f>MIN(Table1[[#This Row],[DiscountPct]],'scenario modeling'!$B$2)</f>
        <v>0.1</v>
      </c>
      <c r="AC93" t="str">
        <f>IF(Table1[[#This Row],[DiscountPct]]&gt;0.3, "&gt;0.3","")</f>
        <v/>
      </c>
      <c r="AD93">
        <v>14</v>
      </c>
      <c r="AE93">
        <f>Table1[[#This Row],[Quantity]]*(1+'scenario modeling'!$B$4)</f>
        <v>16.8</v>
      </c>
      <c r="AF93">
        <f>Table1[[#This Row],[UnitCost]]*Table1[[#This Row],[Quantity]]</f>
        <v>6612.62</v>
      </c>
      <c r="AG93">
        <f>SUMIF($U:U,Table1[[#This Row],[ProductCategory]],$AM:AM)</f>
        <v>1545646.9975799995</v>
      </c>
      <c r="AH93">
        <f>SUMIFS($AM$2:AM93,$U$2:U93,U93)</f>
        <v>36544.209699999992</v>
      </c>
      <c r="AI93" s="5">
        <f>Table1[[#This Row],[Cumulative_revenue]]/Table1[[#This Row],[Category_revenue]]</f>
        <v>2.364330908494424E-2</v>
      </c>
      <c r="AJ93" t="str">
        <f>IF(Table1[[#This Row],[cumulative_pct]]&lt;=0.8,"A",IF(Table1[[#This Row],[cumulative_pct]]&lt;=0.95,"B","C"))</f>
        <v>A</v>
      </c>
      <c r="AK93">
        <f>Table1[[#This Row],[adj_unit_cost]]*Table1[[#This Row],[scenario_quantity]]</f>
        <v>8728.6584000000003</v>
      </c>
      <c r="AL93" s="5">
        <f>Table1[[#This Row],[UnitPrice]]*Table1[[#This Row],[scenario_quantity]]*(1-Table1[[#This Row],[cap_adjusted_discount]])</f>
        <v>5448.3407999999999</v>
      </c>
      <c r="AM93" s="5">
        <f>Table1[[#This Row],[UnitPrice]]*Table1[[#This Row],[Quantity]]*(1-Table1[[#This Row],[DiscountPct]])</f>
        <v>4212.3745999999992</v>
      </c>
      <c r="AN93" s="5">
        <f>Table1[[#This Row],[gross_revenue]]-Table1[[#This Row],[cost_of_goods]]</f>
        <v>-2400.2454000000007</v>
      </c>
      <c r="AO93" s="5">
        <f>Table1[[#This Row],[scenario_revenue]]-Table1[[#This Row],[Scenario_unit_cost]]</f>
        <v>-3280.3176000000003</v>
      </c>
      <c r="AP93" s="5">
        <f>IF(Table1[[#This Row],[gross_revenue]]=0,0,Table1[[#This Row],[gross_profit]]/Table1[[#This Row],[gross_revenue]])</f>
        <v>-0.56980815523861561</v>
      </c>
    </row>
    <row r="94" spans="1:42" x14ac:dyDescent="0.35">
      <c r="A94" t="s">
        <v>640</v>
      </c>
      <c r="B94" t="str">
        <f>_xlfn.TEXTAFTER(Table1[[#This Row],[OrderID]],"-",2)</f>
        <v>249805</v>
      </c>
      <c r="C94">
        <f>YEAR(Table1[[#This Row],[OrderDate]])</f>
        <v>2023</v>
      </c>
      <c r="D94" s="9">
        <f>_xlfn.MINIFS(F:F,P:P,Table1[[#This Row],[Country]])</f>
        <v>44955</v>
      </c>
      <c r="E94" s="7">
        <f>DATEDIF(Table1[[#This Row],[first_time_orders]],Table1[[#This Row],[OrderDate]],"m")</f>
        <v>10</v>
      </c>
      <c r="F94" s="9">
        <v>45282</v>
      </c>
      <c r="G94" s="2" t="str">
        <f>TEXT(Table1[[#This Row],[OrderDate]],"MMM-YYYY")</f>
        <v>Dec-2023</v>
      </c>
      <c r="H94" s="7">
        <f>MONTH(Table1[[#This Row],[OrderDate]])</f>
        <v>12</v>
      </c>
      <c r="I94" s="7" t="str">
        <f>"Q"&amp;ROUNDUP(Table1[[#This Row],[months]]/3,0)&amp;"-"&amp;Table1[[#This Row],[order_year]]</f>
        <v>Q4-2023</v>
      </c>
      <c r="J94" s="7">
        <f>Table1[[#This Row],[RequiredDate]]-Table1[[#This Row],[OrderDate]]</f>
        <v>25</v>
      </c>
      <c r="K94" s="7">
        <f>IF(Table1[[#This Row],[lead_time]]&lt;0,MEDIAN(J:J),Table1[[#This Row],[lead_time]])</f>
        <v>25</v>
      </c>
      <c r="L94" s="7">
        <f>IF(Table1[[#This Row],[adj_lead_time]]&lt;=7,1,0)</f>
        <v>0</v>
      </c>
      <c r="M94" s="9">
        <v>45307</v>
      </c>
      <c r="N94" s="9">
        <f>IF(Table1[[#This Row],[lead_time]]&lt;0,(Table1[[#This Row],[OrderDate]]+Table1[[#This Row],[adj_lead_time]]),Table1[[#This Row],[RequiredDate]])</f>
        <v>45307</v>
      </c>
      <c r="O94" t="s">
        <v>647</v>
      </c>
      <c r="P94" t="s">
        <v>654</v>
      </c>
      <c r="Q94" t="s">
        <v>696</v>
      </c>
      <c r="R94" t="s">
        <v>705</v>
      </c>
      <c r="S94" t="s">
        <v>707</v>
      </c>
      <c r="T94" t="s">
        <v>720</v>
      </c>
      <c r="U94" t="s">
        <v>727</v>
      </c>
      <c r="V94" t="s">
        <v>1358</v>
      </c>
      <c r="W94">
        <v>1346.81</v>
      </c>
      <c r="X94">
        <f>Table1[[#This Row],[UnitCost]]*(1+'scenario modeling'!$B$3)</f>
        <v>1481.491</v>
      </c>
      <c r="Y94">
        <v>978.09</v>
      </c>
      <c r="Z94" t="str">
        <f>IF(Table1[[#This Row],[UnitPrice]]&lt;=Quantiles!$B$2,Quantiles!$A$2,IF(Table1[[#This Row],[UnitPrice]]&lt;=Quantiles!$B$3,Quantiles!$A$3,Quantiles!$A$4))</f>
        <v>Medium</v>
      </c>
      <c r="AA94">
        <v>0.159</v>
      </c>
      <c r="AB94" s="5">
        <f>MIN(Table1[[#This Row],[DiscountPct]],'scenario modeling'!$B$2)</f>
        <v>0.1</v>
      </c>
      <c r="AC94" t="str">
        <f>IF(Table1[[#This Row],[DiscountPct]]&gt;0.3, "&gt;0.3","")</f>
        <v/>
      </c>
      <c r="AD94">
        <v>17</v>
      </c>
      <c r="AE94">
        <f>Table1[[#This Row],[Quantity]]*(1+'scenario modeling'!$B$4)</f>
        <v>20.399999999999999</v>
      </c>
      <c r="AF94">
        <f>Table1[[#This Row],[UnitCost]]*Table1[[#This Row],[Quantity]]</f>
        <v>22895.77</v>
      </c>
      <c r="AG94">
        <f>SUMIF($U:U,Table1[[#This Row],[ProductCategory]],$AM:AM)</f>
        <v>1545646.9975799995</v>
      </c>
      <c r="AH94">
        <f>SUMIFS($AM$2:AM94,$U$2:U94,U94)</f>
        <v>50527.962429999992</v>
      </c>
      <c r="AI94" s="5">
        <f>Table1[[#This Row],[Cumulative_revenue]]/Table1[[#This Row],[Category_revenue]]</f>
        <v>3.2690493048613947E-2</v>
      </c>
      <c r="AJ94" t="str">
        <f>IF(Table1[[#This Row],[cumulative_pct]]&lt;=0.8,"A",IF(Table1[[#This Row],[cumulative_pct]]&lt;=0.95,"B","C"))</f>
        <v>A</v>
      </c>
      <c r="AK94">
        <f>Table1[[#This Row],[adj_unit_cost]]*Table1[[#This Row],[scenario_quantity]]</f>
        <v>30222.416399999998</v>
      </c>
      <c r="AL94" s="5">
        <f>Table1[[#This Row],[UnitPrice]]*Table1[[#This Row],[scenario_quantity]]*(1-Table1[[#This Row],[cap_adjusted_discount]])</f>
        <v>17957.732400000001</v>
      </c>
      <c r="AM94" s="5">
        <f>Table1[[#This Row],[UnitPrice]]*Table1[[#This Row],[Quantity]]*(1-Table1[[#This Row],[DiscountPct]])</f>
        <v>13983.752729999998</v>
      </c>
      <c r="AN94" s="5">
        <f>Table1[[#This Row],[gross_revenue]]-Table1[[#This Row],[cost_of_goods]]</f>
        <v>-8912.0172700000021</v>
      </c>
      <c r="AO94" s="5">
        <f>Table1[[#This Row],[scenario_revenue]]-Table1[[#This Row],[Scenario_unit_cost]]</f>
        <v>-12264.683999999997</v>
      </c>
      <c r="AP94" s="5">
        <f>IF(Table1[[#This Row],[gross_revenue]]=0,0,Table1[[#This Row],[gross_profit]]/Table1[[#This Row],[gross_revenue]])</f>
        <v>-0.6373122753293996</v>
      </c>
    </row>
    <row r="95" spans="1:42" x14ac:dyDescent="0.35">
      <c r="A95" t="s">
        <v>643</v>
      </c>
      <c r="B95" t="str">
        <f>_xlfn.TEXTAFTER(Table1[[#This Row],[OrderID]],"-",2)</f>
        <v>961864</v>
      </c>
      <c r="C95">
        <f>YEAR(Table1[[#This Row],[OrderDate]])</f>
        <v>2023</v>
      </c>
      <c r="D95" s="9">
        <f>_xlfn.MINIFS(F:F,P:P,Table1[[#This Row],[Country]])</f>
        <v>44948</v>
      </c>
      <c r="E95" s="7">
        <f>DATEDIF(Table1[[#This Row],[first_time_orders]],Table1[[#This Row],[OrderDate]],"m")</f>
        <v>10</v>
      </c>
      <c r="F95" s="9">
        <v>45267</v>
      </c>
      <c r="G95" s="2" t="str">
        <f>TEXT(Table1[[#This Row],[OrderDate]],"MMM-YYYY")</f>
        <v>Dec-2023</v>
      </c>
      <c r="H95" s="7">
        <f>MONTH(Table1[[#This Row],[OrderDate]])</f>
        <v>12</v>
      </c>
      <c r="I95" s="7" t="str">
        <f>"Q"&amp;ROUNDUP(Table1[[#This Row],[months]]/3,0)&amp;"-"&amp;Table1[[#This Row],[order_year]]</f>
        <v>Q4-2023</v>
      </c>
      <c r="J95" s="7">
        <f>Table1[[#This Row],[RequiredDate]]-Table1[[#This Row],[OrderDate]]</f>
        <v>26</v>
      </c>
      <c r="K95" s="7">
        <f>IF(Table1[[#This Row],[lead_time]]&lt;0,MEDIAN(J:J),Table1[[#This Row],[lead_time]])</f>
        <v>26</v>
      </c>
      <c r="L95" s="7">
        <f>IF(Table1[[#This Row],[adj_lead_time]]&lt;=7,1,0)</f>
        <v>0</v>
      </c>
      <c r="M95" s="9">
        <v>45293</v>
      </c>
      <c r="N95" s="9">
        <f>IF(Table1[[#This Row],[lead_time]]&lt;0,(Table1[[#This Row],[OrderDate]]+Table1[[#This Row],[adj_lead_time]]),Table1[[#This Row],[RequiredDate]])</f>
        <v>45293</v>
      </c>
      <c r="O95" t="s">
        <v>649</v>
      </c>
      <c r="P95" t="s">
        <v>656</v>
      </c>
      <c r="Q95" t="s">
        <v>698</v>
      </c>
      <c r="R95" t="s">
        <v>706</v>
      </c>
      <c r="S95" t="s">
        <v>710</v>
      </c>
      <c r="T95" t="s">
        <v>718</v>
      </c>
      <c r="U95" t="s">
        <v>727</v>
      </c>
      <c r="V95" t="s">
        <v>1361</v>
      </c>
      <c r="W95">
        <v>1071.99</v>
      </c>
      <c r="X95">
        <f>Table1[[#This Row],[UnitCost]]*(1+'scenario modeling'!$B$3)</f>
        <v>1179.1890000000001</v>
      </c>
      <c r="Y95">
        <v>2397.3000000000002</v>
      </c>
      <c r="Z95" t="str">
        <f>IF(Table1[[#This Row],[UnitPrice]]&lt;=Quantiles!$B$2,Quantiles!$A$2,IF(Table1[[#This Row],[UnitPrice]]&lt;=Quantiles!$B$3,Quantiles!$A$3,Quantiles!$A$4))</f>
        <v>High</v>
      </c>
      <c r="AA95">
        <v>6.2E-2</v>
      </c>
      <c r="AB95" s="5">
        <f>MIN(Table1[[#This Row],[DiscountPct]],'scenario modeling'!$B$2)</f>
        <v>6.2E-2</v>
      </c>
      <c r="AC95" t="str">
        <f>IF(Table1[[#This Row],[DiscountPct]]&gt;0.3, "&gt;0.3","")</f>
        <v/>
      </c>
      <c r="AD95">
        <v>18</v>
      </c>
      <c r="AE95">
        <f>Table1[[#This Row],[Quantity]]*(1+'scenario modeling'!$B$4)</f>
        <v>21.599999999999998</v>
      </c>
      <c r="AF95">
        <f>Table1[[#This Row],[UnitCost]]*Table1[[#This Row],[Quantity]]</f>
        <v>19295.82</v>
      </c>
      <c r="AG95">
        <f>SUMIF($U:U,Table1[[#This Row],[ProductCategory]],$AM:AM)</f>
        <v>1545646.9975799995</v>
      </c>
      <c r="AH95">
        <f>SUMIFS($AM$2:AM95,$U$2:U95,U95)</f>
        <v>91003.975630000001</v>
      </c>
      <c r="AI95" s="5">
        <f>Table1[[#This Row],[Cumulative_revenue]]/Table1[[#This Row],[Category_revenue]]</f>
        <v>5.8877593507756822E-2</v>
      </c>
      <c r="AJ95" t="str">
        <f>IF(Table1[[#This Row],[cumulative_pct]]&lt;=0.8,"A",IF(Table1[[#This Row],[cumulative_pct]]&lt;=0.95,"B","C"))</f>
        <v>A</v>
      </c>
      <c r="AK95">
        <f>Table1[[#This Row],[adj_unit_cost]]*Table1[[#This Row],[scenario_quantity]]</f>
        <v>25470.482400000001</v>
      </c>
      <c r="AL95" s="5">
        <f>Table1[[#This Row],[UnitPrice]]*Table1[[#This Row],[scenario_quantity]]*(1-Table1[[#This Row],[cap_adjusted_discount]])</f>
        <v>48571.215839999997</v>
      </c>
      <c r="AM95" s="5">
        <f>Table1[[#This Row],[UnitPrice]]*Table1[[#This Row],[Quantity]]*(1-Table1[[#This Row],[DiscountPct]])</f>
        <v>40476.013200000001</v>
      </c>
      <c r="AN95" s="5">
        <f>Table1[[#This Row],[gross_revenue]]-Table1[[#This Row],[cost_of_goods]]</f>
        <v>21180.193200000002</v>
      </c>
      <c r="AO95" s="5">
        <f>Table1[[#This Row],[scenario_revenue]]-Table1[[#This Row],[Scenario_unit_cost]]</f>
        <v>23100.733439999996</v>
      </c>
      <c r="AP95" s="5">
        <f>IF(Table1[[#This Row],[gross_revenue]]=0,0,Table1[[#This Row],[gross_profit]]/Table1[[#This Row],[gross_revenue]])</f>
        <v>0.52327765324476183</v>
      </c>
    </row>
    <row r="96" spans="1:42" x14ac:dyDescent="0.35">
      <c r="A96" t="s">
        <v>362</v>
      </c>
      <c r="B96" t="str">
        <f>_xlfn.TEXTAFTER(Table1[[#This Row],[OrderID]],"-",2)</f>
        <v>208944</v>
      </c>
      <c r="C96">
        <f>YEAR(Table1[[#This Row],[OrderDate]])</f>
        <v>2023</v>
      </c>
      <c r="D96" s="9">
        <f>_xlfn.MINIFS(F:F,P:P,Table1[[#This Row],[Country]])</f>
        <v>44941</v>
      </c>
      <c r="E96" s="7">
        <f>DATEDIF(Table1[[#This Row],[first_time_orders]],Table1[[#This Row],[OrderDate]],"m")</f>
        <v>11</v>
      </c>
      <c r="F96" s="9">
        <v>45281</v>
      </c>
      <c r="G96" s="2" t="str">
        <f>TEXT(Table1[[#This Row],[OrderDate]],"MMM-YYYY")</f>
        <v>Dec-2023</v>
      </c>
      <c r="H96" s="7">
        <f>MONTH(Table1[[#This Row],[OrderDate]])</f>
        <v>12</v>
      </c>
      <c r="I96" s="7" t="str">
        <f>"Q"&amp;ROUNDUP(Table1[[#This Row],[months]]/3,0)&amp;"-"&amp;Table1[[#This Row],[order_year]]</f>
        <v>Q4-2023</v>
      </c>
      <c r="J96" s="7">
        <f>Table1[[#This Row],[RequiredDate]]-Table1[[#This Row],[OrderDate]]</f>
        <v>16</v>
      </c>
      <c r="K96" s="7">
        <f>IF(Table1[[#This Row],[lead_time]]&lt;0,MEDIAN(J:J),Table1[[#This Row],[lead_time]])</f>
        <v>16</v>
      </c>
      <c r="L96" s="7">
        <f>IF(Table1[[#This Row],[adj_lead_time]]&lt;=7,1,0)</f>
        <v>0</v>
      </c>
      <c r="M96" s="9">
        <v>45297</v>
      </c>
      <c r="N96" s="9">
        <f>IF(Table1[[#This Row],[lead_time]]&lt;0,(Table1[[#This Row],[OrderDate]]+Table1[[#This Row],[adj_lead_time]]),Table1[[#This Row],[RequiredDate]])</f>
        <v>45297</v>
      </c>
      <c r="O96" t="s">
        <v>646</v>
      </c>
      <c r="P96" t="s">
        <v>651</v>
      </c>
      <c r="Q96" t="s">
        <v>663</v>
      </c>
      <c r="R96" t="s">
        <v>701</v>
      </c>
      <c r="S96" t="s">
        <v>709</v>
      </c>
      <c r="T96" t="s">
        <v>723</v>
      </c>
      <c r="U96" t="s">
        <v>727</v>
      </c>
      <c r="V96" t="s">
        <v>1082</v>
      </c>
      <c r="W96">
        <v>932.61</v>
      </c>
      <c r="X96">
        <f>Table1[[#This Row],[UnitCost]]*(1+'scenario modeling'!$B$3)</f>
        <v>1025.8710000000001</v>
      </c>
      <c r="Y96">
        <v>1982.98</v>
      </c>
      <c r="Z96" t="str">
        <f>IF(Table1[[#This Row],[UnitPrice]]&lt;=Quantiles!$B$2,Quantiles!$A$2,IF(Table1[[#This Row],[UnitPrice]]&lt;=Quantiles!$B$3,Quantiles!$A$3,Quantiles!$A$4))</f>
        <v>High</v>
      </c>
      <c r="AA96">
        <v>0.14399999999999999</v>
      </c>
      <c r="AB96" s="5">
        <f>MIN(Table1[[#This Row],[DiscountPct]],'scenario modeling'!$B$2)</f>
        <v>0.1</v>
      </c>
      <c r="AC96" t="str">
        <f>IF(Table1[[#This Row],[DiscountPct]]&gt;0.3, "&gt;0.3","")</f>
        <v/>
      </c>
      <c r="AD96">
        <v>16</v>
      </c>
      <c r="AE96">
        <f>Table1[[#This Row],[Quantity]]*(1+'scenario modeling'!$B$4)</f>
        <v>19.2</v>
      </c>
      <c r="AF96">
        <f>Table1[[#This Row],[UnitCost]]*Table1[[#This Row],[Quantity]]</f>
        <v>14921.76</v>
      </c>
      <c r="AG96">
        <f>SUMIF($U:U,Table1[[#This Row],[ProductCategory]],$AM:AM)</f>
        <v>1545646.9975799995</v>
      </c>
      <c r="AH96">
        <f>SUMIFS($AM$2:AM96,$U$2:U96,U96)</f>
        <v>118162.86971</v>
      </c>
      <c r="AI96" s="5">
        <f>Table1[[#This Row],[Cumulative_revenue]]/Table1[[#This Row],[Category_revenue]]</f>
        <v>7.6448807454099252E-2</v>
      </c>
      <c r="AJ96" t="str">
        <f>IF(Table1[[#This Row],[cumulative_pct]]&lt;=0.8,"A",IF(Table1[[#This Row],[cumulative_pct]]&lt;=0.95,"B","C"))</f>
        <v>A</v>
      </c>
      <c r="AK96">
        <f>Table1[[#This Row],[adj_unit_cost]]*Table1[[#This Row],[scenario_quantity]]</f>
        <v>19696.7232</v>
      </c>
      <c r="AL96" s="5">
        <f>Table1[[#This Row],[UnitPrice]]*Table1[[#This Row],[scenario_quantity]]*(1-Table1[[#This Row],[cap_adjusted_discount]])</f>
        <v>34265.894400000005</v>
      </c>
      <c r="AM96" s="5">
        <f>Table1[[#This Row],[UnitPrice]]*Table1[[#This Row],[Quantity]]*(1-Table1[[#This Row],[DiscountPct]])</f>
        <v>27158.894079999998</v>
      </c>
      <c r="AN96" s="5">
        <f>Table1[[#This Row],[gross_revenue]]-Table1[[#This Row],[cost_of_goods]]</f>
        <v>12237.134079999998</v>
      </c>
      <c r="AO96" s="5">
        <f>Table1[[#This Row],[scenario_revenue]]-Table1[[#This Row],[Scenario_unit_cost]]</f>
        <v>14569.171200000004</v>
      </c>
      <c r="AP96" s="5">
        <f>IF(Table1[[#This Row],[gross_revenue]]=0,0,Table1[[#This Row],[gross_profit]]/Table1[[#This Row],[gross_revenue]])</f>
        <v>0.45057556629345635</v>
      </c>
    </row>
    <row r="97" spans="1:42" x14ac:dyDescent="0.35">
      <c r="A97" t="s">
        <v>100</v>
      </c>
      <c r="B97" t="str">
        <f>_xlfn.TEXTAFTER(Table1[[#This Row],[OrderID]],"-",2)</f>
        <v>841426</v>
      </c>
      <c r="C97">
        <f>YEAR(Table1[[#This Row],[OrderDate]])</f>
        <v>2023</v>
      </c>
      <c r="D97" s="9">
        <f>_xlfn.MINIFS(F:F,P:P,Table1[[#This Row],[Country]])</f>
        <v>44933</v>
      </c>
      <c r="E97" s="7">
        <f>DATEDIF(Table1[[#This Row],[first_time_orders]],Table1[[#This Row],[OrderDate]],"m")</f>
        <v>11</v>
      </c>
      <c r="F97" s="9">
        <v>45282</v>
      </c>
      <c r="G97" s="2" t="str">
        <f>TEXT(Table1[[#This Row],[OrderDate]],"MMM-YYYY")</f>
        <v>Dec-2023</v>
      </c>
      <c r="H97" s="7">
        <f>MONTH(Table1[[#This Row],[OrderDate]])</f>
        <v>12</v>
      </c>
      <c r="I97" s="7" t="str">
        <f>"Q"&amp;ROUNDUP(Table1[[#This Row],[months]]/3,0)&amp;"-"&amp;Table1[[#This Row],[order_year]]</f>
        <v>Q4-2023</v>
      </c>
      <c r="J97" s="7">
        <f>Table1[[#This Row],[RequiredDate]]-Table1[[#This Row],[OrderDate]]</f>
        <v>1</v>
      </c>
      <c r="K97" s="7">
        <f>IF(Table1[[#This Row],[lead_time]]&lt;0,MEDIAN(J:J),Table1[[#This Row],[lead_time]])</f>
        <v>1</v>
      </c>
      <c r="L97" s="7">
        <f>IF(Table1[[#This Row],[adj_lead_time]]&lt;=7,1,0)</f>
        <v>1</v>
      </c>
      <c r="M97" s="9">
        <v>45283</v>
      </c>
      <c r="N97" s="9">
        <f>IF(Table1[[#This Row],[lead_time]]&lt;0,(Table1[[#This Row],[OrderDate]]+Table1[[#This Row],[adj_lead_time]]),Table1[[#This Row],[RequiredDate]])</f>
        <v>45283</v>
      </c>
      <c r="O97" t="s">
        <v>646</v>
      </c>
      <c r="P97" t="s">
        <v>661</v>
      </c>
      <c r="Q97" t="s">
        <v>695</v>
      </c>
      <c r="R97" t="s">
        <v>703</v>
      </c>
      <c r="S97" t="s">
        <v>709</v>
      </c>
      <c r="T97" t="s">
        <v>726</v>
      </c>
      <c r="U97" t="s">
        <v>727</v>
      </c>
      <c r="V97" t="s">
        <v>819</v>
      </c>
      <c r="W97">
        <v>1186.18</v>
      </c>
      <c r="X97">
        <f>Table1[[#This Row],[UnitCost]]*(1+'scenario modeling'!$B$3)</f>
        <v>1304.7980000000002</v>
      </c>
      <c r="Y97">
        <v>1285.0899999999999</v>
      </c>
      <c r="Z97" t="str">
        <f>IF(Table1[[#This Row],[UnitPrice]]&lt;=Quantiles!$B$2,Quantiles!$A$2,IF(Table1[[#This Row],[UnitPrice]]&lt;=Quantiles!$B$3,Quantiles!$A$3,Quantiles!$A$4))</f>
        <v>Medium</v>
      </c>
      <c r="AA97">
        <v>7.0000000000000007E-2</v>
      </c>
      <c r="AB97" s="5">
        <f>MIN(Table1[[#This Row],[DiscountPct]],'scenario modeling'!$B$2)</f>
        <v>7.0000000000000007E-2</v>
      </c>
      <c r="AC97" t="str">
        <f>IF(Table1[[#This Row],[DiscountPct]]&gt;0.3, "&gt;0.3","")</f>
        <v/>
      </c>
      <c r="AD97">
        <v>11</v>
      </c>
      <c r="AE97">
        <f>Table1[[#This Row],[Quantity]]*(1+'scenario modeling'!$B$4)</f>
        <v>13.2</v>
      </c>
      <c r="AF97">
        <f>Table1[[#This Row],[UnitCost]]*Table1[[#This Row],[Quantity]]</f>
        <v>13047.980000000001</v>
      </c>
      <c r="AG97">
        <f>SUMIF($U:U,Table1[[#This Row],[ProductCategory]],$AM:AM)</f>
        <v>1545646.9975799995</v>
      </c>
      <c r="AH97">
        <f>SUMIFS($AM$2:AM97,$U$2:U97,U97)</f>
        <v>131309.34041</v>
      </c>
      <c r="AI97" s="5">
        <f>Table1[[#This Row],[Cumulative_revenue]]/Table1[[#This Row],[Category_revenue]]</f>
        <v>8.4954288149615934E-2</v>
      </c>
      <c r="AJ97" t="str">
        <f>IF(Table1[[#This Row],[cumulative_pct]]&lt;=0.8,"A",IF(Table1[[#This Row],[cumulative_pct]]&lt;=0.95,"B","C"))</f>
        <v>A</v>
      </c>
      <c r="AK97">
        <f>Table1[[#This Row],[adj_unit_cost]]*Table1[[#This Row],[scenario_quantity]]</f>
        <v>17223.333600000002</v>
      </c>
      <c r="AL97" s="5">
        <f>Table1[[#This Row],[UnitPrice]]*Table1[[#This Row],[scenario_quantity]]*(1-Table1[[#This Row],[cap_adjusted_discount]])</f>
        <v>15775.764839999998</v>
      </c>
      <c r="AM97" s="5">
        <f>Table1[[#This Row],[UnitPrice]]*Table1[[#This Row],[Quantity]]*(1-Table1[[#This Row],[DiscountPct]])</f>
        <v>13146.470699999998</v>
      </c>
      <c r="AN97" s="5">
        <f>Table1[[#This Row],[gross_revenue]]-Table1[[#This Row],[cost_of_goods]]</f>
        <v>98.49069999999665</v>
      </c>
      <c r="AO97" s="5">
        <f>Table1[[#This Row],[scenario_revenue]]-Table1[[#This Row],[Scenario_unit_cost]]</f>
        <v>-1447.5687600000037</v>
      </c>
      <c r="AP97" s="5">
        <f>IF(Table1[[#This Row],[gross_revenue]]=0,0,Table1[[#This Row],[gross_profit]]/Table1[[#This Row],[gross_revenue]])</f>
        <v>7.4917977796121861E-3</v>
      </c>
    </row>
    <row r="98" spans="1:42" x14ac:dyDescent="0.35">
      <c r="A98" t="s">
        <v>340</v>
      </c>
      <c r="B98" t="str">
        <f>_xlfn.TEXTAFTER(Table1[[#This Row],[OrderID]],"-",2)</f>
        <v>153053</v>
      </c>
      <c r="C98">
        <f>YEAR(Table1[[#This Row],[OrderDate]])</f>
        <v>2024</v>
      </c>
      <c r="D98" s="9">
        <f>_xlfn.MINIFS(F:F,P:P,Table1[[#This Row],[Country]])</f>
        <v>44955</v>
      </c>
      <c r="E98" s="7">
        <f>DATEDIF(Table1[[#This Row],[first_time_orders]],Table1[[#This Row],[OrderDate]],"m")</f>
        <v>11</v>
      </c>
      <c r="F98" s="9">
        <v>45303</v>
      </c>
      <c r="G98" s="2" t="str">
        <f>TEXT(Table1[[#This Row],[OrderDate]],"MMM-YYYY")</f>
        <v>Jan-2024</v>
      </c>
      <c r="H98" s="7">
        <f>MONTH(Table1[[#This Row],[OrderDate]])</f>
        <v>1</v>
      </c>
      <c r="I98" s="7" t="str">
        <f>"Q"&amp;ROUNDUP(Table1[[#This Row],[months]]/3,0)&amp;"-"&amp;Table1[[#This Row],[order_year]]</f>
        <v>Q1-2024</v>
      </c>
      <c r="J98" s="7">
        <f>Table1[[#This Row],[RequiredDate]]-Table1[[#This Row],[OrderDate]]</f>
        <v>17</v>
      </c>
      <c r="K98" s="7">
        <f>IF(Table1[[#This Row],[lead_time]]&lt;0,MEDIAN(J:J),Table1[[#This Row],[lead_time]])</f>
        <v>17</v>
      </c>
      <c r="L98" s="7">
        <f>IF(Table1[[#This Row],[adj_lead_time]]&lt;=7,1,0)</f>
        <v>0</v>
      </c>
      <c r="M98" s="9">
        <v>45320</v>
      </c>
      <c r="N98" s="9">
        <f>IF(Table1[[#This Row],[lead_time]]&lt;0,(Table1[[#This Row],[OrderDate]]+Table1[[#This Row],[adj_lead_time]]),Table1[[#This Row],[RequiredDate]])</f>
        <v>45320</v>
      </c>
      <c r="O98" t="s">
        <v>647</v>
      </c>
      <c r="P98" t="s">
        <v>654</v>
      </c>
      <c r="Q98" t="s">
        <v>696</v>
      </c>
      <c r="R98" t="s">
        <v>705</v>
      </c>
      <c r="S98" t="s">
        <v>711</v>
      </c>
      <c r="T98" t="s">
        <v>717</v>
      </c>
      <c r="U98" t="s">
        <v>727</v>
      </c>
      <c r="V98" t="s">
        <v>1060</v>
      </c>
      <c r="W98">
        <v>310.02</v>
      </c>
      <c r="X98">
        <f>Table1[[#This Row],[UnitCost]]*(1+'scenario modeling'!$B$3)</f>
        <v>341.02199999999999</v>
      </c>
      <c r="Y98">
        <v>619.51</v>
      </c>
      <c r="Z98" t="str">
        <f>IF(Table1[[#This Row],[UnitPrice]]&lt;=Quantiles!$B$2,Quantiles!$A$2,IF(Table1[[#This Row],[UnitPrice]]&lt;=Quantiles!$B$3,Quantiles!$A$3,Quantiles!$A$4))</f>
        <v>Low</v>
      </c>
      <c r="AA98">
        <v>4.2000000000000003E-2</v>
      </c>
      <c r="AB98" s="5">
        <f>MIN(Table1[[#This Row],[DiscountPct]],'scenario modeling'!$B$2)</f>
        <v>4.2000000000000003E-2</v>
      </c>
      <c r="AC98" t="str">
        <f>IF(Table1[[#This Row],[DiscountPct]]&gt;0.3, "&gt;0.3","")</f>
        <v/>
      </c>
      <c r="AD98">
        <v>4</v>
      </c>
      <c r="AE98">
        <f>Table1[[#This Row],[Quantity]]*(1+'scenario modeling'!$B$4)</f>
        <v>4.8</v>
      </c>
      <c r="AF98">
        <f>Table1[[#This Row],[UnitCost]]*Table1[[#This Row],[Quantity]]</f>
        <v>1240.08</v>
      </c>
      <c r="AG98">
        <f>SUMIF($U:U,Table1[[#This Row],[ProductCategory]],$AM:AM)</f>
        <v>1545646.9975799995</v>
      </c>
      <c r="AH98">
        <f>SUMIFS($AM$2:AM98,$U$2:U98,U98)</f>
        <v>133683.30273</v>
      </c>
      <c r="AI98" s="5">
        <f>Table1[[#This Row],[Cumulative_revenue]]/Table1[[#This Row],[Category_revenue]]</f>
        <v>8.649019015293033E-2</v>
      </c>
      <c r="AJ98" t="str">
        <f>IF(Table1[[#This Row],[cumulative_pct]]&lt;=0.8,"A",IF(Table1[[#This Row],[cumulative_pct]]&lt;=0.95,"B","C"))</f>
        <v>A</v>
      </c>
      <c r="AK98">
        <f>Table1[[#This Row],[adj_unit_cost]]*Table1[[#This Row],[scenario_quantity]]</f>
        <v>1636.9055999999998</v>
      </c>
      <c r="AL98" s="5">
        <f>Table1[[#This Row],[UnitPrice]]*Table1[[#This Row],[scenario_quantity]]*(1-Table1[[#This Row],[cap_adjusted_discount]])</f>
        <v>2848.7547839999997</v>
      </c>
      <c r="AM98" s="5">
        <f>Table1[[#This Row],[UnitPrice]]*Table1[[#This Row],[Quantity]]*(1-Table1[[#This Row],[DiscountPct]])</f>
        <v>2373.9623200000001</v>
      </c>
      <c r="AN98" s="5">
        <f>Table1[[#This Row],[gross_revenue]]-Table1[[#This Row],[cost_of_goods]]</f>
        <v>1133.8823200000002</v>
      </c>
      <c r="AO98" s="5">
        <f>Table1[[#This Row],[scenario_revenue]]-Table1[[#This Row],[Scenario_unit_cost]]</f>
        <v>1211.8491839999999</v>
      </c>
      <c r="AP98" s="5">
        <f>IF(Table1[[#This Row],[gross_revenue]]=0,0,Table1[[#This Row],[gross_profit]]/Table1[[#This Row],[gross_revenue]])</f>
        <v>0.47763282106347843</v>
      </c>
    </row>
    <row r="99" spans="1:42" x14ac:dyDescent="0.35">
      <c r="A99" t="s">
        <v>116</v>
      </c>
      <c r="B99" t="str">
        <f>_xlfn.TEXTAFTER(Table1[[#This Row],[OrderID]],"-",2)</f>
        <v>851883</v>
      </c>
      <c r="C99">
        <f>YEAR(Table1[[#This Row],[OrderDate]])</f>
        <v>2024</v>
      </c>
      <c r="D99" s="9">
        <f>_xlfn.MINIFS(F:F,P:P,Table1[[#This Row],[Country]])</f>
        <v>44955</v>
      </c>
      <c r="E99" s="7">
        <f>DATEDIF(Table1[[#This Row],[first_time_orders]],Table1[[#This Row],[OrderDate]],"m")</f>
        <v>11</v>
      </c>
      <c r="F99" s="9">
        <v>45304</v>
      </c>
      <c r="G99" s="2" t="str">
        <f>TEXT(Table1[[#This Row],[OrderDate]],"MMM-YYYY")</f>
        <v>Jan-2024</v>
      </c>
      <c r="H99" s="7">
        <f>MONTH(Table1[[#This Row],[OrderDate]])</f>
        <v>1</v>
      </c>
      <c r="I99" s="7" t="str">
        <f>"Q"&amp;ROUNDUP(Table1[[#This Row],[months]]/3,0)&amp;"-"&amp;Table1[[#This Row],[order_year]]</f>
        <v>Q1-2024</v>
      </c>
      <c r="J99" s="7">
        <f>Table1[[#This Row],[RequiredDate]]-Table1[[#This Row],[OrderDate]]</f>
        <v>9</v>
      </c>
      <c r="K99" s="7">
        <f>IF(Table1[[#This Row],[lead_time]]&lt;0,MEDIAN(J:J),Table1[[#This Row],[lead_time]])</f>
        <v>9</v>
      </c>
      <c r="L99" s="7">
        <f>IF(Table1[[#This Row],[adj_lead_time]]&lt;=7,1,0)</f>
        <v>0</v>
      </c>
      <c r="M99" s="9">
        <v>45313</v>
      </c>
      <c r="N99" s="9">
        <f>IF(Table1[[#This Row],[lead_time]]&lt;0,(Table1[[#This Row],[OrderDate]]+Table1[[#This Row],[adj_lead_time]]),Table1[[#This Row],[RequiredDate]])</f>
        <v>45313</v>
      </c>
      <c r="O99" t="s">
        <v>647</v>
      </c>
      <c r="P99" t="s">
        <v>654</v>
      </c>
      <c r="Q99" t="s">
        <v>691</v>
      </c>
      <c r="R99" t="s">
        <v>706</v>
      </c>
      <c r="S99" t="s">
        <v>709</v>
      </c>
      <c r="T99" t="s">
        <v>713</v>
      </c>
      <c r="U99" t="s">
        <v>727</v>
      </c>
      <c r="V99" t="s">
        <v>835</v>
      </c>
      <c r="W99">
        <v>313.60000000000002</v>
      </c>
      <c r="X99">
        <f>Table1[[#This Row],[UnitCost]]*(1+'scenario modeling'!$B$3)</f>
        <v>344.96000000000004</v>
      </c>
      <c r="Y99">
        <v>334.28</v>
      </c>
      <c r="Z99" t="str">
        <f>IF(Table1[[#This Row],[UnitPrice]]&lt;=Quantiles!$B$2,Quantiles!$A$2,IF(Table1[[#This Row],[UnitPrice]]&lt;=Quantiles!$B$3,Quantiles!$A$3,Quantiles!$A$4))</f>
        <v>Low</v>
      </c>
      <c r="AA99">
        <v>0.14000000000000001</v>
      </c>
      <c r="AB99" s="5">
        <f>MIN(Table1[[#This Row],[DiscountPct]],'scenario modeling'!$B$2)</f>
        <v>0.1</v>
      </c>
      <c r="AC99" t="str">
        <f>IF(Table1[[#This Row],[DiscountPct]]&gt;0.3, "&gt;0.3","")</f>
        <v/>
      </c>
      <c r="AD99">
        <v>22</v>
      </c>
      <c r="AE99">
        <f>Table1[[#This Row],[Quantity]]*(1+'scenario modeling'!$B$4)</f>
        <v>26.4</v>
      </c>
      <c r="AF99">
        <f>Table1[[#This Row],[UnitCost]]*Table1[[#This Row],[Quantity]]</f>
        <v>6899.2000000000007</v>
      </c>
      <c r="AG99">
        <f>SUMIF($U:U,Table1[[#This Row],[ProductCategory]],$AM:AM)</f>
        <v>1545646.9975799995</v>
      </c>
      <c r="AH99">
        <f>SUMIFS($AM$2:AM99,$U$2:U99,U99)</f>
        <v>140007.88032999999</v>
      </c>
      <c r="AI99" s="5">
        <f>Table1[[#This Row],[Cumulative_revenue]]/Table1[[#This Row],[Category_revenue]]</f>
        <v>9.0582054343073551E-2</v>
      </c>
      <c r="AJ99" t="str">
        <f>IF(Table1[[#This Row],[cumulative_pct]]&lt;=0.8,"A",IF(Table1[[#This Row],[cumulative_pct]]&lt;=0.95,"B","C"))</f>
        <v>A</v>
      </c>
      <c r="AK99">
        <f>Table1[[#This Row],[adj_unit_cost]]*Table1[[#This Row],[scenario_quantity]]</f>
        <v>9106.9440000000013</v>
      </c>
      <c r="AL99" s="5">
        <f>Table1[[#This Row],[UnitPrice]]*Table1[[#This Row],[scenario_quantity]]*(1-Table1[[#This Row],[cap_adjusted_discount]])</f>
        <v>7942.4927999999991</v>
      </c>
      <c r="AM99" s="5">
        <f>Table1[[#This Row],[UnitPrice]]*Table1[[#This Row],[Quantity]]*(1-Table1[[#This Row],[DiscountPct]])</f>
        <v>6324.5775999999996</v>
      </c>
      <c r="AN99" s="5">
        <f>Table1[[#This Row],[gross_revenue]]-Table1[[#This Row],[cost_of_goods]]</f>
        <v>-574.62240000000111</v>
      </c>
      <c r="AO99" s="5">
        <f>Table1[[#This Row],[scenario_revenue]]-Table1[[#This Row],[Scenario_unit_cost]]</f>
        <v>-1164.4512000000022</v>
      </c>
      <c r="AP99" s="5">
        <f>IF(Table1[[#This Row],[gross_revenue]]=0,0,Table1[[#This Row],[gross_profit]]/Table1[[#This Row],[gross_revenue]])</f>
        <v>-9.0855458868905517E-2</v>
      </c>
    </row>
    <row r="100" spans="1:42" x14ac:dyDescent="0.35">
      <c r="A100" t="s">
        <v>580</v>
      </c>
      <c r="B100" t="str">
        <f>_xlfn.TEXTAFTER(Table1[[#This Row],[OrderID]],"-",2)</f>
        <v>979401</v>
      </c>
      <c r="C100">
        <f>YEAR(Table1[[#This Row],[OrderDate]])</f>
        <v>2024</v>
      </c>
      <c r="D100" s="9">
        <f>_xlfn.MINIFS(F:F,P:P,Table1[[#This Row],[Country]])</f>
        <v>44946</v>
      </c>
      <c r="E100" s="7">
        <f>DATEDIF(Table1[[#This Row],[first_time_orders]],Table1[[#This Row],[OrderDate]],"m")</f>
        <v>12</v>
      </c>
      <c r="F100" s="9">
        <v>45330</v>
      </c>
      <c r="G100" s="2" t="str">
        <f>TEXT(Table1[[#This Row],[OrderDate]],"MMM-YYYY")</f>
        <v>Feb-2024</v>
      </c>
      <c r="H100" s="7">
        <f>MONTH(Table1[[#This Row],[OrderDate]])</f>
        <v>2</v>
      </c>
      <c r="I100" s="7" t="str">
        <f>"Q"&amp;ROUNDUP(Table1[[#This Row],[months]]/3,0)&amp;"-"&amp;Table1[[#This Row],[order_year]]</f>
        <v>Q1-2024</v>
      </c>
      <c r="J100" s="7">
        <f>Table1[[#This Row],[RequiredDate]]-Table1[[#This Row],[OrderDate]]</f>
        <v>1</v>
      </c>
      <c r="K100" s="7">
        <f>IF(Table1[[#This Row],[lead_time]]&lt;0,MEDIAN(J:J),Table1[[#This Row],[lead_time]])</f>
        <v>1</v>
      </c>
      <c r="L100" s="7">
        <f>IF(Table1[[#This Row],[adj_lead_time]]&lt;=7,1,0)</f>
        <v>1</v>
      </c>
      <c r="M100" s="9">
        <v>45331</v>
      </c>
      <c r="N100" s="9">
        <f>IF(Table1[[#This Row],[lead_time]]&lt;0,(Table1[[#This Row],[OrderDate]]+Table1[[#This Row],[adj_lead_time]]),Table1[[#This Row],[RequiredDate]])</f>
        <v>45331</v>
      </c>
      <c r="O100" t="s">
        <v>646</v>
      </c>
      <c r="P100" t="s">
        <v>650</v>
      </c>
      <c r="Q100" t="s">
        <v>675</v>
      </c>
      <c r="R100" t="s">
        <v>701</v>
      </c>
      <c r="S100" t="s">
        <v>711</v>
      </c>
      <c r="T100" t="s">
        <v>721</v>
      </c>
      <c r="U100" t="s">
        <v>727</v>
      </c>
      <c r="V100" t="s">
        <v>1298</v>
      </c>
      <c r="W100">
        <v>1233.52</v>
      </c>
      <c r="X100">
        <f>Table1[[#This Row],[UnitCost]]*(1+'scenario modeling'!$B$3)</f>
        <v>1356.8720000000001</v>
      </c>
      <c r="Y100">
        <v>1543.76</v>
      </c>
      <c r="Z100" t="str">
        <f>IF(Table1[[#This Row],[UnitPrice]]&lt;=Quantiles!$B$2,Quantiles!$A$2,IF(Table1[[#This Row],[UnitPrice]]&lt;=Quantiles!$B$3,Quantiles!$A$3,Quantiles!$A$4))</f>
        <v>Medium</v>
      </c>
      <c r="AA100">
        <v>0.126</v>
      </c>
      <c r="AB100" s="5">
        <f>MIN(Table1[[#This Row],[DiscountPct]],'scenario modeling'!$B$2)</f>
        <v>0.1</v>
      </c>
      <c r="AC100" t="str">
        <f>IF(Table1[[#This Row],[DiscountPct]]&gt;0.3, "&gt;0.3","")</f>
        <v/>
      </c>
      <c r="AD100">
        <v>13</v>
      </c>
      <c r="AE100">
        <f>Table1[[#This Row],[Quantity]]*(1+'scenario modeling'!$B$4)</f>
        <v>15.6</v>
      </c>
      <c r="AF100">
        <f>Table1[[#This Row],[UnitCost]]*Table1[[#This Row],[Quantity]]</f>
        <v>16035.76</v>
      </c>
      <c r="AG100">
        <f>SUMIF($U:U,Table1[[#This Row],[ProductCategory]],$AM:AM)</f>
        <v>1545646.9975799995</v>
      </c>
      <c r="AH100">
        <f>SUMIFS($AM$2:AM100,$U$2:U100,U100)</f>
        <v>157548.08145</v>
      </c>
      <c r="AI100" s="5">
        <f>Table1[[#This Row],[Cumulative_revenue]]/Table1[[#This Row],[Category_revenue]]</f>
        <v>0.10193018308622286</v>
      </c>
      <c r="AJ100" t="str">
        <f>IF(Table1[[#This Row],[cumulative_pct]]&lt;=0.8,"A",IF(Table1[[#This Row],[cumulative_pct]]&lt;=0.95,"B","C"))</f>
        <v>A</v>
      </c>
      <c r="AK100">
        <f>Table1[[#This Row],[adj_unit_cost]]*Table1[[#This Row],[scenario_quantity]]</f>
        <v>21167.2032</v>
      </c>
      <c r="AL100" s="5">
        <f>Table1[[#This Row],[UnitPrice]]*Table1[[#This Row],[scenario_quantity]]*(1-Table1[[#This Row],[cap_adjusted_discount]])</f>
        <v>21674.3904</v>
      </c>
      <c r="AM100" s="5">
        <f>Table1[[#This Row],[UnitPrice]]*Table1[[#This Row],[Quantity]]*(1-Table1[[#This Row],[DiscountPct]])</f>
        <v>17540.201120000002</v>
      </c>
      <c r="AN100" s="5">
        <f>Table1[[#This Row],[gross_revenue]]-Table1[[#This Row],[cost_of_goods]]</f>
        <v>1504.4411200000013</v>
      </c>
      <c r="AO100" s="5">
        <f>Table1[[#This Row],[scenario_revenue]]-Table1[[#This Row],[Scenario_unit_cost]]</f>
        <v>507.1872000000003</v>
      </c>
      <c r="AP100" s="5">
        <f>IF(Table1[[#This Row],[gross_revenue]]=0,0,Table1[[#This Row],[gross_profit]]/Table1[[#This Row],[gross_revenue]])</f>
        <v>8.5771030201277493E-2</v>
      </c>
    </row>
    <row r="101" spans="1:42" x14ac:dyDescent="0.35">
      <c r="A101" t="s">
        <v>623</v>
      </c>
      <c r="B101" t="str">
        <f>_xlfn.TEXTAFTER(Table1[[#This Row],[OrderID]],"-",2)</f>
        <v>838925</v>
      </c>
      <c r="C101">
        <f>YEAR(Table1[[#This Row],[OrderDate]])</f>
        <v>2024</v>
      </c>
      <c r="D101" s="9">
        <f>_xlfn.MINIFS(F:F,P:P,Table1[[#This Row],[Country]])</f>
        <v>44933</v>
      </c>
      <c r="E101" s="7">
        <f>DATEDIF(Table1[[#This Row],[first_time_orders]],Table1[[#This Row],[OrderDate]],"m")</f>
        <v>12</v>
      </c>
      <c r="F101" s="9">
        <v>45319</v>
      </c>
      <c r="G101" s="2" t="str">
        <f>TEXT(Table1[[#This Row],[OrderDate]],"MMM-YYYY")</f>
        <v>Jan-2024</v>
      </c>
      <c r="H101" s="7">
        <f>MONTH(Table1[[#This Row],[OrderDate]])</f>
        <v>1</v>
      </c>
      <c r="I101" s="7" t="str">
        <f>"Q"&amp;ROUNDUP(Table1[[#This Row],[months]]/3,0)&amp;"-"&amp;Table1[[#This Row],[order_year]]</f>
        <v>Q1-2024</v>
      </c>
      <c r="J101" s="7">
        <f>Table1[[#This Row],[RequiredDate]]-Table1[[#This Row],[OrderDate]]</f>
        <v>-1</v>
      </c>
      <c r="K101" s="7">
        <f>IF(Table1[[#This Row],[lead_time]]&lt;0,MEDIAN(J:J),Table1[[#This Row],[lead_time]])</f>
        <v>15</v>
      </c>
      <c r="L101" s="7">
        <f>IF(Table1[[#This Row],[adj_lead_time]]&lt;=7,1,0)</f>
        <v>0</v>
      </c>
      <c r="M101" s="9">
        <v>45318</v>
      </c>
      <c r="N101" s="9">
        <f>IF(Table1[[#This Row],[lead_time]]&lt;0,(Table1[[#This Row],[OrderDate]]+Table1[[#This Row],[adj_lead_time]]),Table1[[#This Row],[RequiredDate]])</f>
        <v>45334</v>
      </c>
      <c r="O101" t="s">
        <v>646</v>
      </c>
      <c r="P101" t="s">
        <v>661</v>
      </c>
      <c r="Q101" t="s">
        <v>695</v>
      </c>
      <c r="R101" t="s">
        <v>706</v>
      </c>
      <c r="S101" t="s">
        <v>711</v>
      </c>
      <c r="T101" t="s">
        <v>719</v>
      </c>
      <c r="U101" t="s">
        <v>727</v>
      </c>
      <c r="V101" t="s">
        <v>1341</v>
      </c>
      <c r="W101">
        <v>109.75</v>
      </c>
      <c r="X101">
        <f>Table1[[#This Row],[UnitCost]]*(1+'scenario modeling'!$B$3)</f>
        <v>120.72500000000001</v>
      </c>
      <c r="Y101">
        <v>124.25</v>
      </c>
      <c r="Z101" t="str">
        <f>IF(Table1[[#This Row],[UnitPrice]]&lt;=Quantiles!$B$2,Quantiles!$A$2,IF(Table1[[#This Row],[UnitPrice]]&lt;=Quantiles!$B$3,Quantiles!$A$3,Quantiles!$A$4))</f>
        <v>Low</v>
      </c>
      <c r="AA101">
        <v>0.12</v>
      </c>
      <c r="AB101" s="5">
        <f>MIN(Table1[[#This Row],[DiscountPct]],'scenario modeling'!$B$2)</f>
        <v>0.1</v>
      </c>
      <c r="AC101" t="str">
        <f>IF(Table1[[#This Row],[DiscountPct]]&gt;0.3, "&gt;0.3","")</f>
        <v/>
      </c>
      <c r="AD101">
        <v>19</v>
      </c>
      <c r="AE101">
        <f>Table1[[#This Row],[Quantity]]*(1+'scenario modeling'!$B$4)</f>
        <v>22.8</v>
      </c>
      <c r="AF101">
        <f>Table1[[#This Row],[UnitCost]]*Table1[[#This Row],[Quantity]]</f>
        <v>2085.25</v>
      </c>
      <c r="AG101">
        <f>SUMIF($U:U,Table1[[#This Row],[ProductCategory]],$AM:AM)</f>
        <v>1545646.9975799995</v>
      </c>
      <c r="AH101">
        <f>SUMIFS($AM$2:AM101,$U$2:U101,U101)</f>
        <v>159625.54144999999</v>
      </c>
      <c r="AI101" s="5">
        <f>Table1[[#This Row],[Cumulative_revenue]]/Table1[[#This Row],[Category_revenue]]</f>
        <v>0.10327425453542997</v>
      </c>
      <c r="AJ101" t="str">
        <f>IF(Table1[[#This Row],[cumulative_pct]]&lt;=0.8,"A",IF(Table1[[#This Row],[cumulative_pct]]&lt;=0.95,"B","C"))</f>
        <v>A</v>
      </c>
      <c r="AK101">
        <f>Table1[[#This Row],[adj_unit_cost]]*Table1[[#This Row],[scenario_quantity]]</f>
        <v>2752.53</v>
      </c>
      <c r="AL101" s="5">
        <f>Table1[[#This Row],[UnitPrice]]*Table1[[#This Row],[scenario_quantity]]*(1-Table1[[#This Row],[cap_adjusted_discount]])</f>
        <v>2549.61</v>
      </c>
      <c r="AM101" s="5">
        <f>Table1[[#This Row],[UnitPrice]]*Table1[[#This Row],[Quantity]]*(1-Table1[[#This Row],[DiscountPct]])</f>
        <v>2077.46</v>
      </c>
      <c r="AN101" s="5">
        <f>Table1[[#This Row],[gross_revenue]]-Table1[[#This Row],[cost_of_goods]]</f>
        <v>-7.7899999999999636</v>
      </c>
      <c r="AO101" s="5">
        <f>Table1[[#This Row],[scenario_revenue]]-Table1[[#This Row],[Scenario_unit_cost]]</f>
        <v>-202.92000000000007</v>
      </c>
      <c r="AP101" s="5">
        <f>IF(Table1[[#This Row],[gross_revenue]]=0,0,Table1[[#This Row],[gross_profit]]/Table1[[#This Row],[gross_revenue]])</f>
        <v>-3.7497713554051405E-3</v>
      </c>
    </row>
    <row r="102" spans="1:42" x14ac:dyDescent="0.35">
      <c r="A102" t="s">
        <v>337</v>
      </c>
      <c r="B102" t="str">
        <f>_xlfn.TEXTAFTER(Table1[[#This Row],[OrderID]],"-",2)</f>
        <v>206121</v>
      </c>
      <c r="C102">
        <f>YEAR(Table1[[#This Row],[OrderDate]])</f>
        <v>2024</v>
      </c>
      <c r="D102" s="9">
        <f>_xlfn.MINIFS(F:F,P:P,Table1[[#This Row],[Country]])</f>
        <v>44955</v>
      </c>
      <c r="E102" s="7">
        <f>DATEDIF(Table1[[#This Row],[first_time_orders]],Table1[[#This Row],[OrderDate]],"m")</f>
        <v>12</v>
      </c>
      <c r="F102" s="9">
        <v>45340</v>
      </c>
      <c r="G102" s="2" t="str">
        <f>TEXT(Table1[[#This Row],[OrderDate]],"MMM-YYYY")</f>
        <v>Feb-2024</v>
      </c>
      <c r="H102" s="7">
        <f>MONTH(Table1[[#This Row],[OrderDate]])</f>
        <v>2</v>
      </c>
      <c r="I102" s="7" t="str">
        <f>"Q"&amp;ROUNDUP(Table1[[#This Row],[months]]/3,0)&amp;"-"&amp;Table1[[#This Row],[order_year]]</f>
        <v>Q1-2024</v>
      </c>
      <c r="J102" s="7">
        <f>Table1[[#This Row],[RequiredDate]]-Table1[[#This Row],[OrderDate]]</f>
        <v>22</v>
      </c>
      <c r="K102" s="7">
        <f>IF(Table1[[#This Row],[lead_time]]&lt;0,MEDIAN(J:J),Table1[[#This Row],[lead_time]])</f>
        <v>22</v>
      </c>
      <c r="L102" s="7">
        <f>IF(Table1[[#This Row],[adj_lead_time]]&lt;=7,1,0)</f>
        <v>0</v>
      </c>
      <c r="M102" s="9">
        <v>45362</v>
      </c>
      <c r="N102" s="9">
        <f>IF(Table1[[#This Row],[lead_time]]&lt;0,(Table1[[#This Row],[OrderDate]]+Table1[[#This Row],[adj_lead_time]]),Table1[[#This Row],[RequiredDate]])</f>
        <v>45362</v>
      </c>
      <c r="O102" t="s">
        <v>648</v>
      </c>
      <c r="P102" t="s">
        <v>655</v>
      </c>
      <c r="Q102" t="s">
        <v>670</v>
      </c>
      <c r="R102" t="s">
        <v>704</v>
      </c>
      <c r="S102" t="s">
        <v>708</v>
      </c>
      <c r="T102" t="s">
        <v>720</v>
      </c>
      <c r="U102" t="s">
        <v>727</v>
      </c>
      <c r="V102" t="s">
        <v>1057</v>
      </c>
      <c r="W102">
        <v>80.48</v>
      </c>
      <c r="X102">
        <f>Table1[[#This Row],[UnitCost]]*(1+'scenario modeling'!$B$3)</f>
        <v>88.528000000000006</v>
      </c>
      <c r="Y102">
        <v>65.650000000000006</v>
      </c>
      <c r="Z102" t="str">
        <f>IF(Table1[[#This Row],[UnitPrice]]&lt;=Quantiles!$B$2,Quantiles!$A$2,IF(Table1[[#This Row],[UnitPrice]]&lt;=Quantiles!$B$3,Quantiles!$A$3,Quantiles!$A$4))</f>
        <v>Low</v>
      </c>
      <c r="AA102">
        <v>0.17599999999999999</v>
      </c>
      <c r="AB102" s="5">
        <f>MIN(Table1[[#This Row],[DiscountPct]],'scenario modeling'!$B$2)</f>
        <v>0.1</v>
      </c>
      <c r="AC102" t="str">
        <f>IF(Table1[[#This Row],[DiscountPct]]&gt;0.3, "&gt;0.3","")</f>
        <v/>
      </c>
      <c r="AD102">
        <v>13</v>
      </c>
      <c r="AE102">
        <f>Table1[[#This Row],[Quantity]]*(1+'scenario modeling'!$B$4)</f>
        <v>15.6</v>
      </c>
      <c r="AF102">
        <f>Table1[[#This Row],[UnitCost]]*Table1[[#This Row],[Quantity]]</f>
        <v>1046.24</v>
      </c>
      <c r="AG102">
        <f>SUMIF($U:U,Table1[[#This Row],[ProductCategory]],$AM:AM)</f>
        <v>1545646.9975799995</v>
      </c>
      <c r="AH102">
        <f>SUMIFS($AM$2:AM102,$U$2:U102,U102)</f>
        <v>160328.78425</v>
      </c>
      <c r="AI102" s="5">
        <f>Table1[[#This Row],[Cumulative_revenue]]/Table1[[#This Row],[Category_revenue]]</f>
        <v>0.10372923733622541</v>
      </c>
      <c r="AJ102" t="str">
        <f>IF(Table1[[#This Row],[cumulative_pct]]&lt;=0.8,"A",IF(Table1[[#This Row],[cumulative_pct]]&lt;=0.95,"B","C"))</f>
        <v>A</v>
      </c>
      <c r="AK102">
        <f>Table1[[#This Row],[adj_unit_cost]]*Table1[[#This Row],[scenario_quantity]]</f>
        <v>1381.0368000000001</v>
      </c>
      <c r="AL102" s="5">
        <f>Table1[[#This Row],[UnitPrice]]*Table1[[#This Row],[scenario_quantity]]*(1-Table1[[#This Row],[cap_adjusted_discount]])</f>
        <v>921.72600000000011</v>
      </c>
      <c r="AM102" s="5">
        <f>Table1[[#This Row],[UnitPrice]]*Table1[[#This Row],[Quantity]]*(1-Table1[[#This Row],[DiscountPct]])</f>
        <v>703.2428000000001</v>
      </c>
      <c r="AN102" s="5">
        <f>Table1[[#This Row],[gross_revenue]]-Table1[[#This Row],[cost_of_goods]]</f>
        <v>-342.99719999999991</v>
      </c>
      <c r="AO102" s="5">
        <f>Table1[[#This Row],[scenario_revenue]]-Table1[[#This Row],[Scenario_unit_cost]]</f>
        <v>-459.31079999999997</v>
      </c>
      <c r="AP102" s="5">
        <f>IF(Table1[[#This Row],[gross_revenue]]=0,0,Table1[[#This Row],[gross_profit]]/Table1[[#This Row],[gross_revenue]])</f>
        <v>-0.48773652570634191</v>
      </c>
    </row>
    <row r="103" spans="1:42" x14ac:dyDescent="0.35">
      <c r="A103" t="s">
        <v>538</v>
      </c>
      <c r="B103" t="str">
        <f>_xlfn.TEXTAFTER(Table1[[#This Row],[OrderID]],"-",2)</f>
        <v>206311</v>
      </c>
      <c r="C103">
        <f>YEAR(Table1[[#This Row],[OrderDate]])</f>
        <v>2024</v>
      </c>
      <c r="D103" s="9">
        <f>_xlfn.MINIFS(F:F,P:P,Table1[[#This Row],[Country]])</f>
        <v>44939</v>
      </c>
      <c r="E103" s="7">
        <f>DATEDIF(Table1[[#This Row],[first_time_orders]],Table1[[#This Row],[OrderDate]],"m")</f>
        <v>12</v>
      </c>
      <c r="F103" s="9">
        <v>45304</v>
      </c>
      <c r="G103" s="2" t="str">
        <f>TEXT(Table1[[#This Row],[OrderDate]],"MMM-YYYY")</f>
        <v>Jan-2024</v>
      </c>
      <c r="H103" s="7">
        <f>MONTH(Table1[[#This Row],[OrderDate]])</f>
        <v>1</v>
      </c>
      <c r="I103" s="7" t="str">
        <f>"Q"&amp;ROUNDUP(Table1[[#This Row],[months]]/3,0)&amp;"-"&amp;Table1[[#This Row],[order_year]]</f>
        <v>Q1-2024</v>
      </c>
      <c r="J103" s="7">
        <f>Table1[[#This Row],[RequiredDate]]-Table1[[#This Row],[OrderDate]]</f>
        <v>2</v>
      </c>
      <c r="K103" s="7">
        <f>IF(Table1[[#This Row],[lead_time]]&lt;0,MEDIAN(J:J),Table1[[#This Row],[lead_time]])</f>
        <v>2</v>
      </c>
      <c r="L103" s="7">
        <f>IF(Table1[[#This Row],[adj_lead_time]]&lt;=7,1,0)</f>
        <v>1</v>
      </c>
      <c r="M103" s="9">
        <v>45306</v>
      </c>
      <c r="N103" s="9">
        <f>IF(Table1[[#This Row],[lead_time]]&lt;0,(Table1[[#This Row],[OrderDate]]+Table1[[#This Row],[adj_lead_time]]),Table1[[#This Row],[RequiredDate]])</f>
        <v>45306</v>
      </c>
      <c r="O103" t="s">
        <v>648</v>
      </c>
      <c r="P103" t="s">
        <v>660</v>
      </c>
      <c r="Q103" t="s">
        <v>686</v>
      </c>
      <c r="R103" t="s">
        <v>703</v>
      </c>
      <c r="S103" t="s">
        <v>711</v>
      </c>
      <c r="T103" t="s">
        <v>718</v>
      </c>
      <c r="U103" t="s">
        <v>727</v>
      </c>
      <c r="V103" t="s">
        <v>1257</v>
      </c>
      <c r="W103">
        <v>1061.3699999999999</v>
      </c>
      <c r="X103">
        <f>Table1[[#This Row],[UnitCost]]*(1+'scenario modeling'!$B$3)</f>
        <v>1167.5070000000001</v>
      </c>
      <c r="Y103">
        <v>1938.33</v>
      </c>
      <c r="Z103" t="str">
        <f>IF(Table1[[#This Row],[UnitPrice]]&lt;=Quantiles!$B$2,Quantiles!$A$2,IF(Table1[[#This Row],[UnitPrice]]&lt;=Quantiles!$B$3,Quantiles!$A$3,Quantiles!$A$4))</f>
        <v>High</v>
      </c>
      <c r="AA103">
        <v>0.17</v>
      </c>
      <c r="AB103" s="5">
        <f>MIN(Table1[[#This Row],[DiscountPct]],'scenario modeling'!$B$2)</f>
        <v>0.1</v>
      </c>
      <c r="AC103" t="str">
        <f>IF(Table1[[#This Row],[DiscountPct]]&gt;0.3, "&gt;0.3","")</f>
        <v/>
      </c>
      <c r="AD103">
        <v>4</v>
      </c>
      <c r="AE103">
        <f>Table1[[#This Row],[Quantity]]*(1+'scenario modeling'!$B$4)</f>
        <v>4.8</v>
      </c>
      <c r="AF103">
        <f>Table1[[#This Row],[UnitCost]]*Table1[[#This Row],[Quantity]]</f>
        <v>4245.4799999999996</v>
      </c>
      <c r="AG103">
        <f>SUMIF($U:U,Table1[[#This Row],[ProductCategory]],$AM:AM)</f>
        <v>1545646.9975799995</v>
      </c>
      <c r="AH103">
        <f>SUMIFS($AM$2:AM103,$U$2:U103,U103)</f>
        <v>166764.03985</v>
      </c>
      <c r="AI103" s="5">
        <f>Table1[[#This Row],[Cumulative_revenue]]/Table1[[#This Row],[Category_revenue]]</f>
        <v>0.10789270778586599</v>
      </c>
      <c r="AJ103" t="str">
        <f>IF(Table1[[#This Row],[cumulative_pct]]&lt;=0.8,"A",IF(Table1[[#This Row],[cumulative_pct]]&lt;=0.95,"B","C"))</f>
        <v>A</v>
      </c>
      <c r="AK103">
        <f>Table1[[#This Row],[adj_unit_cost]]*Table1[[#This Row],[scenario_quantity]]</f>
        <v>5604.0335999999998</v>
      </c>
      <c r="AL103" s="5">
        <f>Table1[[#This Row],[UnitPrice]]*Table1[[#This Row],[scenario_quantity]]*(1-Table1[[#This Row],[cap_adjusted_discount]])</f>
        <v>8373.5855999999985</v>
      </c>
      <c r="AM103" s="5">
        <f>Table1[[#This Row],[UnitPrice]]*Table1[[#This Row],[Quantity]]*(1-Table1[[#This Row],[DiscountPct]])</f>
        <v>6435.2555999999995</v>
      </c>
      <c r="AN103" s="5">
        <f>Table1[[#This Row],[gross_revenue]]-Table1[[#This Row],[cost_of_goods]]</f>
        <v>2189.7755999999999</v>
      </c>
      <c r="AO103" s="5">
        <f>Table1[[#This Row],[scenario_revenue]]-Table1[[#This Row],[Scenario_unit_cost]]</f>
        <v>2769.5519999999988</v>
      </c>
      <c r="AP103" s="5">
        <f>IF(Table1[[#This Row],[gross_revenue]]=0,0,Table1[[#This Row],[gross_profit]]/Table1[[#This Row],[gross_revenue]])</f>
        <v>0.34027795259600879</v>
      </c>
    </row>
    <row r="104" spans="1:42" x14ac:dyDescent="0.35">
      <c r="A104" t="s">
        <v>192</v>
      </c>
      <c r="B104" t="str">
        <f>_xlfn.TEXTAFTER(Table1[[#This Row],[OrderID]],"-",2)</f>
        <v>960952</v>
      </c>
      <c r="C104">
        <f>YEAR(Table1[[#This Row],[OrderDate]])</f>
        <v>2024</v>
      </c>
      <c r="D104" s="9">
        <f>_xlfn.MINIFS(F:F,P:P,Table1[[#This Row],[Country]])</f>
        <v>44948</v>
      </c>
      <c r="E104" s="7">
        <f>DATEDIF(Table1[[#This Row],[first_time_orders]],Table1[[#This Row],[OrderDate]],"m")</f>
        <v>12</v>
      </c>
      <c r="F104" s="9">
        <v>45325</v>
      </c>
      <c r="G104" s="2" t="str">
        <f>TEXT(Table1[[#This Row],[OrderDate]],"MMM-YYYY")</f>
        <v>Feb-2024</v>
      </c>
      <c r="H104" s="7">
        <f>MONTH(Table1[[#This Row],[OrderDate]])</f>
        <v>2</v>
      </c>
      <c r="I104" s="7" t="str">
        <f>"Q"&amp;ROUNDUP(Table1[[#This Row],[months]]/3,0)&amp;"-"&amp;Table1[[#This Row],[order_year]]</f>
        <v>Q1-2024</v>
      </c>
      <c r="J104" s="7">
        <f>Table1[[#This Row],[RequiredDate]]-Table1[[#This Row],[OrderDate]]</f>
        <v>18</v>
      </c>
      <c r="K104" s="7">
        <f>IF(Table1[[#This Row],[lead_time]]&lt;0,MEDIAN(J:J),Table1[[#This Row],[lead_time]])</f>
        <v>18</v>
      </c>
      <c r="L104" s="7">
        <f>IF(Table1[[#This Row],[adj_lead_time]]&lt;=7,1,0)</f>
        <v>0</v>
      </c>
      <c r="M104" s="9">
        <v>45343</v>
      </c>
      <c r="N104" s="9">
        <f>IF(Table1[[#This Row],[lead_time]]&lt;0,(Table1[[#This Row],[OrderDate]]+Table1[[#This Row],[adj_lead_time]]),Table1[[#This Row],[RequiredDate]])</f>
        <v>45343</v>
      </c>
      <c r="O104" t="s">
        <v>649</v>
      </c>
      <c r="P104" t="s">
        <v>656</v>
      </c>
      <c r="Q104" t="s">
        <v>698</v>
      </c>
      <c r="R104" t="s">
        <v>701</v>
      </c>
      <c r="S104" t="s">
        <v>707</v>
      </c>
      <c r="T104" t="s">
        <v>722</v>
      </c>
      <c r="U104" t="s">
        <v>727</v>
      </c>
      <c r="V104" t="s">
        <v>911</v>
      </c>
      <c r="W104">
        <v>39.229999999999997</v>
      </c>
      <c r="X104">
        <f>Table1[[#This Row],[UnitCost]]*(1+'scenario modeling'!$B$3)</f>
        <v>43.152999999999999</v>
      </c>
      <c r="Y104">
        <v>30.09</v>
      </c>
      <c r="Z104" t="str">
        <f>IF(Table1[[#This Row],[UnitPrice]]&lt;=Quantiles!$B$2,Quantiles!$A$2,IF(Table1[[#This Row],[UnitPrice]]&lt;=Quantiles!$B$3,Quantiles!$A$3,Quantiles!$A$4))</f>
        <v>Low</v>
      </c>
      <c r="AA104">
        <v>0.17699999999999999</v>
      </c>
      <c r="AB104" s="5">
        <f>MIN(Table1[[#This Row],[DiscountPct]],'scenario modeling'!$B$2)</f>
        <v>0.1</v>
      </c>
      <c r="AC104" t="str">
        <f>IF(Table1[[#This Row],[DiscountPct]]&gt;0.3, "&gt;0.3","")</f>
        <v/>
      </c>
      <c r="AD104">
        <v>13</v>
      </c>
      <c r="AE104">
        <f>Table1[[#This Row],[Quantity]]*(1+'scenario modeling'!$B$4)</f>
        <v>15.6</v>
      </c>
      <c r="AF104">
        <f>Table1[[#This Row],[UnitCost]]*Table1[[#This Row],[Quantity]]</f>
        <v>509.98999999999995</v>
      </c>
      <c r="AG104">
        <f>SUMIF($U:U,Table1[[#This Row],[ProductCategory]],$AM:AM)</f>
        <v>1545646.9975799995</v>
      </c>
      <c r="AH104">
        <f>SUMIFS($AM$2:AM104,$U$2:U104,U104)</f>
        <v>167085.97276</v>
      </c>
      <c r="AI104" s="5">
        <f>Table1[[#This Row],[Cumulative_revenue]]/Table1[[#This Row],[Category_revenue]]</f>
        <v>0.10810099137875884</v>
      </c>
      <c r="AJ104" t="str">
        <f>IF(Table1[[#This Row],[cumulative_pct]]&lt;=0.8,"A",IF(Table1[[#This Row],[cumulative_pct]]&lt;=0.95,"B","C"))</f>
        <v>A</v>
      </c>
      <c r="AK104">
        <f>Table1[[#This Row],[adj_unit_cost]]*Table1[[#This Row],[scenario_quantity]]</f>
        <v>673.18679999999995</v>
      </c>
      <c r="AL104" s="5">
        <f>Table1[[#This Row],[UnitPrice]]*Table1[[#This Row],[scenario_quantity]]*(1-Table1[[#This Row],[cap_adjusted_discount]])</f>
        <v>422.46359999999999</v>
      </c>
      <c r="AM104" s="5">
        <f>Table1[[#This Row],[UnitPrice]]*Table1[[#This Row],[Quantity]]*(1-Table1[[#This Row],[DiscountPct]])</f>
        <v>321.93290999999999</v>
      </c>
      <c r="AN104" s="5">
        <f>Table1[[#This Row],[gross_revenue]]-Table1[[#This Row],[cost_of_goods]]</f>
        <v>-188.05708999999996</v>
      </c>
      <c r="AO104" s="5">
        <f>Table1[[#This Row],[scenario_revenue]]-Table1[[#This Row],[Scenario_unit_cost]]</f>
        <v>-250.72319999999996</v>
      </c>
      <c r="AP104" s="5">
        <f>IF(Table1[[#This Row],[gross_revenue]]=0,0,Table1[[#This Row],[gross_profit]]/Table1[[#This Row],[gross_revenue]])</f>
        <v>-0.58414993981199359</v>
      </c>
    </row>
    <row r="105" spans="1:42" x14ac:dyDescent="0.35">
      <c r="A105" t="s">
        <v>15</v>
      </c>
      <c r="B105" t="str">
        <f>_xlfn.TEXTAFTER(Table1[[#This Row],[OrderID]],"-",2)</f>
        <v>275203</v>
      </c>
      <c r="C105">
        <f>YEAR(Table1[[#This Row],[OrderDate]])</f>
        <v>2024</v>
      </c>
      <c r="D105" s="9">
        <f>_xlfn.MINIFS(F:F,P:P,Table1[[#This Row],[Country]])</f>
        <v>44946</v>
      </c>
      <c r="E105" s="7">
        <f>DATEDIF(Table1[[#This Row],[first_time_orders]],Table1[[#This Row],[OrderDate]],"m")</f>
        <v>13</v>
      </c>
      <c r="F105" s="9">
        <v>45362</v>
      </c>
      <c r="G105" s="2" t="str">
        <f>TEXT(Table1[[#This Row],[OrderDate]],"MMM-YYYY")</f>
        <v>Mar-2024</v>
      </c>
      <c r="H105" s="7">
        <f>MONTH(Table1[[#This Row],[OrderDate]])</f>
        <v>3</v>
      </c>
      <c r="I105" s="7" t="str">
        <f>"Q"&amp;ROUNDUP(Table1[[#This Row],[months]]/3,0)&amp;"-"&amp;Table1[[#This Row],[order_year]]</f>
        <v>Q1-2024</v>
      </c>
      <c r="J105" s="7">
        <f>Table1[[#This Row],[RequiredDate]]-Table1[[#This Row],[OrderDate]]</f>
        <v>26</v>
      </c>
      <c r="K105" s="7">
        <f>IF(Table1[[#This Row],[lead_time]]&lt;0,MEDIAN(J:J),Table1[[#This Row],[lead_time]])</f>
        <v>26</v>
      </c>
      <c r="L105" s="7">
        <f>IF(Table1[[#This Row],[adj_lead_time]]&lt;=7,1,0)</f>
        <v>0</v>
      </c>
      <c r="M105" s="9">
        <v>45388</v>
      </c>
      <c r="N105" s="9">
        <f>IF(Table1[[#This Row],[lead_time]]&lt;0,(Table1[[#This Row],[OrderDate]]+Table1[[#This Row],[adj_lead_time]]),Table1[[#This Row],[RequiredDate]])</f>
        <v>45388</v>
      </c>
      <c r="O105" t="s">
        <v>646</v>
      </c>
      <c r="P105" t="s">
        <v>650</v>
      </c>
      <c r="Q105" t="s">
        <v>662</v>
      </c>
      <c r="R105" t="s">
        <v>701</v>
      </c>
      <c r="S105" t="s">
        <v>707</v>
      </c>
      <c r="T105" t="s">
        <v>712</v>
      </c>
      <c r="U105" t="s">
        <v>727</v>
      </c>
      <c r="V105" t="s">
        <v>734</v>
      </c>
      <c r="W105">
        <v>279.24</v>
      </c>
      <c r="X105">
        <f>Table1[[#This Row],[UnitCost]]*(1+'scenario modeling'!$B$3)</f>
        <v>307.16400000000004</v>
      </c>
      <c r="Y105">
        <v>608.9</v>
      </c>
      <c r="Z105" t="str">
        <f>IF(Table1[[#This Row],[UnitPrice]]&lt;=Quantiles!$B$2,Quantiles!$A$2,IF(Table1[[#This Row],[UnitPrice]]&lt;=Quantiles!$B$3,Quantiles!$A$3,Quantiles!$A$4))</f>
        <v>Low</v>
      </c>
      <c r="AA105">
        <v>0.112</v>
      </c>
      <c r="AB105" s="5">
        <f>MIN(Table1[[#This Row],[DiscountPct]],'scenario modeling'!$B$2)</f>
        <v>0.1</v>
      </c>
      <c r="AC105" t="str">
        <f>IF(Table1[[#This Row],[DiscountPct]]&gt;0.3, "&gt;0.3","")</f>
        <v/>
      </c>
      <c r="AD105">
        <v>9</v>
      </c>
      <c r="AE105">
        <f>Table1[[#This Row],[Quantity]]*(1+'scenario modeling'!$B$4)</f>
        <v>10.799999999999999</v>
      </c>
      <c r="AF105">
        <f>Table1[[#This Row],[UnitCost]]*Table1[[#This Row],[Quantity]]</f>
        <v>2513.16</v>
      </c>
      <c r="AG105">
        <f>SUMIF($U:U,Table1[[#This Row],[ProductCategory]],$AM:AM)</f>
        <v>1545646.9975799995</v>
      </c>
      <c r="AH105">
        <f>SUMIFS($AM$2:AM105,$U$2:U105,U105)</f>
        <v>171952.30155999999</v>
      </c>
      <c r="AI105" s="5">
        <f>Table1[[#This Row],[Cumulative_revenue]]/Table1[[#This Row],[Category_revenue]]</f>
        <v>0.1112494003024129</v>
      </c>
      <c r="AJ105" t="str">
        <f>IF(Table1[[#This Row],[cumulative_pct]]&lt;=0.8,"A",IF(Table1[[#This Row],[cumulative_pct]]&lt;=0.95,"B","C"))</f>
        <v>A</v>
      </c>
      <c r="AK105">
        <f>Table1[[#This Row],[adj_unit_cost]]*Table1[[#This Row],[scenario_quantity]]</f>
        <v>3317.3712</v>
      </c>
      <c r="AL105" s="5">
        <f>Table1[[#This Row],[UnitPrice]]*Table1[[#This Row],[scenario_quantity]]*(1-Table1[[#This Row],[cap_adjusted_discount]])</f>
        <v>5918.5079999999989</v>
      </c>
      <c r="AM105" s="5">
        <f>Table1[[#This Row],[UnitPrice]]*Table1[[#This Row],[Quantity]]*(1-Table1[[#This Row],[DiscountPct]])</f>
        <v>4866.3287999999993</v>
      </c>
      <c r="AN105" s="5">
        <f>Table1[[#This Row],[gross_revenue]]-Table1[[#This Row],[cost_of_goods]]</f>
        <v>2353.1687999999995</v>
      </c>
      <c r="AO105" s="5">
        <f>Table1[[#This Row],[scenario_revenue]]-Table1[[#This Row],[Scenario_unit_cost]]</f>
        <v>2601.1367999999989</v>
      </c>
      <c r="AP105" s="5">
        <f>IF(Table1[[#This Row],[gross_revenue]]=0,0,Table1[[#This Row],[gross_profit]]/Table1[[#This Row],[gross_revenue]])</f>
        <v>0.48356140670149533</v>
      </c>
    </row>
    <row r="106" spans="1:42" x14ac:dyDescent="0.35">
      <c r="A106" t="s">
        <v>601</v>
      </c>
      <c r="B106" t="str">
        <f>_xlfn.TEXTAFTER(Table1[[#This Row],[OrderID]],"-",2)</f>
        <v>243988</v>
      </c>
      <c r="C106">
        <f>YEAR(Table1[[#This Row],[OrderDate]])</f>
        <v>2024</v>
      </c>
      <c r="D106" s="9">
        <f>_xlfn.MINIFS(F:F,P:P,Table1[[#This Row],[Country]])</f>
        <v>44941</v>
      </c>
      <c r="E106" s="7">
        <f>DATEDIF(Table1[[#This Row],[first_time_orders]],Table1[[#This Row],[OrderDate]],"m")</f>
        <v>13</v>
      </c>
      <c r="F106" s="9">
        <v>45364</v>
      </c>
      <c r="G106" s="2" t="str">
        <f>TEXT(Table1[[#This Row],[OrderDate]],"MMM-YYYY")</f>
        <v>Mar-2024</v>
      </c>
      <c r="H106" s="7">
        <f>MONTH(Table1[[#This Row],[OrderDate]])</f>
        <v>3</v>
      </c>
      <c r="I106" s="7" t="str">
        <f>"Q"&amp;ROUNDUP(Table1[[#This Row],[months]]/3,0)&amp;"-"&amp;Table1[[#This Row],[order_year]]</f>
        <v>Q1-2024</v>
      </c>
      <c r="J106" s="7">
        <f>Table1[[#This Row],[RequiredDate]]-Table1[[#This Row],[OrderDate]]</f>
        <v>24</v>
      </c>
      <c r="K106" s="7">
        <f>IF(Table1[[#This Row],[lead_time]]&lt;0,MEDIAN(J:J),Table1[[#This Row],[lead_time]])</f>
        <v>24</v>
      </c>
      <c r="L106" s="7">
        <f>IF(Table1[[#This Row],[adj_lead_time]]&lt;=7,1,0)</f>
        <v>0</v>
      </c>
      <c r="M106" s="9">
        <v>45388</v>
      </c>
      <c r="N106" s="9">
        <f>IF(Table1[[#This Row],[lead_time]]&lt;0,(Table1[[#This Row],[OrderDate]]+Table1[[#This Row],[adj_lead_time]]),Table1[[#This Row],[RequiredDate]])</f>
        <v>45388</v>
      </c>
      <c r="O106" t="s">
        <v>646</v>
      </c>
      <c r="P106" t="s">
        <v>651</v>
      </c>
      <c r="Q106" t="s">
        <v>669</v>
      </c>
      <c r="R106" t="s">
        <v>704</v>
      </c>
      <c r="S106" t="s">
        <v>710</v>
      </c>
      <c r="T106" t="s">
        <v>716</v>
      </c>
      <c r="U106" t="s">
        <v>727</v>
      </c>
      <c r="V106" t="s">
        <v>1319</v>
      </c>
      <c r="W106">
        <v>1232.78</v>
      </c>
      <c r="X106">
        <f>Table1[[#This Row],[UnitCost]]*(1+'scenario modeling'!$B$3)</f>
        <v>1356.058</v>
      </c>
      <c r="Y106">
        <v>1731.75</v>
      </c>
      <c r="Z106" t="str">
        <f>IF(Table1[[#This Row],[UnitPrice]]&lt;=Quantiles!$B$2,Quantiles!$A$2,IF(Table1[[#This Row],[UnitPrice]]&lt;=Quantiles!$B$3,Quantiles!$A$3,Quantiles!$A$4))</f>
        <v>High</v>
      </c>
      <c r="AA106">
        <v>9.2999999999999999E-2</v>
      </c>
      <c r="AB106" s="5">
        <f>MIN(Table1[[#This Row],[DiscountPct]],'scenario modeling'!$B$2)</f>
        <v>9.2999999999999999E-2</v>
      </c>
      <c r="AC106" t="str">
        <f>IF(Table1[[#This Row],[DiscountPct]]&gt;0.3, "&gt;0.3","")</f>
        <v/>
      </c>
      <c r="AD106">
        <v>16</v>
      </c>
      <c r="AE106">
        <f>Table1[[#This Row],[Quantity]]*(1+'scenario modeling'!$B$4)</f>
        <v>19.2</v>
      </c>
      <c r="AF106">
        <f>Table1[[#This Row],[UnitCost]]*Table1[[#This Row],[Quantity]]</f>
        <v>19724.48</v>
      </c>
      <c r="AG106">
        <f>SUMIF($U:U,Table1[[#This Row],[ProductCategory]],$AM:AM)</f>
        <v>1545646.9975799995</v>
      </c>
      <c r="AH106">
        <f>SUMIFS($AM$2:AM106,$U$2:U106,U106)</f>
        <v>197083.45755999998</v>
      </c>
      <c r="AI106" s="5">
        <f>Table1[[#This Row],[Cumulative_revenue]]/Table1[[#This Row],[Category_revenue]]</f>
        <v>0.12750871180067061</v>
      </c>
      <c r="AJ106" t="str">
        <f>IF(Table1[[#This Row],[cumulative_pct]]&lt;=0.8,"A",IF(Table1[[#This Row],[cumulative_pct]]&lt;=0.95,"B","C"))</f>
        <v>A</v>
      </c>
      <c r="AK106">
        <f>Table1[[#This Row],[adj_unit_cost]]*Table1[[#This Row],[scenario_quantity]]</f>
        <v>26036.313599999998</v>
      </c>
      <c r="AL106" s="5">
        <f>Table1[[#This Row],[UnitPrice]]*Table1[[#This Row],[scenario_quantity]]*(1-Table1[[#This Row],[cap_adjusted_discount]])</f>
        <v>30157.387200000001</v>
      </c>
      <c r="AM106" s="5">
        <f>Table1[[#This Row],[UnitPrice]]*Table1[[#This Row],[Quantity]]*(1-Table1[[#This Row],[DiscountPct]])</f>
        <v>25131.155999999999</v>
      </c>
      <c r="AN106" s="5">
        <f>Table1[[#This Row],[gross_revenue]]-Table1[[#This Row],[cost_of_goods]]</f>
        <v>5406.6759999999995</v>
      </c>
      <c r="AO106" s="5">
        <f>Table1[[#This Row],[scenario_revenue]]-Table1[[#This Row],[Scenario_unit_cost]]</f>
        <v>4121.0736000000034</v>
      </c>
      <c r="AP106" s="5">
        <f>IF(Table1[[#This Row],[gross_revenue]]=0,0,Table1[[#This Row],[gross_profit]]/Table1[[#This Row],[gross_revenue]])</f>
        <v>0.21513837246484005</v>
      </c>
    </row>
    <row r="107" spans="1:42" x14ac:dyDescent="0.35">
      <c r="A107" t="s">
        <v>525</v>
      </c>
      <c r="B107" t="str">
        <f>_xlfn.TEXTAFTER(Table1[[#This Row],[OrderID]],"-",2)</f>
        <v>961501</v>
      </c>
      <c r="C107">
        <f>YEAR(Table1[[#This Row],[OrderDate]])</f>
        <v>2024</v>
      </c>
      <c r="D107" s="9">
        <f>_xlfn.MINIFS(F:F,P:P,Table1[[#This Row],[Country]])</f>
        <v>44939</v>
      </c>
      <c r="E107" s="7">
        <f>DATEDIF(Table1[[#This Row],[first_time_orders]],Table1[[#This Row],[OrderDate]],"m")</f>
        <v>13</v>
      </c>
      <c r="F107" s="9">
        <v>45353</v>
      </c>
      <c r="G107" s="2" t="str">
        <f>TEXT(Table1[[#This Row],[OrderDate]],"MMM-YYYY")</f>
        <v>Mar-2024</v>
      </c>
      <c r="H107" s="7">
        <f>MONTH(Table1[[#This Row],[OrderDate]])</f>
        <v>3</v>
      </c>
      <c r="I107" s="7" t="str">
        <f>"Q"&amp;ROUNDUP(Table1[[#This Row],[months]]/3,0)&amp;"-"&amp;Table1[[#This Row],[order_year]]</f>
        <v>Q1-2024</v>
      </c>
      <c r="J107" s="7">
        <f>Table1[[#This Row],[RequiredDate]]-Table1[[#This Row],[OrderDate]]</f>
        <v>21</v>
      </c>
      <c r="K107" s="7">
        <f>IF(Table1[[#This Row],[lead_time]]&lt;0,MEDIAN(J:J),Table1[[#This Row],[lead_time]])</f>
        <v>21</v>
      </c>
      <c r="L107" s="7">
        <f>IF(Table1[[#This Row],[adj_lead_time]]&lt;=7,1,0)</f>
        <v>0</v>
      </c>
      <c r="M107" s="9">
        <v>45374</v>
      </c>
      <c r="N107" s="9">
        <f>IF(Table1[[#This Row],[lead_time]]&lt;0,(Table1[[#This Row],[OrderDate]]+Table1[[#This Row],[adj_lead_time]]),Table1[[#This Row],[RequiredDate]])</f>
        <v>45374</v>
      </c>
      <c r="O107" t="s">
        <v>648</v>
      </c>
      <c r="P107" t="s">
        <v>660</v>
      </c>
      <c r="Q107" t="s">
        <v>677</v>
      </c>
      <c r="R107" t="s">
        <v>705</v>
      </c>
      <c r="S107" t="s">
        <v>708</v>
      </c>
      <c r="T107" t="s">
        <v>721</v>
      </c>
      <c r="U107" t="s">
        <v>727</v>
      </c>
      <c r="V107" t="s">
        <v>1244</v>
      </c>
      <c r="W107">
        <v>225.01</v>
      </c>
      <c r="X107">
        <f>Table1[[#This Row],[UnitCost]]*(1+'scenario modeling'!$B$3)</f>
        <v>247.51100000000002</v>
      </c>
      <c r="Y107">
        <v>333.48</v>
      </c>
      <c r="Z107" t="str">
        <f>IF(Table1[[#This Row],[UnitPrice]]&lt;=Quantiles!$B$2,Quantiles!$A$2,IF(Table1[[#This Row],[UnitPrice]]&lt;=Quantiles!$B$3,Quantiles!$A$3,Quantiles!$A$4))</f>
        <v>Low</v>
      </c>
      <c r="AA107">
        <v>0.11899999999999999</v>
      </c>
      <c r="AB107" s="5">
        <f>MIN(Table1[[#This Row],[DiscountPct]],'scenario modeling'!$B$2)</f>
        <v>0.1</v>
      </c>
      <c r="AC107" t="str">
        <f>IF(Table1[[#This Row],[DiscountPct]]&gt;0.3, "&gt;0.3","")</f>
        <v/>
      </c>
      <c r="AD107">
        <v>12</v>
      </c>
      <c r="AE107">
        <f>Table1[[#This Row],[Quantity]]*(1+'scenario modeling'!$B$4)</f>
        <v>14.399999999999999</v>
      </c>
      <c r="AF107">
        <f>Table1[[#This Row],[UnitCost]]*Table1[[#This Row],[Quantity]]</f>
        <v>2700.12</v>
      </c>
      <c r="AG107">
        <f>SUMIF($U:U,Table1[[#This Row],[ProductCategory]],$AM:AM)</f>
        <v>1545646.9975799995</v>
      </c>
      <c r="AH107">
        <f>SUMIFS($AM$2:AM107,$U$2:U107,U107)</f>
        <v>200609.00811999998</v>
      </c>
      <c r="AI107" s="5">
        <f>Table1[[#This Row],[Cumulative_revenue]]/Table1[[#This Row],[Category_revenue]]</f>
        <v>0.12978966635596034</v>
      </c>
      <c r="AJ107" t="str">
        <f>IF(Table1[[#This Row],[cumulative_pct]]&lt;=0.8,"A",IF(Table1[[#This Row],[cumulative_pct]]&lt;=0.95,"B","C"))</f>
        <v>A</v>
      </c>
      <c r="AK107">
        <f>Table1[[#This Row],[adj_unit_cost]]*Table1[[#This Row],[scenario_quantity]]</f>
        <v>3564.1583999999998</v>
      </c>
      <c r="AL107" s="5">
        <f>Table1[[#This Row],[UnitPrice]]*Table1[[#This Row],[scenario_quantity]]*(1-Table1[[#This Row],[cap_adjusted_discount]])</f>
        <v>4321.9008000000003</v>
      </c>
      <c r="AM107" s="5">
        <f>Table1[[#This Row],[UnitPrice]]*Table1[[#This Row],[Quantity]]*(1-Table1[[#This Row],[DiscountPct]])</f>
        <v>3525.5505600000001</v>
      </c>
      <c r="AN107" s="5">
        <f>Table1[[#This Row],[gross_revenue]]-Table1[[#This Row],[cost_of_goods]]</f>
        <v>825.43056000000024</v>
      </c>
      <c r="AO107" s="5">
        <f>Table1[[#This Row],[scenario_revenue]]-Table1[[#This Row],[Scenario_unit_cost]]</f>
        <v>757.74240000000054</v>
      </c>
      <c r="AP107" s="5">
        <f>IF(Table1[[#This Row],[gross_revenue]]=0,0,Table1[[#This Row],[gross_profit]]/Table1[[#This Row],[gross_revenue]])</f>
        <v>0.23412813004729685</v>
      </c>
    </row>
    <row r="108" spans="1:42" x14ac:dyDescent="0.35">
      <c r="A108" t="s">
        <v>51</v>
      </c>
      <c r="B108" t="str">
        <f>_xlfn.TEXTAFTER(Table1[[#This Row],[OrderID]],"-",2)</f>
        <v>692673</v>
      </c>
      <c r="C108">
        <f>YEAR(Table1[[#This Row],[OrderDate]])</f>
        <v>2024</v>
      </c>
      <c r="D108" s="9">
        <f>_xlfn.MINIFS(F:F,P:P,Table1[[#This Row],[Country]])</f>
        <v>44948</v>
      </c>
      <c r="E108" s="7">
        <f>DATEDIF(Table1[[#This Row],[first_time_orders]],Table1[[#This Row],[OrderDate]],"m")</f>
        <v>13</v>
      </c>
      <c r="F108" s="9">
        <v>45358</v>
      </c>
      <c r="G108" s="2" t="str">
        <f>TEXT(Table1[[#This Row],[OrderDate]],"MMM-YYYY")</f>
        <v>Mar-2024</v>
      </c>
      <c r="H108" s="7">
        <f>MONTH(Table1[[#This Row],[OrderDate]])</f>
        <v>3</v>
      </c>
      <c r="I108" s="7" t="str">
        <f>"Q"&amp;ROUNDUP(Table1[[#This Row],[months]]/3,0)&amp;"-"&amp;Table1[[#This Row],[order_year]]</f>
        <v>Q1-2024</v>
      </c>
      <c r="J108" s="7">
        <f>Table1[[#This Row],[RequiredDate]]-Table1[[#This Row],[OrderDate]]</f>
        <v>18</v>
      </c>
      <c r="K108" s="7">
        <f>IF(Table1[[#This Row],[lead_time]]&lt;0,MEDIAN(J:J),Table1[[#This Row],[lead_time]])</f>
        <v>18</v>
      </c>
      <c r="L108" s="7">
        <f>IF(Table1[[#This Row],[adj_lead_time]]&lt;=7,1,0)</f>
        <v>0</v>
      </c>
      <c r="M108" s="9">
        <v>45376</v>
      </c>
      <c r="N108" s="9">
        <f>IF(Table1[[#This Row],[lead_time]]&lt;0,(Table1[[#This Row],[OrderDate]]+Table1[[#This Row],[adj_lead_time]]),Table1[[#This Row],[RequiredDate]])</f>
        <v>45376</v>
      </c>
      <c r="O108" t="s">
        <v>649</v>
      </c>
      <c r="P108" t="s">
        <v>656</v>
      </c>
      <c r="Q108" t="s">
        <v>684</v>
      </c>
      <c r="R108" t="s">
        <v>701</v>
      </c>
      <c r="S108" t="s">
        <v>708</v>
      </c>
      <c r="T108" t="s">
        <v>717</v>
      </c>
      <c r="U108" t="s">
        <v>727</v>
      </c>
      <c r="V108" t="s">
        <v>770</v>
      </c>
      <c r="W108">
        <v>712.84</v>
      </c>
      <c r="X108">
        <f>Table1[[#This Row],[UnitCost]]*(1+'scenario modeling'!$B$3)</f>
        <v>784.12400000000014</v>
      </c>
      <c r="Y108">
        <v>927.51</v>
      </c>
      <c r="Z108" t="str">
        <f>IF(Table1[[#This Row],[UnitPrice]]&lt;=Quantiles!$B$2,Quantiles!$A$2,IF(Table1[[#This Row],[UnitPrice]]&lt;=Quantiles!$B$3,Quantiles!$A$3,Quantiles!$A$4))</f>
        <v>Medium</v>
      </c>
      <c r="AA108">
        <v>0.24299999999999999</v>
      </c>
      <c r="AB108" s="5">
        <f>MIN(Table1[[#This Row],[DiscountPct]],'scenario modeling'!$B$2)</f>
        <v>0.1</v>
      </c>
      <c r="AC108" t="str">
        <f>IF(Table1[[#This Row],[DiscountPct]]&gt;0.3, "&gt;0.3","")</f>
        <v/>
      </c>
      <c r="AD108">
        <v>27</v>
      </c>
      <c r="AE108">
        <f>Table1[[#This Row],[Quantity]]*(1+'scenario modeling'!$B$4)</f>
        <v>32.4</v>
      </c>
      <c r="AF108">
        <f>Table1[[#This Row],[UnitCost]]*Table1[[#This Row],[Quantity]]</f>
        <v>19246.68</v>
      </c>
      <c r="AG108">
        <f>SUMIF($U:U,Table1[[#This Row],[ProductCategory]],$AM:AM)</f>
        <v>1545646.9975799995</v>
      </c>
      <c r="AH108">
        <f>SUMIFS($AM$2:AM108,$U$2:U108,U108)</f>
        <v>219566.38500999997</v>
      </c>
      <c r="AI108" s="5">
        <f>Table1[[#This Row],[Cumulative_revenue]]/Table1[[#This Row],[Category_revenue]]</f>
        <v>0.14205467700825114</v>
      </c>
      <c r="AJ108" t="str">
        <f>IF(Table1[[#This Row],[cumulative_pct]]&lt;=0.8,"A",IF(Table1[[#This Row],[cumulative_pct]]&lt;=0.95,"B","C"))</f>
        <v>A</v>
      </c>
      <c r="AK108">
        <f>Table1[[#This Row],[adj_unit_cost]]*Table1[[#This Row],[scenario_quantity]]</f>
        <v>25405.617600000005</v>
      </c>
      <c r="AL108" s="5">
        <f>Table1[[#This Row],[UnitPrice]]*Table1[[#This Row],[scenario_quantity]]*(1-Table1[[#This Row],[cap_adjusted_discount]])</f>
        <v>27046.191599999998</v>
      </c>
      <c r="AM108" s="5">
        <f>Table1[[#This Row],[UnitPrice]]*Table1[[#This Row],[Quantity]]*(1-Table1[[#This Row],[DiscountPct]])</f>
        <v>18957.37689</v>
      </c>
      <c r="AN108" s="5">
        <f>Table1[[#This Row],[gross_revenue]]-Table1[[#This Row],[cost_of_goods]]</f>
        <v>-289.30311000000074</v>
      </c>
      <c r="AO108" s="5">
        <f>Table1[[#This Row],[scenario_revenue]]-Table1[[#This Row],[Scenario_unit_cost]]</f>
        <v>1640.5739999999932</v>
      </c>
      <c r="AP108" s="5">
        <f>IF(Table1[[#This Row],[gross_revenue]]=0,0,Table1[[#This Row],[gross_profit]]/Table1[[#This Row],[gross_revenue]])</f>
        <v>-1.5260714163076427E-2</v>
      </c>
    </row>
    <row r="109" spans="1:42" x14ac:dyDescent="0.35">
      <c r="A109" t="s">
        <v>519</v>
      </c>
      <c r="B109" t="str">
        <f>_xlfn.TEXTAFTER(Table1[[#This Row],[OrderID]],"-",2)</f>
        <v>310809</v>
      </c>
      <c r="C109">
        <f>YEAR(Table1[[#This Row],[OrderDate]])</f>
        <v>2024</v>
      </c>
      <c r="D109" s="9">
        <f>_xlfn.MINIFS(F:F,P:P,Table1[[#This Row],[Country]])</f>
        <v>44941</v>
      </c>
      <c r="E109" s="7">
        <f>DATEDIF(Table1[[#This Row],[first_time_orders]],Table1[[#This Row],[OrderDate]],"m")</f>
        <v>14</v>
      </c>
      <c r="F109" s="9">
        <v>45387</v>
      </c>
      <c r="G109" s="2" t="str">
        <f>TEXT(Table1[[#This Row],[OrderDate]],"MMM-YYYY")</f>
        <v>Apr-2024</v>
      </c>
      <c r="H109" s="7">
        <f>MONTH(Table1[[#This Row],[OrderDate]])</f>
        <v>4</v>
      </c>
      <c r="I109" s="7" t="str">
        <f>"Q"&amp;ROUNDUP(Table1[[#This Row],[months]]/3,0)&amp;"-"&amp;Table1[[#This Row],[order_year]]</f>
        <v>Q2-2024</v>
      </c>
      <c r="J109" s="7">
        <f>Table1[[#This Row],[RequiredDate]]-Table1[[#This Row],[OrderDate]]</f>
        <v>4</v>
      </c>
      <c r="K109" s="7">
        <f>IF(Table1[[#This Row],[lead_time]]&lt;0,MEDIAN(J:J),Table1[[#This Row],[lead_time]])</f>
        <v>4</v>
      </c>
      <c r="L109" s="7">
        <f>IF(Table1[[#This Row],[adj_lead_time]]&lt;=7,1,0)</f>
        <v>1</v>
      </c>
      <c r="M109" s="9">
        <v>45391</v>
      </c>
      <c r="N109" s="9">
        <f>IF(Table1[[#This Row],[lead_time]]&lt;0,(Table1[[#This Row],[OrderDate]]+Table1[[#This Row],[adj_lead_time]]),Table1[[#This Row],[RequiredDate]])</f>
        <v>45391</v>
      </c>
      <c r="O109" t="s">
        <v>646</v>
      </c>
      <c r="P109" t="s">
        <v>651</v>
      </c>
      <c r="Q109" t="s">
        <v>665</v>
      </c>
      <c r="R109" t="s">
        <v>703</v>
      </c>
      <c r="S109" t="s">
        <v>711</v>
      </c>
      <c r="T109" t="s">
        <v>723</v>
      </c>
      <c r="U109" t="s">
        <v>727</v>
      </c>
      <c r="V109" t="s">
        <v>1238</v>
      </c>
      <c r="W109">
        <v>395.07</v>
      </c>
      <c r="X109">
        <f>Table1[[#This Row],[UnitCost]]*(1+'scenario modeling'!$B$3)</f>
        <v>434.57700000000006</v>
      </c>
      <c r="Y109">
        <v>970.27</v>
      </c>
      <c r="Z109" t="str">
        <f>IF(Table1[[#This Row],[UnitPrice]]&lt;=Quantiles!$B$2,Quantiles!$A$2,IF(Table1[[#This Row],[UnitPrice]]&lt;=Quantiles!$B$3,Quantiles!$A$3,Quantiles!$A$4))</f>
        <v>Medium</v>
      </c>
      <c r="AA109">
        <v>0.123</v>
      </c>
      <c r="AB109" s="5">
        <f>MIN(Table1[[#This Row],[DiscountPct]],'scenario modeling'!$B$2)</f>
        <v>0.1</v>
      </c>
      <c r="AC109" t="str">
        <f>IF(Table1[[#This Row],[DiscountPct]]&gt;0.3, "&gt;0.3","")</f>
        <v/>
      </c>
      <c r="AD109">
        <v>38</v>
      </c>
      <c r="AE109">
        <f>Table1[[#This Row],[Quantity]]*(1+'scenario modeling'!$B$4)</f>
        <v>45.6</v>
      </c>
      <c r="AF109">
        <f>Table1[[#This Row],[UnitCost]]*Table1[[#This Row],[Quantity]]</f>
        <v>15012.66</v>
      </c>
      <c r="AG109">
        <f>SUMIF($U:U,Table1[[#This Row],[ProductCategory]],$AM:AM)</f>
        <v>1545646.9975799995</v>
      </c>
      <c r="AH109">
        <f>SUMIFS($AM$2:AM109,$U$2:U109,U109)</f>
        <v>251901.60302999997</v>
      </c>
      <c r="AI109" s="5">
        <f>Table1[[#This Row],[Cumulative_revenue]]/Table1[[#This Row],[Category_revenue]]</f>
        <v>0.16297485999351677</v>
      </c>
      <c r="AJ109" t="str">
        <f>IF(Table1[[#This Row],[cumulative_pct]]&lt;=0.8,"A",IF(Table1[[#This Row],[cumulative_pct]]&lt;=0.95,"B","C"))</f>
        <v>A</v>
      </c>
      <c r="AK109">
        <f>Table1[[#This Row],[adj_unit_cost]]*Table1[[#This Row],[scenario_quantity]]</f>
        <v>19816.711200000002</v>
      </c>
      <c r="AL109" s="5">
        <f>Table1[[#This Row],[UnitPrice]]*Table1[[#This Row],[scenario_quantity]]*(1-Table1[[#This Row],[cap_adjusted_discount]])</f>
        <v>39819.880799999999</v>
      </c>
      <c r="AM109" s="5">
        <f>Table1[[#This Row],[UnitPrice]]*Table1[[#This Row],[Quantity]]*(1-Table1[[#This Row],[DiscountPct]])</f>
        <v>32335.21802</v>
      </c>
      <c r="AN109" s="5">
        <f>Table1[[#This Row],[gross_revenue]]-Table1[[#This Row],[cost_of_goods]]</f>
        <v>17322.55802</v>
      </c>
      <c r="AO109" s="5">
        <f>Table1[[#This Row],[scenario_revenue]]-Table1[[#This Row],[Scenario_unit_cost]]</f>
        <v>20003.169599999997</v>
      </c>
      <c r="AP109" s="5">
        <f>IF(Table1[[#This Row],[gross_revenue]]=0,0,Table1[[#This Row],[gross_profit]]/Table1[[#This Row],[gross_revenue]])</f>
        <v>0.53571799049833657</v>
      </c>
    </row>
    <row r="110" spans="1:42" x14ac:dyDescent="0.35">
      <c r="A110" t="s">
        <v>101</v>
      </c>
      <c r="B110" t="str">
        <f>_xlfn.TEXTAFTER(Table1[[#This Row],[OrderID]],"-",2)</f>
        <v>594592</v>
      </c>
      <c r="C110">
        <f>YEAR(Table1[[#This Row],[OrderDate]])</f>
        <v>2024</v>
      </c>
      <c r="D110" s="9">
        <f>_xlfn.MINIFS(F:F,P:P,Table1[[#This Row],[Country]])</f>
        <v>44938</v>
      </c>
      <c r="E110" s="7">
        <f>DATEDIF(Table1[[#This Row],[first_time_orders]],Table1[[#This Row],[OrderDate]],"m")</f>
        <v>14</v>
      </c>
      <c r="F110" s="9">
        <v>45388</v>
      </c>
      <c r="G110" s="2" t="str">
        <f>TEXT(Table1[[#This Row],[OrderDate]],"MMM-YYYY")</f>
        <v>Apr-2024</v>
      </c>
      <c r="H110" s="7">
        <f>MONTH(Table1[[#This Row],[OrderDate]])</f>
        <v>4</v>
      </c>
      <c r="I110" s="7" t="str">
        <f>"Q"&amp;ROUNDUP(Table1[[#This Row],[months]]/3,0)&amp;"-"&amp;Table1[[#This Row],[order_year]]</f>
        <v>Q2-2024</v>
      </c>
      <c r="J110" s="7">
        <f>Table1[[#This Row],[RequiredDate]]-Table1[[#This Row],[OrderDate]]</f>
        <v>19</v>
      </c>
      <c r="K110" s="7">
        <f>IF(Table1[[#This Row],[lead_time]]&lt;0,MEDIAN(J:J),Table1[[#This Row],[lead_time]])</f>
        <v>19</v>
      </c>
      <c r="L110" s="7">
        <f>IF(Table1[[#This Row],[adj_lead_time]]&lt;=7,1,0)</f>
        <v>0</v>
      </c>
      <c r="M110" s="9">
        <v>45407</v>
      </c>
      <c r="N110" s="9">
        <f>IF(Table1[[#This Row],[lead_time]]&lt;0,(Table1[[#This Row],[OrderDate]]+Table1[[#This Row],[adj_lead_time]]),Table1[[#This Row],[RequiredDate]])</f>
        <v>45407</v>
      </c>
      <c r="O110" t="s">
        <v>647</v>
      </c>
      <c r="P110" t="s">
        <v>659</v>
      </c>
      <c r="Q110" t="s">
        <v>685</v>
      </c>
      <c r="R110" t="s">
        <v>701</v>
      </c>
      <c r="S110" t="s">
        <v>707</v>
      </c>
      <c r="T110" t="s">
        <v>723</v>
      </c>
      <c r="U110" t="s">
        <v>727</v>
      </c>
      <c r="V110" t="s">
        <v>820</v>
      </c>
      <c r="W110">
        <v>1366.48</v>
      </c>
      <c r="X110">
        <f>Table1[[#This Row],[UnitCost]]*(1+'scenario modeling'!$B$3)</f>
        <v>1503.1280000000002</v>
      </c>
      <c r="Y110">
        <v>1678.14</v>
      </c>
      <c r="Z110" t="str">
        <f>IF(Table1[[#This Row],[UnitPrice]]&lt;=Quantiles!$B$2,Quantiles!$A$2,IF(Table1[[#This Row],[UnitPrice]]&lt;=Quantiles!$B$3,Quantiles!$A$3,Quantiles!$A$4))</f>
        <v>High</v>
      </c>
      <c r="AA110">
        <v>0.154</v>
      </c>
      <c r="AB110" s="5">
        <f>MIN(Table1[[#This Row],[DiscountPct]],'scenario modeling'!$B$2)</f>
        <v>0.1</v>
      </c>
      <c r="AC110" t="str">
        <f>IF(Table1[[#This Row],[DiscountPct]]&gt;0.3, "&gt;0.3","")</f>
        <v/>
      </c>
      <c r="AD110">
        <v>10</v>
      </c>
      <c r="AE110">
        <f>Table1[[#This Row],[Quantity]]*(1+'scenario modeling'!$B$4)</f>
        <v>12</v>
      </c>
      <c r="AF110">
        <f>Table1[[#This Row],[UnitCost]]*Table1[[#This Row],[Quantity]]</f>
        <v>13664.8</v>
      </c>
      <c r="AG110">
        <f>SUMIF($U:U,Table1[[#This Row],[ProductCategory]],$AM:AM)</f>
        <v>1545646.9975799995</v>
      </c>
      <c r="AH110">
        <f>SUMIFS($AM$2:AM110,$U$2:U110,U110)</f>
        <v>266098.66742999997</v>
      </c>
      <c r="AI110" s="5">
        <f>Table1[[#This Row],[Cumulative_revenue]]/Table1[[#This Row],[Category_revenue]]</f>
        <v>0.17216005196958128</v>
      </c>
      <c r="AJ110" t="str">
        <f>IF(Table1[[#This Row],[cumulative_pct]]&lt;=0.8,"A",IF(Table1[[#This Row],[cumulative_pct]]&lt;=0.95,"B","C"))</f>
        <v>A</v>
      </c>
      <c r="AK110">
        <f>Table1[[#This Row],[adj_unit_cost]]*Table1[[#This Row],[scenario_quantity]]</f>
        <v>18037.536</v>
      </c>
      <c r="AL110" s="5">
        <f>Table1[[#This Row],[UnitPrice]]*Table1[[#This Row],[scenario_quantity]]*(1-Table1[[#This Row],[cap_adjusted_discount]])</f>
        <v>18123.912</v>
      </c>
      <c r="AM110" s="5">
        <f>Table1[[#This Row],[UnitPrice]]*Table1[[#This Row],[Quantity]]*(1-Table1[[#This Row],[DiscountPct]])</f>
        <v>14197.064400000001</v>
      </c>
      <c r="AN110" s="5">
        <f>Table1[[#This Row],[gross_revenue]]-Table1[[#This Row],[cost_of_goods]]</f>
        <v>532.26440000000184</v>
      </c>
      <c r="AO110" s="5">
        <f>Table1[[#This Row],[scenario_revenue]]-Table1[[#This Row],[Scenario_unit_cost]]</f>
        <v>86.376000000000204</v>
      </c>
      <c r="AP110" s="5">
        <f>IF(Table1[[#This Row],[gross_revenue]]=0,0,Table1[[#This Row],[gross_profit]]/Table1[[#This Row],[gross_revenue]])</f>
        <v>3.7491159087790132E-2</v>
      </c>
    </row>
    <row r="111" spans="1:42" x14ac:dyDescent="0.35">
      <c r="A111" t="s">
        <v>75</v>
      </c>
      <c r="B111" t="str">
        <f>_xlfn.TEXTAFTER(Table1[[#This Row],[OrderID]],"-",2)</f>
        <v>906395</v>
      </c>
      <c r="C111">
        <f>YEAR(Table1[[#This Row],[OrderDate]])</f>
        <v>2024</v>
      </c>
      <c r="D111" s="9">
        <f>_xlfn.MINIFS(F:F,P:P,Table1[[#This Row],[Country]])</f>
        <v>44936</v>
      </c>
      <c r="E111" s="7">
        <f>DATEDIF(Table1[[#This Row],[first_time_orders]],Table1[[#This Row],[OrderDate]],"m")</f>
        <v>14</v>
      </c>
      <c r="F111" s="9">
        <v>45361</v>
      </c>
      <c r="G111" s="2" t="str">
        <f>TEXT(Table1[[#This Row],[OrderDate]],"MMM-YYYY")</f>
        <v>Mar-2024</v>
      </c>
      <c r="H111" s="7">
        <f>MONTH(Table1[[#This Row],[OrderDate]])</f>
        <v>3</v>
      </c>
      <c r="I111" s="7" t="str">
        <f>"Q"&amp;ROUNDUP(Table1[[#This Row],[months]]/3,0)&amp;"-"&amp;Table1[[#This Row],[order_year]]</f>
        <v>Q1-2024</v>
      </c>
      <c r="J111" s="7">
        <f>Table1[[#This Row],[RequiredDate]]-Table1[[#This Row],[OrderDate]]</f>
        <v>30</v>
      </c>
      <c r="K111" s="7">
        <f>IF(Table1[[#This Row],[lead_time]]&lt;0,MEDIAN(J:J),Table1[[#This Row],[lead_time]])</f>
        <v>30</v>
      </c>
      <c r="L111" s="7">
        <f>IF(Table1[[#This Row],[adj_lead_time]]&lt;=7,1,0)</f>
        <v>0</v>
      </c>
      <c r="M111" s="9">
        <v>45391</v>
      </c>
      <c r="N111" s="9">
        <f>IF(Table1[[#This Row],[lead_time]]&lt;0,(Table1[[#This Row],[OrderDate]]+Table1[[#This Row],[adj_lead_time]]),Table1[[#This Row],[RequiredDate]])</f>
        <v>45391</v>
      </c>
      <c r="O111" t="s">
        <v>649</v>
      </c>
      <c r="P111" t="s">
        <v>657</v>
      </c>
      <c r="Q111" t="s">
        <v>679</v>
      </c>
      <c r="R111" t="s">
        <v>701</v>
      </c>
      <c r="S111" t="s">
        <v>711</v>
      </c>
      <c r="T111" t="s">
        <v>714</v>
      </c>
      <c r="U111" t="s">
        <v>727</v>
      </c>
      <c r="V111" t="s">
        <v>794</v>
      </c>
      <c r="W111">
        <v>1176.56</v>
      </c>
      <c r="X111">
        <f>Table1[[#This Row],[UnitCost]]*(1+'scenario modeling'!$B$3)</f>
        <v>1294.2160000000001</v>
      </c>
      <c r="Y111">
        <v>1911.89</v>
      </c>
      <c r="Z111" t="str">
        <f>IF(Table1[[#This Row],[UnitPrice]]&lt;=Quantiles!$B$2,Quantiles!$A$2,IF(Table1[[#This Row],[UnitPrice]]&lt;=Quantiles!$B$3,Quantiles!$A$3,Quantiles!$A$4))</f>
        <v>High</v>
      </c>
      <c r="AA111">
        <v>0.11899999999999999</v>
      </c>
      <c r="AB111" s="5">
        <f>MIN(Table1[[#This Row],[DiscountPct]],'scenario modeling'!$B$2)</f>
        <v>0.1</v>
      </c>
      <c r="AC111" t="str">
        <f>IF(Table1[[#This Row],[DiscountPct]]&gt;0.3, "&gt;0.3","")</f>
        <v/>
      </c>
      <c r="AD111">
        <v>20</v>
      </c>
      <c r="AE111">
        <f>Table1[[#This Row],[Quantity]]*(1+'scenario modeling'!$B$4)</f>
        <v>24</v>
      </c>
      <c r="AF111">
        <f>Table1[[#This Row],[UnitCost]]*Table1[[#This Row],[Quantity]]</f>
        <v>23531.199999999997</v>
      </c>
      <c r="AG111">
        <f>SUMIF($U:U,Table1[[#This Row],[ProductCategory]],$AM:AM)</f>
        <v>1545646.9975799995</v>
      </c>
      <c r="AH111">
        <f>SUMIFS($AM$2:AM111,$U$2:U111,U111)</f>
        <v>299786.16923</v>
      </c>
      <c r="AI111" s="5">
        <f>Table1[[#This Row],[Cumulative_revenue]]/Table1[[#This Row],[Category_revenue]]</f>
        <v>0.19395513315742308</v>
      </c>
      <c r="AJ111" t="str">
        <f>IF(Table1[[#This Row],[cumulative_pct]]&lt;=0.8,"A",IF(Table1[[#This Row],[cumulative_pct]]&lt;=0.95,"B","C"))</f>
        <v>A</v>
      </c>
      <c r="AK111">
        <f>Table1[[#This Row],[adj_unit_cost]]*Table1[[#This Row],[scenario_quantity]]</f>
        <v>31061.184000000001</v>
      </c>
      <c r="AL111" s="5">
        <f>Table1[[#This Row],[UnitPrice]]*Table1[[#This Row],[scenario_quantity]]*(1-Table1[[#This Row],[cap_adjusted_discount]])</f>
        <v>41296.824000000001</v>
      </c>
      <c r="AM111" s="5">
        <f>Table1[[#This Row],[UnitPrice]]*Table1[[#This Row],[Quantity]]*(1-Table1[[#This Row],[DiscountPct]])</f>
        <v>33687.501800000005</v>
      </c>
      <c r="AN111" s="5">
        <f>Table1[[#This Row],[gross_revenue]]-Table1[[#This Row],[cost_of_goods]]</f>
        <v>10156.301800000008</v>
      </c>
      <c r="AO111" s="5">
        <f>Table1[[#This Row],[scenario_revenue]]-Table1[[#This Row],[Scenario_unit_cost]]</f>
        <v>10235.64</v>
      </c>
      <c r="AP111" s="5">
        <f>IF(Table1[[#This Row],[gross_revenue]]=0,0,Table1[[#This Row],[gross_profit]]/Table1[[#This Row],[gross_revenue]])</f>
        <v>0.30148575160892477</v>
      </c>
    </row>
    <row r="112" spans="1:42" x14ac:dyDescent="0.35">
      <c r="A112" t="s">
        <v>466</v>
      </c>
      <c r="B112" t="str">
        <f>_xlfn.TEXTAFTER(Table1[[#This Row],[OrderID]],"-",2)</f>
        <v>851993</v>
      </c>
      <c r="C112">
        <f>YEAR(Table1[[#This Row],[OrderDate]])</f>
        <v>2024</v>
      </c>
      <c r="D112" s="9">
        <f>_xlfn.MINIFS(F:F,P:P,Table1[[#This Row],[Country]])</f>
        <v>44955</v>
      </c>
      <c r="E112" s="7">
        <f>DATEDIF(Table1[[#This Row],[first_time_orders]],Table1[[#This Row],[OrderDate]],"m")</f>
        <v>15</v>
      </c>
      <c r="F112" s="9">
        <v>45413</v>
      </c>
      <c r="G112" s="2" t="str">
        <f>TEXT(Table1[[#This Row],[OrderDate]],"MMM-YYYY")</f>
        <v>May-2024</v>
      </c>
      <c r="H112" s="7">
        <f>MONTH(Table1[[#This Row],[OrderDate]])</f>
        <v>5</v>
      </c>
      <c r="I112" s="7" t="str">
        <f>"Q"&amp;ROUNDUP(Table1[[#This Row],[months]]/3,0)&amp;"-"&amp;Table1[[#This Row],[order_year]]</f>
        <v>Q2-2024</v>
      </c>
      <c r="J112" s="7">
        <f>Table1[[#This Row],[RequiredDate]]-Table1[[#This Row],[OrderDate]]</f>
        <v>15</v>
      </c>
      <c r="K112" s="7">
        <f>IF(Table1[[#This Row],[lead_time]]&lt;0,MEDIAN(J:J),Table1[[#This Row],[lead_time]])</f>
        <v>15</v>
      </c>
      <c r="L112" s="7">
        <f>IF(Table1[[#This Row],[adj_lead_time]]&lt;=7,1,0)</f>
        <v>0</v>
      </c>
      <c r="M112" s="9">
        <v>45428</v>
      </c>
      <c r="N112" s="9">
        <f>IF(Table1[[#This Row],[lead_time]]&lt;0,(Table1[[#This Row],[OrderDate]]+Table1[[#This Row],[adj_lead_time]]),Table1[[#This Row],[RequiredDate]])</f>
        <v>45428</v>
      </c>
      <c r="O112" t="s">
        <v>647</v>
      </c>
      <c r="P112" t="s">
        <v>654</v>
      </c>
      <c r="Q112" t="s">
        <v>668</v>
      </c>
      <c r="R112" t="s">
        <v>705</v>
      </c>
      <c r="S112" t="s">
        <v>707</v>
      </c>
      <c r="T112" t="s">
        <v>716</v>
      </c>
      <c r="U112" t="s">
        <v>727</v>
      </c>
      <c r="V112" t="s">
        <v>1185</v>
      </c>
      <c r="W112">
        <v>901.19</v>
      </c>
      <c r="X112">
        <f>Table1[[#This Row],[UnitCost]]*(1+'scenario modeling'!$B$3)</f>
        <v>991.3090000000002</v>
      </c>
      <c r="Y112">
        <v>2125.44</v>
      </c>
      <c r="Z112" t="str">
        <f>IF(Table1[[#This Row],[UnitPrice]]&lt;=Quantiles!$B$2,Quantiles!$A$2,IF(Table1[[#This Row],[UnitPrice]]&lt;=Quantiles!$B$3,Quantiles!$A$3,Quantiles!$A$4))</f>
        <v>High</v>
      </c>
      <c r="AA112">
        <v>7.0999999999999994E-2</v>
      </c>
      <c r="AB112" s="5">
        <f>MIN(Table1[[#This Row],[DiscountPct]],'scenario modeling'!$B$2)</f>
        <v>7.0999999999999994E-2</v>
      </c>
      <c r="AC112" t="str">
        <f>IF(Table1[[#This Row],[DiscountPct]]&gt;0.3, "&gt;0.3","")</f>
        <v/>
      </c>
      <c r="AD112">
        <v>12</v>
      </c>
      <c r="AE112">
        <f>Table1[[#This Row],[Quantity]]*(1+'scenario modeling'!$B$4)</f>
        <v>14.399999999999999</v>
      </c>
      <c r="AF112">
        <f>Table1[[#This Row],[UnitCost]]*Table1[[#This Row],[Quantity]]</f>
        <v>10814.28</v>
      </c>
      <c r="AG112">
        <f>SUMIF($U:U,Table1[[#This Row],[ProductCategory]],$AM:AM)</f>
        <v>1545646.9975799995</v>
      </c>
      <c r="AH112">
        <f>SUMIFS($AM$2:AM112,$U$2:U112,U112)</f>
        <v>323480.57435000001</v>
      </c>
      <c r="AI112" s="5">
        <f>Table1[[#This Row],[Cumulative_revenue]]/Table1[[#This Row],[Category_revenue]]</f>
        <v>0.20928489807599637</v>
      </c>
      <c r="AJ112" t="str">
        <f>IF(Table1[[#This Row],[cumulative_pct]]&lt;=0.8,"A",IF(Table1[[#This Row],[cumulative_pct]]&lt;=0.95,"B","C"))</f>
        <v>A</v>
      </c>
      <c r="AK112">
        <f>Table1[[#This Row],[adj_unit_cost]]*Table1[[#This Row],[scenario_quantity]]</f>
        <v>14274.849600000001</v>
      </c>
      <c r="AL112" s="5">
        <f>Table1[[#This Row],[UnitPrice]]*Table1[[#This Row],[scenario_quantity]]*(1-Table1[[#This Row],[cap_adjusted_discount]])</f>
        <v>28433.286144000002</v>
      </c>
      <c r="AM112" s="5">
        <f>Table1[[#This Row],[UnitPrice]]*Table1[[#This Row],[Quantity]]*(1-Table1[[#This Row],[DiscountPct]])</f>
        <v>23694.405119999999</v>
      </c>
      <c r="AN112" s="5">
        <f>Table1[[#This Row],[gross_revenue]]-Table1[[#This Row],[cost_of_goods]]</f>
        <v>12880.125119999999</v>
      </c>
      <c r="AO112" s="5">
        <f>Table1[[#This Row],[scenario_revenue]]-Table1[[#This Row],[Scenario_unit_cost]]</f>
        <v>14158.436544</v>
      </c>
      <c r="AP112" s="5">
        <f>IF(Table1[[#This Row],[gross_revenue]]=0,0,Table1[[#This Row],[gross_profit]]/Table1[[#This Row],[gross_revenue]])</f>
        <v>0.54359352154100415</v>
      </c>
    </row>
    <row r="113" spans="1:42" x14ac:dyDescent="0.35">
      <c r="A113" t="s">
        <v>473</v>
      </c>
      <c r="B113" t="str">
        <f>_xlfn.TEXTAFTER(Table1[[#This Row],[OrderID]],"-",2)</f>
        <v>202166</v>
      </c>
      <c r="C113">
        <f>YEAR(Table1[[#This Row],[OrderDate]])</f>
        <v>2024</v>
      </c>
      <c r="D113" s="9">
        <f>_xlfn.MINIFS(F:F,P:P,Table1[[#This Row],[Country]])</f>
        <v>44936</v>
      </c>
      <c r="E113" s="7">
        <f>DATEDIF(Table1[[#This Row],[first_time_orders]],Table1[[#This Row],[OrderDate]],"m")</f>
        <v>15</v>
      </c>
      <c r="F113" s="9">
        <v>45417</v>
      </c>
      <c r="G113" s="2" t="str">
        <f>TEXT(Table1[[#This Row],[OrderDate]],"MMM-YYYY")</f>
        <v>May-2024</v>
      </c>
      <c r="H113" s="7">
        <f>MONTH(Table1[[#This Row],[OrderDate]])</f>
        <v>5</v>
      </c>
      <c r="I113" s="7" t="str">
        <f>"Q"&amp;ROUNDUP(Table1[[#This Row],[months]]/3,0)&amp;"-"&amp;Table1[[#This Row],[order_year]]</f>
        <v>Q2-2024</v>
      </c>
      <c r="J113" s="7">
        <f>Table1[[#This Row],[RequiredDate]]-Table1[[#This Row],[OrderDate]]</f>
        <v>13</v>
      </c>
      <c r="K113" s="7">
        <f>IF(Table1[[#This Row],[lead_time]]&lt;0,MEDIAN(J:J),Table1[[#This Row],[lead_time]])</f>
        <v>13</v>
      </c>
      <c r="L113" s="7">
        <f>IF(Table1[[#This Row],[adj_lead_time]]&lt;=7,1,0)</f>
        <v>0</v>
      </c>
      <c r="M113" s="9">
        <v>45430</v>
      </c>
      <c r="N113" s="9">
        <f>IF(Table1[[#This Row],[lead_time]]&lt;0,(Table1[[#This Row],[OrderDate]]+Table1[[#This Row],[adj_lead_time]]),Table1[[#This Row],[RequiredDate]])</f>
        <v>45430</v>
      </c>
      <c r="O113" t="s">
        <v>649</v>
      </c>
      <c r="P113" t="s">
        <v>657</v>
      </c>
      <c r="Q113" t="s">
        <v>673</v>
      </c>
      <c r="R113" t="s">
        <v>701</v>
      </c>
      <c r="S113" t="s">
        <v>709</v>
      </c>
      <c r="T113" t="s">
        <v>720</v>
      </c>
      <c r="U113" t="s">
        <v>727</v>
      </c>
      <c r="V113" t="s">
        <v>1192</v>
      </c>
      <c r="W113">
        <v>1264.04</v>
      </c>
      <c r="X113">
        <f>Table1[[#This Row],[UnitCost]]*(1+'scenario modeling'!$B$3)</f>
        <v>1390.444</v>
      </c>
      <c r="Y113">
        <v>1870.89</v>
      </c>
      <c r="Z113" t="str">
        <f>IF(Table1[[#This Row],[UnitPrice]]&lt;=Quantiles!$B$2,Quantiles!$A$2,IF(Table1[[#This Row],[UnitPrice]]&lt;=Quantiles!$B$3,Quantiles!$A$3,Quantiles!$A$4))</f>
        <v>High</v>
      </c>
      <c r="AA113">
        <v>0</v>
      </c>
      <c r="AB113" s="5">
        <f>MIN(Table1[[#This Row],[DiscountPct]],'scenario modeling'!$B$2)</f>
        <v>0</v>
      </c>
      <c r="AC113" t="str">
        <f>IF(Table1[[#This Row],[DiscountPct]]&gt;0.3, "&gt;0.3","")</f>
        <v/>
      </c>
      <c r="AD113">
        <v>13</v>
      </c>
      <c r="AE113">
        <f>Table1[[#This Row],[Quantity]]*(1+'scenario modeling'!$B$4)</f>
        <v>15.6</v>
      </c>
      <c r="AF113">
        <f>Table1[[#This Row],[UnitCost]]*Table1[[#This Row],[Quantity]]</f>
        <v>16432.52</v>
      </c>
      <c r="AG113">
        <f>SUMIF($U:U,Table1[[#This Row],[ProductCategory]],$AM:AM)</f>
        <v>1545646.9975799995</v>
      </c>
      <c r="AH113">
        <f>SUMIFS($AM$2:AM113,$U$2:U113,U113)</f>
        <v>347802.14435000002</v>
      </c>
      <c r="AI113" s="5">
        <f>Table1[[#This Row],[Cumulative_revenue]]/Table1[[#This Row],[Category_revenue]]</f>
        <v>0.22502042503530856</v>
      </c>
      <c r="AJ113" t="str">
        <f>IF(Table1[[#This Row],[cumulative_pct]]&lt;=0.8,"A",IF(Table1[[#This Row],[cumulative_pct]]&lt;=0.95,"B","C"))</f>
        <v>A</v>
      </c>
      <c r="AK113">
        <f>Table1[[#This Row],[adj_unit_cost]]*Table1[[#This Row],[scenario_quantity]]</f>
        <v>21690.9264</v>
      </c>
      <c r="AL113" s="5">
        <f>Table1[[#This Row],[UnitPrice]]*Table1[[#This Row],[scenario_quantity]]*(1-Table1[[#This Row],[cap_adjusted_discount]])</f>
        <v>29185.884000000002</v>
      </c>
      <c r="AM113" s="5">
        <f>Table1[[#This Row],[UnitPrice]]*Table1[[#This Row],[Quantity]]*(1-Table1[[#This Row],[DiscountPct]])</f>
        <v>24321.57</v>
      </c>
      <c r="AN113" s="5">
        <f>Table1[[#This Row],[gross_revenue]]-Table1[[#This Row],[cost_of_goods]]</f>
        <v>7889.0499999999993</v>
      </c>
      <c r="AO113" s="5">
        <f>Table1[[#This Row],[scenario_revenue]]-Table1[[#This Row],[Scenario_unit_cost]]</f>
        <v>7494.9576000000015</v>
      </c>
      <c r="AP113" s="5">
        <f>IF(Table1[[#This Row],[gross_revenue]]=0,0,Table1[[#This Row],[gross_profit]]/Table1[[#This Row],[gross_revenue]])</f>
        <v>0.32436433996653996</v>
      </c>
    </row>
    <row r="114" spans="1:42" x14ac:dyDescent="0.35">
      <c r="A114" t="s">
        <v>120</v>
      </c>
      <c r="B114" t="str">
        <f>_xlfn.TEXTAFTER(Table1[[#This Row],[OrderID]],"-",2)</f>
        <v>155337</v>
      </c>
      <c r="C114">
        <f>YEAR(Table1[[#This Row],[OrderDate]])</f>
        <v>2024</v>
      </c>
      <c r="D114" s="9">
        <f>_xlfn.MINIFS(F:F,P:P,Table1[[#This Row],[Country]])</f>
        <v>44933</v>
      </c>
      <c r="E114" s="7">
        <f>DATEDIF(Table1[[#This Row],[first_time_orders]],Table1[[#This Row],[OrderDate]],"m")</f>
        <v>16</v>
      </c>
      <c r="F114" s="9">
        <v>45433</v>
      </c>
      <c r="G114" s="2" t="str">
        <f>TEXT(Table1[[#This Row],[OrderDate]],"MMM-YYYY")</f>
        <v>May-2024</v>
      </c>
      <c r="H114" s="7">
        <f>MONTH(Table1[[#This Row],[OrderDate]])</f>
        <v>5</v>
      </c>
      <c r="I114" s="7" t="str">
        <f>"Q"&amp;ROUNDUP(Table1[[#This Row],[months]]/3,0)&amp;"-"&amp;Table1[[#This Row],[order_year]]</f>
        <v>Q2-2024</v>
      </c>
      <c r="J114" s="7">
        <f>Table1[[#This Row],[RequiredDate]]-Table1[[#This Row],[OrderDate]]</f>
        <v>6</v>
      </c>
      <c r="K114" s="7">
        <f>IF(Table1[[#This Row],[lead_time]]&lt;0,MEDIAN(J:J),Table1[[#This Row],[lead_time]])</f>
        <v>6</v>
      </c>
      <c r="L114" s="7">
        <f>IF(Table1[[#This Row],[adj_lead_time]]&lt;=7,1,0)</f>
        <v>1</v>
      </c>
      <c r="M114" s="9">
        <v>45439</v>
      </c>
      <c r="N114" s="9">
        <f>IF(Table1[[#This Row],[lead_time]]&lt;0,(Table1[[#This Row],[OrderDate]]+Table1[[#This Row],[adj_lead_time]]),Table1[[#This Row],[RequiredDate]])</f>
        <v>45439</v>
      </c>
      <c r="O114" t="s">
        <v>646</v>
      </c>
      <c r="P114" t="s">
        <v>661</v>
      </c>
      <c r="Q114" t="s">
        <v>682</v>
      </c>
      <c r="R114" t="s">
        <v>703</v>
      </c>
      <c r="S114" t="s">
        <v>708</v>
      </c>
      <c r="T114" t="s">
        <v>724</v>
      </c>
      <c r="U114" t="s">
        <v>727</v>
      </c>
      <c r="V114" t="s">
        <v>839</v>
      </c>
      <c r="W114">
        <v>1157.51</v>
      </c>
      <c r="X114">
        <f>Table1[[#This Row],[UnitCost]]*(1+'scenario modeling'!$B$3)</f>
        <v>1273.2610000000002</v>
      </c>
      <c r="Y114">
        <v>1394.3</v>
      </c>
      <c r="Z114" t="str">
        <f>IF(Table1[[#This Row],[UnitPrice]]&lt;=Quantiles!$B$2,Quantiles!$A$2,IF(Table1[[#This Row],[UnitPrice]]&lt;=Quantiles!$B$3,Quantiles!$A$3,Quantiles!$A$4))</f>
        <v>Medium</v>
      </c>
      <c r="AA114">
        <v>0.27800000000000002</v>
      </c>
      <c r="AB114" s="5">
        <f>MIN(Table1[[#This Row],[DiscountPct]],'scenario modeling'!$B$2)</f>
        <v>0.1</v>
      </c>
      <c r="AC114" t="str">
        <f>IF(Table1[[#This Row],[DiscountPct]]&gt;0.3, "&gt;0.3","")</f>
        <v/>
      </c>
      <c r="AD114">
        <v>12</v>
      </c>
      <c r="AE114">
        <f>Table1[[#This Row],[Quantity]]*(1+'scenario modeling'!$B$4)</f>
        <v>14.399999999999999</v>
      </c>
      <c r="AF114">
        <f>Table1[[#This Row],[UnitCost]]*Table1[[#This Row],[Quantity]]</f>
        <v>13890.119999999999</v>
      </c>
      <c r="AG114">
        <f>SUMIF($U:U,Table1[[#This Row],[ProductCategory]],$AM:AM)</f>
        <v>1545646.9975799995</v>
      </c>
      <c r="AH114">
        <f>SUMIFS($AM$2:AM114,$U$2:U114,U114)</f>
        <v>359882.35954999999</v>
      </c>
      <c r="AI114" s="5">
        <f>Table1[[#This Row],[Cumulative_revenue]]/Table1[[#This Row],[Category_revenue]]</f>
        <v>0.23283606160621628</v>
      </c>
      <c r="AJ114" t="str">
        <f>IF(Table1[[#This Row],[cumulative_pct]]&lt;=0.8,"A",IF(Table1[[#This Row],[cumulative_pct]]&lt;=0.95,"B","C"))</f>
        <v>A</v>
      </c>
      <c r="AK114">
        <f>Table1[[#This Row],[adj_unit_cost]]*Table1[[#This Row],[scenario_quantity]]</f>
        <v>18334.9584</v>
      </c>
      <c r="AL114" s="5">
        <f>Table1[[#This Row],[UnitPrice]]*Table1[[#This Row],[scenario_quantity]]*(1-Table1[[#This Row],[cap_adjusted_discount]])</f>
        <v>18070.128000000001</v>
      </c>
      <c r="AM114" s="5">
        <f>Table1[[#This Row],[UnitPrice]]*Table1[[#This Row],[Quantity]]*(1-Table1[[#This Row],[DiscountPct]])</f>
        <v>12080.215199999999</v>
      </c>
      <c r="AN114" s="5">
        <f>Table1[[#This Row],[gross_revenue]]-Table1[[#This Row],[cost_of_goods]]</f>
        <v>-1809.9048000000003</v>
      </c>
      <c r="AO114" s="5">
        <f>Table1[[#This Row],[scenario_revenue]]-Table1[[#This Row],[Scenario_unit_cost]]</f>
        <v>-264.83039999999892</v>
      </c>
      <c r="AP114" s="5">
        <f>IF(Table1[[#This Row],[gross_revenue]]=0,0,Table1[[#This Row],[gross_profit]]/Table1[[#This Row],[gross_revenue]])</f>
        <v>-0.14982388724333326</v>
      </c>
    </row>
    <row r="115" spans="1:42" x14ac:dyDescent="0.35">
      <c r="A115" t="s">
        <v>59</v>
      </c>
      <c r="B115" t="str">
        <f>_xlfn.TEXTAFTER(Table1[[#This Row],[OrderID]],"-",2)</f>
        <v>389336</v>
      </c>
      <c r="C115">
        <f>YEAR(Table1[[#This Row],[OrderDate]])</f>
        <v>2024</v>
      </c>
      <c r="D115" s="9">
        <f>_xlfn.MINIFS(F:F,P:P,Table1[[#This Row],[Country]])</f>
        <v>44928</v>
      </c>
      <c r="E115" s="7">
        <f>DATEDIF(Table1[[#This Row],[first_time_orders]],Table1[[#This Row],[OrderDate]],"m")</f>
        <v>16</v>
      </c>
      <c r="F115" s="9">
        <v>45432</v>
      </c>
      <c r="G115" s="2" t="str">
        <f>TEXT(Table1[[#This Row],[OrderDate]],"MMM-YYYY")</f>
        <v>May-2024</v>
      </c>
      <c r="H115" s="7">
        <f>MONTH(Table1[[#This Row],[OrderDate]])</f>
        <v>5</v>
      </c>
      <c r="I115" s="7" t="str">
        <f>"Q"&amp;ROUNDUP(Table1[[#This Row],[months]]/3,0)&amp;"-"&amp;Table1[[#This Row],[order_year]]</f>
        <v>Q2-2024</v>
      </c>
      <c r="J115" s="7">
        <f>Table1[[#This Row],[RequiredDate]]-Table1[[#This Row],[OrderDate]]</f>
        <v>13</v>
      </c>
      <c r="K115" s="7">
        <f>IF(Table1[[#This Row],[lead_time]]&lt;0,MEDIAN(J:J),Table1[[#This Row],[lead_time]])</f>
        <v>13</v>
      </c>
      <c r="L115" s="7">
        <f>IF(Table1[[#This Row],[adj_lead_time]]&lt;=7,1,0)</f>
        <v>0</v>
      </c>
      <c r="M115" s="9">
        <v>45445</v>
      </c>
      <c r="N115" s="9">
        <f>IF(Table1[[#This Row],[lead_time]]&lt;0,(Table1[[#This Row],[OrderDate]]+Table1[[#This Row],[adj_lead_time]]),Table1[[#This Row],[RequiredDate]])</f>
        <v>45445</v>
      </c>
      <c r="O115" t="s">
        <v>648</v>
      </c>
      <c r="P115" t="s">
        <v>653</v>
      </c>
      <c r="Q115" t="s">
        <v>688</v>
      </c>
      <c r="R115" t="s">
        <v>706</v>
      </c>
      <c r="S115" t="s">
        <v>709</v>
      </c>
      <c r="T115" t="s">
        <v>723</v>
      </c>
      <c r="U115" t="s">
        <v>727</v>
      </c>
      <c r="V115" t="s">
        <v>778</v>
      </c>
      <c r="W115">
        <v>675.43</v>
      </c>
      <c r="X115">
        <f>Table1[[#This Row],[UnitCost]]*(1+'scenario modeling'!$B$3)</f>
        <v>742.97299999999996</v>
      </c>
      <c r="Y115">
        <v>996.36</v>
      </c>
      <c r="Z115" t="str">
        <f>IF(Table1[[#This Row],[UnitPrice]]&lt;=Quantiles!$B$2,Quantiles!$A$2,IF(Table1[[#This Row],[UnitPrice]]&lt;=Quantiles!$B$3,Quantiles!$A$3,Quantiles!$A$4))</f>
        <v>Medium</v>
      </c>
      <c r="AA115">
        <v>0.182</v>
      </c>
      <c r="AB115" s="5">
        <f>MIN(Table1[[#This Row],[DiscountPct]],'scenario modeling'!$B$2)</f>
        <v>0.1</v>
      </c>
      <c r="AC115" t="str">
        <f>IF(Table1[[#This Row],[DiscountPct]]&gt;0.3, "&gt;0.3","")</f>
        <v/>
      </c>
      <c r="AD115">
        <v>22</v>
      </c>
      <c r="AE115">
        <f>Table1[[#This Row],[Quantity]]*(1+'scenario modeling'!$B$4)</f>
        <v>26.4</v>
      </c>
      <c r="AF115">
        <f>Table1[[#This Row],[UnitCost]]*Table1[[#This Row],[Quantity]]</f>
        <v>14859.46</v>
      </c>
      <c r="AG115">
        <f>SUMIF($U:U,Table1[[#This Row],[ProductCategory]],$AM:AM)</f>
        <v>1545646.9975799995</v>
      </c>
      <c r="AH115">
        <f>SUMIFS($AM$2:AM115,$U$2:U115,U115)</f>
        <v>377812.85411000001</v>
      </c>
      <c r="AI115" s="5">
        <f>Table1[[#This Row],[Cumulative_revenue]]/Table1[[#This Row],[Category_revenue]]</f>
        <v>0.24443670171878634</v>
      </c>
      <c r="AJ115" t="str">
        <f>IF(Table1[[#This Row],[cumulative_pct]]&lt;=0.8,"A",IF(Table1[[#This Row],[cumulative_pct]]&lt;=0.95,"B","C"))</f>
        <v>A</v>
      </c>
      <c r="AK115">
        <f>Table1[[#This Row],[adj_unit_cost]]*Table1[[#This Row],[scenario_quantity]]</f>
        <v>19614.4872</v>
      </c>
      <c r="AL115" s="5">
        <f>Table1[[#This Row],[UnitPrice]]*Table1[[#This Row],[scenario_quantity]]*(1-Table1[[#This Row],[cap_adjusted_discount]])</f>
        <v>23673.513599999998</v>
      </c>
      <c r="AM115" s="5">
        <f>Table1[[#This Row],[UnitPrice]]*Table1[[#This Row],[Quantity]]*(1-Table1[[#This Row],[DiscountPct]])</f>
        <v>17930.494560000003</v>
      </c>
      <c r="AN115" s="5">
        <f>Table1[[#This Row],[gross_revenue]]-Table1[[#This Row],[cost_of_goods]]</f>
        <v>3071.0345600000037</v>
      </c>
      <c r="AO115" s="5">
        <f>Table1[[#This Row],[scenario_revenue]]-Table1[[#This Row],[Scenario_unit_cost]]</f>
        <v>4059.0263999999988</v>
      </c>
      <c r="AP115" s="5">
        <f>IF(Table1[[#This Row],[gross_revenue]]=0,0,Table1[[#This Row],[gross_profit]]/Table1[[#This Row],[gross_revenue]])</f>
        <v>0.17127439233332575</v>
      </c>
    </row>
    <row r="116" spans="1:42" x14ac:dyDescent="0.35">
      <c r="A116" t="s">
        <v>125</v>
      </c>
      <c r="B116" t="str">
        <f>_xlfn.TEXTAFTER(Table1[[#This Row],[OrderID]],"-",2)</f>
        <v>909942</v>
      </c>
      <c r="C116">
        <f>YEAR(Table1[[#This Row],[OrderDate]])</f>
        <v>2024</v>
      </c>
      <c r="D116" s="9">
        <f>_xlfn.MINIFS(F:F,P:P,Table1[[#This Row],[Country]])</f>
        <v>44938</v>
      </c>
      <c r="E116" s="7">
        <f>DATEDIF(Table1[[#This Row],[first_time_orders]],Table1[[#This Row],[OrderDate]],"m")</f>
        <v>16</v>
      </c>
      <c r="F116" s="9">
        <v>45452</v>
      </c>
      <c r="G116" s="2" t="str">
        <f>TEXT(Table1[[#This Row],[OrderDate]],"MMM-YYYY")</f>
        <v>Jun-2024</v>
      </c>
      <c r="H116" s="7">
        <f>MONTH(Table1[[#This Row],[OrderDate]])</f>
        <v>6</v>
      </c>
      <c r="I116" s="7" t="str">
        <f>"Q"&amp;ROUNDUP(Table1[[#This Row],[months]]/3,0)&amp;"-"&amp;Table1[[#This Row],[order_year]]</f>
        <v>Q2-2024</v>
      </c>
      <c r="J116" s="7">
        <f>Table1[[#This Row],[RequiredDate]]-Table1[[#This Row],[OrderDate]]</f>
        <v>28</v>
      </c>
      <c r="K116" s="7">
        <f>IF(Table1[[#This Row],[lead_time]]&lt;0,MEDIAN(J:J),Table1[[#This Row],[lead_time]])</f>
        <v>28</v>
      </c>
      <c r="L116" s="7">
        <f>IF(Table1[[#This Row],[adj_lead_time]]&lt;=7,1,0)</f>
        <v>0</v>
      </c>
      <c r="M116" s="9">
        <v>45480</v>
      </c>
      <c r="N116" s="9">
        <f>IF(Table1[[#This Row],[lead_time]]&lt;0,(Table1[[#This Row],[OrderDate]]+Table1[[#This Row],[adj_lead_time]]),Table1[[#This Row],[RequiredDate]])</f>
        <v>45480</v>
      </c>
      <c r="O116" t="s">
        <v>647</v>
      </c>
      <c r="P116" t="s">
        <v>659</v>
      </c>
      <c r="Q116" t="s">
        <v>676</v>
      </c>
      <c r="R116" t="s">
        <v>701</v>
      </c>
      <c r="S116" t="s">
        <v>708</v>
      </c>
      <c r="T116" t="s">
        <v>713</v>
      </c>
      <c r="U116" t="s">
        <v>727</v>
      </c>
      <c r="V116" t="s">
        <v>844</v>
      </c>
      <c r="W116">
        <v>550.22</v>
      </c>
      <c r="X116">
        <f>Table1[[#This Row],[UnitCost]]*(1+'scenario modeling'!$B$3)</f>
        <v>605.24200000000008</v>
      </c>
      <c r="Y116">
        <v>1025.05</v>
      </c>
      <c r="Z116" t="str">
        <f>IF(Table1[[#This Row],[UnitPrice]]&lt;=Quantiles!$B$2,Quantiles!$A$2,IF(Table1[[#This Row],[UnitPrice]]&lt;=Quantiles!$B$3,Quantiles!$A$3,Quantiles!$A$4))</f>
        <v>Medium</v>
      </c>
      <c r="AA116">
        <v>0</v>
      </c>
      <c r="AB116" s="5">
        <f>MIN(Table1[[#This Row],[DiscountPct]],'scenario modeling'!$B$2)</f>
        <v>0</v>
      </c>
      <c r="AC116" t="str">
        <f>IF(Table1[[#This Row],[DiscountPct]]&gt;0.3, "&gt;0.3","")</f>
        <v/>
      </c>
      <c r="AD116">
        <v>27</v>
      </c>
      <c r="AE116">
        <f>Table1[[#This Row],[Quantity]]*(1+'scenario modeling'!$B$4)</f>
        <v>32.4</v>
      </c>
      <c r="AF116">
        <f>Table1[[#This Row],[UnitCost]]*Table1[[#This Row],[Quantity]]</f>
        <v>14855.94</v>
      </c>
      <c r="AG116">
        <f>SUMIF($U:U,Table1[[#This Row],[ProductCategory]],$AM:AM)</f>
        <v>1545646.9975799995</v>
      </c>
      <c r="AH116">
        <f>SUMIFS($AM$2:AM116,$U$2:U116,U116)</f>
        <v>405489.20410999999</v>
      </c>
      <c r="AI116" s="5">
        <f>Table1[[#This Row],[Cumulative_revenue]]/Table1[[#This Row],[Category_revenue]]</f>
        <v>0.26234269839418023</v>
      </c>
      <c r="AJ116" t="str">
        <f>IF(Table1[[#This Row],[cumulative_pct]]&lt;=0.8,"A",IF(Table1[[#This Row],[cumulative_pct]]&lt;=0.95,"B","C"))</f>
        <v>A</v>
      </c>
      <c r="AK116">
        <f>Table1[[#This Row],[adj_unit_cost]]*Table1[[#This Row],[scenario_quantity]]</f>
        <v>19609.840800000002</v>
      </c>
      <c r="AL116" s="5">
        <f>Table1[[#This Row],[UnitPrice]]*Table1[[#This Row],[scenario_quantity]]*(1-Table1[[#This Row],[cap_adjusted_discount]])</f>
        <v>33211.619999999995</v>
      </c>
      <c r="AM116" s="5">
        <f>Table1[[#This Row],[UnitPrice]]*Table1[[#This Row],[Quantity]]*(1-Table1[[#This Row],[DiscountPct]])</f>
        <v>27676.35</v>
      </c>
      <c r="AN116" s="5">
        <f>Table1[[#This Row],[gross_revenue]]-Table1[[#This Row],[cost_of_goods]]</f>
        <v>12820.409999999998</v>
      </c>
      <c r="AO116" s="5">
        <f>Table1[[#This Row],[scenario_revenue]]-Table1[[#This Row],[Scenario_unit_cost]]</f>
        <v>13601.779199999994</v>
      </c>
      <c r="AP116" s="5">
        <f>IF(Table1[[#This Row],[gross_revenue]]=0,0,Table1[[#This Row],[gross_profit]]/Table1[[#This Row],[gross_revenue]])</f>
        <v>0.46322618408858102</v>
      </c>
    </row>
    <row r="117" spans="1:42" x14ac:dyDescent="0.35">
      <c r="A117" t="s">
        <v>141</v>
      </c>
      <c r="B117" t="str">
        <f>_xlfn.TEXTAFTER(Table1[[#This Row],[OrderID]],"-",2)</f>
        <v>584090</v>
      </c>
      <c r="C117">
        <f>YEAR(Table1[[#This Row],[OrderDate]])</f>
        <v>2024</v>
      </c>
      <c r="D117" s="9">
        <f>_xlfn.MINIFS(F:F,P:P,Table1[[#This Row],[Country]])</f>
        <v>44948</v>
      </c>
      <c r="E117" s="7">
        <f>DATEDIF(Table1[[#This Row],[first_time_orders]],Table1[[#This Row],[OrderDate]],"m")</f>
        <v>16</v>
      </c>
      <c r="F117" s="9">
        <v>45450</v>
      </c>
      <c r="G117" s="2" t="str">
        <f>TEXT(Table1[[#This Row],[OrderDate]],"MMM-YYYY")</f>
        <v>Jun-2024</v>
      </c>
      <c r="H117" s="7">
        <f>MONTH(Table1[[#This Row],[OrderDate]])</f>
        <v>6</v>
      </c>
      <c r="I117" s="7" t="str">
        <f>"Q"&amp;ROUNDUP(Table1[[#This Row],[months]]/3,0)&amp;"-"&amp;Table1[[#This Row],[order_year]]</f>
        <v>Q2-2024</v>
      </c>
      <c r="J117" s="7">
        <f>Table1[[#This Row],[RequiredDate]]-Table1[[#This Row],[OrderDate]]</f>
        <v>19</v>
      </c>
      <c r="K117" s="7">
        <f>IF(Table1[[#This Row],[lead_time]]&lt;0,MEDIAN(J:J),Table1[[#This Row],[lead_time]])</f>
        <v>19</v>
      </c>
      <c r="L117" s="7">
        <f>IF(Table1[[#This Row],[adj_lead_time]]&lt;=7,1,0)</f>
        <v>0</v>
      </c>
      <c r="M117" s="9">
        <v>45469</v>
      </c>
      <c r="N117" s="9">
        <f>IF(Table1[[#This Row],[lead_time]]&lt;0,(Table1[[#This Row],[OrderDate]]+Table1[[#This Row],[adj_lead_time]]),Table1[[#This Row],[RequiredDate]])</f>
        <v>45469</v>
      </c>
      <c r="O117" t="s">
        <v>649</v>
      </c>
      <c r="P117" t="s">
        <v>656</v>
      </c>
      <c r="Q117" t="s">
        <v>671</v>
      </c>
      <c r="R117" t="s">
        <v>703</v>
      </c>
      <c r="S117" t="s">
        <v>709</v>
      </c>
      <c r="T117" t="s">
        <v>724</v>
      </c>
      <c r="U117" t="s">
        <v>727</v>
      </c>
      <c r="V117" t="s">
        <v>860</v>
      </c>
      <c r="W117">
        <v>1064.32</v>
      </c>
      <c r="X117">
        <f>Table1[[#This Row],[UnitCost]]*(1+'scenario modeling'!$B$3)</f>
        <v>1170.752</v>
      </c>
      <c r="Y117">
        <v>1848.39</v>
      </c>
      <c r="Z117" t="str">
        <f>IF(Table1[[#This Row],[UnitPrice]]&lt;=Quantiles!$B$2,Quantiles!$A$2,IF(Table1[[#This Row],[UnitPrice]]&lt;=Quantiles!$B$3,Quantiles!$A$3,Quantiles!$A$4))</f>
        <v>High</v>
      </c>
      <c r="AA117">
        <v>7.2999999999999995E-2</v>
      </c>
      <c r="AB117" s="5">
        <f>MIN(Table1[[#This Row],[DiscountPct]],'scenario modeling'!$B$2)</f>
        <v>7.2999999999999995E-2</v>
      </c>
      <c r="AC117" t="str">
        <f>IF(Table1[[#This Row],[DiscountPct]]&gt;0.3, "&gt;0.3","")</f>
        <v/>
      </c>
      <c r="AD117">
        <v>38</v>
      </c>
      <c r="AE117">
        <f>Table1[[#This Row],[Quantity]]*(1+'scenario modeling'!$B$4)</f>
        <v>45.6</v>
      </c>
      <c r="AF117">
        <f>Table1[[#This Row],[UnitCost]]*Table1[[#This Row],[Quantity]]</f>
        <v>40444.159999999996</v>
      </c>
      <c r="AG117">
        <f>SUMIF($U:U,Table1[[#This Row],[ProductCategory]],$AM:AM)</f>
        <v>1545646.9975799995</v>
      </c>
      <c r="AH117">
        <f>SUMIFS($AM$2:AM117,$U$2:U117,U117)</f>
        <v>470600.59025000001</v>
      </c>
      <c r="AI117" s="5">
        <f>Table1[[#This Row],[Cumulative_revenue]]/Table1[[#This Row],[Category_revenue]]</f>
        <v>0.30446834949171031</v>
      </c>
      <c r="AJ117" t="str">
        <f>IF(Table1[[#This Row],[cumulative_pct]]&lt;=0.8,"A",IF(Table1[[#This Row],[cumulative_pct]]&lt;=0.95,"B","C"))</f>
        <v>A</v>
      </c>
      <c r="AK117">
        <f>Table1[[#This Row],[adj_unit_cost]]*Table1[[#This Row],[scenario_quantity]]</f>
        <v>53386.2912</v>
      </c>
      <c r="AL117" s="5">
        <f>Table1[[#This Row],[UnitPrice]]*Table1[[#This Row],[scenario_quantity]]*(1-Table1[[#This Row],[cap_adjusted_discount]])</f>
        <v>78133.663368000009</v>
      </c>
      <c r="AM117" s="5">
        <f>Table1[[#This Row],[UnitPrice]]*Table1[[#This Row],[Quantity]]*(1-Table1[[#This Row],[DiscountPct]])</f>
        <v>65111.38614000001</v>
      </c>
      <c r="AN117" s="5">
        <f>Table1[[#This Row],[gross_revenue]]-Table1[[#This Row],[cost_of_goods]]</f>
        <v>24667.226140000013</v>
      </c>
      <c r="AO117" s="5">
        <f>Table1[[#This Row],[scenario_revenue]]-Table1[[#This Row],[Scenario_unit_cost]]</f>
        <v>24747.372168000009</v>
      </c>
      <c r="AP117" s="5">
        <f>IF(Table1[[#This Row],[gross_revenue]]=0,0,Table1[[#This Row],[gross_profit]]/Table1[[#This Row],[gross_revenue]])</f>
        <v>0.3788465827921631</v>
      </c>
    </row>
    <row r="118" spans="1:42" x14ac:dyDescent="0.35">
      <c r="A118" t="s">
        <v>534</v>
      </c>
      <c r="B118" t="str">
        <f>_xlfn.TEXTAFTER(Table1[[#This Row],[OrderID]],"-",2)</f>
        <v>892879</v>
      </c>
      <c r="C118">
        <f>YEAR(Table1[[#This Row],[OrderDate]])</f>
        <v>2024</v>
      </c>
      <c r="D118" s="9">
        <f>_xlfn.MINIFS(F:F,P:P,Table1[[#This Row],[Country]])</f>
        <v>44936</v>
      </c>
      <c r="E118" s="7">
        <f>DATEDIF(Table1[[#This Row],[first_time_orders]],Table1[[#This Row],[OrderDate]],"m")</f>
        <v>17</v>
      </c>
      <c r="F118" s="9">
        <v>45482</v>
      </c>
      <c r="G118" s="2" t="str">
        <f>TEXT(Table1[[#This Row],[OrderDate]],"MMM-YYYY")</f>
        <v>Jul-2024</v>
      </c>
      <c r="H118" s="7">
        <f>MONTH(Table1[[#This Row],[OrderDate]])</f>
        <v>7</v>
      </c>
      <c r="I118" s="7" t="str">
        <f>"Q"&amp;ROUNDUP(Table1[[#This Row],[months]]/3,0)&amp;"-"&amp;Table1[[#This Row],[order_year]]</f>
        <v>Q3-2024</v>
      </c>
      <c r="J118" s="7">
        <f>Table1[[#This Row],[RequiredDate]]-Table1[[#This Row],[OrderDate]]</f>
        <v>30</v>
      </c>
      <c r="K118" s="7">
        <f>IF(Table1[[#This Row],[lead_time]]&lt;0,MEDIAN(J:J),Table1[[#This Row],[lead_time]])</f>
        <v>30</v>
      </c>
      <c r="L118" s="7">
        <f>IF(Table1[[#This Row],[adj_lead_time]]&lt;=7,1,0)</f>
        <v>0</v>
      </c>
      <c r="M118" s="9">
        <v>45512</v>
      </c>
      <c r="N118" s="9">
        <f>IF(Table1[[#This Row],[lead_time]]&lt;0,(Table1[[#This Row],[OrderDate]]+Table1[[#This Row],[adj_lead_time]]),Table1[[#This Row],[RequiredDate]])</f>
        <v>45512</v>
      </c>
      <c r="O118" t="s">
        <v>649</v>
      </c>
      <c r="P118" t="s">
        <v>657</v>
      </c>
      <c r="Q118" t="s">
        <v>673</v>
      </c>
      <c r="R118" t="s">
        <v>701</v>
      </c>
      <c r="S118" t="s">
        <v>711</v>
      </c>
      <c r="T118" t="s">
        <v>713</v>
      </c>
      <c r="U118" t="s">
        <v>727</v>
      </c>
      <c r="V118" t="s">
        <v>1253</v>
      </c>
      <c r="W118">
        <v>1062.3800000000001</v>
      </c>
      <c r="X118">
        <f>Table1[[#This Row],[UnitCost]]*(1+'scenario modeling'!$B$3)</f>
        <v>1168.6180000000002</v>
      </c>
      <c r="Y118">
        <v>1503.96</v>
      </c>
      <c r="Z118" t="str">
        <f>IF(Table1[[#This Row],[UnitPrice]]&lt;=Quantiles!$B$2,Quantiles!$A$2,IF(Table1[[#This Row],[UnitPrice]]&lt;=Quantiles!$B$3,Quantiles!$A$3,Quantiles!$A$4))</f>
        <v>Medium</v>
      </c>
      <c r="AA118">
        <v>0.18</v>
      </c>
      <c r="AB118" s="5">
        <f>MIN(Table1[[#This Row],[DiscountPct]],'scenario modeling'!$B$2)</f>
        <v>0.1</v>
      </c>
      <c r="AC118" t="str">
        <f>IF(Table1[[#This Row],[DiscountPct]]&gt;0.3, "&gt;0.3","")</f>
        <v/>
      </c>
      <c r="AD118">
        <v>6</v>
      </c>
      <c r="AE118">
        <f>Table1[[#This Row],[Quantity]]*(1+'scenario modeling'!$B$4)</f>
        <v>7.1999999999999993</v>
      </c>
      <c r="AF118">
        <f>Table1[[#This Row],[UnitCost]]*Table1[[#This Row],[Quantity]]</f>
        <v>6374.2800000000007</v>
      </c>
      <c r="AG118">
        <f>SUMIF($U:U,Table1[[#This Row],[ProductCategory]],$AM:AM)</f>
        <v>1545646.9975799995</v>
      </c>
      <c r="AH118">
        <f>SUMIFS($AM$2:AM118,$U$2:U118,U118)</f>
        <v>478000.07345000003</v>
      </c>
      <c r="AI118" s="5">
        <f>Table1[[#This Row],[Cumulative_revenue]]/Table1[[#This Row],[Category_revenue]]</f>
        <v>0.30925565423308093</v>
      </c>
      <c r="AJ118" t="str">
        <f>IF(Table1[[#This Row],[cumulative_pct]]&lt;=0.8,"A",IF(Table1[[#This Row],[cumulative_pct]]&lt;=0.95,"B","C"))</f>
        <v>A</v>
      </c>
      <c r="AK118">
        <f>Table1[[#This Row],[adj_unit_cost]]*Table1[[#This Row],[scenario_quantity]]</f>
        <v>8414.0496000000003</v>
      </c>
      <c r="AL118" s="5">
        <f>Table1[[#This Row],[UnitPrice]]*Table1[[#This Row],[scenario_quantity]]*(1-Table1[[#This Row],[cap_adjusted_discount]])</f>
        <v>9745.6607999999997</v>
      </c>
      <c r="AM118" s="5">
        <f>Table1[[#This Row],[UnitPrice]]*Table1[[#This Row],[Quantity]]*(1-Table1[[#This Row],[DiscountPct]])</f>
        <v>7399.4832000000006</v>
      </c>
      <c r="AN118" s="5">
        <f>Table1[[#This Row],[gross_revenue]]-Table1[[#This Row],[cost_of_goods]]</f>
        <v>1025.2031999999999</v>
      </c>
      <c r="AO118" s="5">
        <f>Table1[[#This Row],[scenario_revenue]]-Table1[[#This Row],[Scenario_unit_cost]]</f>
        <v>1331.6111999999994</v>
      </c>
      <c r="AP118" s="5">
        <f>IF(Table1[[#This Row],[gross_revenue]]=0,0,Table1[[#This Row],[gross_profit]]/Table1[[#This Row],[gross_revenue]])</f>
        <v>0.13855064905073369</v>
      </c>
    </row>
    <row r="119" spans="1:42" x14ac:dyDescent="0.35">
      <c r="A119" t="s">
        <v>172</v>
      </c>
      <c r="B119" t="str">
        <f>_xlfn.TEXTAFTER(Table1[[#This Row],[OrderID]],"-",2)</f>
        <v>553449</v>
      </c>
      <c r="C119">
        <f>YEAR(Table1[[#This Row],[OrderDate]])</f>
        <v>2024</v>
      </c>
      <c r="D119" s="9">
        <f>_xlfn.MINIFS(F:F,P:P,Table1[[#This Row],[Country]])</f>
        <v>44955</v>
      </c>
      <c r="E119" s="7">
        <f>DATEDIF(Table1[[#This Row],[first_time_orders]],Table1[[#This Row],[OrderDate]],"m")</f>
        <v>18</v>
      </c>
      <c r="F119" s="9">
        <v>45531</v>
      </c>
      <c r="G119" s="2" t="str">
        <f>TEXT(Table1[[#This Row],[OrderDate]],"MMM-YYYY")</f>
        <v>Aug-2024</v>
      </c>
      <c r="H119" s="7">
        <f>MONTH(Table1[[#This Row],[OrderDate]])</f>
        <v>8</v>
      </c>
      <c r="I119" s="7" t="str">
        <f>"Q"&amp;ROUNDUP(Table1[[#This Row],[months]]/3,0)&amp;"-"&amp;Table1[[#This Row],[order_year]]</f>
        <v>Q3-2024</v>
      </c>
      <c r="J119" s="7">
        <f>Table1[[#This Row],[RequiredDate]]-Table1[[#This Row],[OrderDate]]</f>
        <v>22</v>
      </c>
      <c r="K119" s="7">
        <f>IF(Table1[[#This Row],[lead_time]]&lt;0,MEDIAN(J:J),Table1[[#This Row],[lead_time]])</f>
        <v>22</v>
      </c>
      <c r="L119" s="7">
        <f>IF(Table1[[#This Row],[adj_lead_time]]&lt;=7,1,0)</f>
        <v>0</v>
      </c>
      <c r="M119" s="9">
        <v>45553</v>
      </c>
      <c r="N119" s="9">
        <f>IF(Table1[[#This Row],[lead_time]]&lt;0,(Table1[[#This Row],[OrderDate]]+Table1[[#This Row],[adj_lead_time]]),Table1[[#This Row],[RequiredDate]])</f>
        <v>45553</v>
      </c>
      <c r="O119" t="s">
        <v>647</v>
      </c>
      <c r="P119" t="s">
        <v>654</v>
      </c>
      <c r="Q119" t="s">
        <v>680</v>
      </c>
      <c r="R119" t="s">
        <v>704</v>
      </c>
      <c r="S119" t="s">
        <v>711</v>
      </c>
      <c r="T119" t="s">
        <v>717</v>
      </c>
      <c r="U119" t="s">
        <v>727</v>
      </c>
      <c r="V119" t="s">
        <v>891</v>
      </c>
      <c r="W119">
        <v>896.75</v>
      </c>
      <c r="X119">
        <f>Table1[[#This Row],[UnitCost]]*(1+'scenario modeling'!$B$3)</f>
        <v>986.42500000000007</v>
      </c>
      <c r="Y119">
        <v>1651.14</v>
      </c>
      <c r="Z119" t="str">
        <f>IF(Table1[[#This Row],[UnitPrice]]&lt;=Quantiles!$B$2,Quantiles!$A$2,IF(Table1[[#This Row],[UnitPrice]]&lt;=Quantiles!$B$3,Quantiles!$A$3,Quantiles!$A$4))</f>
        <v>High</v>
      </c>
      <c r="AA119">
        <v>2.5000000000000001E-2</v>
      </c>
      <c r="AB119" s="5">
        <f>MIN(Table1[[#This Row],[DiscountPct]],'scenario modeling'!$B$2)</f>
        <v>2.5000000000000001E-2</v>
      </c>
      <c r="AC119" t="str">
        <f>IF(Table1[[#This Row],[DiscountPct]]&gt;0.3, "&gt;0.3","")</f>
        <v/>
      </c>
      <c r="AD119">
        <v>15</v>
      </c>
      <c r="AE119">
        <f>Table1[[#This Row],[Quantity]]*(1+'scenario modeling'!$B$4)</f>
        <v>18</v>
      </c>
      <c r="AF119">
        <f>Table1[[#This Row],[UnitCost]]*Table1[[#This Row],[Quantity]]</f>
        <v>13451.25</v>
      </c>
      <c r="AG119">
        <f>SUMIF($U:U,Table1[[#This Row],[ProductCategory]],$AM:AM)</f>
        <v>1545646.9975799995</v>
      </c>
      <c r="AH119">
        <f>SUMIFS($AM$2:AM119,$U$2:U119,U119)</f>
        <v>502147.99595000001</v>
      </c>
      <c r="AI119" s="5">
        <f>Table1[[#This Row],[Cumulative_revenue]]/Table1[[#This Row],[Category_revenue]]</f>
        <v>0.3248788350355592</v>
      </c>
      <c r="AJ119" t="str">
        <f>IF(Table1[[#This Row],[cumulative_pct]]&lt;=0.8,"A",IF(Table1[[#This Row],[cumulative_pct]]&lt;=0.95,"B","C"))</f>
        <v>A</v>
      </c>
      <c r="AK119">
        <f>Table1[[#This Row],[adj_unit_cost]]*Table1[[#This Row],[scenario_quantity]]</f>
        <v>17755.650000000001</v>
      </c>
      <c r="AL119" s="5">
        <f>Table1[[#This Row],[UnitPrice]]*Table1[[#This Row],[scenario_quantity]]*(1-Table1[[#This Row],[cap_adjusted_discount]])</f>
        <v>28977.507000000001</v>
      </c>
      <c r="AM119" s="5">
        <f>Table1[[#This Row],[UnitPrice]]*Table1[[#This Row],[Quantity]]*(1-Table1[[#This Row],[DiscountPct]])</f>
        <v>24147.922500000001</v>
      </c>
      <c r="AN119" s="5">
        <f>Table1[[#This Row],[gross_revenue]]-Table1[[#This Row],[cost_of_goods]]</f>
        <v>10696.672500000001</v>
      </c>
      <c r="AO119" s="5">
        <f>Table1[[#This Row],[scenario_revenue]]-Table1[[#This Row],[Scenario_unit_cost]]</f>
        <v>11221.857</v>
      </c>
      <c r="AP119" s="5">
        <f>IF(Table1[[#This Row],[gross_revenue]]=0,0,Table1[[#This Row],[gross_profit]]/Table1[[#This Row],[gross_revenue]])</f>
        <v>0.44296450346815552</v>
      </c>
    </row>
    <row r="120" spans="1:42" x14ac:dyDescent="0.35">
      <c r="A120" t="s">
        <v>49</v>
      </c>
      <c r="B120" t="str">
        <f>_xlfn.TEXTAFTER(Table1[[#This Row],[OrderID]],"-",2)</f>
        <v>167215</v>
      </c>
      <c r="C120">
        <f>YEAR(Table1[[#This Row],[OrderDate]])</f>
        <v>2024</v>
      </c>
      <c r="D120" s="9">
        <f>_xlfn.MINIFS(F:F,P:P,Table1[[#This Row],[Country]])</f>
        <v>44933</v>
      </c>
      <c r="E120" s="7">
        <f>DATEDIF(Table1[[#This Row],[first_time_orders]],Table1[[#This Row],[OrderDate]],"m")</f>
        <v>19</v>
      </c>
      <c r="F120" s="9">
        <v>45527</v>
      </c>
      <c r="G120" s="2" t="str">
        <f>TEXT(Table1[[#This Row],[OrderDate]],"MMM-YYYY")</f>
        <v>Aug-2024</v>
      </c>
      <c r="H120" s="7">
        <f>MONTH(Table1[[#This Row],[OrderDate]])</f>
        <v>8</v>
      </c>
      <c r="I120" s="7" t="str">
        <f>"Q"&amp;ROUNDUP(Table1[[#This Row],[months]]/3,0)&amp;"-"&amp;Table1[[#This Row],[order_year]]</f>
        <v>Q3-2024</v>
      </c>
      <c r="J120" s="7">
        <f>Table1[[#This Row],[RequiredDate]]-Table1[[#This Row],[OrderDate]]</f>
        <v>-2</v>
      </c>
      <c r="K120" s="7">
        <f>IF(Table1[[#This Row],[lead_time]]&lt;0,MEDIAN(J:J),Table1[[#This Row],[lead_time]])</f>
        <v>15</v>
      </c>
      <c r="L120" s="7">
        <f>IF(Table1[[#This Row],[adj_lead_time]]&lt;=7,1,0)</f>
        <v>0</v>
      </c>
      <c r="M120" s="9">
        <v>45525</v>
      </c>
      <c r="N120" s="9">
        <f>IF(Table1[[#This Row],[lead_time]]&lt;0,(Table1[[#This Row],[OrderDate]]+Table1[[#This Row],[adj_lead_time]]),Table1[[#This Row],[RequiredDate]])</f>
        <v>45542</v>
      </c>
      <c r="O120" t="s">
        <v>646</v>
      </c>
      <c r="P120" t="s">
        <v>661</v>
      </c>
      <c r="Q120" t="s">
        <v>682</v>
      </c>
      <c r="R120" t="s">
        <v>702</v>
      </c>
      <c r="S120" t="s">
        <v>707</v>
      </c>
      <c r="T120" t="s">
        <v>718</v>
      </c>
      <c r="U120" t="s">
        <v>727</v>
      </c>
      <c r="V120" t="s">
        <v>768</v>
      </c>
      <c r="W120">
        <v>1432.52</v>
      </c>
      <c r="X120">
        <f>Table1[[#This Row],[UnitCost]]*(1+'scenario modeling'!$B$3)</f>
        <v>1575.7720000000002</v>
      </c>
      <c r="Y120">
        <v>3036.87</v>
      </c>
      <c r="Z120" t="str">
        <f>IF(Table1[[#This Row],[UnitPrice]]&lt;=Quantiles!$B$2,Quantiles!$A$2,IF(Table1[[#This Row],[UnitPrice]]&lt;=Quantiles!$B$3,Quantiles!$A$3,Quantiles!$A$4))</f>
        <v>High</v>
      </c>
      <c r="AA120">
        <v>0</v>
      </c>
      <c r="AB120" s="5">
        <f>MIN(Table1[[#This Row],[DiscountPct]],'scenario modeling'!$B$2)</f>
        <v>0</v>
      </c>
      <c r="AC120" t="str">
        <f>IF(Table1[[#This Row],[DiscountPct]]&gt;0.3, "&gt;0.3","")</f>
        <v/>
      </c>
      <c r="AD120">
        <v>9</v>
      </c>
      <c r="AE120">
        <f>Table1[[#This Row],[Quantity]]*(1+'scenario modeling'!$B$4)</f>
        <v>10.799999999999999</v>
      </c>
      <c r="AF120">
        <f>Table1[[#This Row],[UnitCost]]*Table1[[#This Row],[Quantity]]</f>
        <v>12892.68</v>
      </c>
      <c r="AG120">
        <f>SUMIF($U:U,Table1[[#This Row],[ProductCategory]],$AM:AM)</f>
        <v>1545646.9975799995</v>
      </c>
      <c r="AH120">
        <f>SUMIFS($AM$2:AM120,$U$2:U120,U120)</f>
        <v>529479.82594999997</v>
      </c>
      <c r="AI120" s="5">
        <f>Table1[[#This Row],[Cumulative_revenue]]/Table1[[#This Row],[Category_revenue]]</f>
        <v>0.34256193476194757</v>
      </c>
      <c r="AJ120" t="str">
        <f>IF(Table1[[#This Row],[cumulative_pct]]&lt;=0.8,"A",IF(Table1[[#This Row],[cumulative_pct]]&lt;=0.95,"B","C"))</f>
        <v>A</v>
      </c>
      <c r="AK120">
        <f>Table1[[#This Row],[adj_unit_cost]]*Table1[[#This Row],[scenario_quantity]]</f>
        <v>17018.337599999999</v>
      </c>
      <c r="AL120" s="5">
        <f>Table1[[#This Row],[UnitPrice]]*Table1[[#This Row],[scenario_quantity]]*(1-Table1[[#This Row],[cap_adjusted_discount]])</f>
        <v>32798.195999999996</v>
      </c>
      <c r="AM120" s="5">
        <f>Table1[[#This Row],[UnitPrice]]*Table1[[#This Row],[Quantity]]*(1-Table1[[#This Row],[DiscountPct]])</f>
        <v>27331.829999999998</v>
      </c>
      <c r="AN120" s="5">
        <f>Table1[[#This Row],[gross_revenue]]-Table1[[#This Row],[cost_of_goods]]</f>
        <v>14439.149999999998</v>
      </c>
      <c r="AO120" s="5">
        <f>Table1[[#This Row],[scenario_revenue]]-Table1[[#This Row],[Scenario_unit_cost]]</f>
        <v>15779.858399999997</v>
      </c>
      <c r="AP120" s="5">
        <f>IF(Table1[[#This Row],[gross_revenue]]=0,0,Table1[[#This Row],[gross_profit]]/Table1[[#This Row],[gross_revenue]])</f>
        <v>0.52829064135112791</v>
      </c>
    </row>
    <row r="121" spans="1:42" x14ac:dyDescent="0.35">
      <c r="A121" t="s">
        <v>338</v>
      </c>
      <c r="B121" t="str">
        <f>_xlfn.TEXTAFTER(Table1[[#This Row],[OrderID]],"-",2)</f>
        <v>500890</v>
      </c>
      <c r="C121">
        <f>YEAR(Table1[[#This Row],[OrderDate]])</f>
        <v>2024</v>
      </c>
      <c r="D121" s="9">
        <f>_xlfn.MINIFS(F:F,P:P,Table1[[#This Row],[Country]])</f>
        <v>44955</v>
      </c>
      <c r="E121" s="7">
        <f>DATEDIF(Table1[[#This Row],[first_time_orders]],Table1[[#This Row],[OrderDate]],"m")</f>
        <v>19</v>
      </c>
      <c r="F121" s="9">
        <v>45544</v>
      </c>
      <c r="G121" s="2" t="str">
        <f>TEXT(Table1[[#This Row],[OrderDate]],"MMM-YYYY")</f>
        <v>Sept-2024</v>
      </c>
      <c r="H121" s="7">
        <f>MONTH(Table1[[#This Row],[OrderDate]])</f>
        <v>9</v>
      </c>
      <c r="I121" s="7" t="str">
        <f>"Q"&amp;ROUNDUP(Table1[[#This Row],[months]]/3,0)&amp;"-"&amp;Table1[[#This Row],[order_year]]</f>
        <v>Q3-2024</v>
      </c>
      <c r="J121" s="7">
        <f>Table1[[#This Row],[RequiredDate]]-Table1[[#This Row],[OrderDate]]</f>
        <v>29</v>
      </c>
      <c r="K121" s="7">
        <f>IF(Table1[[#This Row],[lead_time]]&lt;0,MEDIAN(J:J),Table1[[#This Row],[lead_time]])</f>
        <v>29</v>
      </c>
      <c r="L121" s="7">
        <f>IF(Table1[[#This Row],[adj_lead_time]]&lt;=7,1,0)</f>
        <v>0</v>
      </c>
      <c r="M121" s="9">
        <v>45573</v>
      </c>
      <c r="N121" s="9">
        <f>IF(Table1[[#This Row],[lead_time]]&lt;0,(Table1[[#This Row],[OrderDate]]+Table1[[#This Row],[adj_lead_time]]),Table1[[#This Row],[RequiredDate]])</f>
        <v>45573</v>
      </c>
      <c r="O121" t="s">
        <v>648</v>
      </c>
      <c r="P121" t="s">
        <v>655</v>
      </c>
      <c r="Q121" t="s">
        <v>670</v>
      </c>
      <c r="R121" t="s">
        <v>702</v>
      </c>
      <c r="S121" t="s">
        <v>711</v>
      </c>
      <c r="T121" t="s">
        <v>713</v>
      </c>
      <c r="U121" t="s">
        <v>727</v>
      </c>
      <c r="V121" t="s">
        <v>1058</v>
      </c>
      <c r="W121">
        <v>1010.33</v>
      </c>
      <c r="X121">
        <f>Table1[[#This Row],[UnitCost]]*(1+'scenario modeling'!$B$3)</f>
        <v>1111.3630000000001</v>
      </c>
      <c r="Y121">
        <v>2492.14</v>
      </c>
      <c r="Z121" t="str">
        <f>IF(Table1[[#This Row],[UnitPrice]]&lt;=Quantiles!$B$2,Quantiles!$A$2,IF(Table1[[#This Row],[UnitPrice]]&lt;=Quantiles!$B$3,Quantiles!$A$3,Quantiles!$A$4))</f>
        <v>High</v>
      </c>
      <c r="AA121">
        <v>5.0999999999999997E-2</v>
      </c>
      <c r="AB121" s="5">
        <f>MIN(Table1[[#This Row],[DiscountPct]],'scenario modeling'!$B$2)</f>
        <v>5.0999999999999997E-2</v>
      </c>
      <c r="AC121" t="str">
        <f>IF(Table1[[#This Row],[DiscountPct]]&gt;0.3, "&gt;0.3","")</f>
        <v/>
      </c>
      <c r="AD121">
        <v>11</v>
      </c>
      <c r="AE121">
        <f>Table1[[#This Row],[Quantity]]*(1+'scenario modeling'!$B$4)</f>
        <v>13.2</v>
      </c>
      <c r="AF121">
        <f>Table1[[#This Row],[UnitCost]]*Table1[[#This Row],[Quantity]]</f>
        <v>11113.630000000001</v>
      </c>
      <c r="AG121">
        <f>SUMIF($U:U,Table1[[#This Row],[ProductCategory]],$AM:AM)</f>
        <v>1545646.9975799995</v>
      </c>
      <c r="AH121">
        <f>SUMIFS($AM$2:AM121,$U$2:U121,U121)</f>
        <v>555495.27541</v>
      </c>
      <c r="AI121" s="5">
        <f>Table1[[#This Row],[Cumulative_revenue]]/Table1[[#This Row],[Category_revenue]]</f>
        <v>0.35939336490138574</v>
      </c>
      <c r="AJ121" t="str">
        <f>IF(Table1[[#This Row],[cumulative_pct]]&lt;=0.8,"A",IF(Table1[[#This Row],[cumulative_pct]]&lt;=0.95,"B","C"))</f>
        <v>A</v>
      </c>
      <c r="AK121">
        <f>Table1[[#This Row],[adj_unit_cost]]*Table1[[#This Row],[scenario_quantity]]</f>
        <v>14669.991599999999</v>
      </c>
      <c r="AL121" s="5">
        <f>Table1[[#This Row],[UnitPrice]]*Table1[[#This Row],[scenario_quantity]]*(1-Table1[[#This Row],[cap_adjusted_discount]])</f>
        <v>31218.539352</v>
      </c>
      <c r="AM121" s="5">
        <f>Table1[[#This Row],[UnitPrice]]*Table1[[#This Row],[Quantity]]*(1-Table1[[#This Row],[DiscountPct]])</f>
        <v>26015.449459999996</v>
      </c>
      <c r="AN121" s="5">
        <f>Table1[[#This Row],[gross_revenue]]-Table1[[#This Row],[cost_of_goods]]</f>
        <v>14901.819459999995</v>
      </c>
      <c r="AO121" s="5">
        <f>Table1[[#This Row],[scenario_revenue]]-Table1[[#This Row],[Scenario_unit_cost]]</f>
        <v>16548.547751999999</v>
      </c>
      <c r="AP121" s="5">
        <f>IF(Table1[[#This Row],[gross_revenue]]=0,0,Table1[[#This Row],[gross_profit]]/Table1[[#This Row],[gross_revenue]])</f>
        <v>0.57280653493656752</v>
      </c>
    </row>
    <row r="122" spans="1:42" x14ac:dyDescent="0.35">
      <c r="A122" t="s">
        <v>264</v>
      </c>
      <c r="B122" t="str">
        <f>_xlfn.TEXTAFTER(Table1[[#This Row],[OrderID]],"-",2)</f>
        <v>664046</v>
      </c>
      <c r="C122">
        <f>YEAR(Table1[[#This Row],[OrderDate]])</f>
        <v>2024</v>
      </c>
      <c r="D122" s="9">
        <f>_xlfn.MINIFS(F:F,P:P,Table1[[#This Row],[Country]])</f>
        <v>44939</v>
      </c>
      <c r="E122" s="7">
        <f>DATEDIF(Table1[[#This Row],[first_time_orders]],Table1[[#This Row],[OrderDate]],"m")</f>
        <v>19</v>
      </c>
      <c r="F122" s="9">
        <v>45537</v>
      </c>
      <c r="G122" s="2" t="str">
        <f>TEXT(Table1[[#This Row],[OrderDate]],"MMM-YYYY")</f>
        <v>Sept-2024</v>
      </c>
      <c r="H122" s="7">
        <f>MONTH(Table1[[#This Row],[OrderDate]])</f>
        <v>9</v>
      </c>
      <c r="I122" s="7" t="str">
        <f>"Q"&amp;ROUNDUP(Table1[[#This Row],[months]]/3,0)&amp;"-"&amp;Table1[[#This Row],[order_year]]</f>
        <v>Q3-2024</v>
      </c>
      <c r="J122" s="7">
        <f>Table1[[#This Row],[RequiredDate]]-Table1[[#This Row],[OrderDate]]</f>
        <v>6</v>
      </c>
      <c r="K122" s="7">
        <f>IF(Table1[[#This Row],[lead_time]]&lt;0,MEDIAN(J:J),Table1[[#This Row],[lead_time]])</f>
        <v>6</v>
      </c>
      <c r="L122" s="7">
        <f>IF(Table1[[#This Row],[adj_lead_time]]&lt;=7,1,0)</f>
        <v>1</v>
      </c>
      <c r="M122" s="9">
        <v>45543</v>
      </c>
      <c r="N122" s="9">
        <f>IF(Table1[[#This Row],[lead_time]]&lt;0,(Table1[[#This Row],[OrderDate]]+Table1[[#This Row],[adj_lead_time]]),Table1[[#This Row],[RequiredDate]])</f>
        <v>45543</v>
      </c>
      <c r="O122" t="s">
        <v>648</v>
      </c>
      <c r="P122" t="s">
        <v>660</v>
      </c>
      <c r="Q122" t="s">
        <v>697</v>
      </c>
      <c r="R122" t="s">
        <v>704</v>
      </c>
      <c r="S122" t="s">
        <v>711</v>
      </c>
      <c r="T122" t="s">
        <v>722</v>
      </c>
      <c r="U122" t="s">
        <v>727</v>
      </c>
      <c r="V122" t="s">
        <v>984</v>
      </c>
      <c r="W122">
        <v>462.94</v>
      </c>
      <c r="X122">
        <f>Table1[[#This Row],[UnitCost]]*(1+'scenario modeling'!$B$3)</f>
        <v>509.23400000000004</v>
      </c>
      <c r="Y122">
        <v>1015.7</v>
      </c>
      <c r="Z122" t="str">
        <f>IF(Table1[[#This Row],[UnitPrice]]&lt;=Quantiles!$B$2,Quantiles!$A$2,IF(Table1[[#This Row],[UnitPrice]]&lt;=Quantiles!$B$3,Quantiles!$A$3,Quantiles!$A$4))</f>
        <v>Medium</v>
      </c>
      <c r="AA122">
        <v>0.14299999999999999</v>
      </c>
      <c r="AB122" s="5">
        <f>MIN(Table1[[#This Row],[DiscountPct]],'scenario modeling'!$B$2)</f>
        <v>0.1</v>
      </c>
      <c r="AC122" t="str">
        <f>IF(Table1[[#This Row],[DiscountPct]]&gt;0.3, "&gt;0.3","")</f>
        <v/>
      </c>
      <c r="AD122">
        <v>14</v>
      </c>
      <c r="AE122">
        <f>Table1[[#This Row],[Quantity]]*(1+'scenario modeling'!$B$4)</f>
        <v>16.8</v>
      </c>
      <c r="AF122">
        <f>Table1[[#This Row],[UnitCost]]*Table1[[#This Row],[Quantity]]</f>
        <v>6481.16</v>
      </c>
      <c r="AG122">
        <f>SUMIF($U:U,Table1[[#This Row],[ProductCategory]],$AM:AM)</f>
        <v>1545646.9975799995</v>
      </c>
      <c r="AH122">
        <f>SUMIFS($AM$2:AM122,$U$2:U122,U122)</f>
        <v>567681.64401000005</v>
      </c>
      <c r="AI122" s="5">
        <f>Table1[[#This Row],[Cumulative_revenue]]/Table1[[#This Row],[Category_revenue]]</f>
        <v>0.36727768041397046</v>
      </c>
      <c r="AJ122" t="str">
        <f>IF(Table1[[#This Row],[cumulative_pct]]&lt;=0.8,"A",IF(Table1[[#This Row],[cumulative_pct]]&lt;=0.95,"B","C"))</f>
        <v>A</v>
      </c>
      <c r="AK122">
        <f>Table1[[#This Row],[adj_unit_cost]]*Table1[[#This Row],[scenario_quantity]]</f>
        <v>8555.1312000000016</v>
      </c>
      <c r="AL122" s="5">
        <f>Table1[[#This Row],[UnitPrice]]*Table1[[#This Row],[scenario_quantity]]*(1-Table1[[#This Row],[cap_adjusted_discount]])</f>
        <v>15357.384000000002</v>
      </c>
      <c r="AM122" s="5">
        <f>Table1[[#This Row],[UnitPrice]]*Table1[[#This Row],[Quantity]]*(1-Table1[[#This Row],[DiscountPct]])</f>
        <v>12186.368600000002</v>
      </c>
      <c r="AN122" s="5">
        <f>Table1[[#This Row],[gross_revenue]]-Table1[[#This Row],[cost_of_goods]]</f>
        <v>5705.2086000000018</v>
      </c>
      <c r="AO122" s="5">
        <f>Table1[[#This Row],[scenario_revenue]]-Table1[[#This Row],[Scenario_unit_cost]]</f>
        <v>6802.2528000000002</v>
      </c>
      <c r="AP122" s="5">
        <f>IF(Table1[[#This Row],[gross_revenue]]=0,0,Table1[[#This Row],[gross_profit]]/Table1[[#This Row],[gross_revenue]])</f>
        <v>0.46816314090483041</v>
      </c>
    </row>
    <row r="123" spans="1:42" x14ac:dyDescent="0.35">
      <c r="A123" t="s">
        <v>505</v>
      </c>
      <c r="B123" t="str">
        <f>_xlfn.TEXTAFTER(Table1[[#This Row],[OrderID]],"-",2)</f>
        <v>792353</v>
      </c>
      <c r="C123">
        <f>YEAR(Table1[[#This Row],[OrderDate]])</f>
        <v>2024</v>
      </c>
      <c r="D123" s="9">
        <f>_xlfn.MINIFS(F:F,P:P,Table1[[#This Row],[Country]])</f>
        <v>44936</v>
      </c>
      <c r="E123" s="7">
        <f>DATEDIF(Table1[[#This Row],[first_time_orders]],Table1[[#This Row],[OrderDate]],"m")</f>
        <v>19</v>
      </c>
      <c r="F123" s="9">
        <v>45523</v>
      </c>
      <c r="G123" s="2" t="str">
        <f>TEXT(Table1[[#This Row],[OrderDate]],"MMM-YYYY")</f>
        <v>Aug-2024</v>
      </c>
      <c r="H123" s="7">
        <f>MONTH(Table1[[#This Row],[OrderDate]])</f>
        <v>8</v>
      </c>
      <c r="I123" s="7" t="str">
        <f>"Q"&amp;ROUNDUP(Table1[[#This Row],[months]]/3,0)&amp;"-"&amp;Table1[[#This Row],[order_year]]</f>
        <v>Q3-2024</v>
      </c>
      <c r="J123" s="7">
        <f>Table1[[#This Row],[RequiredDate]]-Table1[[#This Row],[OrderDate]]</f>
        <v>19</v>
      </c>
      <c r="K123" s="7">
        <f>IF(Table1[[#This Row],[lead_time]]&lt;0,MEDIAN(J:J),Table1[[#This Row],[lead_time]])</f>
        <v>19</v>
      </c>
      <c r="L123" s="7">
        <f>IF(Table1[[#This Row],[adj_lead_time]]&lt;=7,1,0)</f>
        <v>0</v>
      </c>
      <c r="M123" s="9">
        <v>45542</v>
      </c>
      <c r="N123" s="9">
        <f>IF(Table1[[#This Row],[lead_time]]&lt;0,(Table1[[#This Row],[OrderDate]]+Table1[[#This Row],[adj_lead_time]]),Table1[[#This Row],[RequiredDate]])</f>
        <v>45542</v>
      </c>
      <c r="O123" t="s">
        <v>649</v>
      </c>
      <c r="P123" t="s">
        <v>657</v>
      </c>
      <c r="Q123" t="s">
        <v>679</v>
      </c>
      <c r="R123" t="s">
        <v>701</v>
      </c>
      <c r="S123" t="s">
        <v>711</v>
      </c>
      <c r="T123" t="s">
        <v>713</v>
      </c>
      <c r="U123" t="s">
        <v>727</v>
      </c>
      <c r="V123" t="s">
        <v>1224</v>
      </c>
      <c r="W123">
        <v>297.58999999999997</v>
      </c>
      <c r="X123">
        <f>Table1[[#This Row],[UnitCost]]*(1+'scenario modeling'!$B$3)</f>
        <v>327.34899999999999</v>
      </c>
      <c r="Y123">
        <v>666.41</v>
      </c>
      <c r="Z123" t="str">
        <f>IF(Table1[[#This Row],[UnitPrice]]&lt;=Quantiles!$B$2,Quantiles!$A$2,IF(Table1[[#This Row],[UnitPrice]]&lt;=Quantiles!$B$3,Quantiles!$A$3,Quantiles!$A$4))</f>
        <v>Low</v>
      </c>
      <c r="AA123">
        <v>0</v>
      </c>
      <c r="AB123" s="5">
        <f>MIN(Table1[[#This Row],[DiscountPct]],'scenario modeling'!$B$2)</f>
        <v>0</v>
      </c>
      <c r="AC123" t="str">
        <f>IF(Table1[[#This Row],[DiscountPct]]&gt;0.3, "&gt;0.3","")</f>
        <v/>
      </c>
      <c r="AD123">
        <v>10</v>
      </c>
      <c r="AE123">
        <f>Table1[[#This Row],[Quantity]]*(1+'scenario modeling'!$B$4)</f>
        <v>12</v>
      </c>
      <c r="AF123">
        <f>Table1[[#This Row],[UnitCost]]*Table1[[#This Row],[Quantity]]</f>
        <v>2975.8999999999996</v>
      </c>
      <c r="AG123">
        <f>SUMIF($U:U,Table1[[#This Row],[ProductCategory]],$AM:AM)</f>
        <v>1545646.9975799995</v>
      </c>
      <c r="AH123">
        <f>SUMIFS($AM$2:AM123,$U$2:U123,U123)</f>
        <v>574345.74401000002</v>
      </c>
      <c r="AI123" s="5">
        <f>Table1[[#This Row],[Cumulative_revenue]]/Table1[[#This Row],[Category_revenue]]</f>
        <v>0.37158920821458336</v>
      </c>
      <c r="AJ123" t="str">
        <f>IF(Table1[[#This Row],[cumulative_pct]]&lt;=0.8,"A",IF(Table1[[#This Row],[cumulative_pct]]&lt;=0.95,"B","C"))</f>
        <v>A</v>
      </c>
      <c r="AK123">
        <f>Table1[[#This Row],[adj_unit_cost]]*Table1[[#This Row],[scenario_quantity]]</f>
        <v>3928.1880000000001</v>
      </c>
      <c r="AL123" s="5">
        <f>Table1[[#This Row],[UnitPrice]]*Table1[[#This Row],[scenario_quantity]]*(1-Table1[[#This Row],[cap_adjusted_discount]])</f>
        <v>7996.92</v>
      </c>
      <c r="AM123" s="5">
        <f>Table1[[#This Row],[UnitPrice]]*Table1[[#This Row],[Quantity]]*(1-Table1[[#This Row],[DiscountPct]])</f>
        <v>6664.0999999999995</v>
      </c>
      <c r="AN123" s="5">
        <f>Table1[[#This Row],[gross_revenue]]-Table1[[#This Row],[cost_of_goods]]</f>
        <v>3688.2</v>
      </c>
      <c r="AO123" s="5">
        <f>Table1[[#This Row],[scenario_revenue]]-Table1[[#This Row],[Scenario_unit_cost]]</f>
        <v>4068.732</v>
      </c>
      <c r="AP123" s="5">
        <f>IF(Table1[[#This Row],[gross_revenue]]=0,0,Table1[[#This Row],[gross_profit]]/Table1[[#This Row],[gross_revenue]])</f>
        <v>0.55344307558409989</v>
      </c>
    </row>
    <row r="124" spans="1:42" x14ac:dyDescent="0.35">
      <c r="A124" t="s">
        <v>248</v>
      </c>
      <c r="B124" t="str">
        <f>_xlfn.TEXTAFTER(Table1[[#This Row],[OrderID]],"-",2)</f>
        <v>946143</v>
      </c>
      <c r="C124">
        <f>YEAR(Table1[[#This Row],[OrderDate]])</f>
        <v>2023</v>
      </c>
      <c r="D124" s="9">
        <f>_xlfn.MINIFS(F:F,P:P,Table1[[#This Row],[Country]])</f>
        <v>44933</v>
      </c>
      <c r="E124" s="7">
        <f>DATEDIF(Table1[[#This Row],[first_time_orders]],Table1[[#This Row],[OrderDate]],"m")</f>
        <v>2</v>
      </c>
      <c r="F124" s="9">
        <v>44999</v>
      </c>
      <c r="G124" s="2" t="str">
        <f>TEXT(Table1[[#This Row],[OrderDate]],"MMM-YYYY")</f>
        <v>Mar-2023</v>
      </c>
      <c r="H124" s="7">
        <f>MONTH(Table1[[#This Row],[OrderDate]])</f>
        <v>3</v>
      </c>
      <c r="I124" s="7" t="str">
        <f>"Q"&amp;ROUNDUP(Table1[[#This Row],[months]]/3,0)&amp;"-"&amp;Table1[[#This Row],[order_year]]</f>
        <v>Q1-2023</v>
      </c>
      <c r="J124" s="7">
        <f>Table1[[#This Row],[RequiredDate]]-Table1[[#This Row],[OrderDate]]</f>
        <v>16</v>
      </c>
      <c r="K124" s="7">
        <f>IF(Table1[[#This Row],[lead_time]]&lt;0,MEDIAN(J:J),Table1[[#This Row],[lead_time]])</f>
        <v>16</v>
      </c>
      <c r="L124" s="7">
        <f>IF(Table1[[#This Row],[adj_lead_time]]&lt;=7,1,0)</f>
        <v>0</v>
      </c>
      <c r="M124" s="9">
        <v>45015</v>
      </c>
      <c r="N124" s="9">
        <f>IF(Table1[[#This Row],[lead_time]]&lt;0,(Table1[[#This Row],[OrderDate]]+Table1[[#This Row],[adj_lead_time]]),Table1[[#This Row],[RequiredDate]])</f>
        <v>45015</v>
      </c>
      <c r="O124" t="s">
        <v>646</v>
      </c>
      <c r="P124" t="s">
        <v>661</v>
      </c>
      <c r="Q124" t="s">
        <v>695</v>
      </c>
      <c r="R124" t="s">
        <v>704</v>
      </c>
      <c r="S124" t="s">
        <v>710</v>
      </c>
      <c r="T124" t="s">
        <v>723</v>
      </c>
      <c r="U124" t="s">
        <v>727</v>
      </c>
      <c r="V124" t="s">
        <v>968</v>
      </c>
      <c r="W124">
        <v>1309.77</v>
      </c>
      <c r="X124">
        <f>Table1[[#This Row],[UnitCost]]*(1+'scenario modeling'!$B$3)</f>
        <v>1440.7470000000001</v>
      </c>
      <c r="Y124">
        <v>1589.07</v>
      </c>
      <c r="Z124" t="str">
        <f>IF(Table1[[#This Row],[UnitPrice]]&lt;=Quantiles!$B$2,Quantiles!$A$2,IF(Table1[[#This Row],[UnitPrice]]&lt;=Quantiles!$B$3,Quantiles!$A$3,Quantiles!$A$4))</f>
        <v>Medium</v>
      </c>
      <c r="AA124">
        <v>0.10199999999999999</v>
      </c>
      <c r="AB124" s="5">
        <f>MIN(Table1[[#This Row],[DiscountPct]],'scenario modeling'!$B$2)</f>
        <v>0.1</v>
      </c>
      <c r="AC124" t="str">
        <f>IF(Table1[[#This Row],[DiscountPct]]&gt;0.3, "&gt;0.3","")</f>
        <v/>
      </c>
      <c r="AD124">
        <v>10</v>
      </c>
      <c r="AE124">
        <f>Table1[[#This Row],[Quantity]]*(1+'scenario modeling'!$B$4)</f>
        <v>12</v>
      </c>
      <c r="AF124">
        <f>Table1[[#This Row],[UnitCost]]*Table1[[#This Row],[Quantity]]</f>
        <v>13097.7</v>
      </c>
      <c r="AG124">
        <f>SUMIF($U:U,Table1[[#This Row],[ProductCategory]],$AM:AM)</f>
        <v>1545646.9975799995</v>
      </c>
      <c r="AH124">
        <f>SUMIFS($AM$2:AM124,$U$2:U124,U124)</f>
        <v>588615.59261000005</v>
      </c>
      <c r="AI124" s="5">
        <f>Table1[[#This Row],[Cumulative_revenue]]/Table1[[#This Row],[Category_revenue]]</f>
        <v>0.38082148998548065</v>
      </c>
      <c r="AJ124" t="str">
        <f>IF(Table1[[#This Row],[cumulative_pct]]&lt;=0.8,"A",IF(Table1[[#This Row],[cumulative_pct]]&lt;=0.95,"B","C"))</f>
        <v>A</v>
      </c>
      <c r="AK124">
        <f>Table1[[#This Row],[adj_unit_cost]]*Table1[[#This Row],[scenario_quantity]]</f>
        <v>17288.964</v>
      </c>
      <c r="AL124" s="5">
        <f>Table1[[#This Row],[UnitPrice]]*Table1[[#This Row],[scenario_quantity]]*(1-Table1[[#This Row],[cap_adjusted_discount]])</f>
        <v>17161.956000000002</v>
      </c>
      <c r="AM124" s="5">
        <f>Table1[[#This Row],[UnitPrice]]*Table1[[#This Row],[Quantity]]*(1-Table1[[#This Row],[DiscountPct]])</f>
        <v>14269.848599999999</v>
      </c>
      <c r="AN124" s="5">
        <f>Table1[[#This Row],[gross_revenue]]-Table1[[#This Row],[cost_of_goods]]</f>
        <v>1172.1485999999986</v>
      </c>
      <c r="AO124" s="5">
        <f>Table1[[#This Row],[scenario_revenue]]-Table1[[#This Row],[Scenario_unit_cost]]</f>
        <v>-127.00799999999799</v>
      </c>
      <c r="AP124" s="5">
        <f>IF(Table1[[#This Row],[gross_revenue]]=0,0,Table1[[#This Row],[gross_profit]]/Table1[[#This Row],[gross_revenue]])</f>
        <v>8.2141628328137886E-2</v>
      </c>
    </row>
    <row r="125" spans="1:42" x14ac:dyDescent="0.35">
      <c r="A125" t="s">
        <v>391</v>
      </c>
      <c r="B125" t="str">
        <f>_xlfn.TEXTAFTER(Table1[[#This Row],[OrderID]],"-",2)</f>
        <v>281890</v>
      </c>
      <c r="C125">
        <f>YEAR(Table1[[#This Row],[OrderDate]])</f>
        <v>2023</v>
      </c>
      <c r="D125" s="9">
        <f>_xlfn.MINIFS(F:F,P:P,Table1[[#This Row],[Country]])</f>
        <v>44933</v>
      </c>
      <c r="E125" s="7">
        <f>DATEDIF(Table1[[#This Row],[first_time_orders]],Table1[[#This Row],[OrderDate]],"m")</f>
        <v>2</v>
      </c>
      <c r="F125" s="9">
        <v>44998</v>
      </c>
      <c r="G125" s="2" t="str">
        <f>TEXT(Table1[[#This Row],[OrderDate]],"MMM-YYYY")</f>
        <v>Mar-2023</v>
      </c>
      <c r="H125" s="7">
        <f>MONTH(Table1[[#This Row],[OrderDate]])</f>
        <v>3</v>
      </c>
      <c r="I125" s="7" t="str">
        <f>"Q"&amp;ROUNDUP(Table1[[#This Row],[months]]/3,0)&amp;"-"&amp;Table1[[#This Row],[order_year]]</f>
        <v>Q1-2023</v>
      </c>
      <c r="J125" s="7">
        <f>Table1[[#This Row],[RequiredDate]]-Table1[[#This Row],[OrderDate]]</f>
        <v>22</v>
      </c>
      <c r="K125" s="7">
        <f>IF(Table1[[#This Row],[lead_time]]&lt;0,MEDIAN(J:J),Table1[[#This Row],[lead_time]])</f>
        <v>22</v>
      </c>
      <c r="L125" s="7">
        <f>IF(Table1[[#This Row],[adj_lead_time]]&lt;=7,1,0)</f>
        <v>0</v>
      </c>
      <c r="M125" s="9">
        <v>45020</v>
      </c>
      <c r="N125" s="9">
        <f>IF(Table1[[#This Row],[lead_time]]&lt;0,(Table1[[#This Row],[OrderDate]]+Table1[[#This Row],[adj_lead_time]]),Table1[[#This Row],[RequiredDate]])</f>
        <v>45020</v>
      </c>
      <c r="O125" t="s">
        <v>646</v>
      </c>
      <c r="P125" t="s">
        <v>661</v>
      </c>
      <c r="Q125" t="s">
        <v>687</v>
      </c>
      <c r="R125" t="s">
        <v>705</v>
      </c>
      <c r="S125" t="s">
        <v>707</v>
      </c>
      <c r="T125" t="s">
        <v>720</v>
      </c>
      <c r="U125" t="s">
        <v>727</v>
      </c>
      <c r="V125" t="s">
        <v>1111</v>
      </c>
      <c r="W125">
        <v>1113.7</v>
      </c>
      <c r="X125">
        <f>Table1[[#This Row],[UnitCost]]*(1+'scenario modeling'!$B$3)</f>
        <v>1225.0700000000002</v>
      </c>
      <c r="Y125">
        <v>1620.6</v>
      </c>
      <c r="Z125" t="str">
        <f>IF(Table1[[#This Row],[UnitPrice]]&lt;=Quantiles!$B$2,Quantiles!$A$2,IF(Table1[[#This Row],[UnitPrice]]&lt;=Quantiles!$B$3,Quantiles!$A$3,Quantiles!$A$4))</f>
        <v>Medium</v>
      </c>
      <c r="AA125">
        <v>0.13900000000000001</v>
      </c>
      <c r="AB125" s="5">
        <f>MIN(Table1[[#This Row],[DiscountPct]],'scenario modeling'!$B$2)</f>
        <v>0.1</v>
      </c>
      <c r="AC125" t="str">
        <f>IF(Table1[[#This Row],[DiscountPct]]&gt;0.3, "&gt;0.3","")</f>
        <v/>
      </c>
      <c r="AD125">
        <v>11</v>
      </c>
      <c r="AE125">
        <f>Table1[[#This Row],[Quantity]]*(1+'scenario modeling'!$B$4)</f>
        <v>13.2</v>
      </c>
      <c r="AF125">
        <f>Table1[[#This Row],[UnitCost]]*Table1[[#This Row],[Quantity]]</f>
        <v>12250.7</v>
      </c>
      <c r="AG125">
        <f>SUMIF($U:U,Table1[[#This Row],[ProductCategory]],$AM:AM)</f>
        <v>1545646.9975799995</v>
      </c>
      <c r="AH125">
        <f>SUMIFS($AM$2:AM125,$U$2:U125,U125)</f>
        <v>603964.29521000001</v>
      </c>
      <c r="AI125" s="5">
        <f>Table1[[#This Row],[Cumulative_revenue]]/Table1[[#This Row],[Category_revenue]]</f>
        <v>0.39075176683655422</v>
      </c>
      <c r="AJ125" t="str">
        <f>IF(Table1[[#This Row],[cumulative_pct]]&lt;=0.8,"A",IF(Table1[[#This Row],[cumulative_pct]]&lt;=0.95,"B","C"))</f>
        <v>A</v>
      </c>
      <c r="AK125">
        <f>Table1[[#This Row],[adj_unit_cost]]*Table1[[#This Row],[scenario_quantity]]</f>
        <v>16170.924000000001</v>
      </c>
      <c r="AL125" s="5">
        <f>Table1[[#This Row],[UnitPrice]]*Table1[[#This Row],[scenario_quantity]]*(1-Table1[[#This Row],[cap_adjusted_discount]])</f>
        <v>19252.727999999999</v>
      </c>
      <c r="AM125" s="5">
        <f>Table1[[#This Row],[UnitPrice]]*Table1[[#This Row],[Quantity]]*(1-Table1[[#This Row],[DiscountPct]])</f>
        <v>15348.702599999999</v>
      </c>
      <c r="AN125" s="5">
        <f>Table1[[#This Row],[gross_revenue]]-Table1[[#This Row],[cost_of_goods]]</f>
        <v>3098.002599999998</v>
      </c>
      <c r="AO125" s="5">
        <f>Table1[[#This Row],[scenario_revenue]]-Table1[[#This Row],[Scenario_unit_cost]]</f>
        <v>3081.8039999999983</v>
      </c>
      <c r="AP125" s="5">
        <f>IF(Table1[[#This Row],[gross_revenue]]=0,0,Table1[[#This Row],[gross_profit]]/Table1[[#This Row],[gross_revenue]])</f>
        <v>0.20184133348182787</v>
      </c>
    </row>
    <row r="126" spans="1:42" x14ac:dyDescent="0.35">
      <c r="A126" t="s">
        <v>224</v>
      </c>
      <c r="B126" t="str">
        <f>_xlfn.TEXTAFTER(Table1[[#This Row],[OrderID]],"-",2)</f>
        <v>686712</v>
      </c>
      <c r="C126">
        <f>YEAR(Table1[[#This Row],[OrderDate]])</f>
        <v>2024</v>
      </c>
      <c r="D126" s="9">
        <f>_xlfn.MINIFS(F:F,P:P,Table1[[#This Row],[Country]])</f>
        <v>44933</v>
      </c>
      <c r="E126" s="7">
        <f>DATEDIF(Table1[[#This Row],[first_time_orders]],Table1[[#This Row],[OrderDate]],"m")</f>
        <v>20</v>
      </c>
      <c r="F126" s="9">
        <v>45567</v>
      </c>
      <c r="G126" s="2" t="str">
        <f>TEXT(Table1[[#This Row],[OrderDate]],"MMM-YYYY")</f>
        <v>Oct-2024</v>
      </c>
      <c r="H126" s="7">
        <f>MONTH(Table1[[#This Row],[OrderDate]])</f>
        <v>10</v>
      </c>
      <c r="I126" s="7" t="str">
        <f>"Q"&amp;ROUNDUP(Table1[[#This Row],[months]]/3,0)&amp;"-"&amp;Table1[[#This Row],[order_year]]</f>
        <v>Q4-2024</v>
      </c>
      <c r="J126" s="7">
        <f>Table1[[#This Row],[RequiredDate]]-Table1[[#This Row],[OrderDate]]</f>
        <v>21</v>
      </c>
      <c r="K126" s="7">
        <f>IF(Table1[[#This Row],[lead_time]]&lt;0,MEDIAN(J:J),Table1[[#This Row],[lead_time]])</f>
        <v>21</v>
      </c>
      <c r="L126" s="7">
        <f>IF(Table1[[#This Row],[adj_lead_time]]&lt;=7,1,0)</f>
        <v>0</v>
      </c>
      <c r="M126" s="9">
        <v>45588</v>
      </c>
      <c r="N126" s="9">
        <f>IF(Table1[[#This Row],[lead_time]]&lt;0,(Table1[[#This Row],[OrderDate]]+Table1[[#This Row],[adj_lead_time]]),Table1[[#This Row],[RequiredDate]])</f>
        <v>45588</v>
      </c>
      <c r="O126" t="s">
        <v>646</v>
      </c>
      <c r="P126" t="s">
        <v>661</v>
      </c>
      <c r="Q126" t="s">
        <v>687</v>
      </c>
      <c r="R126" t="s">
        <v>701</v>
      </c>
      <c r="S126" t="s">
        <v>709</v>
      </c>
      <c r="T126" t="s">
        <v>720</v>
      </c>
      <c r="U126" t="s">
        <v>727</v>
      </c>
      <c r="V126" t="s">
        <v>944</v>
      </c>
      <c r="W126">
        <v>1095.6099999999999</v>
      </c>
      <c r="X126">
        <f>Table1[[#This Row],[UnitCost]]*(1+'scenario modeling'!$B$3)</f>
        <v>1205.171</v>
      </c>
      <c r="Y126">
        <v>2366.5100000000002</v>
      </c>
      <c r="Z126" t="str">
        <f>IF(Table1[[#This Row],[UnitPrice]]&lt;=Quantiles!$B$2,Quantiles!$A$2,IF(Table1[[#This Row],[UnitPrice]]&lt;=Quantiles!$B$3,Quantiles!$A$3,Quantiles!$A$4))</f>
        <v>High</v>
      </c>
      <c r="AA126">
        <v>0.152</v>
      </c>
      <c r="AB126" s="5">
        <f>MIN(Table1[[#This Row],[DiscountPct]],'scenario modeling'!$B$2)</f>
        <v>0.1</v>
      </c>
      <c r="AC126" t="str">
        <f>IF(Table1[[#This Row],[DiscountPct]]&gt;0.3, "&gt;0.3","")</f>
        <v/>
      </c>
      <c r="AD126">
        <v>9</v>
      </c>
      <c r="AE126">
        <f>Table1[[#This Row],[Quantity]]*(1+'scenario modeling'!$B$4)</f>
        <v>10.799999999999999</v>
      </c>
      <c r="AF126">
        <f>Table1[[#This Row],[UnitCost]]*Table1[[#This Row],[Quantity]]</f>
        <v>9860.49</v>
      </c>
      <c r="AG126">
        <f>SUMIF($U:U,Table1[[#This Row],[ProductCategory]],$AM:AM)</f>
        <v>1545646.9975799995</v>
      </c>
      <c r="AH126">
        <f>SUMIFS($AM$2:AM126,$U$2:U126,U126)</f>
        <v>622025.49953000003</v>
      </c>
      <c r="AI126" s="5">
        <f>Table1[[#This Row],[Cumulative_revenue]]/Table1[[#This Row],[Category_revenue]]</f>
        <v>0.40243697332178546</v>
      </c>
      <c r="AJ126" t="str">
        <f>IF(Table1[[#This Row],[cumulative_pct]]&lt;=0.8,"A",IF(Table1[[#This Row],[cumulative_pct]]&lt;=0.95,"B","C"))</f>
        <v>A</v>
      </c>
      <c r="AK126">
        <f>Table1[[#This Row],[adj_unit_cost]]*Table1[[#This Row],[scenario_quantity]]</f>
        <v>13015.846799999999</v>
      </c>
      <c r="AL126" s="5">
        <f>Table1[[#This Row],[UnitPrice]]*Table1[[#This Row],[scenario_quantity]]*(1-Table1[[#This Row],[cap_adjusted_discount]])</f>
        <v>23002.477200000001</v>
      </c>
      <c r="AM126" s="5">
        <f>Table1[[#This Row],[UnitPrice]]*Table1[[#This Row],[Quantity]]*(1-Table1[[#This Row],[DiscountPct]])</f>
        <v>18061.204320000004</v>
      </c>
      <c r="AN126" s="5">
        <f>Table1[[#This Row],[gross_revenue]]-Table1[[#This Row],[cost_of_goods]]</f>
        <v>8200.7143200000046</v>
      </c>
      <c r="AO126" s="5">
        <f>Table1[[#This Row],[scenario_revenue]]-Table1[[#This Row],[Scenario_unit_cost]]</f>
        <v>9986.6304000000018</v>
      </c>
      <c r="AP126" s="5">
        <f>IF(Table1[[#This Row],[gross_revenue]]=0,0,Table1[[#This Row],[gross_profit]]/Table1[[#This Row],[gross_revenue]])</f>
        <v>0.4540513564158607</v>
      </c>
    </row>
    <row r="127" spans="1:42" x14ac:dyDescent="0.35">
      <c r="A127" t="s">
        <v>184</v>
      </c>
      <c r="B127" t="str">
        <f>_xlfn.TEXTAFTER(Table1[[#This Row],[OrderID]],"-",2)</f>
        <v>942981</v>
      </c>
      <c r="C127">
        <f>YEAR(Table1[[#This Row],[OrderDate]])</f>
        <v>2024</v>
      </c>
      <c r="D127" s="9">
        <f>_xlfn.MINIFS(F:F,P:P,Table1[[#This Row],[Country]])</f>
        <v>44945</v>
      </c>
      <c r="E127" s="7">
        <f>DATEDIF(Table1[[#This Row],[first_time_orders]],Table1[[#This Row],[OrderDate]],"m")</f>
        <v>20</v>
      </c>
      <c r="F127" s="9">
        <v>45574</v>
      </c>
      <c r="G127" s="2" t="str">
        <f>TEXT(Table1[[#This Row],[OrderDate]],"MMM-YYYY")</f>
        <v>Oct-2024</v>
      </c>
      <c r="H127" s="7">
        <f>MONTH(Table1[[#This Row],[OrderDate]])</f>
        <v>10</v>
      </c>
      <c r="I127" s="7" t="str">
        <f>"Q"&amp;ROUNDUP(Table1[[#This Row],[months]]/3,0)&amp;"-"&amp;Table1[[#This Row],[order_year]]</f>
        <v>Q4-2024</v>
      </c>
      <c r="J127" s="7">
        <f>Table1[[#This Row],[RequiredDate]]-Table1[[#This Row],[OrderDate]]</f>
        <v>30</v>
      </c>
      <c r="K127" s="7">
        <f>IF(Table1[[#This Row],[lead_time]]&lt;0,MEDIAN(J:J),Table1[[#This Row],[lead_time]])</f>
        <v>30</v>
      </c>
      <c r="L127" s="7">
        <f>IF(Table1[[#This Row],[adj_lead_time]]&lt;=7,1,0)</f>
        <v>0</v>
      </c>
      <c r="M127" s="9">
        <v>45604</v>
      </c>
      <c r="N127" s="9">
        <f>IF(Table1[[#This Row],[lead_time]]&lt;0,(Table1[[#This Row],[OrderDate]]+Table1[[#This Row],[adj_lead_time]]),Table1[[#This Row],[RequiredDate]])</f>
        <v>45604</v>
      </c>
      <c r="O127" t="s">
        <v>649</v>
      </c>
      <c r="P127" t="s">
        <v>658</v>
      </c>
      <c r="Q127" t="s">
        <v>693</v>
      </c>
      <c r="R127" t="s">
        <v>705</v>
      </c>
      <c r="S127" t="s">
        <v>710</v>
      </c>
      <c r="T127" t="s">
        <v>713</v>
      </c>
      <c r="U127" t="s">
        <v>727</v>
      </c>
      <c r="V127" t="s">
        <v>903</v>
      </c>
      <c r="W127">
        <v>343.85</v>
      </c>
      <c r="X127">
        <f>Table1[[#This Row],[UnitCost]]*(1+'scenario modeling'!$B$3)</f>
        <v>378.23500000000007</v>
      </c>
      <c r="Y127">
        <v>538.04</v>
      </c>
      <c r="Z127" t="str">
        <f>IF(Table1[[#This Row],[UnitPrice]]&lt;=Quantiles!$B$2,Quantiles!$A$2,IF(Table1[[#This Row],[UnitPrice]]&lt;=Quantiles!$B$3,Quantiles!$A$3,Quantiles!$A$4))</f>
        <v>Low</v>
      </c>
      <c r="AA127">
        <v>0.13900000000000001</v>
      </c>
      <c r="AB127" s="5">
        <f>MIN(Table1[[#This Row],[DiscountPct]],'scenario modeling'!$B$2)</f>
        <v>0.1</v>
      </c>
      <c r="AC127" t="str">
        <f>IF(Table1[[#This Row],[DiscountPct]]&gt;0.3, "&gt;0.3","")</f>
        <v/>
      </c>
      <c r="AD127">
        <v>5</v>
      </c>
      <c r="AE127">
        <f>Table1[[#This Row],[Quantity]]*(1+'scenario modeling'!$B$4)</f>
        <v>6</v>
      </c>
      <c r="AF127">
        <f>Table1[[#This Row],[UnitCost]]*Table1[[#This Row],[Quantity]]</f>
        <v>1719.25</v>
      </c>
      <c r="AG127">
        <f>SUMIF($U:U,Table1[[#This Row],[ProductCategory]],$AM:AM)</f>
        <v>1545646.9975799995</v>
      </c>
      <c r="AH127">
        <f>SUMIFS($AM$2:AM127,$U$2:U127,U127)</f>
        <v>624341.76173000003</v>
      </c>
      <c r="AI127" s="5">
        <f>Table1[[#This Row],[Cumulative_revenue]]/Table1[[#This Row],[Category_revenue]]</f>
        <v>0.40393554460204967</v>
      </c>
      <c r="AJ127" t="str">
        <f>IF(Table1[[#This Row],[cumulative_pct]]&lt;=0.8,"A",IF(Table1[[#This Row],[cumulative_pct]]&lt;=0.95,"B","C"))</f>
        <v>A</v>
      </c>
      <c r="AK127">
        <f>Table1[[#This Row],[adj_unit_cost]]*Table1[[#This Row],[scenario_quantity]]</f>
        <v>2269.4100000000003</v>
      </c>
      <c r="AL127" s="5">
        <f>Table1[[#This Row],[UnitPrice]]*Table1[[#This Row],[scenario_quantity]]*(1-Table1[[#This Row],[cap_adjusted_discount]])</f>
        <v>2905.4159999999997</v>
      </c>
      <c r="AM127" s="5">
        <f>Table1[[#This Row],[UnitPrice]]*Table1[[#This Row],[Quantity]]*(1-Table1[[#This Row],[DiscountPct]])</f>
        <v>2316.2621999999997</v>
      </c>
      <c r="AN127" s="5">
        <f>Table1[[#This Row],[gross_revenue]]-Table1[[#This Row],[cost_of_goods]]</f>
        <v>597.01219999999967</v>
      </c>
      <c r="AO127" s="5">
        <f>Table1[[#This Row],[scenario_revenue]]-Table1[[#This Row],[Scenario_unit_cost]]</f>
        <v>636.0059999999994</v>
      </c>
      <c r="AP127" s="5">
        <f>IF(Table1[[#This Row],[gross_revenue]]=0,0,Table1[[#This Row],[gross_profit]]/Table1[[#This Row],[gross_revenue]])</f>
        <v>0.25774810813732563</v>
      </c>
    </row>
    <row r="128" spans="1:42" x14ac:dyDescent="0.35">
      <c r="A128" t="s">
        <v>526</v>
      </c>
      <c r="B128" t="str">
        <f>_xlfn.TEXTAFTER(Table1[[#This Row],[OrderID]],"-",2)</f>
        <v>964950</v>
      </c>
      <c r="C128">
        <f>YEAR(Table1[[#This Row],[OrderDate]])</f>
        <v>2024</v>
      </c>
      <c r="D128" s="9">
        <f>_xlfn.MINIFS(F:F,P:P,Table1[[#This Row],[Country]])</f>
        <v>44945</v>
      </c>
      <c r="E128" s="7">
        <f>DATEDIF(Table1[[#This Row],[first_time_orders]],Table1[[#This Row],[OrderDate]],"m")</f>
        <v>20</v>
      </c>
      <c r="F128" s="9">
        <v>45575</v>
      </c>
      <c r="G128" s="2" t="str">
        <f>TEXT(Table1[[#This Row],[OrderDate]],"MMM-YYYY")</f>
        <v>Oct-2024</v>
      </c>
      <c r="H128" s="7">
        <f>MONTH(Table1[[#This Row],[OrderDate]])</f>
        <v>10</v>
      </c>
      <c r="I128" s="7" t="str">
        <f>"Q"&amp;ROUNDUP(Table1[[#This Row],[months]]/3,0)&amp;"-"&amp;Table1[[#This Row],[order_year]]</f>
        <v>Q4-2024</v>
      </c>
      <c r="J128" s="7">
        <f>Table1[[#This Row],[RequiredDate]]-Table1[[#This Row],[OrderDate]]</f>
        <v>1</v>
      </c>
      <c r="K128" s="7">
        <f>IF(Table1[[#This Row],[lead_time]]&lt;0,MEDIAN(J:J),Table1[[#This Row],[lead_time]])</f>
        <v>1</v>
      </c>
      <c r="L128" s="7">
        <f>IF(Table1[[#This Row],[adj_lead_time]]&lt;=7,1,0)</f>
        <v>1</v>
      </c>
      <c r="M128" s="9">
        <v>45576</v>
      </c>
      <c r="N128" s="9">
        <f>IF(Table1[[#This Row],[lead_time]]&lt;0,(Table1[[#This Row],[OrderDate]]+Table1[[#This Row],[adj_lead_time]]),Table1[[#This Row],[RequiredDate]])</f>
        <v>45576</v>
      </c>
      <c r="O128" t="s">
        <v>649</v>
      </c>
      <c r="P128" t="s">
        <v>658</v>
      </c>
      <c r="Q128" t="s">
        <v>693</v>
      </c>
      <c r="R128" t="s">
        <v>703</v>
      </c>
      <c r="S128" t="s">
        <v>710</v>
      </c>
      <c r="T128" t="s">
        <v>716</v>
      </c>
      <c r="U128" t="s">
        <v>727</v>
      </c>
      <c r="V128" t="s">
        <v>1245</v>
      </c>
      <c r="W128">
        <v>1389.46</v>
      </c>
      <c r="X128">
        <f>Table1[[#This Row],[UnitCost]]*(1+'scenario modeling'!$B$3)</f>
        <v>1528.4060000000002</v>
      </c>
      <c r="Y128">
        <v>1784.7</v>
      </c>
      <c r="Z128" t="str">
        <f>IF(Table1[[#This Row],[UnitPrice]]&lt;=Quantiles!$B$2,Quantiles!$A$2,IF(Table1[[#This Row],[UnitPrice]]&lt;=Quantiles!$B$3,Quantiles!$A$3,Quantiles!$A$4))</f>
        <v>High</v>
      </c>
      <c r="AA128">
        <v>0.14599999999999999</v>
      </c>
      <c r="AB128" s="5">
        <f>MIN(Table1[[#This Row],[DiscountPct]],'scenario modeling'!$B$2)</f>
        <v>0.1</v>
      </c>
      <c r="AC128" t="str">
        <f>IF(Table1[[#This Row],[DiscountPct]]&gt;0.3, "&gt;0.3","")</f>
        <v/>
      </c>
      <c r="AD128">
        <v>33</v>
      </c>
      <c r="AE128">
        <f>Table1[[#This Row],[Quantity]]*(1+'scenario modeling'!$B$4)</f>
        <v>39.6</v>
      </c>
      <c r="AF128">
        <f>Table1[[#This Row],[UnitCost]]*Table1[[#This Row],[Quantity]]</f>
        <v>45852.18</v>
      </c>
      <c r="AG128">
        <f>SUMIF($U:U,Table1[[#This Row],[ProductCategory]],$AM:AM)</f>
        <v>1545646.9975799995</v>
      </c>
      <c r="AH128">
        <f>SUMIFS($AM$2:AM128,$U$2:U128,U128)</f>
        <v>674638.17712999997</v>
      </c>
      <c r="AI128" s="5">
        <f>Table1[[#This Row],[Cumulative_revenue]]/Table1[[#This Row],[Category_revenue]]</f>
        <v>0.4364762317568453</v>
      </c>
      <c r="AJ128" t="str">
        <f>IF(Table1[[#This Row],[cumulative_pct]]&lt;=0.8,"A",IF(Table1[[#This Row],[cumulative_pct]]&lt;=0.95,"B","C"))</f>
        <v>A</v>
      </c>
      <c r="AK128">
        <f>Table1[[#This Row],[adj_unit_cost]]*Table1[[#This Row],[scenario_quantity]]</f>
        <v>60524.877600000007</v>
      </c>
      <c r="AL128" s="5">
        <f>Table1[[#This Row],[UnitPrice]]*Table1[[#This Row],[scenario_quantity]]*(1-Table1[[#This Row],[cap_adjusted_discount]])</f>
        <v>63606.708000000013</v>
      </c>
      <c r="AM128" s="5">
        <f>Table1[[#This Row],[UnitPrice]]*Table1[[#This Row],[Quantity]]*(1-Table1[[#This Row],[DiscountPct]])</f>
        <v>50296.415399999998</v>
      </c>
      <c r="AN128" s="5">
        <f>Table1[[#This Row],[gross_revenue]]-Table1[[#This Row],[cost_of_goods]]</f>
        <v>4444.2353999999978</v>
      </c>
      <c r="AO128" s="5">
        <f>Table1[[#This Row],[scenario_revenue]]-Table1[[#This Row],[Scenario_unit_cost]]</f>
        <v>3081.8304000000062</v>
      </c>
      <c r="AP128" s="5">
        <f>IF(Table1[[#This Row],[gross_revenue]]=0,0,Table1[[#This Row],[gross_profit]]/Table1[[#This Row],[gross_revenue]])</f>
        <v>8.8360877503011831E-2</v>
      </c>
    </row>
    <row r="129" spans="1:42" x14ac:dyDescent="0.35">
      <c r="A129" t="s">
        <v>575</v>
      </c>
      <c r="B129" t="str">
        <f>_xlfn.TEXTAFTER(Table1[[#This Row],[OrderID]],"-",2)</f>
        <v>250862</v>
      </c>
      <c r="C129">
        <f>YEAR(Table1[[#This Row],[OrderDate]])</f>
        <v>2024</v>
      </c>
      <c r="D129" s="9">
        <f>_xlfn.MINIFS(F:F,P:P,Table1[[#This Row],[Country]])</f>
        <v>44939</v>
      </c>
      <c r="E129" s="7">
        <f>DATEDIF(Table1[[#This Row],[first_time_orders]],Table1[[#This Row],[OrderDate]],"m")</f>
        <v>21</v>
      </c>
      <c r="F129" s="9">
        <v>45590</v>
      </c>
      <c r="G129" s="2" t="str">
        <f>TEXT(Table1[[#This Row],[OrderDate]],"MMM-YYYY")</f>
        <v>Oct-2024</v>
      </c>
      <c r="H129" s="7">
        <f>MONTH(Table1[[#This Row],[OrderDate]])</f>
        <v>10</v>
      </c>
      <c r="I129" s="7" t="str">
        <f>"Q"&amp;ROUNDUP(Table1[[#This Row],[months]]/3,0)&amp;"-"&amp;Table1[[#This Row],[order_year]]</f>
        <v>Q4-2024</v>
      </c>
      <c r="J129" s="7">
        <f>Table1[[#This Row],[RequiredDate]]-Table1[[#This Row],[OrderDate]]</f>
        <v>11</v>
      </c>
      <c r="K129" s="7">
        <f>IF(Table1[[#This Row],[lead_time]]&lt;0,MEDIAN(J:J),Table1[[#This Row],[lead_time]])</f>
        <v>11</v>
      </c>
      <c r="L129" s="7">
        <f>IF(Table1[[#This Row],[adj_lead_time]]&lt;=7,1,0)</f>
        <v>0</v>
      </c>
      <c r="M129" s="9">
        <v>45601</v>
      </c>
      <c r="N129" s="9">
        <f>IF(Table1[[#This Row],[lead_time]]&lt;0,(Table1[[#This Row],[OrderDate]]+Table1[[#This Row],[adj_lead_time]]),Table1[[#This Row],[RequiredDate]])</f>
        <v>45601</v>
      </c>
      <c r="O129" t="s">
        <v>648</v>
      </c>
      <c r="P129" t="s">
        <v>660</v>
      </c>
      <c r="Q129" t="s">
        <v>700</v>
      </c>
      <c r="R129" t="s">
        <v>701</v>
      </c>
      <c r="S129" t="s">
        <v>710</v>
      </c>
      <c r="T129" t="s">
        <v>725</v>
      </c>
      <c r="U129" t="s">
        <v>727</v>
      </c>
      <c r="V129" t="s">
        <v>1293</v>
      </c>
      <c r="W129">
        <v>446.66</v>
      </c>
      <c r="X129">
        <f>Table1[[#This Row],[UnitCost]]*(1+'scenario modeling'!$B$3)</f>
        <v>491.32600000000008</v>
      </c>
      <c r="Y129">
        <v>527.64</v>
      </c>
      <c r="Z129" t="str">
        <f>IF(Table1[[#This Row],[UnitPrice]]&lt;=Quantiles!$B$2,Quantiles!$A$2,IF(Table1[[#This Row],[UnitPrice]]&lt;=Quantiles!$B$3,Quantiles!$A$3,Quantiles!$A$4))</f>
        <v>Low</v>
      </c>
      <c r="AA129">
        <v>0.14499999999999999</v>
      </c>
      <c r="AB129" s="5">
        <f>MIN(Table1[[#This Row],[DiscountPct]],'scenario modeling'!$B$2)</f>
        <v>0.1</v>
      </c>
      <c r="AC129" t="str">
        <f>IF(Table1[[#This Row],[DiscountPct]]&gt;0.3, "&gt;0.3","")</f>
        <v/>
      </c>
      <c r="AD129">
        <v>15</v>
      </c>
      <c r="AE129">
        <f>Table1[[#This Row],[Quantity]]*(1+'scenario modeling'!$B$4)</f>
        <v>18</v>
      </c>
      <c r="AF129">
        <f>Table1[[#This Row],[UnitCost]]*Table1[[#This Row],[Quantity]]</f>
        <v>6699.9000000000005</v>
      </c>
      <c r="AG129">
        <f>SUMIF($U:U,Table1[[#This Row],[ProductCategory]],$AM:AM)</f>
        <v>1545646.9975799995</v>
      </c>
      <c r="AH129">
        <f>SUMIFS($AM$2:AM129,$U$2:U129,U129)</f>
        <v>681405.16012999997</v>
      </c>
      <c r="AI129" s="5">
        <f>Table1[[#This Row],[Cumulative_revenue]]/Table1[[#This Row],[Category_revenue]]</f>
        <v>0.44085432262144442</v>
      </c>
      <c r="AJ129" t="str">
        <f>IF(Table1[[#This Row],[cumulative_pct]]&lt;=0.8,"A",IF(Table1[[#This Row],[cumulative_pct]]&lt;=0.95,"B","C"))</f>
        <v>A</v>
      </c>
      <c r="AK129">
        <f>Table1[[#This Row],[adj_unit_cost]]*Table1[[#This Row],[scenario_quantity]]</f>
        <v>8843.8680000000022</v>
      </c>
      <c r="AL129" s="5">
        <f>Table1[[#This Row],[UnitPrice]]*Table1[[#This Row],[scenario_quantity]]*(1-Table1[[#This Row],[cap_adjusted_discount]])</f>
        <v>8547.768</v>
      </c>
      <c r="AM129" s="5">
        <f>Table1[[#This Row],[UnitPrice]]*Table1[[#This Row],[Quantity]]*(1-Table1[[#This Row],[DiscountPct]])</f>
        <v>6766.9829999999993</v>
      </c>
      <c r="AN129" s="5">
        <f>Table1[[#This Row],[gross_revenue]]-Table1[[#This Row],[cost_of_goods]]</f>
        <v>67.082999999998719</v>
      </c>
      <c r="AO129" s="5">
        <f>Table1[[#This Row],[scenario_revenue]]-Table1[[#This Row],[Scenario_unit_cost]]</f>
        <v>-296.10000000000218</v>
      </c>
      <c r="AP129" s="5">
        <f>IF(Table1[[#This Row],[gross_revenue]]=0,0,Table1[[#This Row],[gross_profit]]/Table1[[#This Row],[gross_revenue]])</f>
        <v>9.9132804087137105E-3</v>
      </c>
    </row>
    <row r="130" spans="1:42" x14ac:dyDescent="0.35">
      <c r="A130" t="s">
        <v>176</v>
      </c>
      <c r="B130" t="str">
        <f>_xlfn.TEXTAFTER(Table1[[#This Row],[OrderID]],"-",2)</f>
        <v>357368</v>
      </c>
      <c r="C130">
        <f>YEAR(Table1[[#This Row],[OrderDate]])</f>
        <v>2024</v>
      </c>
      <c r="D130" s="9">
        <f>_xlfn.MINIFS(F:F,P:P,Table1[[#This Row],[Country]])</f>
        <v>44938</v>
      </c>
      <c r="E130" s="7">
        <f>DATEDIF(Table1[[#This Row],[first_time_orders]],Table1[[#This Row],[OrderDate]],"m")</f>
        <v>21</v>
      </c>
      <c r="F130" s="9">
        <v>45595</v>
      </c>
      <c r="G130" s="2" t="str">
        <f>TEXT(Table1[[#This Row],[OrderDate]],"MMM-YYYY")</f>
        <v>Oct-2024</v>
      </c>
      <c r="H130" s="7">
        <f>MONTH(Table1[[#This Row],[OrderDate]])</f>
        <v>10</v>
      </c>
      <c r="I130" s="7" t="str">
        <f>"Q"&amp;ROUNDUP(Table1[[#This Row],[months]]/3,0)&amp;"-"&amp;Table1[[#This Row],[order_year]]</f>
        <v>Q4-2024</v>
      </c>
      <c r="J130" s="7">
        <f>Table1[[#This Row],[RequiredDate]]-Table1[[#This Row],[OrderDate]]</f>
        <v>25</v>
      </c>
      <c r="K130" s="7">
        <f>IF(Table1[[#This Row],[lead_time]]&lt;0,MEDIAN(J:J),Table1[[#This Row],[lead_time]])</f>
        <v>25</v>
      </c>
      <c r="L130" s="7">
        <f>IF(Table1[[#This Row],[adj_lead_time]]&lt;=7,1,0)</f>
        <v>0</v>
      </c>
      <c r="M130" s="9">
        <v>45620</v>
      </c>
      <c r="N130" s="9">
        <f>IF(Table1[[#This Row],[lead_time]]&lt;0,(Table1[[#This Row],[OrderDate]]+Table1[[#This Row],[adj_lead_time]]),Table1[[#This Row],[RequiredDate]])</f>
        <v>45620</v>
      </c>
      <c r="O130" t="s">
        <v>647</v>
      </c>
      <c r="P130" t="s">
        <v>659</v>
      </c>
      <c r="Q130" t="s">
        <v>676</v>
      </c>
      <c r="R130" t="s">
        <v>705</v>
      </c>
      <c r="S130" t="s">
        <v>708</v>
      </c>
      <c r="T130" t="s">
        <v>718</v>
      </c>
      <c r="U130" t="s">
        <v>727</v>
      </c>
      <c r="V130" t="s">
        <v>895</v>
      </c>
      <c r="W130">
        <v>811.05</v>
      </c>
      <c r="X130">
        <f>Table1[[#This Row],[UnitCost]]*(1+'scenario modeling'!$B$3)</f>
        <v>892.15499999999997</v>
      </c>
      <c r="Y130">
        <v>1217.71</v>
      </c>
      <c r="Z130" t="str">
        <f>IF(Table1[[#This Row],[UnitPrice]]&lt;=Quantiles!$B$2,Quantiles!$A$2,IF(Table1[[#This Row],[UnitPrice]]&lt;=Quantiles!$B$3,Quantiles!$A$3,Quantiles!$A$4))</f>
        <v>Medium</v>
      </c>
      <c r="AA130">
        <v>7.1999999999999995E-2</v>
      </c>
      <c r="AB130" s="5">
        <f>MIN(Table1[[#This Row],[DiscountPct]],'scenario modeling'!$B$2)</f>
        <v>7.1999999999999995E-2</v>
      </c>
      <c r="AC130" t="str">
        <f>IF(Table1[[#This Row],[DiscountPct]]&gt;0.3, "&gt;0.3","")</f>
        <v/>
      </c>
      <c r="AD130">
        <v>5</v>
      </c>
      <c r="AE130">
        <f>Table1[[#This Row],[Quantity]]*(1+'scenario modeling'!$B$4)</f>
        <v>6</v>
      </c>
      <c r="AF130">
        <f>Table1[[#This Row],[UnitCost]]*Table1[[#This Row],[Quantity]]</f>
        <v>4055.25</v>
      </c>
      <c r="AG130">
        <f>SUMIF($U:U,Table1[[#This Row],[ProductCategory]],$AM:AM)</f>
        <v>1545646.9975799995</v>
      </c>
      <c r="AH130">
        <f>SUMIFS($AM$2:AM130,$U$2:U130,U130)</f>
        <v>687055.33452999999</v>
      </c>
      <c r="AI130" s="5">
        <f>Table1[[#This Row],[Cumulative_revenue]]/Table1[[#This Row],[Category_revenue]]</f>
        <v>0.4445098626049247</v>
      </c>
      <c r="AJ130" t="str">
        <f>IF(Table1[[#This Row],[cumulative_pct]]&lt;=0.8,"A",IF(Table1[[#This Row],[cumulative_pct]]&lt;=0.95,"B","C"))</f>
        <v>A</v>
      </c>
      <c r="AK130">
        <f>Table1[[#This Row],[adj_unit_cost]]*Table1[[#This Row],[scenario_quantity]]</f>
        <v>5352.93</v>
      </c>
      <c r="AL130" s="5">
        <f>Table1[[#This Row],[UnitPrice]]*Table1[[#This Row],[scenario_quantity]]*(1-Table1[[#This Row],[cap_adjusted_discount]])</f>
        <v>6780.2092800000009</v>
      </c>
      <c r="AM130" s="5">
        <f>Table1[[#This Row],[UnitPrice]]*Table1[[#This Row],[Quantity]]*(1-Table1[[#This Row],[DiscountPct]])</f>
        <v>5650.1744000000008</v>
      </c>
      <c r="AN130" s="5">
        <f>Table1[[#This Row],[gross_revenue]]-Table1[[#This Row],[cost_of_goods]]</f>
        <v>1594.9244000000008</v>
      </c>
      <c r="AO130" s="5">
        <f>Table1[[#This Row],[scenario_revenue]]-Table1[[#This Row],[Scenario_unit_cost]]</f>
        <v>1427.2792800000007</v>
      </c>
      <c r="AP130" s="5">
        <f>IF(Table1[[#This Row],[gross_revenue]]=0,0,Table1[[#This Row],[gross_profit]]/Table1[[#This Row],[gross_revenue]])</f>
        <v>0.28227879125288602</v>
      </c>
    </row>
    <row r="131" spans="1:42" x14ac:dyDescent="0.35">
      <c r="A131" t="s">
        <v>633</v>
      </c>
      <c r="B131" t="str">
        <f>_xlfn.TEXTAFTER(Table1[[#This Row],[OrderID]],"-",2)</f>
        <v>756884</v>
      </c>
      <c r="C131">
        <f>YEAR(Table1[[#This Row],[OrderDate]])</f>
        <v>2024</v>
      </c>
      <c r="D131" s="9">
        <f>_xlfn.MINIFS(F:F,P:P,Table1[[#This Row],[Country]])</f>
        <v>44936</v>
      </c>
      <c r="E131" s="7">
        <f>DATEDIF(Table1[[#This Row],[first_time_orders]],Table1[[#This Row],[OrderDate]],"m")</f>
        <v>21</v>
      </c>
      <c r="F131" s="9">
        <v>45578</v>
      </c>
      <c r="G131" s="2" t="str">
        <f>TEXT(Table1[[#This Row],[OrderDate]],"MMM-YYYY")</f>
        <v>Oct-2024</v>
      </c>
      <c r="H131" s="7">
        <f>MONTH(Table1[[#This Row],[OrderDate]])</f>
        <v>10</v>
      </c>
      <c r="I131" s="7" t="str">
        <f>"Q"&amp;ROUNDUP(Table1[[#This Row],[months]]/3,0)&amp;"-"&amp;Table1[[#This Row],[order_year]]</f>
        <v>Q4-2024</v>
      </c>
      <c r="J131" s="7">
        <f>Table1[[#This Row],[RequiredDate]]-Table1[[#This Row],[OrderDate]]</f>
        <v>11</v>
      </c>
      <c r="K131" s="7">
        <f>IF(Table1[[#This Row],[lead_time]]&lt;0,MEDIAN(J:J),Table1[[#This Row],[lead_time]])</f>
        <v>11</v>
      </c>
      <c r="L131" s="7">
        <f>IF(Table1[[#This Row],[adj_lead_time]]&lt;=7,1,0)</f>
        <v>0</v>
      </c>
      <c r="M131" s="9">
        <v>45589</v>
      </c>
      <c r="N131" s="9">
        <f>IF(Table1[[#This Row],[lead_time]]&lt;0,(Table1[[#This Row],[OrderDate]]+Table1[[#This Row],[adj_lead_time]]),Table1[[#This Row],[RequiredDate]])</f>
        <v>45589</v>
      </c>
      <c r="O131" t="s">
        <v>649</v>
      </c>
      <c r="P131" t="s">
        <v>657</v>
      </c>
      <c r="Q131" t="s">
        <v>690</v>
      </c>
      <c r="R131" t="s">
        <v>702</v>
      </c>
      <c r="S131" t="s">
        <v>710</v>
      </c>
      <c r="T131" t="s">
        <v>721</v>
      </c>
      <c r="U131" t="s">
        <v>727</v>
      </c>
      <c r="V131" t="s">
        <v>1351</v>
      </c>
      <c r="W131">
        <v>816.7</v>
      </c>
      <c r="X131">
        <f>Table1[[#This Row],[UnitCost]]*(1+'scenario modeling'!$B$3)</f>
        <v>898.37000000000012</v>
      </c>
      <c r="Y131">
        <v>1010.75</v>
      </c>
      <c r="Z131" t="str">
        <f>IF(Table1[[#This Row],[UnitPrice]]&lt;=Quantiles!$B$2,Quantiles!$A$2,IF(Table1[[#This Row],[UnitPrice]]&lt;=Quantiles!$B$3,Quantiles!$A$3,Quantiles!$A$4))</f>
        <v>Medium</v>
      </c>
      <c r="AA131">
        <v>4.7E-2</v>
      </c>
      <c r="AB131" s="5">
        <f>MIN(Table1[[#This Row],[DiscountPct]],'scenario modeling'!$B$2)</f>
        <v>4.7E-2</v>
      </c>
      <c r="AC131" t="str">
        <f>IF(Table1[[#This Row],[DiscountPct]]&gt;0.3, "&gt;0.3","")</f>
        <v/>
      </c>
      <c r="AD131">
        <v>43</v>
      </c>
      <c r="AE131">
        <f>Table1[[#This Row],[Quantity]]*(1+'scenario modeling'!$B$4)</f>
        <v>51.6</v>
      </c>
      <c r="AF131">
        <f>Table1[[#This Row],[UnitCost]]*Table1[[#This Row],[Quantity]]</f>
        <v>35118.1</v>
      </c>
      <c r="AG131">
        <f>SUMIF($U:U,Table1[[#This Row],[ProductCategory]],$AM:AM)</f>
        <v>1545646.9975799995</v>
      </c>
      <c r="AH131">
        <f>SUMIFS($AM$2:AM131,$U$2:U131,U131)</f>
        <v>728474.85878000001</v>
      </c>
      <c r="AI131" s="5">
        <f>Table1[[#This Row],[Cumulative_revenue]]/Table1[[#This Row],[Category_revenue]]</f>
        <v>0.4713073941983934</v>
      </c>
      <c r="AJ131" t="str">
        <f>IF(Table1[[#This Row],[cumulative_pct]]&lt;=0.8,"A",IF(Table1[[#This Row],[cumulative_pct]]&lt;=0.95,"B","C"))</f>
        <v>A</v>
      </c>
      <c r="AK131">
        <f>Table1[[#This Row],[adj_unit_cost]]*Table1[[#This Row],[scenario_quantity]]</f>
        <v>46355.892000000007</v>
      </c>
      <c r="AL131" s="5">
        <f>Table1[[#This Row],[UnitPrice]]*Table1[[#This Row],[scenario_quantity]]*(1-Table1[[#This Row],[cap_adjusted_discount]])</f>
        <v>49703.429100000001</v>
      </c>
      <c r="AM131" s="5">
        <f>Table1[[#This Row],[UnitPrice]]*Table1[[#This Row],[Quantity]]*(1-Table1[[#This Row],[DiscountPct]])</f>
        <v>41419.524249999995</v>
      </c>
      <c r="AN131" s="5">
        <f>Table1[[#This Row],[gross_revenue]]-Table1[[#This Row],[cost_of_goods]]</f>
        <v>6301.4242499999964</v>
      </c>
      <c r="AO131" s="5">
        <f>Table1[[#This Row],[scenario_revenue]]-Table1[[#This Row],[Scenario_unit_cost]]</f>
        <v>3347.5370999999941</v>
      </c>
      <c r="AP131" s="5">
        <f>IF(Table1[[#This Row],[gross_revenue]]=0,0,Table1[[#This Row],[gross_profit]]/Table1[[#This Row],[gross_revenue]])</f>
        <v>0.15213656757537472</v>
      </c>
    </row>
    <row r="132" spans="1:42" x14ac:dyDescent="0.35">
      <c r="A132" t="s">
        <v>479</v>
      </c>
      <c r="B132" t="str">
        <f>_xlfn.TEXTAFTER(Table1[[#This Row],[OrderID]],"-",2)</f>
        <v>508213</v>
      </c>
      <c r="C132">
        <f>YEAR(Table1[[#This Row],[OrderDate]])</f>
        <v>2024</v>
      </c>
      <c r="D132" s="9">
        <f>_xlfn.MINIFS(F:F,P:P,Table1[[#This Row],[Country]])</f>
        <v>44946</v>
      </c>
      <c r="E132" s="7">
        <f>DATEDIF(Table1[[#This Row],[first_time_orders]],Table1[[#This Row],[OrderDate]],"m")</f>
        <v>22</v>
      </c>
      <c r="F132" s="9">
        <v>45618</v>
      </c>
      <c r="G132" s="2" t="str">
        <f>TEXT(Table1[[#This Row],[OrderDate]],"MMM-YYYY")</f>
        <v>Nov-2024</v>
      </c>
      <c r="H132" s="7">
        <f>MONTH(Table1[[#This Row],[OrderDate]])</f>
        <v>11</v>
      </c>
      <c r="I132" s="7" t="str">
        <f>"Q"&amp;ROUNDUP(Table1[[#This Row],[months]]/3,0)&amp;"-"&amp;Table1[[#This Row],[order_year]]</f>
        <v>Q4-2024</v>
      </c>
      <c r="J132" s="7">
        <f>Table1[[#This Row],[RequiredDate]]-Table1[[#This Row],[OrderDate]]</f>
        <v>23</v>
      </c>
      <c r="K132" s="7">
        <f>IF(Table1[[#This Row],[lead_time]]&lt;0,MEDIAN(J:J),Table1[[#This Row],[lead_time]])</f>
        <v>23</v>
      </c>
      <c r="L132" s="7">
        <f>IF(Table1[[#This Row],[adj_lead_time]]&lt;=7,1,0)</f>
        <v>0</v>
      </c>
      <c r="M132" s="9">
        <v>45641</v>
      </c>
      <c r="N132" s="9">
        <f>IF(Table1[[#This Row],[lead_time]]&lt;0,(Table1[[#This Row],[OrderDate]]+Table1[[#This Row],[adj_lead_time]]),Table1[[#This Row],[RequiredDate]])</f>
        <v>45641</v>
      </c>
      <c r="O132" t="s">
        <v>646</v>
      </c>
      <c r="P132" t="s">
        <v>650</v>
      </c>
      <c r="Q132" t="s">
        <v>675</v>
      </c>
      <c r="R132" t="s">
        <v>703</v>
      </c>
      <c r="S132" t="s">
        <v>710</v>
      </c>
      <c r="T132" t="s">
        <v>712</v>
      </c>
      <c r="U132" t="s">
        <v>727</v>
      </c>
      <c r="V132" t="s">
        <v>1198</v>
      </c>
      <c r="W132">
        <v>1335.76</v>
      </c>
      <c r="X132">
        <f>Table1[[#This Row],[UnitCost]]*(1+'scenario modeling'!$B$3)</f>
        <v>1469.336</v>
      </c>
      <c r="Y132">
        <v>2665.91</v>
      </c>
      <c r="Z132" t="str">
        <f>IF(Table1[[#This Row],[UnitPrice]]&lt;=Quantiles!$B$2,Quantiles!$A$2,IF(Table1[[#This Row],[UnitPrice]]&lt;=Quantiles!$B$3,Quantiles!$A$3,Quantiles!$A$4))</f>
        <v>High</v>
      </c>
      <c r="AA132">
        <v>0.21099999999999999</v>
      </c>
      <c r="AB132" s="5">
        <f>MIN(Table1[[#This Row],[DiscountPct]],'scenario modeling'!$B$2)</f>
        <v>0.1</v>
      </c>
      <c r="AC132" t="str">
        <f>IF(Table1[[#This Row],[DiscountPct]]&gt;0.3, "&gt;0.3","")</f>
        <v/>
      </c>
      <c r="AD132">
        <v>40</v>
      </c>
      <c r="AE132">
        <f>Table1[[#This Row],[Quantity]]*(1+'scenario modeling'!$B$4)</f>
        <v>48</v>
      </c>
      <c r="AF132">
        <f>Table1[[#This Row],[UnitCost]]*Table1[[#This Row],[Quantity]]</f>
        <v>53430.400000000001</v>
      </c>
      <c r="AG132">
        <f>SUMIF($U:U,Table1[[#This Row],[ProductCategory]],$AM:AM)</f>
        <v>1545646.9975799995</v>
      </c>
      <c r="AH132">
        <f>SUMIFS($AM$2:AM132,$U$2:U132,U132)</f>
        <v>812610.97837999999</v>
      </c>
      <c r="AI132" s="5">
        <f>Table1[[#This Row],[Cumulative_revenue]]/Table1[[#This Row],[Category_revenue]]</f>
        <v>0.52574163418445152</v>
      </c>
      <c r="AJ132" t="str">
        <f>IF(Table1[[#This Row],[cumulative_pct]]&lt;=0.8,"A",IF(Table1[[#This Row],[cumulative_pct]]&lt;=0.95,"B","C"))</f>
        <v>A</v>
      </c>
      <c r="AK132">
        <f>Table1[[#This Row],[adj_unit_cost]]*Table1[[#This Row],[scenario_quantity]]</f>
        <v>70528.127999999997</v>
      </c>
      <c r="AL132" s="5">
        <f>Table1[[#This Row],[UnitPrice]]*Table1[[#This Row],[scenario_quantity]]*(1-Table1[[#This Row],[cap_adjusted_discount]])</f>
        <v>115167.31199999999</v>
      </c>
      <c r="AM132" s="5">
        <f>Table1[[#This Row],[UnitPrice]]*Table1[[#This Row],[Quantity]]*(1-Table1[[#This Row],[DiscountPct]])</f>
        <v>84136.119600000005</v>
      </c>
      <c r="AN132" s="5">
        <f>Table1[[#This Row],[gross_revenue]]-Table1[[#This Row],[cost_of_goods]]</f>
        <v>30705.719600000004</v>
      </c>
      <c r="AO132" s="5">
        <f>Table1[[#This Row],[scenario_revenue]]-Table1[[#This Row],[Scenario_unit_cost]]</f>
        <v>44639.183999999994</v>
      </c>
      <c r="AP132" s="5">
        <f>IF(Table1[[#This Row],[gross_revenue]]=0,0,Table1[[#This Row],[gross_profit]]/Table1[[#This Row],[gross_revenue]])</f>
        <v>0.36495288522909253</v>
      </c>
    </row>
    <row r="133" spans="1:42" x14ac:dyDescent="0.35">
      <c r="A133" t="s">
        <v>416</v>
      </c>
      <c r="B133" t="str">
        <f>_xlfn.TEXTAFTER(Table1[[#This Row],[OrderID]],"-",2)</f>
        <v>170021</v>
      </c>
      <c r="C133">
        <f>YEAR(Table1[[#This Row],[OrderDate]])</f>
        <v>2024</v>
      </c>
      <c r="D133" s="9">
        <f>_xlfn.MINIFS(F:F,P:P,Table1[[#This Row],[Country]])</f>
        <v>44928</v>
      </c>
      <c r="E133" s="7">
        <f>DATEDIF(Table1[[#This Row],[first_time_orders]],Table1[[#This Row],[OrderDate]],"m")</f>
        <v>22</v>
      </c>
      <c r="F133" s="9">
        <v>45601</v>
      </c>
      <c r="G133" s="2" t="str">
        <f>TEXT(Table1[[#This Row],[OrderDate]],"MMM-YYYY")</f>
        <v>Nov-2024</v>
      </c>
      <c r="H133" s="7">
        <f>MONTH(Table1[[#This Row],[OrderDate]])</f>
        <v>11</v>
      </c>
      <c r="I133" s="7" t="str">
        <f>"Q"&amp;ROUNDUP(Table1[[#This Row],[months]]/3,0)&amp;"-"&amp;Table1[[#This Row],[order_year]]</f>
        <v>Q4-2024</v>
      </c>
      <c r="J133" s="7">
        <f>Table1[[#This Row],[RequiredDate]]-Table1[[#This Row],[OrderDate]]</f>
        <v>3</v>
      </c>
      <c r="K133" s="7">
        <f>IF(Table1[[#This Row],[lead_time]]&lt;0,MEDIAN(J:J),Table1[[#This Row],[lead_time]])</f>
        <v>3</v>
      </c>
      <c r="L133" s="7">
        <f>IF(Table1[[#This Row],[adj_lead_time]]&lt;=7,1,0)</f>
        <v>1</v>
      </c>
      <c r="M133" s="9">
        <v>45604</v>
      </c>
      <c r="N133" s="9">
        <f>IF(Table1[[#This Row],[lead_time]]&lt;0,(Table1[[#This Row],[OrderDate]]+Table1[[#This Row],[adj_lead_time]]),Table1[[#This Row],[RequiredDate]])</f>
        <v>45604</v>
      </c>
      <c r="O133" t="s">
        <v>648</v>
      </c>
      <c r="P133" t="s">
        <v>653</v>
      </c>
      <c r="Q133" t="s">
        <v>667</v>
      </c>
      <c r="R133" t="s">
        <v>702</v>
      </c>
      <c r="S133" t="s">
        <v>709</v>
      </c>
      <c r="T133" t="s">
        <v>719</v>
      </c>
      <c r="U133" t="s">
        <v>727</v>
      </c>
      <c r="V133" t="s">
        <v>1135</v>
      </c>
      <c r="W133">
        <v>1020.4</v>
      </c>
      <c r="X133">
        <f>Table1[[#This Row],[UnitCost]]*(1+'scenario modeling'!$B$3)</f>
        <v>1122.44</v>
      </c>
      <c r="Y133">
        <v>1184.71</v>
      </c>
      <c r="Z133" t="str">
        <f>IF(Table1[[#This Row],[UnitPrice]]&lt;=Quantiles!$B$2,Quantiles!$A$2,IF(Table1[[#This Row],[UnitPrice]]&lt;=Quantiles!$B$3,Quantiles!$A$3,Quantiles!$A$4))</f>
        <v>Medium</v>
      </c>
      <c r="AA133">
        <v>0.106</v>
      </c>
      <c r="AB133" s="5">
        <f>MIN(Table1[[#This Row],[DiscountPct]],'scenario modeling'!$B$2)</f>
        <v>0.1</v>
      </c>
      <c r="AC133" t="str">
        <f>IF(Table1[[#This Row],[DiscountPct]]&gt;0.3, "&gt;0.3","")</f>
        <v/>
      </c>
      <c r="AD133">
        <v>16</v>
      </c>
      <c r="AE133">
        <f>Table1[[#This Row],[Quantity]]*(1+'scenario modeling'!$B$4)</f>
        <v>19.2</v>
      </c>
      <c r="AF133">
        <f>Table1[[#This Row],[UnitCost]]*Table1[[#This Row],[Quantity]]</f>
        <v>16326.4</v>
      </c>
      <c r="AG133">
        <f>SUMIF($U:U,Table1[[#This Row],[ProductCategory]],$AM:AM)</f>
        <v>1545646.9975799995</v>
      </c>
      <c r="AH133">
        <f>SUMIFS($AM$2:AM133,$U$2:U133,U133)</f>
        <v>829557.07021999999</v>
      </c>
      <c r="AI133" s="5">
        <f>Table1[[#This Row],[Cumulative_revenue]]/Table1[[#This Row],[Category_revenue]]</f>
        <v>0.53670538714132487</v>
      </c>
      <c r="AJ133" t="str">
        <f>IF(Table1[[#This Row],[cumulative_pct]]&lt;=0.8,"A",IF(Table1[[#This Row],[cumulative_pct]]&lt;=0.95,"B","C"))</f>
        <v>A</v>
      </c>
      <c r="AK133">
        <f>Table1[[#This Row],[adj_unit_cost]]*Table1[[#This Row],[scenario_quantity]]</f>
        <v>21550.848000000002</v>
      </c>
      <c r="AL133" s="5">
        <f>Table1[[#This Row],[UnitPrice]]*Table1[[#This Row],[scenario_quantity]]*(1-Table1[[#This Row],[cap_adjusted_discount]])</f>
        <v>20471.788800000002</v>
      </c>
      <c r="AM133" s="5">
        <f>Table1[[#This Row],[UnitPrice]]*Table1[[#This Row],[Quantity]]*(1-Table1[[#This Row],[DiscountPct]])</f>
        <v>16946.091840000001</v>
      </c>
      <c r="AN133" s="5">
        <f>Table1[[#This Row],[gross_revenue]]-Table1[[#This Row],[cost_of_goods]]</f>
        <v>619.69184000000132</v>
      </c>
      <c r="AO133" s="5">
        <f>Table1[[#This Row],[scenario_revenue]]-Table1[[#This Row],[Scenario_unit_cost]]</f>
        <v>-1079.0591999999997</v>
      </c>
      <c r="AP133" s="5">
        <f>IF(Table1[[#This Row],[gross_revenue]]=0,0,Table1[[#This Row],[gross_profit]]/Table1[[#This Row],[gross_revenue]])</f>
        <v>3.6568422138328345E-2</v>
      </c>
    </row>
    <row r="134" spans="1:42" x14ac:dyDescent="0.35">
      <c r="A134" t="s">
        <v>45</v>
      </c>
      <c r="B134" t="str">
        <f>_xlfn.TEXTAFTER(Table1[[#This Row],[OrderID]],"-",2)</f>
        <v>170313</v>
      </c>
      <c r="C134">
        <f>YEAR(Table1[[#This Row],[OrderDate]])</f>
        <v>2024</v>
      </c>
      <c r="D134" s="9">
        <f>_xlfn.MINIFS(F:F,P:P,Table1[[#This Row],[Country]])</f>
        <v>44955</v>
      </c>
      <c r="E134" s="7">
        <f>DATEDIF(Table1[[#This Row],[first_time_orders]],Table1[[#This Row],[OrderDate]],"m")</f>
        <v>22</v>
      </c>
      <c r="F134" s="9">
        <v>45653</v>
      </c>
      <c r="G134" s="2" t="str">
        <f>TEXT(Table1[[#This Row],[OrderDate]],"MMM-YYYY")</f>
        <v>Dec-2024</v>
      </c>
      <c r="H134" s="7">
        <f>MONTH(Table1[[#This Row],[OrderDate]])</f>
        <v>12</v>
      </c>
      <c r="I134" s="7" t="str">
        <f>"Q"&amp;ROUNDUP(Table1[[#This Row],[months]]/3,0)&amp;"-"&amp;Table1[[#This Row],[order_year]]</f>
        <v>Q4-2024</v>
      </c>
      <c r="J134" s="7">
        <f>Table1[[#This Row],[RequiredDate]]-Table1[[#This Row],[OrderDate]]</f>
        <v>19</v>
      </c>
      <c r="K134" s="7">
        <f>IF(Table1[[#This Row],[lead_time]]&lt;0,MEDIAN(J:J),Table1[[#This Row],[lead_time]])</f>
        <v>19</v>
      </c>
      <c r="L134" s="7">
        <f>IF(Table1[[#This Row],[adj_lead_time]]&lt;=7,1,0)</f>
        <v>0</v>
      </c>
      <c r="M134" s="9">
        <v>45672</v>
      </c>
      <c r="N134" s="9">
        <f>IF(Table1[[#This Row],[lead_time]]&lt;0,(Table1[[#This Row],[OrderDate]]+Table1[[#This Row],[adj_lead_time]]),Table1[[#This Row],[RequiredDate]])</f>
        <v>45672</v>
      </c>
      <c r="O134" t="s">
        <v>647</v>
      </c>
      <c r="P134" t="s">
        <v>654</v>
      </c>
      <c r="Q134" t="s">
        <v>680</v>
      </c>
      <c r="R134" t="s">
        <v>703</v>
      </c>
      <c r="S134" t="s">
        <v>710</v>
      </c>
      <c r="T134" t="s">
        <v>715</v>
      </c>
      <c r="U134" t="s">
        <v>727</v>
      </c>
      <c r="V134" t="s">
        <v>764</v>
      </c>
      <c r="W134">
        <v>495.59</v>
      </c>
      <c r="X134">
        <f>Table1[[#This Row],[UnitCost]]*(1+'scenario modeling'!$B$3)</f>
        <v>545.149</v>
      </c>
      <c r="Y134">
        <v>631.78</v>
      </c>
      <c r="Z134" t="str">
        <f>IF(Table1[[#This Row],[UnitPrice]]&lt;=Quantiles!$B$2,Quantiles!$A$2,IF(Table1[[#This Row],[UnitPrice]]&lt;=Quantiles!$B$3,Quantiles!$A$3,Quantiles!$A$4))</f>
        <v>Low</v>
      </c>
      <c r="AA134">
        <v>8.6999999999999994E-2</v>
      </c>
      <c r="AB134" s="5">
        <f>MIN(Table1[[#This Row],[DiscountPct]],'scenario modeling'!$B$2)</f>
        <v>8.6999999999999994E-2</v>
      </c>
      <c r="AC134" t="str">
        <f>IF(Table1[[#This Row],[DiscountPct]]&gt;0.3, "&gt;0.3","")</f>
        <v/>
      </c>
      <c r="AD134">
        <v>17</v>
      </c>
      <c r="AE134">
        <f>Table1[[#This Row],[Quantity]]*(1+'scenario modeling'!$B$4)</f>
        <v>20.399999999999999</v>
      </c>
      <c r="AF134">
        <f>Table1[[#This Row],[UnitCost]]*Table1[[#This Row],[Quantity]]</f>
        <v>8425.0299999999988</v>
      </c>
      <c r="AG134">
        <f>SUMIF($U:U,Table1[[#This Row],[ProductCategory]],$AM:AM)</f>
        <v>1545646.9975799995</v>
      </c>
      <c r="AH134">
        <f>SUMIFS($AM$2:AM134,$U$2:U134,U134)</f>
        <v>839362.92760000005</v>
      </c>
      <c r="AI134" s="5">
        <f>Table1[[#This Row],[Cumulative_revenue]]/Table1[[#This Row],[Category_revenue]]</f>
        <v>0.54304956365468982</v>
      </c>
      <c r="AJ134" t="str">
        <f>IF(Table1[[#This Row],[cumulative_pct]]&lt;=0.8,"A",IF(Table1[[#This Row],[cumulative_pct]]&lt;=0.95,"B","C"))</f>
        <v>A</v>
      </c>
      <c r="AK134">
        <f>Table1[[#This Row],[adj_unit_cost]]*Table1[[#This Row],[scenario_quantity]]</f>
        <v>11121.0396</v>
      </c>
      <c r="AL134" s="5">
        <f>Table1[[#This Row],[UnitPrice]]*Table1[[#This Row],[scenario_quantity]]*(1-Table1[[#This Row],[cap_adjusted_discount]])</f>
        <v>11767.028855999999</v>
      </c>
      <c r="AM134" s="5">
        <f>Table1[[#This Row],[UnitPrice]]*Table1[[#This Row],[Quantity]]*(1-Table1[[#This Row],[DiscountPct]])</f>
        <v>9805.8573800000013</v>
      </c>
      <c r="AN134" s="5">
        <f>Table1[[#This Row],[gross_revenue]]-Table1[[#This Row],[cost_of_goods]]</f>
        <v>1380.8273800000024</v>
      </c>
      <c r="AO134" s="5">
        <f>Table1[[#This Row],[scenario_revenue]]-Table1[[#This Row],[Scenario_unit_cost]]</f>
        <v>645.98925599999893</v>
      </c>
      <c r="AP134" s="5">
        <f>IF(Table1[[#This Row],[gross_revenue]]=0,0,Table1[[#This Row],[gross_profit]]/Table1[[#This Row],[gross_revenue]])</f>
        <v>0.14081658813601899</v>
      </c>
    </row>
    <row r="135" spans="1:42" x14ac:dyDescent="0.35">
      <c r="A135" t="s">
        <v>499</v>
      </c>
      <c r="B135" t="str">
        <f>_xlfn.TEXTAFTER(Table1[[#This Row],[OrderID]],"-",2)</f>
        <v>382152</v>
      </c>
      <c r="C135">
        <f>YEAR(Table1[[#This Row],[OrderDate]])</f>
        <v>2024</v>
      </c>
      <c r="D135" s="9">
        <f>_xlfn.MINIFS(F:F,P:P,Table1[[#This Row],[Country]])</f>
        <v>44936</v>
      </c>
      <c r="E135" s="7">
        <f>DATEDIF(Table1[[#This Row],[first_time_orders]],Table1[[#This Row],[OrderDate]],"m")</f>
        <v>22</v>
      </c>
      <c r="F135" s="9">
        <v>45634</v>
      </c>
      <c r="G135" s="2" t="str">
        <f>TEXT(Table1[[#This Row],[OrderDate]],"MMM-YYYY")</f>
        <v>Dec-2024</v>
      </c>
      <c r="H135" s="7">
        <f>MONTH(Table1[[#This Row],[OrderDate]])</f>
        <v>12</v>
      </c>
      <c r="I135" s="7" t="str">
        <f>"Q"&amp;ROUNDUP(Table1[[#This Row],[months]]/3,0)&amp;"-"&amp;Table1[[#This Row],[order_year]]</f>
        <v>Q4-2024</v>
      </c>
      <c r="J135" s="7">
        <f>Table1[[#This Row],[RequiredDate]]-Table1[[#This Row],[OrderDate]]</f>
        <v>0</v>
      </c>
      <c r="K135" s="7">
        <f>IF(Table1[[#This Row],[lead_time]]&lt;0,MEDIAN(J:J),Table1[[#This Row],[lead_time]])</f>
        <v>0</v>
      </c>
      <c r="L135" s="7">
        <f>IF(Table1[[#This Row],[adj_lead_time]]&lt;=7,1,0)</f>
        <v>1</v>
      </c>
      <c r="M135" s="9">
        <v>45634</v>
      </c>
      <c r="N135" s="9">
        <f>IF(Table1[[#This Row],[lead_time]]&lt;0,(Table1[[#This Row],[OrderDate]]+Table1[[#This Row],[adj_lead_time]]),Table1[[#This Row],[RequiredDate]])</f>
        <v>45634</v>
      </c>
      <c r="O135" t="s">
        <v>649</v>
      </c>
      <c r="P135" t="s">
        <v>657</v>
      </c>
      <c r="Q135" t="s">
        <v>679</v>
      </c>
      <c r="R135" t="s">
        <v>706</v>
      </c>
      <c r="S135" t="s">
        <v>707</v>
      </c>
      <c r="T135" t="s">
        <v>722</v>
      </c>
      <c r="U135" t="s">
        <v>727</v>
      </c>
      <c r="V135" t="s">
        <v>1218</v>
      </c>
      <c r="W135">
        <v>257.44</v>
      </c>
      <c r="X135">
        <f>Table1[[#This Row],[UnitCost]]*(1+'scenario modeling'!$B$3)</f>
        <v>283.18400000000003</v>
      </c>
      <c r="Y135">
        <v>290.33</v>
      </c>
      <c r="Z135" t="str">
        <f>IF(Table1[[#This Row],[UnitPrice]]&lt;=Quantiles!$B$2,Quantiles!$A$2,IF(Table1[[#This Row],[UnitPrice]]&lt;=Quantiles!$B$3,Quantiles!$A$3,Quantiles!$A$4))</f>
        <v>Low</v>
      </c>
      <c r="AA135">
        <v>9.1999999999999998E-2</v>
      </c>
      <c r="AB135" s="5">
        <f>MIN(Table1[[#This Row],[DiscountPct]],'scenario modeling'!$B$2)</f>
        <v>9.1999999999999998E-2</v>
      </c>
      <c r="AC135" t="str">
        <f>IF(Table1[[#This Row],[DiscountPct]]&gt;0.3, "&gt;0.3","")</f>
        <v/>
      </c>
      <c r="AD135">
        <v>23</v>
      </c>
      <c r="AE135">
        <f>Table1[[#This Row],[Quantity]]*(1+'scenario modeling'!$B$4)</f>
        <v>27.599999999999998</v>
      </c>
      <c r="AF135">
        <f>Table1[[#This Row],[UnitCost]]*Table1[[#This Row],[Quantity]]</f>
        <v>5921.12</v>
      </c>
      <c r="AG135">
        <f>SUMIF($U:U,Table1[[#This Row],[ProductCategory]],$AM:AM)</f>
        <v>1545646.9975799995</v>
      </c>
      <c r="AH135">
        <f>SUMIFS($AM$2:AM135,$U$2:U135,U135)</f>
        <v>845426.17932</v>
      </c>
      <c r="AI135" s="5">
        <f>Table1[[#This Row],[Cumulative_revenue]]/Table1[[#This Row],[Category_revenue]]</f>
        <v>0.54697235568255453</v>
      </c>
      <c r="AJ135" t="str">
        <f>IF(Table1[[#This Row],[cumulative_pct]]&lt;=0.8,"A",IF(Table1[[#This Row],[cumulative_pct]]&lt;=0.95,"B","C"))</f>
        <v>A</v>
      </c>
      <c r="AK135">
        <f>Table1[[#This Row],[adj_unit_cost]]*Table1[[#This Row],[scenario_quantity]]</f>
        <v>7815.8784000000005</v>
      </c>
      <c r="AL135" s="5">
        <f>Table1[[#This Row],[UnitPrice]]*Table1[[#This Row],[scenario_quantity]]*(1-Table1[[#This Row],[cap_adjusted_discount]])</f>
        <v>7275.9020639999999</v>
      </c>
      <c r="AM135" s="5">
        <f>Table1[[#This Row],[UnitPrice]]*Table1[[#This Row],[Quantity]]*(1-Table1[[#This Row],[DiscountPct]])</f>
        <v>6063.2517199999993</v>
      </c>
      <c r="AN135" s="5">
        <f>Table1[[#This Row],[gross_revenue]]-Table1[[#This Row],[cost_of_goods]]</f>
        <v>142.1317199999994</v>
      </c>
      <c r="AO135" s="5">
        <f>Table1[[#This Row],[scenario_revenue]]-Table1[[#This Row],[Scenario_unit_cost]]</f>
        <v>-539.97633600000063</v>
      </c>
      <c r="AP135" s="5">
        <f>IF(Table1[[#This Row],[gross_revenue]]=0,0,Table1[[#This Row],[gross_profit]]/Table1[[#This Row],[gross_revenue]])</f>
        <v>2.3441500792581216E-2</v>
      </c>
    </row>
    <row r="136" spans="1:42" x14ac:dyDescent="0.35">
      <c r="A136" t="s">
        <v>418</v>
      </c>
      <c r="B136" t="str">
        <f>_xlfn.TEXTAFTER(Table1[[#This Row],[OrderID]],"-",2)</f>
        <v>909340</v>
      </c>
      <c r="C136">
        <f>YEAR(Table1[[#This Row],[OrderDate]])</f>
        <v>2025</v>
      </c>
      <c r="D136" s="9">
        <f>_xlfn.MINIFS(F:F,P:P,Table1[[#This Row],[Country]])</f>
        <v>44955</v>
      </c>
      <c r="E136" s="7">
        <f>DATEDIF(Table1[[#This Row],[first_time_orders]],Table1[[#This Row],[OrderDate]],"m")</f>
        <v>23</v>
      </c>
      <c r="F136" s="9">
        <v>45677</v>
      </c>
      <c r="G136" s="2" t="str">
        <f>TEXT(Table1[[#This Row],[OrderDate]],"MMM-YYYY")</f>
        <v>Jan-2025</v>
      </c>
      <c r="H136" s="7">
        <f>MONTH(Table1[[#This Row],[OrderDate]])</f>
        <v>1</v>
      </c>
      <c r="I136" s="7" t="str">
        <f>"Q"&amp;ROUNDUP(Table1[[#This Row],[months]]/3,0)&amp;"-"&amp;Table1[[#This Row],[order_year]]</f>
        <v>Q1-2025</v>
      </c>
      <c r="J136" s="7">
        <f>Table1[[#This Row],[RequiredDate]]-Table1[[#This Row],[OrderDate]]</f>
        <v>14</v>
      </c>
      <c r="K136" s="7">
        <f>IF(Table1[[#This Row],[lead_time]]&lt;0,MEDIAN(J:J),Table1[[#This Row],[lead_time]])</f>
        <v>14</v>
      </c>
      <c r="L136" s="7">
        <f>IF(Table1[[#This Row],[adj_lead_time]]&lt;=7,1,0)</f>
        <v>0</v>
      </c>
      <c r="M136" s="9">
        <v>45691</v>
      </c>
      <c r="N136" s="9">
        <f>IF(Table1[[#This Row],[lead_time]]&lt;0,(Table1[[#This Row],[OrderDate]]+Table1[[#This Row],[adj_lead_time]]),Table1[[#This Row],[RequiredDate]])</f>
        <v>45691</v>
      </c>
      <c r="O136" t="s">
        <v>648</v>
      </c>
      <c r="P136" t="s">
        <v>655</v>
      </c>
      <c r="Q136" t="s">
        <v>672</v>
      </c>
      <c r="R136" t="s">
        <v>706</v>
      </c>
      <c r="S136" t="s">
        <v>709</v>
      </c>
      <c r="T136" t="s">
        <v>721</v>
      </c>
      <c r="U136" t="s">
        <v>727</v>
      </c>
      <c r="V136" t="s">
        <v>1137</v>
      </c>
      <c r="W136">
        <v>974.11</v>
      </c>
      <c r="X136">
        <f>Table1[[#This Row],[UnitCost]]*(1+'scenario modeling'!$B$3)</f>
        <v>1071.5210000000002</v>
      </c>
      <c r="Y136">
        <v>880.99</v>
      </c>
      <c r="Z136" t="str">
        <f>IF(Table1[[#This Row],[UnitPrice]]&lt;=Quantiles!$B$2,Quantiles!$A$2,IF(Table1[[#This Row],[UnitPrice]]&lt;=Quantiles!$B$3,Quantiles!$A$3,Quantiles!$A$4))</f>
        <v>Medium</v>
      </c>
      <c r="AA136">
        <v>0.111</v>
      </c>
      <c r="AB136" s="5">
        <f>MIN(Table1[[#This Row],[DiscountPct]],'scenario modeling'!$B$2)</f>
        <v>0.1</v>
      </c>
      <c r="AC136" t="str">
        <f>IF(Table1[[#This Row],[DiscountPct]]&gt;0.3, "&gt;0.3","")</f>
        <v/>
      </c>
      <c r="AD136">
        <v>10</v>
      </c>
      <c r="AE136">
        <f>Table1[[#This Row],[Quantity]]*(1+'scenario modeling'!$B$4)</f>
        <v>12</v>
      </c>
      <c r="AF136">
        <f>Table1[[#This Row],[UnitCost]]*Table1[[#This Row],[Quantity]]</f>
        <v>9741.1</v>
      </c>
      <c r="AG136">
        <f>SUMIF($U:U,Table1[[#This Row],[ProductCategory]],$AM:AM)</f>
        <v>1545646.9975799995</v>
      </c>
      <c r="AH136">
        <f>SUMIFS($AM$2:AM136,$U$2:U136,U136)</f>
        <v>853258.18041999999</v>
      </c>
      <c r="AI136" s="5">
        <f>Table1[[#This Row],[Cumulative_revenue]]/Table1[[#This Row],[Category_revenue]]</f>
        <v>0.55203949010086772</v>
      </c>
      <c r="AJ136" t="str">
        <f>IF(Table1[[#This Row],[cumulative_pct]]&lt;=0.8,"A",IF(Table1[[#This Row],[cumulative_pct]]&lt;=0.95,"B","C"))</f>
        <v>A</v>
      </c>
      <c r="AK136">
        <f>Table1[[#This Row],[adj_unit_cost]]*Table1[[#This Row],[scenario_quantity]]</f>
        <v>12858.252000000002</v>
      </c>
      <c r="AL136" s="5">
        <f>Table1[[#This Row],[UnitPrice]]*Table1[[#This Row],[scenario_quantity]]*(1-Table1[[#This Row],[cap_adjusted_discount]])</f>
        <v>9514.6920000000009</v>
      </c>
      <c r="AM136" s="5">
        <f>Table1[[#This Row],[UnitPrice]]*Table1[[#This Row],[Quantity]]*(1-Table1[[#This Row],[DiscountPct]])</f>
        <v>7832.0010999999995</v>
      </c>
      <c r="AN136" s="5">
        <f>Table1[[#This Row],[gross_revenue]]-Table1[[#This Row],[cost_of_goods]]</f>
        <v>-1909.0989000000009</v>
      </c>
      <c r="AO136" s="5">
        <f>Table1[[#This Row],[scenario_revenue]]-Table1[[#This Row],[Scenario_unit_cost]]</f>
        <v>-3343.5600000000013</v>
      </c>
      <c r="AP136" s="5">
        <f>IF(Table1[[#This Row],[gross_revenue]]=0,0,Table1[[#This Row],[gross_profit]]/Table1[[#This Row],[gross_revenue]])</f>
        <v>-0.2437562093805121</v>
      </c>
    </row>
    <row r="137" spans="1:42" x14ac:dyDescent="0.35">
      <c r="A137" t="s">
        <v>151</v>
      </c>
      <c r="B137" t="str">
        <f>_xlfn.TEXTAFTER(Table1[[#This Row],[OrderID]],"-",2)</f>
        <v>836421</v>
      </c>
      <c r="C137">
        <f>YEAR(Table1[[#This Row],[OrderDate]])</f>
        <v>2024</v>
      </c>
      <c r="D137" s="9">
        <f>_xlfn.MINIFS(F:F,P:P,Table1[[#This Row],[Country]])</f>
        <v>44938</v>
      </c>
      <c r="E137" s="7">
        <f>DATEDIF(Table1[[#This Row],[first_time_orders]],Table1[[#This Row],[OrderDate]],"m")</f>
        <v>23</v>
      </c>
      <c r="F137" s="9">
        <v>45640</v>
      </c>
      <c r="G137" s="2" t="str">
        <f>TEXT(Table1[[#This Row],[OrderDate]],"MMM-YYYY")</f>
        <v>Dec-2024</v>
      </c>
      <c r="H137" s="7">
        <f>MONTH(Table1[[#This Row],[OrderDate]])</f>
        <v>12</v>
      </c>
      <c r="I137" s="7" t="str">
        <f>"Q"&amp;ROUNDUP(Table1[[#This Row],[months]]/3,0)&amp;"-"&amp;Table1[[#This Row],[order_year]]</f>
        <v>Q4-2024</v>
      </c>
      <c r="J137" s="7">
        <f>Table1[[#This Row],[RequiredDate]]-Table1[[#This Row],[OrderDate]]</f>
        <v>29</v>
      </c>
      <c r="K137" s="7">
        <f>IF(Table1[[#This Row],[lead_time]]&lt;0,MEDIAN(J:J),Table1[[#This Row],[lead_time]])</f>
        <v>29</v>
      </c>
      <c r="L137" s="7">
        <f>IF(Table1[[#This Row],[adj_lead_time]]&lt;=7,1,0)</f>
        <v>0</v>
      </c>
      <c r="M137" s="9">
        <v>45669</v>
      </c>
      <c r="N137" s="9">
        <f>IF(Table1[[#This Row],[lead_time]]&lt;0,(Table1[[#This Row],[OrderDate]]+Table1[[#This Row],[adj_lead_time]]),Table1[[#This Row],[RequiredDate]])</f>
        <v>45669</v>
      </c>
      <c r="O137" t="s">
        <v>647</v>
      </c>
      <c r="P137" t="s">
        <v>659</v>
      </c>
      <c r="Q137" t="s">
        <v>676</v>
      </c>
      <c r="R137" t="s">
        <v>702</v>
      </c>
      <c r="S137" t="s">
        <v>708</v>
      </c>
      <c r="T137" t="s">
        <v>713</v>
      </c>
      <c r="U137" t="s">
        <v>727</v>
      </c>
      <c r="V137" t="s">
        <v>870</v>
      </c>
      <c r="W137">
        <v>1412.15</v>
      </c>
      <c r="X137">
        <f>Table1[[#This Row],[UnitCost]]*(1+'scenario modeling'!$B$3)</f>
        <v>1553.3650000000002</v>
      </c>
      <c r="Y137">
        <v>1631.04</v>
      </c>
      <c r="Z137" t="str">
        <f>IF(Table1[[#This Row],[UnitPrice]]&lt;=Quantiles!$B$2,Quantiles!$A$2,IF(Table1[[#This Row],[UnitPrice]]&lt;=Quantiles!$B$3,Quantiles!$A$3,Quantiles!$A$4))</f>
        <v>Medium</v>
      </c>
      <c r="AA137">
        <v>8.9999999999999993E-3</v>
      </c>
      <c r="AB137" s="5">
        <f>MIN(Table1[[#This Row],[DiscountPct]],'scenario modeling'!$B$2)</f>
        <v>8.9999999999999993E-3</v>
      </c>
      <c r="AC137" t="str">
        <f>IF(Table1[[#This Row],[DiscountPct]]&gt;0.3, "&gt;0.3","")</f>
        <v/>
      </c>
      <c r="AD137">
        <v>6</v>
      </c>
      <c r="AE137">
        <f>Table1[[#This Row],[Quantity]]*(1+'scenario modeling'!$B$4)</f>
        <v>7.1999999999999993</v>
      </c>
      <c r="AF137">
        <f>Table1[[#This Row],[UnitCost]]*Table1[[#This Row],[Quantity]]</f>
        <v>8472.9000000000015</v>
      </c>
      <c r="AG137">
        <f>SUMIF($U:U,Table1[[#This Row],[ProductCategory]],$AM:AM)</f>
        <v>1545646.9975799995</v>
      </c>
      <c r="AH137">
        <f>SUMIFS($AM$2:AM137,$U$2:U137,U137)</f>
        <v>862956.34426000004</v>
      </c>
      <c r="AI137" s="5">
        <f>Table1[[#This Row],[Cumulative_revenue]]/Table1[[#This Row],[Category_revenue]]</f>
        <v>0.55831399123546332</v>
      </c>
      <c r="AJ137" t="str">
        <f>IF(Table1[[#This Row],[cumulative_pct]]&lt;=0.8,"A",IF(Table1[[#This Row],[cumulative_pct]]&lt;=0.95,"B","C"))</f>
        <v>A</v>
      </c>
      <c r="AK137">
        <f>Table1[[#This Row],[adj_unit_cost]]*Table1[[#This Row],[scenario_quantity]]</f>
        <v>11184.228000000001</v>
      </c>
      <c r="AL137" s="5">
        <f>Table1[[#This Row],[UnitPrice]]*Table1[[#This Row],[scenario_quantity]]*(1-Table1[[#This Row],[cap_adjusted_discount]])</f>
        <v>11637.796607999999</v>
      </c>
      <c r="AM137" s="5">
        <f>Table1[[#This Row],[UnitPrice]]*Table1[[#This Row],[Quantity]]*(1-Table1[[#This Row],[DiscountPct]])</f>
        <v>9698.1638399999993</v>
      </c>
      <c r="AN137" s="5">
        <f>Table1[[#This Row],[gross_revenue]]-Table1[[#This Row],[cost_of_goods]]</f>
        <v>1225.2638399999978</v>
      </c>
      <c r="AO137" s="5">
        <f>Table1[[#This Row],[scenario_revenue]]-Table1[[#This Row],[Scenario_unit_cost]]</f>
        <v>453.56860799999777</v>
      </c>
      <c r="AP137" s="5">
        <f>IF(Table1[[#This Row],[gross_revenue]]=0,0,Table1[[#This Row],[gross_profit]]/Table1[[#This Row],[gross_revenue]])</f>
        <v>0.12633977526203535</v>
      </c>
    </row>
    <row r="138" spans="1:42" x14ac:dyDescent="0.35">
      <c r="A138" t="s">
        <v>528</v>
      </c>
      <c r="B138" t="str">
        <f>_xlfn.TEXTAFTER(Table1[[#This Row],[OrderID]],"-",2)</f>
        <v>137394</v>
      </c>
      <c r="C138">
        <f>YEAR(Table1[[#This Row],[OrderDate]])</f>
        <v>2025</v>
      </c>
      <c r="D138" s="9">
        <f>_xlfn.MINIFS(F:F,P:P,Table1[[#This Row],[Country]])</f>
        <v>44955</v>
      </c>
      <c r="E138" s="7">
        <f>DATEDIF(Table1[[#This Row],[first_time_orders]],Table1[[#This Row],[OrderDate]],"m")</f>
        <v>23</v>
      </c>
      <c r="F138" s="9">
        <v>45661</v>
      </c>
      <c r="G138" s="2" t="str">
        <f>TEXT(Table1[[#This Row],[OrderDate]],"MMM-YYYY")</f>
        <v>Jan-2025</v>
      </c>
      <c r="H138" s="7">
        <f>MONTH(Table1[[#This Row],[OrderDate]])</f>
        <v>1</v>
      </c>
      <c r="I138" s="7" t="str">
        <f>"Q"&amp;ROUNDUP(Table1[[#This Row],[months]]/3,0)&amp;"-"&amp;Table1[[#This Row],[order_year]]</f>
        <v>Q1-2025</v>
      </c>
      <c r="J138" s="7">
        <f>Table1[[#This Row],[RequiredDate]]-Table1[[#This Row],[OrderDate]]</f>
        <v>1</v>
      </c>
      <c r="K138" s="7">
        <f>IF(Table1[[#This Row],[lead_time]]&lt;0,MEDIAN(J:J),Table1[[#This Row],[lead_time]])</f>
        <v>1</v>
      </c>
      <c r="L138" s="7">
        <f>IF(Table1[[#This Row],[adj_lead_time]]&lt;=7,1,0)</f>
        <v>1</v>
      </c>
      <c r="M138" s="9">
        <v>45662</v>
      </c>
      <c r="N138" s="9">
        <f>IF(Table1[[#This Row],[lead_time]]&lt;0,(Table1[[#This Row],[OrderDate]]+Table1[[#This Row],[adj_lead_time]]),Table1[[#This Row],[RequiredDate]])</f>
        <v>45662</v>
      </c>
      <c r="O138" t="s">
        <v>647</v>
      </c>
      <c r="P138" t="s">
        <v>654</v>
      </c>
      <c r="Q138" t="s">
        <v>680</v>
      </c>
      <c r="R138" t="s">
        <v>702</v>
      </c>
      <c r="S138" t="s">
        <v>707</v>
      </c>
      <c r="T138" t="s">
        <v>714</v>
      </c>
      <c r="U138" t="s">
        <v>727</v>
      </c>
      <c r="V138" t="s">
        <v>1247</v>
      </c>
      <c r="W138">
        <v>1428.33</v>
      </c>
      <c r="X138">
        <f>Table1[[#This Row],[UnitCost]]*(1+'scenario modeling'!$B$3)</f>
        <v>1571.163</v>
      </c>
      <c r="Y138">
        <v>3028.05</v>
      </c>
      <c r="Z138" t="str">
        <f>IF(Table1[[#This Row],[UnitPrice]]&lt;=Quantiles!$B$2,Quantiles!$A$2,IF(Table1[[#This Row],[UnitPrice]]&lt;=Quantiles!$B$3,Quantiles!$A$3,Quantiles!$A$4))</f>
        <v>High</v>
      </c>
      <c r="AA138">
        <v>0</v>
      </c>
      <c r="AB138" s="5">
        <f>MIN(Table1[[#This Row],[DiscountPct]],'scenario modeling'!$B$2)</f>
        <v>0</v>
      </c>
      <c r="AC138" t="str">
        <f>IF(Table1[[#This Row],[DiscountPct]]&gt;0.3, "&gt;0.3","")</f>
        <v/>
      </c>
      <c r="AD138">
        <v>11</v>
      </c>
      <c r="AE138">
        <f>Table1[[#This Row],[Quantity]]*(1+'scenario modeling'!$B$4)</f>
        <v>13.2</v>
      </c>
      <c r="AF138">
        <f>Table1[[#This Row],[UnitCost]]*Table1[[#This Row],[Quantity]]</f>
        <v>15711.63</v>
      </c>
      <c r="AG138">
        <f>SUMIF($U:U,Table1[[#This Row],[ProductCategory]],$AM:AM)</f>
        <v>1545646.9975799995</v>
      </c>
      <c r="AH138">
        <f>SUMIFS($AM$2:AM138,$U$2:U138,U138)</f>
        <v>896264.89426000009</v>
      </c>
      <c r="AI138" s="5">
        <f>Table1[[#This Row],[Cumulative_revenue]]/Table1[[#This Row],[Category_revenue]]</f>
        <v>0.57986389884835998</v>
      </c>
      <c r="AJ138" t="str">
        <f>IF(Table1[[#This Row],[cumulative_pct]]&lt;=0.8,"A",IF(Table1[[#This Row],[cumulative_pct]]&lt;=0.95,"B","C"))</f>
        <v>A</v>
      </c>
      <c r="AK138">
        <f>Table1[[#This Row],[adj_unit_cost]]*Table1[[#This Row],[scenario_quantity]]</f>
        <v>20739.351599999998</v>
      </c>
      <c r="AL138" s="5">
        <f>Table1[[#This Row],[UnitPrice]]*Table1[[#This Row],[scenario_quantity]]*(1-Table1[[#This Row],[cap_adjusted_discount]])</f>
        <v>39970.26</v>
      </c>
      <c r="AM138" s="5">
        <f>Table1[[#This Row],[UnitPrice]]*Table1[[#This Row],[Quantity]]*(1-Table1[[#This Row],[DiscountPct]])</f>
        <v>33308.550000000003</v>
      </c>
      <c r="AN138" s="5">
        <f>Table1[[#This Row],[gross_revenue]]-Table1[[#This Row],[cost_of_goods]]</f>
        <v>17596.920000000006</v>
      </c>
      <c r="AO138" s="5">
        <f>Table1[[#This Row],[scenario_revenue]]-Table1[[#This Row],[Scenario_unit_cost]]</f>
        <v>19230.908400000004</v>
      </c>
      <c r="AP138" s="5">
        <f>IF(Table1[[#This Row],[gross_revenue]]=0,0,Table1[[#This Row],[gross_profit]]/Table1[[#This Row],[gross_revenue]])</f>
        <v>0.52830039134096207</v>
      </c>
    </row>
    <row r="139" spans="1:42" x14ac:dyDescent="0.35">
      <c r="A139" t="s">
        <v>379</v>
      </c>
      <c r="B139" t="str">
        <f>_xlfn.TEXTAFTER(Table1[[#This Row],[OrderID]],"-",2)</f>
        <v>125517</v>
      </c>
      <c r="C139">
        <f>YEAR(Table1[[#This Row],[OrderDate]])</f>
        <v>2025</v>
      </c>
      <c r="D139" s="9">
        <f>_xlfn.MINIFS(F:F,P:P,Table1[[#This Row],[Country]])</f>
        <v>44988</v>
      </c>
      <c r="E139" s="7">
        <f>DATEDIF(Table1[[#This Row],[first_time_orders]],Table1[[#This Row],[OrderDate]],"m")</f>
        <v>24</v>
      </c>
      <c r="F139" s="9">
        <v>45737</v>
      </c>
      <c r="G139" s="2" t="str">
        <f>TEXT(Table1[[#This Row],[OrderDate]],"MMM-YYYY")</f>
        <v>Mar-2025</v>
      </c>
      <c r="H139" s="7">
        <f>MONTH(Table1[[#This Row],[OrderDate]])</f>
        <v>3</v>
      </c>
      <c r="I139" s="7" t="str">
        <f>"Q"&amp;ROUNDUP(Table1[[#This Row],[months]]/3,0)&amp;"-"&amp;Table1[[#This Row],[order_year]]</f>
        <v>Q1-2025</v>
      </c>
      <c r="J139" s="7">
        <f>Table1[[#This Row],[RequiredDate]]-Table1[[#This Row],[OrderDate]]</f>
        <v>19</v>
      </c>
      <c r="K139" s="7">
        <f>IF(Table1[[#This Row],[lead_time]]&lt;0,MEDIAN(J:J),Table1[[#This Row],[lead_time]])</f>
        <v>19</v>
      </c>
      <c r="L139" s="7">
        <f>IF(Table1[[#This Row],[adj_lead_time]]&lt;=7,1,0)</f>
        <v>0</v>
      </c>
      <c r="M139" s="9">
        <v>45756</v>
      </c>
      <c r="N139" s="9">
        <f>IF(Table1[[#This Row],[lead_time]]&lt;0,(Table1[[#This Row],[OrderDate]]+Table1[[#This Row],[adj_lead_time]]),Table1[[#This Row],[RequiredDate]])</f>
        <v>45756</v>
      </c>
      <c r="O139" t="s">
        <v>647</v>
      </c>
      <c r="P139" t="s">
        <v>652</v>
      </c>
      <c r="Q139" t="s">
        <v>689</v>
      </c>
      <c r="R139" t="s">
        <v>705</v>
      </c>
      <c r="S139" t="s">
        <v>710</v>
      </c>
      <c r="T139" t="s">
        <v>718</v>
      </c>
      <c r="U139" t="s">
        <v>727</v>
      </c>
      <c r="V139" t="s">
        <v>1099</v>
      </c>
      <c r="W139">
        <v>1055.45</v>
      </c>
      <c r="X139">
        <f>Table1[[#This Row],[UnitCost]]*(1+'scenario modeling'!$B$3)</f>
        <v>1160.9950000000001</v>
      </c>
      <c r="Y139">
        <v>1210.04</v>
      </c>
      <c r="Z139" t="str">
        <f>IF(Table1[[#This Row],[UnitPrice]]&lt;=Quantiles!$B$2,Quantiles!$A$2,IF(Table1[[#This Row],[UnitPrice]]&lt;=Quantiles!$B$3,Quantiles!$A$3,Quantiles!$A$4))</f>
        <v>Medium</v>
      </c>
      <c r="AA139">
        <v>8.9999999999999993E-3</v>
      </c>
      <c r="AB139" s="5">
        <f>MIN(Table1[[#This Row],[DiscountPct]],'scenario modeling'!$B$2)</f>
        <v>8.9999999999999993E-3</v>
      </c>
      <c r="AC139" t="str">
        <f>IF(Table1[[#This Row],[DiscountPct]]&gt;0.3, "&gt;0.3","")</f>
        <v/>
      </c>
      <c r="AD139">
        <v>18</v>
      </c>
      <c r="AE139">
        <f>Table1[[#This Row],[Quantity]]*(1+'scenario modeling'!$B$4)</f>
        <v>21.599999999999998</v>
      </c>
      <c r="AF139">
        <f>Table1[[#This Row],[UnitCost]]*Table1[[#This Row],[Quantity]]</f>
        <v>18998.100000000002</v>
      </c>
      <c r="AG139">
        <f>SUMIF($U:U,Table1[[#This Row],[ProductCategory]],$AM:AM)</f>
        <v>1545646.9975799995</v>
      </c>
      <c r="AH139">
        <f>SUMIFS($AM$2:AM139,$U$2:U139,U139)</f>
        <v>917849.58778000006</v>
      </c>
      <c r="AI139" s="5">
        <f>Table1[[#This Row],[Cumulative_revenue]]/Table1[[#This Row],[Category_revenue]]</f>
        <v>0.59382872623378158</v>
      </c>
      <c r="AJ139" t="str">
        <f>IF(Table1[[#This Row],[cumulative_pct]]&lt;=0.8,"A",IF(Table1[[#This Row],[cumulative_pct]]&lt;=0.95,"B","C"))</f>
        <v>A</v>
      </c>
      <c r="AK139">
        <f>Table1[[#This Row],[adj_unit_cost]]*Table1[[#This Row],[scenario_quantity]]</f>
        <v>25077.491999999998</v>
      </c>
      <c r="AL139" s="5">
        <f>Table1[[#This Row],[UnitPrice]]*Table1[[#This Row],[scenario_quantity]]*(1-Table1[[#This Row],[cap_adjusted_discount]])</f>
        <v>25901.632223999997</v>
      </c>
      <c r="AM139" s="5">
        <f>Table1[[#This Row],[UnitPrice]]*Table1[[#This Row],[Quantity]]*(1-Table1[[#This Row],[DiscountPct]])</f>
        <v>21584.693520000001</v>
      </c>
      <c r="AN139" s="5">
        <f>Table1[[#This Row],[gross_revenue]]-Table1[[#This Row],[cost_of_goods]]</f>
        <v>2586.5935199999985</v>
      </c>
      <c r="AO139" s="5">
        <f>Table1[[#This Row],[scenario_revenue]]-Table1[[#This Row],[Scenario_unit_cost]]</f>
        <v>824.14022399999885</v>
      </c>
      <c r="AP139" s="5">
        <f>IF(Table1[[#This Row],[gross_revenue]]=0,0,Table1[[#This Row],[gross_profit]]/Table1[[#This Row],[gross_revenue]])</f>
        <v>0.1198346188053727</v>
      </c>
    </row>
    <row r="140" spans="1:42" x14ac:dyDescent="0.35">
      <c r="A140" t="s">
        <v>394</v>
      </c>
      <c r="B140" t="str">
        <f>_xlfn.TEXTAFTER(Table1[[#This Row],[OrderID]],"-",2)</f>
        <v>192876</v>
      </c>
      <c r="C140">
        <f>YEAR(Table1[[#This Row],[OrderDate]])</f>
        <v>2025</v>
      </c>
      <c r="D140" s="9">
        <f>_xlfn.MINIFS(F:F,P:P,Table1[[#This Row],[Country]])</f>
        <v>44945</v>
      </c>
      <c r="E140" s="7">
        <f>DATEDIF(Table1[[#This Row],[first_time_orders]],Table1[[#This Row],[OrderDate]],"m")</f>
        <v>24</v>
      </c>
      <c r="F140" s="9">
        <v>45688</v>
      </c>
      <c r="G140" s="2" t="str">
        <f>TEXT(Table1[[#This Row],[OrderDate]],"MMM-YYYY")</f>
        <v>Jan-2025</v>
      </c>
      <c r="H140" s="7">
        <f>MONTH(Table1[[#This Row],[OrderDate]])</f>
        <v>1</v>
      </c>
      <c r="I140" s="7" t="str">
        <f>"Q"&amp;ROUNDUP(Table1[[#This Row],[months]]/3,0)&amp;"-"&amp;Table1[[#This Row],[order_year]]</f>
        <v>Q1-2025</v>
      </c>
      <c r="J140" s="7">
        <f>Table1[[#This Row],[RequiredDate]]-Table1[[#This Row],[OrderDate]]</f>
        <v>17</v>
      </c>
      <c r="K140" s="7">
        <f>IF(Table1[[#This Row],[lead_time]]&lt;0,MEDIAN(J:J),Table1[[#This Row],[lead_time]])</f>
        <v>17</v>
      </c>
      <c r="L140" s="7">
        <f>IF(Table1[[#This Row],[adj_lead_time]]&lt;=7,1,0)</f>
        <v>0</v>
      </c>
      <c r="M140" s="9">
        <v>45705</v>
      </c>
      <c r="N140" s="9">
        <f>IF(Table1[[#This Row],[lead_time]]&lt;0,(Table1[[#This Row],[OrderDate]]+Table1[[#This Row],[adj_lead_time]]),Table1[[#This Row],[RequiredDate]])</f>
        <v>45705</v>
      </c>
      <c r="O140" t="s">
        <v>649</v>
      </c>
      <c r="P140" t="s">
        <v>658</v>
      </c>
      <c r="Q140" t="s">
        <v>683</v>
      </c>
      <c r="R140" t="s">
        <v>706</v>
      </c>
      <c r="S140" t="s">
        <v>707</v>
      </c>
      <c r="T140" t="s">
        <v>722</v>
      </c>
      <c r="U140" t="s">
        <v>727</v>
      </c>
      <c r="V140" t="s">
        <v>812</v>
      </c>
      <c r="W140">
        <v>378.26</v>
      </c>
      <c r="X140">
        <f>Table1[[#This Row],[UnitCost]]*(1+'scenario modeling'!$B$3)</f>
        <v>416.08600000000001</v>
      </c>
      <c r="Y140">
        <v>541.55999999999995</v>
      </c>
      <c r="Z140" t="str">
        <f>IF(Table1[[#This Row],[UnitPrice]]&lt;=Quantiles!$B$2,Quantiles!$A$2,IF(Table1[[#This Row],[UnitPrice]]&lt;=Quantiles!$B$3,Quantiles!$A$3,Quantiles!$A$4))</f>
        <v>Low</v>
      </c>
      <c r="AA140">
        <v>0.16300000000000001</v>
      </c>
      <c r="AB140" s="5">
        <f>MIN(Table1[[#This Row],[DiscountPct]],'scenario modeling'!$B$2)</f>
        <v>0.1</v>
      </c>
      <c r="AC140" t="str">
        <f>IF(Table1[[#This Row],[DiscountPct]]&gt;0.3, "&gt;0.3","")</f>
        <v/>
      </c>
      <c r="AD140">
        <v>25</v>
      </c>
      <c r="AE140">
        <f>Table1[[#This Row],[Quantity]]*(1+'scenario modeling'!$B$4)</f>
        <v>30</v>
      </c>
      <c r="AF140">
        <f>Table1[[#This Row],[UnitCost]]*Table1[[#This Row],[Quantity]]</f>
        <v>9456.5</v>
      </c>
      <c r="AG140">
        <f>SUMIF($U:U,Table1[[#This Row],[ProductCategory]],$AM:AM)</f>
        <v>1545646.9975799995</v>
      </c>
      <c r="AH140">
        <f>SUMIFS($AM$2:AM140,$U$2:U140,U140)</f>
        <v>929181.7307800001</v>
      </c>
      <c r="AI140" s="5">
        <f>Table1[[#This Row],[Cumulative_revenue]]/Table1[[#This Row],[Category_revenue]]</f>
        <v>0.60116037635683217</v>
      </c>
      <c r="AJ140" t="str">
        <f>IF(Table1[[#This Row],[cumulative_pct]]&lt;=0.8,"A",IF(Table1[[#This Row],[cumulative_pct]]&lt;=0.95,"B","C"))</f>
        <v>A</v>
      </c>
      <c r="AK140">
        <f>Table1[[#This Row],[adj_unit_cost]]*Table1[[#This Row],[scenario_quantity]]</f>
        <v>12482.58</v>
      </c>
      <c r="AL140" s="5">
        <f>Table1[[#This Row],[UnitPrice]]*Table1[[#This Row],[scenario_quantity]]*(1-Table1[[#This Row],[cap_adjusted_discount]])</f>
        <v>14622.119999999999</v>
      </c>
      <c r="AM140" s="5">
        <f>Table1[[#This Row],[UnitPrice]]*Table1[[#This Row],[Quantity]]*(1-Table1[[#This Row],[DiscountPct]])</f>
        <v>11332.142999999998</v>
      </c>
      <c r="AN140" s="5">
        <f>Table1[[#This Row],[gross_revenue]]-Table1[[#This Row],[cost_of_goods]]</f>
        <v>1875.6429999999982</v>
      </c>
      <c r="AO140" s="5">
        <f>Table1[[#This Row],[scenario_revenue]]-Table1[[#This Row],[Scenario_unit_cost]]</f>
        <v>2139.5399999999991</v>
      </c>
      <c r="AP140" s="5">
        <f>IF(Table1[[#This Row],[gross_revenue]]=0,0,Table1[[#This Row],[gross_profit]]/Table1[[#This Row],[gross_revenue]])</f>
        <v>0.16551529573885526</v>
      </c>
    </row>
    <row r="141" spans="1:42" x14ac:dyDescent="0.35">
      <c r="A141" t="s">
        <v>27</v>
      </c>
      <c r="B141" t="str">
        <f>_xlfn.TEXTAFTER(Table1[[#This Row],[OrderID]],"-",2)</f>
        <v>487261</v>
      </c>
      <c r="C141">
        <f>YEAR(Table1[[#This Row],[OrderDate]])</f>
        <v>2025</v>
      </c>
      <c r="D141" s="9">
        <f>_xlfn.MINIFS(F:F,P:P,Table1[[#This Row],[Country]])</f>
        <v>44955</v>
      </c>
      <c r="E141" s="7">
        <f>DATEDIF(Table1[[#This Row],[first_time_orders]],Table1[[#This Row],[OrderDate]],"m")</f>
        <v>25</v>
      </c>
      <c r="F141" s="9">
        <v>45722</v>
      </c>
      <c r="G141" s="2" t="str">
        <f>TEXT(Table1[[#This Row],[OrderDate]],"MMM-YYYY")</f>
        <v>Mar-2025</v>
      </c>
      <c r="H141" s="7">
        <f>MONTH(Table1[[#This Row],[OrderDate]])</f>
        <v>3</v>
      </c>
      <c r="I141" s="7" t="str">
        <f>"Q"&amp;ROUNDUP(Table1[[#This Row],[months]]/3,0)&amp;"-"&amp;Table1[[#This Row],[order_year]]</f>
        <v>Q1-2025</v>
      </c>
      <c r="J141" s="7">
        <f>Table1[[#This Row],[RequiredDate]]-Table1[[#This Row],[OrderDate]]</f>
        <v>25</v>
      </c>
      <c r="K141" s="7">
        <f>IF(Table1[[#This Row],[lead_time]]&lt;0,MEDIAN(J:J),Table1[[#This Row],[lead_time]])</f>
        <v>25</v>
      </c>
      <c r="L141" s="7">
        <f>IF(Table1[[#This Row],[adj_lead_time]]&lt;=7,1,0)</f>
        <v>0</v>
      </c>
      <c r="M141" s="9">
        <v>45747</v>
      </c>
      <c r="N141" s="9">
        <f>IF(Table1[[#This Row],[lead_time]]&lt;0,(Table1[[#This Row],[OrderDate]]+Table1[[#This Row],[adj_lead_time]]),Table1[[#This Row],[RequiredDate]])</f>
        <v>45747</v>
      </c>
      <c r="O141" t="s">
        <v>648</v>
      </c>
      <c r="P141" t="s">
        <v>655</v>
      </c>
      <c r="Q141" t="s">
        <v>672</v>
      </c>
      <c r="R141" t="s">
        <v>703</v>
      </c>
      <c r="S141" t="s">
        <v>708</v>
      </c>
      <c r="T141" t="s">
        <v>713</v>
      </c>
      <c r="U141" t="s">
        <v>727</v>
      </c>
      <c r="V141" t="s">
        <v>746</v>
      </c>
      <c r="W141">
        <v>331.57</v>
      </c>
      <c r="X141">
        <f>Table1[[#This Row],[UnitCost]]*(1+'scenario modeling'!$B$3)</f>
        <v>364.72700000000003</v>
      </c>
      <c r="Y141">
        <v>548.4</v>
      </c>
      <c r="Z141" t="str">
        <f>IF(Table1[[#This Row],[UnitPrice]]&lt;=Quantiles!$B$2,Quantiles!$A$2,IF(Table1[[#This Row],[UnitPrice]]&lt;=Quantiles!$B$3,Quantiles!$A$3,Quantiles!$A$4))</f>
        <v>Low</v>
      </c>
      <c r="AA141">
        <v>9.4E-2</v>
      </c>
      <c r="AB141" s="5">
        <f>MIN(Table1[[#This Row],[DiscountPct]],'scenario modeling'!$B$2)</f>
        <v>9.4E-2</v>
      </c>
      <c r="AC141" t="str">
        <f>IF(Table1[[#This Row],[DiscountPct]]&gt;0.3, "&gt;0.3","")</f>
        <v/>
      </c>
      <c r="AD141">
        <v>10</v>
      </c>
      <c r="AE141">
        <f>Table1[[#This Row],[Quantity]]*(1+'scenario modeling'!$B$4)</f>
        <v>12</v>
      </c>
      <c r="AF141">
        <f>Table1[[#This Row],[UnitCost]]*Table1[[#This Row],[Quantity]]</f>
        <v>3315.7</v>
      </c>
      <c r="AG141">
        <f>SUMIF($U:U,Table1[[#This Row],[ProductCategory]],$AM:AM)</f>
        <v>1545646.9975799995</v>
      </c>
      <c r="AH141">
        <f>SUMIFS($AM$2:AM141,$U$2:U141,U141)</f>
        <v>934150.23478000006</v>
      </c>
      <c r="AI141" s="5">
        <f>Table1[[#This Row],[Cumulative_revenue]]/Table1[[#This Row],[Category_revenue]]</f>
        <v>0.60437489041326231</v>
      </c>
      <c r="AJ141" t="str">
        <f>IF(Table1[[#This Row],[cumulative_pct]]&lt;=0.8,"A",IF(Table1[[#This Row],[cumulative_pct]]&lt;=0.95,"B","C"))</f>
        <v>A</v>
      </c>
      <c r="AK141">
        <f>Table1[[#This Row],[adj_unit_cost]]*Table1[[#This Row],[scenario_quantity]]</f>
        <v>4376.7240000000002</v>
      </c>
      <c r="AL141" s="5">
        <f>Table1[[#This Row],[UnitPrice]]*Table1[[#This Row],[scenario_quantity]]*(1-Table1[[#This Row],[cap_adjusted_discount]])</f>
        <v>5962.2047999999995</v>
      </c>
      <c r="AM141" s="5">
        <f>Table1[[#This Row],[UnitPrice]]*Table1[[#This Row],[Quantity]]*(1-Table1[[#This Row],[DiscountPct]])</f>
        <v>4968.5039999999999</v>
      </c>
      <c r="AN141" s="5">
        <f>Table1[[#This Row],[gross_revenue]]-Table1[[#This Row],[cost_of_goods]]</f>
        <v>1652.8040000000001</v>
      </c>
      <c r="AO141" s="5">
        <f>Table1[[#This Row],[scenario_revenue]]-Table1[[#This Row],[Scenario_unit_cost]]</f>
        <v>1585.4807999999994</v>
      </c>
      <c r="AP141" s="5">
        <f>IF(Table1[[#This Row],[gross_revenue]]=0,0,Table1[[#This Row],[gross_profit]]/Table1[[#This Row],[gross_revenue]])</f>
        <v>0.33265626836568918</v>
      </c>
    </row>
    <row r="142" spans="1:42" x14ac:dyDescent="0.35">
      <c r="A142" t="s">
        <v>610</v>
      </c>
      <c r="B142" t="str">
        <f>_xlfn.TEXTAFTER(Table1[[#This Row],[OrderID]],"-",2)</f>
        <v>705398</v>
      </c>
      <c r="C142">
        <f>YEAR(Table1[[#This Row],[OrderDate]])</f>
        <v>2025</v>
      </c>
      <c r="D142" s="9">
        <f>_xlfn.MINIFS(F:F,P:P,Table1[[#This Row],[Country]])</f>
        <v>44928</v>
      </c>
      <c r="E142" s="7">
        <f>DATEDIF(Table1[[#This Row],[first_time_orders]],Table1[[#This Row],[OrderDate]],"m")</f>
        <v>25</v>
      </c>
      <c r="F142" s="9">
        <v>45705</v>
      </c>
      <c r="G142" s="2" t="str">
        <f>TEXT(Table1[[#This Row],[OrderDate]],"MMM-YYYY")</f>
        <v>Feb-2025</v>
      </c>
      <c r="H142" s="7">
        <f>MONTH(Table1[[#This Row],[OrderDate]])</f>
        <v>2</v>
      </c>
      <c r="I142" s="7" t="str">
        <f>"Q"&amp;ROUNDUP(Table1[[#This Row],[months]]/3,0)&amp;"-"&amp;Table1[[#This Row],[order_year]]</f>
        <v>Q1-2025</v>
      </c>
      <c r="J142" s="7">
        <f>Table1[[#This Row],[RequiredDate]]-Table1[[#This Row],[OrderDate]]</f>
        <v>-2</v>
      </c>
      <c r="K142" s="7">
        <f>IF(Table1[[#This Row],[lead_time]]&lt;0,MEDIAN(J:J),Table1[[#This Row],[lead_time]])</f>
        <v>15</v>
      </c>
      <c r="L142" s="7">
        <f>IF(Table1[[#This Row],[adj_lead_time]]&lt;=7,1,0)</f>
        <v>0</v>
      </c>
      <c r="M142" s="9">
        <v>45703</v>
      </c>
      <c r="N142" s="9">
        <f>IF(Table1[[#This Row],[lead_time]]&lt;0,(Table1[[#This Row],[OrderDate]]+Table1[[#This Row],[adj_lead_time]]),Table1[[#This Row],[RequiredDate]])</f>
        <v>45720</v>
      </c>
      <c r="O142" t="s">
        <v>648</v>
      </c>
      <c r="P142" t="s">
        <v>653</v>
      </c>
      <c r="Q142" t="s">
        <v>667</v>
      </c>
      <c r="R142" t="s">
        <v>705</v>
      </c>
      <c r="S142" t="s">
        <v>707</v>
      </c>
      <c r="T142" t="s">
        <v>726</v>
      </c>
      <c r="U142" t="s">
        <v>727</v>
      </c>
      <c r="V142" t="s">
        <v>1328</v>
      </c>
      <c r="W142">
        <v>1133.47</v>
      </c>
      <c r="X142">
        <f>Table1[[#This Row],[UnitCost]]*(1+'scenario modeling'!$B$3)</f>
        <v>1246.8170000000002</v>
      </c>
      <c r="Y142">
        <v>1698.75</v>
      </c>
      <c r="Z142" t="str">
        <f>IF(Table1[[#This Row],[UnitPrice]]&lt;=Quantiles!$B$2,Quantiles!$A$2,IF(Table1[[#This Row],[UnitPrice]]&lt;=Quantiles!$B$3,Quantiles!$A$3,Quantiles!$A$4))</f>
        <v>High</v>
      </c>
      <c r="AA142">
        <v>4.2999999999999997E-2</v>
      </c>
      <c r="AB142" s="5">
        <f>MIN(Table1[[#This Row],[DiscountPct]],'scenario modeling'!$B$2)</f>
        <v>4.2999999999999997E-2</v>
      </c>
      <c r="AC142" t="str">
        <f>IF(Table1[[#This Row],[DiscountPct]]&gt;0.3, "&gt;0.3","")</f>
        <v/>
      </c>
      <c r="AD142">
        <v>5</v>
      </c>
      <c r="AE142">
        <f>Table1[[#This Row],[Quantity]]*(1+'scenario modeling'!$B$4)</f>
        <v>6</v>
      </c>
      <c r="AF142">
        <f>Table1[[#This Row],[UnitCost]]*Table1[[#This Row],[Quantity]]</f>
        <v>5667.35</v>
      </c>
      <c r="AG142">
        <f>SUMIF($U:U,Table1[[#This Row],[ProductCategory]],$AM:AM)</f>
        <v>1545646.9975799995</v>
      </c>
      <c r="AH142">
        <f>SUMIFS($AM$2:AM142,$U$2:U142,U142)</f>
        <v>942278.7535300001</v>
      </c>
      <c r="AI142" s="5">
        <f>Table1[[#This Row],[Cumulative_revenue]]/Table1[[#This Row],[Category_revenue]]</f>
        <v>0.60963386530385943</v>
      </c>
      <c r="AJ142" t="str">
        <f>IF(Table1[[#This Row],[cumulative_pct]]&lt;=0.8,"A",IF(Table1[[#This Row],[cumulative_pct]]&lt;=0.95,"B","C"))</f>
        <v>A</v>
      </c>
      <c r="AK142">
        <f>Table1[[#This Row],[adj_unit_cost]]*Table1[[#This Row],[scenario_quantity]]</f>
        <v>7480.9020000000019</v>
      </c>
      <c r="AL142" s="5">
        <f>Table1[[#This Row],[UnitPrice]]*Table1[[#This Row],[scenario_quantity]]*(1-Table1[[#This Row],[cap_adjusted_discount]])</f>
        <v>9754.2224999999999</v>
      </c>
      <c r="AM142" s="5">
        <f>Table1[[#This Row],[UnitPrice]]*Table1[[#This Row],[Quantity]]*(1-Table1[[#This Row],[DiscountPct]])</f>
        <v>8128.5187499999993</v>
      </c>
      <c r="AN142" s="5">
        <f>Table1[[#This Row],[gross_revenue]]-Table1[[#This Row],[cost_of_goods]]</f>
        <v>2461.1687499999989</v>
      </c>
      <c r="AO142" s="5">
        <f>Table1[[#This Row],[scenario_revenue]]-Table1[[#This Row],[Scenario_unit_cost]]</f>
        <v>2273.320499999998</v>
      </c>
      <c r="AP142" s="5">
        <f>IF(Table1[[#This Row],[gross_revenue]]=0,0,Table1[[#This Row],[gross_profit]]/Table1[[#This Row],[gross_revenue]])</f>
        <v>0.30278194904821976</v>
      </c>
    </row>
    <row r="143" spans="1:42" x14ac:dyDescent="0.35">
      <c r="A143" t="s">
        <v>381</v>
      </c>
      <c r="B143" t="str">
        <f>_xlfn.TEXTAFTER(Table1[[#This Row],[OrderID]],"-",2)</f>
        <v>624006</v>
      </c>
      <c r="C143">
        <f>YEAR(Table1[[#This Row],[OrderDate]])</f>
        <v>2025</v>
      </c>
      <c r="D143" s="9">
        <f>_xlfn.MINIFS(F:F,P:P,Table1[[#This Row],[Country]])</f>
        <v>44955</v>
      </c>
      <c r="E143" s="7">
        <f>DATEDIF(Table1[[#This Row],[first_time_orders]],Table1[[#This Row],[OrderDate]],"m")</f>
        <v>25</v>
      </c>
      <c r="F143" s="9">
        <v>45731</v>
      </c>
      <c r="G143" s="2" t="str">
        <f>TEXT(Table1[[#This Row],[OrderDate]],"MMM-YYYY")</f>
        <v>Mar-2025</v>
      </c>
      <c r="H143" s="7">
        <f>MONTH(Table1[[#This Row],[OrderDate]])</f>
        <v>3</v>
      </c>
      <c r="I143" s="7" t="str">
        <f>"Q"&amp;ROUNDUP(Table1[[#This Row],[months]]/3,0)&amp;"-"&amp;Table1[[#This Row],[order_year]]</f>
        <v>Q1-2025</v>
      </c>
      <c r="J143" s="7">
        <f>Table1[[#This Row],[RequiredDate]]-Table1[[#This Row],[OrderDate]]</f>
        <v>14</v>
      </c>
      <c r="K143" s="7">
        <f>IF(Table1[[#This Row],[lead_time]]&lt;0,MEDIAN(J:J),Table1[[#This Row],[lead_time]])</f>
        <v>14</v>
      </c>
      <c r="L143" s="7">
        <f>IF(Table1[[#This Row],[adj_lead_time]]&lt;=7,1,0)</f>
        <v>0</v>
      </c>
      <c r="M143" s="9">
        <v>45745</v>
      </c>
      <c r="N143" s="9">
        <f>IF(Table1[[#This Row],[lead_time]]&lt;0,(Table1[[#This Row],[OrderDate]]+Table1[[#This Row],[adj_lead_time]]),Table1[[#This Row],[RequiredDate]])</f>
        <v>45745</v>
      </c>
      <c r="O143" t="s">
        <v>647</v>
      </c>
      <c r="P143" t="s">
        <v>654</v>
      </c>
      <c r="Q143" t="s">
        <v>691</v>
      </c>
      <c r="R143" t="s">
        <v>706</v>
      </c>
      <c r="S143" t="s">
        <v>711</v>
      </c>
      <c r="T143" t="s">
        <v>712</v>
      </c>
      <c r="U143" t="s">
        <v>727</v>
      </c>
      <c r="V143" t="s">
        <v>1101</v>
      </c>
      <c r="W143">
        <v>935.83</v>
      </c>
      <c r="X143">
        <f>Table1[[#This Row],[UnitCost]]*(1+'scenario modeling'!$B$3)</f>
        <v>1029.4130000000002</v>
      </c>
      <c r="Y143">
        <v>2303.46</v>
      </c>
      <c r="Z143" t="str">
        <f>IF(Table1[[#This Row],[UnitPrice]]&lt;=Quantiles!$B$2,Quantiles!$A$2,IF(Table1[[#This Row],[UnitPrice]]&lt;=Quantiles!$B$3,Quantiles!$A$3,Quantiles!$A$4))</f>
        <v>High</v>
      </c>
      <c r="AA143">
        <v>0.105</v>
      </c>
      <c r="AB143" s="5">
        <f>MIN(Table1[[#This Row],[DiscountPct]],'scenario modeling'!$B$2)</f>
        <v>0.1</v>
      </c>
      <c r="AC143" t="str">
        <f>IF(Table1[[#This Row],[DiscountPct]]&gt;0.3, "&gt;0.3","")</f>
        <v/>
      </c>
      <c r="AD143">
        <v>9</v>
      </c>
      <c r="AE143">
        <f>Table1[[#This Row],[Quantity]]*(1+'scenario modeling'!$B$4)</f>
        <v>10.799999999999999</v>
      </c>
      <c r="AF143">
        <f>Table1[[#This Row],[UnitCost]]*Table1[[#This Row],[Quantity]]</f>
        <v>8422.4700000000012</v>
      </c>
      <c r="AG143">
        <f>SUMIF($U:U,Table1[[#This Row],[ProductCategory]],$AM:AM)</f>
        <v>1545646.9975799995</v>
      </c>
      <c r="AH143">
        <f>SUMIFS($AM$2:AM143,$U$2:U143,U143)</f>
        <v>960833.12383000006</v>
      </c>
      <c r="AI143" s="5">
        <f>Table1[[#This Row],[Cumulative_revenue]]/Table1[[#This Row],[Category_revenue]]</f>
        <v>0.62163813945510504</v>
      </c>
      <c r="AJ143" t="str">
        <f>IF(Table1[[#This Row],[cumulative_pct]]&lt;=0.8,"A",IF(Table1[[#This Row],[cumulative_pct]]&lt;=0.95,"B","C"))</f>
        <v>A</v>
      </c>
      <c r="AK143">
        <f>Table1[[#This Row],[adj_unit_cost]]*Table1[[#This Row],[scenario_quantity]]</f>
        <v>11117.660400000001</v>
      </c>
      <c r="AL143" s="5">
        <f>Table1[[#This Row],[UnitPrice]]*Table1[[#This Row],[scenario_quantity]]*(1-Table1[[#This Row],[cap_adjusted_discount]])</f>
        <v>22389.6312</v>
      </c>
      <c r="AM143" s="5">
        <f>Table1[[#This Row],[UnitPrice]]*Table1[[#This Row],[Quantity]]*(1-Table1[[#This Row],[DiscountPct]])</f>
        <v>18554.370299999999</v>
      </c>
      <c r="AN143" s="5">
        <f>Table1[[#This Row],[gross_revenue]]-Table1[[#This Row],[cost_of_goods]]</f>
        <v>10131.900299999998</v>
      </c>
      <c r="AO143" s="5">
        <f>Table1[[#This Row],[scenario_revenue]]-Table1[[#This Row],[Scenario_unit_cost]]</f>
        <v>11271.970799999999</v>
      </c>
      <c r="AP143" s="5">
        <f>IF(Table1[[#This Row],[gross_revenue]]=0,0,Table1[[#This Row],[gross_profit]]/Table1[[#This Row],[gross_revenue]])</f>
        <v>0.54606543559174292</v>
      </c>
    </row>
    <row r="144" spans="1:42" x14ac:dyDescent="0.35">
      <c r="A144" t="s">
        <v>308</v>
      </c>
      <c r="B144" t="str">
        <f>_xlfn.TEXTAFTER(Table1[[#This Row],[OrderID]],"-",2)</f>
        <v>487025</v>
      </c>
      <c r="C144">
        <f>YEAR(Table1[[#This Row],[OrderDate]])</f>
        <v>2025</v>
      </c>
      <c r="D144" s="9">
        <f>_xlfn.MINIFS(F:F,P:P,Table1[[#This Row],[Country]])</f>
        <v>44988</v>
      </c>
      <c r="E144" s="7">
        <f>DATEDIF(Table1[[#This Row],[first_time_orders]],Table1[[#This Row],[OrderDate]],"m")</f>
        <v>25</v>
      </c>
      <c r="F144" s="9">
        <v>45758</v>
      </c>
      <c r="G144" s="2" t="str">
        <f>TEXT(Table1[[#This Row],[OrderDate]],"MMM-YYYY")</f>
        <v>Apr-2025</v>
      </c>
      <c r="H144" s="7">
        <f>MONTH(Table1[[#This Row],[OrderDate]])</f>
        <v>4</v>
      </c>
      <c r="I144" s="7" t="str">
        <f>"Q"&amp;ROUNDUP(Table1[[#This Row],[months]]/3,0)&amp;"-"&amp;Table1[[#This Row],[order_year]]</f>
        <v>Q2-2025</v>
      </c>
      <c r="J144" s="7">
        <f>Table1[[#This Row],[RequiredDate]]-Table1[[#This Row],[OrderDate]]</f>
        <v>23</v>
      </c>
      <c r="K144" s="7">
        <f>IF(Table1[[#This Row],[lead_time]]&lt;0,MEDIAN(J:J),Table1[[#This Row],[lead_time]])</f>
        <v>23</v>
      </c>
      <c r="L144" s="7">
        <f>IF(Table1[[#This Row],[adj_lead_time]]&lt;=7,1,0)</f>
        <v>0</v>
      </c>
      <c r="M144" s="9">
        <v>45781</v>
      </c>
      <c r="N144" s="9">
        <f>IF(Table1[[#This Row],[lead_time]]&lt;0,(Table1[[#This Row],[OrderDate]]+Table1[[#This Row],[adj_lead_time]]),Table1[[#This Row],[RequiredDate]])</f>
        <v>45781</v>
      </c>
      <c r="O144" t="s">
        <v>647</v>
      </c>
      <c r="P144" t="s">
        <v>652</v>
      </c>
      <c r="Q144" t="s">
        <v>666</v>
      </c>
      <c r="R144" t="s">
        <v>705</v>
      </c>
      <c r="S144" t="s">
        <v>708</v>
      </c>
      <c r="T144" t="s">
        <v>724</v>
      </c>
      <c r="U144" t="s">
        <v>727</v>
      </c>
      <c r="V144" t="s">
        <v>1028</v>
      </c>
      <c r="W144">
        <v>786.2</v>
      </c>
      <c r="X144">
        <f>Table1[[#This Row],[UnitCost]]*(1+'scenario modeling'!$B$3)</f>
        <v>864.82000000000016</v>
      </c>
      <c r="Y144">
        <v>1075.3</v>
      </c>
      <c r="Z144" t="str">
        <f>IF(Table1[[#This Row],[UnitPrice]]&lt;=Quantiles!$B$2,Quantiles!$A$2,IF(Table1[[#This Row],[UnitPrice]]&lt;=Quantiles!$B$3,Quantiles!$A$3,Quantiles!$A$4))</f>
        <v>Medium</v>
      </c>
      <c r="AA144">
        <v>0.08</v>
      </c>
      <c r="AB144" s="5">
        <f>MIN(Table1[[#This Row],[DiscountPct]],'scenario modeling'!$B$2)</f>
        <v>0.08</v>
      </c>
      <c r="AC144" t="str">
        <f>IF(Table1[[#This Row],[DiscountPct]]&gt;0.3, "&gt;0.3","")</f>
        <v/>
      </c>
      <c r="AD144">
        <v>9</v>
      </c>
      <c r="AE144">
        <f>Table1[[#This Row],[Quantity]]*(1+'scenario modeling'!$B$4)</f>
        <v>10.799999999999999</v>
      </c>
      <c r="AF144">
        <f>Table1[[#This Row],[UnitCost]]*Table1[[#This Row],[Quantity]]</f>
        <v>7075.8</v>
      </c>
      <c r="AG144">
        <f>SUMIF($U:U,Table1[[#This Row],[ProductCategory]],$AM:AM)</f>
        <v>1545646.9975799995</v>
      </c>
      <c r="AH144">
        <f>SUMIFS($AM$2:AM144,$U$2:U144,U144)</f>
        <v>969736.60783000011</v>
      </c>
      <c r="AI144" s="5">
        <f>Table1[[#This Row],[Cumulative_revenue]]/Table1[[#This Row],[Category_revenue]]</f>
        <v>0.62739850001216624</v>
      </c>
      <c r="AJ144" t="str">
        <f>IF(Table1[[#This Row],[cumulative_pct]]&lt;=0.8,"A",IF(Table1[[#This Row],[cumulative_pct]]&lt;=0.95,"B","C"))</f>
        <v>A</v>
      </c>
      <c r="AK144">
        <f>Table1[[#This Row],[adj_unit_cost]]*Table1[[#This Row],[scenario_quantity]]</f>
        <v>9340.0560000000005</v>
      </c>
      <c r="AL144" s="5">
        <f>Table1[[#This Row],[UnitPrice]]*Table1[[#This Row],[scenario_quantity]]*(1-Table1[[#This Row],[cap_adjusted_discount]])</f>
        <v>10684.180799999998</v>
      </c>
      <c r="AM144" s="5">
        <f>Table1[[#This Row],[UnitPrice]]*Table1[[#This Row],[Quantity]]*(1-Table1[[#This Row],[DiscountPct]])</f>
        <v>8903.4839999999986</v>
      </c>
      <c r="AN144" s="5">
        <f>Table1[[#This Row],[gross_revenue]]-Table1[[#This Row],[cost_of_goods]]</f>
        <v>1827.6839999999984</v>
      </c>
      <c r="AO144" s="5">
        <f>Table1[[#This Row],[scenario_revenue]]-Table1[[#This Row],[Scenario_unit_cost]]</f>
        <v>1344.1247999999978</v>
      </c>
      <c r="AP144" s="5">
        <f>IF(Table1[[#This Row],[gross_revenue]]=0,0,Table1[[#This Row],[gross_profit]]/Table1[[#This Row],[gross_revenue]])</f>
        <v>0.20527739478163815</v>
      </c>
    </row>
    <row r="145" spans="1:42" x14ac:dyDescent="0.35">
      <c r="A145" t="s">
        <v>584</v>
      </c>
      <c r="B145" t="str">
        <f>_xlfn.TEXTAFTER(Table1[[#This Row],[OrderID]],"-",2)</f>
        <v>169093</v>
      </c>
      <c r="C145">
        <f>YEAR(Table1[[#This Row],[OrderDate]])</f>
        <v>2025</v>
      </c>
      <c r="D145" s="9">
        <f>_xlfn.MINIFS(F:F,P:P,Table1[[#This Row],[Country]])</f>
        <v>44988</v>
      </c>
      <c r="E145" s="7">
        <f>DATEDIF(Table1[[#This Row],[first_time_orders]],Table1[[#This Row],[OrderDate]],"m")</f>
        <v>25</v>
      </c>
      <c r="F145" s="9">
        <v>45760</v>
      </c>
      <c r="G145" s="2" t="str">
        <f>TEXT(Table1[[#This Row],[OrderDate]],"MMM-YYYY")</f>
        <v>Apr-2025</v>
      </c>
      <c r="H145" s="7">
        <f>MONTH(Table1[[#This Row],[OrderDate]])</f>
        <v>4</v>
      </c>
      <c r="I145" s="7" t="str">
        <f>"Q"&amp;ROUNDUP(Table1[[#This Row],[months]]/3,0)&amp;"-"&amp;Table1[[#This Row],[order_year]]</f>
        <v>Q2-2025</v>
      </c>
      <c r="J145" s="7">
        <f>Table1[[#This Row],[RequiredDate]]-Table1[[#This Row],[OrderDate]]</f>
        <v>1</v>
      </c>
      <c r="K145" s="7">
        <f>IF(Table1[[#This Row],[lead_time]]&lt;0,MEDIAN(J:J),Table1[[#This Row],[lead_time]])</f>
        <v>1</v>
      </c>
      <c r="L145" s="7">
        <f>IF(Table1[[#This Row],[adj_lead_time]]&lt;=7,1,0)</f>
        <v>1</v>
      </c>
      <c r="M145" s="9">
        <v>45761</v>
      </c>
      <c r="N145" s="9">
        <f>IF(Table1[[#This Row],[lead_time]]&lt;0,(Table1[[#This Row],[OrderDate]]+Table1[[#This Row],[adj_lead_time]]),Table1[[#This Row],[RequiredDate]])</f>
        <v>45761</v>
      </c>
      <c r="O145" t="s">
        <v>647</v>
      </c>
      <c r="P145" t="s">
        <v>652</v>
      </c>
      <c r="Q145" t="s">
        <v>666</v>
      </c>
      <c r="R145" t="s">
        <v>706</v>
      </c>
      <c r="S145" t="s">
        <v>708</v>
      </c>
      <c r="T145" t="s">
        <v>715</v>
      </c>
      <c r="U145" t="s">
        <v>727</v>
      </c>
      <c r="V145" t="s">
        <v>1302</v>
      </c>
      <c r="W145">
        <v>138.9</v>
      </c>
      <c r="X145">
        <f>Table1[[#This Row],[UnitCost]]*(1+'scenario modeling'!$B$3)</f>
        <v>152.79000000000002</v>
      </c>
      <c r="Y145">
        <v>289.92</v>
      </c>
      <c r="Z145" t="str">
        <f>IF(Table1[[#This Row],[UnitPrice]]&lt;=Quantiles!$B$2,Quantiles!$A$2,IF(Table1[[#This Row],[UnitPrice]]&lt;=Quantiles!$B$3,Quantiles!$A$3,Quantiles!$A$4))</f>
        <v>Low</v>
      </c>
      <c r="AA145">
        <v>2.9000000000000001E-2</v>
      </c>
      <c r="AB145" s="5">
        <f>MIN(Table1[[#This Row],[DiscountPct]],'scenario modeling'!$B$2)</f>
        <v>2.9000000000000001E-2</v>
      </c>
      <c r="AC145" t="str">
        <f>IF(Table1[[#This Row],[DiscountPct]]&gt;0.3, "&gt;0.3","")</f>
        <v/>
      </c>
      <c r="AD145">
        <v>12</v>
      </c>
      <c r="AE145">
        <f>Table1[[#This Row],[Quantity]]*(1+'scenario modeling'!$B$4)</f>
        <v>14.399999999999999</v>
      </c>
      <c r="AF145">
        <f>Table1[[#This Row],[UnitCost]]*Table1[[#This Row],[Quantity]]</f>
        <v>1666.8000000000002</v>
      </c>
      <c r="AG145">
        <f>SUMIF($U:U,Table1[[#This Row],[ProductCategory]],$AM:AM)</f>
        <v>1545646.9975799995</v>
      </c>
      <c r="AH145">
        <f>SUMIFS($AM$2:AM145,$U$2:U145,U145)</f>
        <v>973114.7556700001</v>
      </c>
      <c r="AI145" s="5">
        <f>Table1[[#This Row],[Cumulative_revenue]]/Table1[[#This Row],[Category_revenue]]</f>
        <v>0.62958408821263456</v>
      </c>
      <c r="AJ145" t="str">
        <f>IF(Table1[[#This Row],[cumulative_pct]]&lt;=0.8,"A",IF(Table1[[#This Row],[cumulative_pct]]&lt;=0.95,"B","C"))</f>
        <v>A</v>
      </c>
      <c r="AK145">
        <f>Table1[[#This Row],[adj_unit_cost]]*Table1[[#This Row],[scenario_quantity]]</f>
        <v>2200.1759999999999</v>
      </c>
      <c r="AL145" s="5">
        <f>Table1[[#This Row],[UnitPrice]]*Table1[[#This Row],[scenario_quantity]]*(1-Table1[[#This Row],[cap_adjusted_discount]])</f>
        <v>4053.7774079999999</v>
      </c>
      <c r="AM145" s="5">
        <f>Table1[[#This Row],[UnitPrice]]*Table1[[#This Row],[Quantity]]*(1-Table1[[#This Row],[DiscountPct]])</f>
        <v>3378.1478400000001</v>
      </c>
      <c r="AN145" s="5">
        <f>Table1[[#This Row],[gross_revenue]]-Table1[[#This Row],[cost_of_goods]]</f>
        <v>1711.3478399999999</v>
      </c>
      <c r="AO145" s="5">
        <f>Table1[[#This Row],[scenario_revenue]]-Table1[[#This Row],[Scenario_unit_cost]]</f>
        <v>1853.601408</v>
      </c>
      <c r="AP145" s="5">
        <f>IF(Table1[[#This Row],[gross_revenue]]=0,0,Table1[[#This Row],[gross_profit]]/Table1[[#This Row],[gross_revenue]])</f>
        <v>0.50659353025828491</v>
      </c>
    </row>
    <row r="146" spans="1:42" x14ac:dyDescent="0.35">
      <c r="A146" t="s">
        <v>24</v>
      </c>
      <c r="B146" t="str">
        <f>_xlfn.TEXTAFTER(Table1[[#This Row],[OrderID]],"-",2)</f>
        <v>997421</v>
      </c>
      <c r="C146">
        <f>YEAR(Table1[[#This Row],[OrderDate]])</f>
        <v>2025</v>
      </c>
      <c r="D146" s="9">
        <f>_xlfn.MINIFS(F:F,P:P,Table1[[#This Row],[Country]])</f>
        <v>44955</v>
      </c>
      <c r="E146" s="7">
        <f>DATEDIF(Table1[[#This Row],[first_time_orders]],Table1[[#This Row],[OrderDate]],"m")</f>
        <v>27</v>
      </c>
      <c r="F146" s="9">
        <v>45798</v>
      </c>
      <c r="G146" s="2" t="str">
        <f>TEXT(Table1[[#This Row],[OrderDate]],"MMM-YYYY")</f>
        <v>May-2025</v>
      </c>
      <c r="H146" s="7">
        <f>MONTH(Table1[[#This Row],[OrderDate]])</f>
        <v>5</v>
      </c>
      <c r="I146" s="7" t="str">
        <f>"Q"&amp;ROUNDUP(Table1[[#This Row],[months]]/3,0)&amp;"-"&amp;Table1[[#This Row],[order_year]]</f>
        <v>Q2-2025</v>
      </c>
      <c r="J146" s="7">
        <f>Table1[[#This Row],[RequiredDate]]-Table1[[#This Row],[OrderDate]]</f>
        <v>19</v>
      </c>
      <c r="K146" s="7">
        <f>IF(Table1[[#This Row],[lead_time]]&lt;0,MEDIAN(J:J),Table1[[#This Row],[lead_time]])</f>
        <v>19</v>
      </c>
      <c r="L146" s="7">
        <f>IF(Table1[[#This Row],[adj_lead_time]]&lt;=7,1,0)</f>
        <v>0</v>
      </c>
      <c r="M146" s="9">
        <v>45817</v>
      </c>
      <c r="N146" s="9">
        <f>IF(Table1[[#This Row],[lead_time]]&lt;0,(Table1[[#This Row],[OrderDate]]+Table1[[#This Row],[adj_lead_time]]),Table1[[#This Row],[RequiredDate]])</f>
        <v>45817</v>
      </c>
      <c r="O146" t="s">
        <v>648</v>
      </c>
      <c r="P146" t="s">
        <v>655</v>
      </c>
      <c r="Q146" t="s">
        <v>670</v>
      </c>
      <c r="R146" t="s">
        <v>703</v>
      </c>
      <c r="S146" t="s">
        <v>708</v>
      </c>
      <c r="T146" t="s">
        <v>720</v>
      </c>
      <c r="U146" t="s">
        <v>727</v>
      </c>
      <c r="V146" t="s">
        <v>743</v>
      </c>
      <c r="W146">
        <v>1331.38</v>
      </c>
      <c r="X146">
        <f>Table1[[#This Row],[UnitCost]]*(1+'scenario modeling'!$B$3)</f>
        <v>1464.5180000000003</v>
      </c>
      <c r="Y146">
        <v>2309.56</v>
      </c>
      <c r="Z146" t="str">
        <f>IF(Table1[[#This Row],[UnitPrice]]&lt;=Quantiles!$B$2,Quantiles!$A$2,IF(Table1[[#This Row],[UnitPrice]]&lt;=Quantiles!$B$3,Quantiles!$A$3,Quantiles!$A$4))</f>
        <v>High</v>
      </c>
      <c r="AA146">
        <v>0.14899999999999999</v>
      </c>
      <c r="AB146" s="5">
        <f>MIN(Table1[[#This Row],[DiscountPct]],'scenario modeling'!$B$2)</f>
        <v>0.1</v>
      </c>
      <c r="AC146" t="str">
        <f>IF(Table1[[#This Row],[DiscountPct]]&gt;0.3, "&gt;0.3","")</f>
        <v/>
      </c>
      <c r="AD146">
        <v>31</v>
      </c>
      <c r="AE146">
        <f>Table1[[#This Row],[Quantity]]*(1+'scenario modeling'!$B$4)</f>
        <v>37.199999999999996</v>
      </c>
      <c r="AF146">
        <f>Table1[[#This Row],[UnitCost]]*Table1[[#This Row],[Quantity]]</f>
        <v>41272.780000000006</v>
      </c>
      <c r="AG146">
        <f>SUMIF($U:U,Table1[[#This Row],[ProductCategory]],$AM:AM)</f>
        <v>1545646.9975799995</v>
      </c>
      <c r="AH146">
        <f>SUMIFS($AM$2:AM146,$U$2:U146,U146)</f>
        <v>1034043.2580300001</v>
      </c>
      <c r="AI146" s="5">
        <f>Table1[[#This Row],[Cumulative_revenue]]/Table1[[#This Row],[Category_revenue]]</f>
        <v>0.66900350445411461</v>
      </c>
      <c r="AJ146" t="str">
        <f>IF(Table1[[#This Row],[cumulative_pct]]&lt;=0.8,"A",IF(Table1[[#This Row],[cumulative_pct]]&lt;=0.95,"B","C"))</f>
        <v>A</v>
      </c>
      <c r="AK146">
        <f>Table1[[#This Row],[adj_unit_cost]]*Table1[[#This Row],[scenario_quantity]]</f>
        <v>54480.069600000003</v>
      </c>
      <c r="AL146" s="5">
        <f>Table1[[#This Row],[UnitPrice]]*Table1[[#This Row],[scenario_quantity]]*(1-Table1[[#This Row],[cap_adjusted_discount]])</f>
        <v>77324.068799999994</v>
      </c>
      <c r="AM146" s="5">
        <f>Table1[[#This Row],[UnitPrice]]*Table1[[#This Row],[Quantity]]*(1-Table1[[#This Row],[DiscountPct]])</f>
        <v>60928.502359999999</v>
      </c>
      <c r="AN146" s="5">
        <f>Table1[[#This Row],[gross_revenue]]-Table1[[#This Row],[cost_of_goods]]</f>
        <v>19655.722359999992</v>
      </c>
      <c r="AO146" s="5">
        <f>Table1[[#This Row],[scenario_revenue]]-Table1[[#This Row],[Scenario_unit_cost]]</f>
        <v>22843.999199999991</v>
      </c>
      <c r="AP146" s="5">
        <f>IF(Table1[[#This Row],[gross_revenue]]=0,0,Table1[[#This Row],[gross_profit]]/Table1[[#This Row],[gross_revenue]])</f>
        <v>0.32260307735553528</v>
      </c>
    </row>
    <row r="147" spans="1:42" x14ac:dyDescent="0.35">
      <c r="A147" t="s">
        <v>314</v>
      </c>
      <c r="B147" t="str">
        <f>_xlfn.TEXTAFTER(Table1[[#This Row],[OrderID]],"-",2)</f>
        <v>191328</v>
      </c>
      <c r="C147">
        <f>YEAR(Table1[[#This Row],[OrderDate]])</f>
        <v>2025</v>
      </c>
      <c r="D147" s="9">
        <f>_xlfn.MINIFS(F:F,P:P,Table1[[#This Row],[Country]])</f>
        <v>44928</v>
      </c>
      <c r="E147" s="7">
        <f>DATEDIF(Table1[[#This Row],[first_time_orders]],Table1[[#This Row],[OrderDate]],"m")</f>
        <v>28</v>
      </c>
      <c r="F147" s="9">
        <v>45787</v>
      </c>
      <c r="G147" s="2" t="str">
        <f>TEXT(Table1[[#This Row],[OrderDate]],"MMM-YYYY")</f>
        <v>May-2025</v>
      </c>
      <c r="H147" s="7">
        <f>MONTH(Table1[[#This Row],[OrderDate]])</f>
        <v>5</v>
      </c>
      <c r="I147" s="7" t="str">
        <f>"Q"&amp;ROUNDUP(Table1[[#This Row],[months]]/3,0)&amp;"-"&amp;Table1[[#This Row],[order_year]]</f>
        <v>Q2-2025</v>
      </c>
      <c r="J147" s="7">
        <f>Table1[[#This Row],[RequiredDate]]-Table1[[#This Row],[OrderDate]]</f>
        <v>17</v>
      </c>
      <c r="K147" s="7">
        <f>IF(Table1[[#This Row],[lead_time]]&lt;0,MEDIAN(J:J),Table1[[#This Row],[lead_time]])</f>
        <v>17</v>
      </c>
      <c r="L147" s="7">
        <f>IF(Table1[[#This Row],[adj_lead_time]]&lt;=7,1,0)</f>
        <v>0</v>
      </c>
      <c r="M147" s="9">
        <v>45804</v>
      </c>
      <c r="N147" s="9">
        <f>IF(Table1[[#This Row],[lead_time]]&lt;0,(Table1[[#This Row],[OrderDate]]+Table1[[#This Row],[adj_lead_time]]),Table1[[#This Row],[RequiredDate]])</f>
        <v>45804</v>
      </c>
      <c r="O147" t="s">
        <v>648</v>
      </c>
      <c r="P147" t="s">
        <v>653</v>
      </c>
      <c r="Q147" t="s">
        <v>688</v>
      </c>
      <c r="R147" t="s">
        <v>702</v>
      </c>
      <c r="S147" t="s">
        <v>711</v>
      </c>
      <c r="T147" t="s">
        <v>712</v>
      </c>
      <c r="U147" t="s">
        <v>727</v>
      </c>
      <c r="V147" t="s">
        <v>1034</v>
      </c>
      <c r="W147">
        <v>862.89</v>
      </c>
      <c r="X147">
        <f>Table1[[#This Row],[UnitCost]]*(1+'scenario modeling'!$B$3)</f>
        <v>949.17900000000009</v>
      </c>
      <c r="Y147">
        <v>1426.03</v>
      </c>
      <c r="Z147" t="str">
        <f>IF(Table1[[#This Row],[UnitPrice]]&lt;=Quantiles!$B$2,Quantiles!$A$2,IF(Table1[[#This Row],[UnitPrice]]&lt;=Quantiles!$B$3,Quantiles!$A$3,Quantiles!$A$4))</f>
        <v>Medium</v>
      </c>
      <c r="AA147">
        <v>5.6000000000000001E-2</v>
      </c>
      <c r="AB147" s="5">
        <f>MIN(Table1[[#This Row],[DiscountPct]],'scenario modeling'!$B$2)</f>
        <v>5.6000000000000001E-2</v>
      </c>
      <c r="AC147" t="str">
        <f>IF(Table1[[#This Row],[DiscountPct]]&gt;0.3, "&gt;0.3","")</f>
        <v/>
      </c>
      <c r="AD147">
        <v>19</v>
      </c>
      <c r="AE147">
        <f>Table1[[#This Row],[Quantity]]*(1+'scenario modeling'!$B$4)</f>
        <v>22.8</v>
      </c>
      <c r="AF147">
        <f>Table1[[#This Row],[UnitCost]]*Table1[[#This Row],[Quantity]]</f>
        <v>16394.91</v>
      </c>
      <c r="AG147">
        <f>SUMIF($U:U,Table1[[#This Row],[ProductCategory]],$AM:AM)</f>
        <v>1545646.9975799995</v>
      </c>
      <c r="AH147">
        <f>SUMIFS($AM$2:AM147,$U$2:U147,U147)</f>
        <v>1059620.53211</v>
      </c>
      <c r="AI147" s="5">
        <f>Table1[[#This Row],[Cumulative_revenue]]/Table1[[#This Row],[Category_revenue]]</f>
        <v>0.68555144465006235</v>
      </c>
      <c r="AJ147" t="str">
        <f>IF(Table1[[#This Row],[cumulative_pct]]&lt;=0.8,"A",IF(Table1[[#This Row],[cumulative_pct]]&lt;=0.95,"B","C"))</f>
        <v>A</v>
      </c>
      <c r="AK147">
        <f>Table1[[#This Row],[adj_unit_cost]]*Table1[[#This Row],[scenario_quantity]]</f>
        <v>21641.281200000001</v>
      </c>
      <c r="AL147" s="5">
        <f>Table1[[#This Row],[UnitPrice]]*Table1[[#This Row],[scenario_quantity]]*(1-Table1[[#This Row],[cap_adjusted_discount]])</f>
        <v>30692.728896000001</v>
      </c>
      <c r="AM147" s="5">
        <f>Table1[[#This Row],[UnitPrice]]*Table1[[#This Row],[Quantity]]*(1-Table1[[#This Row],[DiscountPct]])</f>
        <v>25577.274079999999</v>
      </c>
      <c r="AN147" s="5">
        <f>Table1[[#This Row],[gross_revenue]]-Table1[[#This Row],[cost_of_goods]]</f>
        <v>9182.3640799999994</v>
      </c>
      <c r="AO147" s="5">
        <f>Table1[[#This Row],[scenario_revenue]]-Table1[[#This Row],[Scenario_unit_cost]]</f>
        <v>9051.4476959999993</v>
      </c>
      <c r="AP147" s="5">
        <f>IF(Table1[[#This Row],[gross_revenue]]=0,0,Table1[[#This Row],[gross_profit]]/Table1[[#This Row],[gross_revenue]])</f>
        <v>0.35900479665188778</v>
      </c>
    </row>
    <row r="148" spans="1:42" x14ac:dyDescent="0.35">
      <c r="A148" t="s">
        <v>478</v>
      </c>
      <c r="B148" t="str">
        <f>_xlfn.TEXTAFTER(Table1[[#This Row],[OrderID]],"-",2)</f>
        <v>496178</v>
      </c>
      <c r="C148">
        <f>YEAR(Table1[[#This Row],[OrderDate]])</f>
        <v>2025</v>
      </c>
      <c r="D148" s="9">
        <f>_xlfn.MINIFS(F:F,P:P,Table1[[#This Row],[Country]])</f>
        <v>44988</v>
      </c>
      <c r="E148" s="7">
        <f>DATEDIF(Table1[[#This Row],[first_time_orders]],Table1[[#This Row],[OrderDate]],"m")</f>
        <v>28</v>
      </c>
      <c r="F148" s="9">
        <v>45865</v>
      </c>
      <c r="G148" s="2" t="str">
        <f>TEXT(Table1[[#This Row],[OrderDate]],"MMM-YYYY")</f>
        <v>Jul-2025</v>
      </c>
      <c r="H148" s="7">
        <f>MONTH(Table1[[#This Row],[OrderDate]])</f>
        <v>7</v>
      </c>
      <c r="I148" s="7" t="str">
        <f>"Q"&amp;ROUNDUP(Table1[[#This Row],[months]]/3,0)&amp;"-"&amp;Table1[[#This Row],[order_year]]</f>
        <v>Q3-2025</v>
      </c>
      <c r="J148" s="7">
        <f>Table1[[#This Row],[RequiredDate]]-Table1[[#This Row],[OrderDate]]</f>
        <v>19</v>
      </c>
      <c r="K148" s="7">
        <f>IF(Table1[[#This Row],[lead_time]]&lt;0,MEDIAN(J:J),Table1[[#This Row],[lead_time]])</f>
        <v>19</v>
      </c>
      <c r="L148" s="7">
        <f>IF(Table1[[#This Row],[adj_lead_time]]&lt;=7,1,0)</f>
        <v>0</v>
      </c>
      <c r="M148" s="9">
        <v>45884</v>
      </c>
      <c r="N148" s="9">
        <f>IF(Table1[[#This Row],[lead_time]]&lt;0,(Table1[[#This Row],[OrderDate]]+Table1[[#This Row],[adj_lead_time]]),Table1[[#This Row],[RequiredDate]])</f>
        <v>45884</v>
      </c>
      <c r="O148" t="s">
        <v>647</v>
      </c>
      <c r="P148" t="s">
        <v>652</v>
      </c>
      <c r="Q148" t="s">
        <v>689</v>
      </c>
      <c r="R148" t="s">
        <v>705</v>
      </c>
      <c r="S148" t="s">
        <v>709</v>
      </c>
      <c r="T148" t="s">
        <v>713</v>
      </c>
      <c r="U148" t="s">
        <v>727</v>
      </c>
      <c r="V148" t="s">
        <v>1197</v>
      </c>
      <c r="W148">
        <v>275.43</v>
      </c>
      <c r="X148">
        <f>Table1[[#This Row],[UnitCost]]*(1+'scenario modeling'!$B$3)</f>
        <v>302.97300000000001</v>
      </c>
      <c r="Y148">
        <v>608.36</v>
      </c>
      <c r="Z148" t="str">
        <f>IF(Table1[[#This Row],[UnitPrice]]&lt;=Quantiles!$B$2,Quantiles!$A$2,IF(Table1[[#This Row],[UnitPrice]]&lt;=Quantiles!$B$3,Quantiles!$A$3,Quantiles!$A$4))</f>
        <v>Low</v>
      </c>
      <c r="AA148">
        <v>0.25700000000000001</v>
      </c>
      <c r="AB148" s="5">
        <f>MIN(Table1[[#This Row],[DiscountPct]],'scenario modeling'!$B$2)</f>
        <v>0.1</v>
      </c>
      <c r="AC148" t="str">
        <f>IF(Table1[[#This Row],[DiscountPct]]&gt;0.3, "&gt;0.3","")</f>
        <v/>
      </c>
      <c r="AD148">
        <v>4</v>
      </c>
      <c r="AE148">
        <f>Table1[[#This Row],[Quantity]]*(1+'scenario modeling'!$B$4)</f>
        <v>4.8</v>
      </c>
      <c r="AF148">
        <f>Table1[[#This Row],[UnitCost]]*Table1[[#This Row],[Quantity]]</f>
        <v>1101.72</v>
      </c>
      <c r="AG148">
        <f>SUMIF($U:U,Table1[[#This Row],[ProductCategory]],$AM:AM)</f>
        <v>1545646.9975799995</v>
      </c>
      <c r="AH148">
        <f>SUMIFS($AM$2:AM148,$U$2:U148,U148)</f>
        <v>1061428.57803</v>
      </c>
      <c r="AI148" s="5">
        <f>Table1[[#This Row],[Cumulative_revenue]]/Table1[[#This Row],[Category_revenue]]</f>
        <v>0.68672121104745498</v>
      </c>
      <c r="AJ148" t="str">
        <f>IF(Table1[[#This Row],[cumulative_pct]]&lt;=0.8,"A",IF(Table1[[#This Row],[cumulative_pct]]&lt;=0.95,"B","C"))</f>
        <v>A</v>
      </c>
      <c r="AK148">
        <f>Table1[[#This Row],[adj_unit_cost]]*Table1[[#This Row],[scenario_quantity]]</f>
        <v>1454.2704000000001</v>
      </c>
      <c r="AL148" s="5">
        <f>Table1[[#This Row],[UnitPrice]]*Table1[[#This Row],[scenario_quantity]]*(1-Table1[[#This Row],[cap_adjusted_discount]])</f>
        <v>2628.1152000000002</v>
      </c>
      <c r="AM148" s="5">
        <f>Table1[[#This Row],[UnitPrice]]*Table1[[#This Row],[Quantity]]*(1-Table1[[#This Row],[DiscountPct]])</f>
        <v>1808.04592</v>
      </c>
      <c r="AN148" s="5">
        <f>Table1[[#This Row],[gross_revenue]]-Table1[[#This Row],[cost_of_goods]]</f>
        <v>706.32592</v>
      </c>
      <c r="AO148" s="5">
        <f>Table1[[#This Row],[scenario_revenue]]-Table1[[#This Row],[Scenario_unit_cost]]</f>
        <v>1173.8448000000001</v>
      </c>
      <c r="AP148" s="5">
        <f>IF(Table1[[#This Row],[gross_revenue]]=0,0,Table1[[#This Row],[gross_profit]]/Table1[[#This Row],[gross_revenue]])</f>
        <v>0.39065706915231446</v>
      </c>
    </row>
    <row r="149" spans="1:42" x14ac:dyDescent="0.35">
      <c r="A149" t="s">
        <v>97</v>
      </c>
      <c r="B149" t="str">
        <f>_xlfn.TEXTAFTER(Table1[[#This Row],[OrderID]],"-",2)</f>
        <v>114382</v>
      </c>
      <c r="C149">
        <f>YEAR(Table1[[#This Row],[OrderDate]])</f>
        <v>2025</v>
      </c>
      <c r="D149" s="9">
        <f>_xlfn.MINIFS(F:F,P:P,Table1[[#This Row],[Country]])</f>
        <v>44936</v>
      </c>
      <c r="E149" s="7">
        <f>DATEDIF(Table1[[#This Row],[first_time_orders]],Table1[[#This Row],[OrderDate]],"m")</f>
        <v>28</v>
      </c>
      <c r="F149" s="9">
        <v>45791</v>
      </c>
      <c r="G149" s="2" t="str">
        <f>TEXT(Table1[[#This Row],[OrderDate]],"MMM-YYYY")</f>
        <v>May-2025</v>
      </c>
      <c r="H149" s="7">
        <f>MONTH(Table1[[#This Row],[OrderDate]])</f>
        <v>5</v>
      </c>
      <c r="I149" s="7" t="str">
        <f>"Q"&amp;ROUNDUP(Table1[[#This Row],[months]]/3,0)&amp;"-"&amp;Table1[[#This Row],[order_year]]</f>
        <v>Q2-2025</v>
      </c>
      <c r="J149" s="7">
        <f>Table1[[#This Row],[RequiredDate]]-Table1[[#This Row],[OrderDate]]</f>
        <v>10</v>
      </c>
      <c r="K149" s="7">
        <f>IF(Table1[[#This Row],[lead_time]]&lt;0,MEDIAN(J:J),Table1[[#This Row],[lead_time]])</f>
        <v>10</v>
      </c>
      <c r="L149" s="7">
        <f>IF(Table1[[#This Row],[adj_lead_time]]&lt;=7,1,0)</f>
        <v>0</v>
      </c>
      <c r="M149" s="9">
        <v>45801</v>
      </c>
      <c r="N149" s="9">
        <f>IF(Table1[[#This Row],[lead_time]]&lt;0,(Table1[[#This Row],[OrderDate]]+Table1[[#This Row],[adj_lead_time]]),Table1[[#This Row],[RequiredDate]])</f>
        <v>45801</v>
      </c>
      <c r="O149" t="s">
        <v>649</v>
      </c>
      <c r="P149" t="s">
        <v>657</v>
      </c>
      <c r="Q149" t="s">
        <v>690</v>
      </c>
      <c r="R149" t="s">
        <v>705</v>
      </c>
      <c r="S149" t="s">
        <v>709</v>
      </c>
      <c r="T149" t="s">
        <v>723</v>
      </c>
      <c r="U149" t="s">
        <v>727</v>
      </c>
      <c r="V149" t="s">
        <v>816</v>
      </c>
      <c r="W149">
        <v>170.39</v>
      </c>
      <c r="X149">
        <f>Table1[[#This Row],[UnitCost]]*(1+'scenario modeling'!$B$3)</f>
        <v>187.429</v>
      </c>
      <c r="Y149">
        <v>388.04</v>
      </c>
      <c r="Z149" t="str">
        <f>IF(Table1[[#This Row],[UnitPrice]]&lt;=Quantiles!$B$2,Quantiles!$A$2,IF(Table1[[#This Row],[UnitPrice]]&lt;=Quantiles!$B$3,Quantiles!$A$3,Quantiles!$A$4))</f>
        <v>Low</v>
      </c>
      <c r="AA149">
        <v>8.4000000000000005E-2</v>
      </c>
      <c r="AB149" s="5">
        <f>MIN(Table1[[#This Row],[DiscountPct]],'scenario modeling'!$B$2)</f>
        <v>8.4000000000000005E-2</v>
      </c>
      <c r="AC149" t="str">
        <f>IF(Table1[[#This Row],[DiscountPct]]&gt;0.3, "&gt;0.3","")</f>
        <v/>
      </c>
      <c r="AD149">
        <v>15</v>
      </c>
      <c r="AE149">
        <f>Table1[[#This Row],[Quantity]]*(1+'scenario modeling'!$B$4)</f>
        <v>18</v>
      </c>
      <c r="AF149">
        <f>Table1[[#This Row],[UnitCost]]*Table1[[#This Row],[Quantity]]</f>
        <v>2555.85</v>
      </c>
      <c r="AG149">
        <f>SUMIF($U:U,Table1[[#This Row],[ProductCategory]],$AM:AM)</f>
        <v>1545646.9975799995</v>
      </c>
      <c r="AH149">
        <f>SUMIFS($AM$2:AM149,$U$2:U149,U149)</f>
        <v>1066760.2476299999</v>
      </c>
      <c r="AI149" s="5">
        <f>Table1[[#This Row],[Cumulative_revenue]]/Table1[[#This Row],[Category_revenue]]</f>
        <v>0.69017068535067405</v>
      </c>
      <c r="AJ149" t="str">
        <f>IF(Table1[[#This Row],[cumulative_pct]]&lt;=0.8,"A",IF(Table1[[#This Row],[cumulative_pct]]&lt;=0.95,"B","C"))</f>
        <v>A</v>
      </c>
      <c r="AK149">
        <f>Table1[[#This Row],[adj_unit_cost]]*Table1[[#This Row],[scenario_quantity]]</f>
        <v>3373.7220000000002</v>
      </c>
      <c r="AL149" s="5">
        <f>Table1[[#This Row],[UnitPrice]]*Table1[[#This Row],[scenario_quantity]]*(1-Table1[[#This Row],[cap_adjusted_discount]])</f>
        <v>6398.0035200000002</v>
      </c>
      <c r="AM149" s="5">
        <f>Table1[[#This Row],[UnitPrice]]*Table1[[#This Row],[Quantity]]*(1-Table1[[#This Row],[DiscountPct]])</f>
        <v>5331.6696000000002</v>
      </c>
      <c r="AN149" s="5">
        <f>Table1[[#This Row],[gross_revenue]]-Table1[[#This Row],[cost_of_goods]]</f>
        <v>2775.8196000000003</v>
      </c>
      <c r="AO149" s="5">
        <f>Table1[[#This Row],[scenario_revenue]]-Table1[[#This Row],[Scenario_unit_cost]]</f>
        <v>3024.28152</v>
      </c>
      <c r="AP149" s="5">
        <f>IF(Table1[[#This Row],[gross_revenue]]=0,0,Table1[[#This Row],[gross_profit]]/Table1[[#This Row],[gross_revenue]])</f>
        <v>0.52062858508711796</v>
      </c>
    </row>
    <row r="150" spans="1:42" x14ac:dyDescent="0.35">
      <c r="A150" t="s">
        <v>329</v>
      </c>
      <c r="B150" t="str">
        <f>_xlfn.TEXTAFTER(Table1[[#This Row],[OrderID]],"-",2)</f>
        <v>231184</v>
      </c>
      <c r="C150">
        <f>YEAR(Table1[[#This Row],[OrderDate]])</f>
        <v>2025</v>
      </c>
      <c r="D150" s="9">
        <f>_xlfn.MINIFS(F:F,P:P,Table1[[#This Row],[Country]])</f>
        <v>44936</v>
      </c>
      <c r="E150" s="7">
        <f>DATEDIF(Table1[[#This Row],[first_time_orders]],Table1[[#This Row],[OrderDate]],"m")</f>
        <v>28</v>
      </c>
      <c r="F150" s="9">
        <v>45809</v>
      </c>
      <c r="G150" s="2" t="str">
        <f>TEXT(Table1[[#This Row],[OrderDate]],"MMM-YYYY")</f>
        <v>Jun-2025</v>
      </c>
      <c r="H150" s="7">
        <f>MONTH(Table1[[#This Row],[OrderDate]])</f>
        <v>6</v>
      </c>
      <c r="I150" s="7" t="str">
        <f>"Q"&amp;ROUNDUP(Table1[[#This Row],[months]]/3,0)&amp;"-"&amp;Table1[[#This Row],[order_year]]</f>
        <v>Q2-2025</v>
      </c>
      <c r="J150" s="7">
        <f>Table1[[#This Row],[RequiredDate]]-Table1[[#This Row],[OrderDate]]</f>
        <v>5</v>
      </c>
      <c r="K150" s="7">
        <f>IF(Table1[[#This Row],[lead_time]]&lt;0,MEDIAN(J:J),Table1[[#This Row],[lead_time]])</f>
        <v>5</v>
      </c>
      <c r="L150" s="7">
        <f>IF(Table1[[#This Row],[adj_lead_time]]&lt;=7,1,0)</f>
        <v>1</v>
      </c>
      <c r="M150" s="9">
        <v>45814</v>
      </c>
      <c r="N150" s="9">
        <f>IF(Table1[[#This Row],[lead_time]]&lt;0,(Table1[[#This Row],[OrderDate]]+Table1[[#This Row],[adj_lead_time]]),Table1[[#This Row],[RequiredDate]])</f>
        <v>45814</v>
      </c>
      <c r="O150" t="s">
        <v>649</v>
      </c>
      <c r="P150" t="s">
        <v>657</v>
      </c>
      <c r="Q150" t="s">
        <v>690</v>
      </c>
      <c r="R150" t="s">
        <v>704</v>
      </c>
      <c r="S150" t="s">
        <v>710</v>
      </c>
      <c r="T150" t="s">
        <v>715</v>
      </c>
      <c r="U150" t="s">
        <v>727</v>
      </c>
      <c r="V150" t="s">
        <v>1049</v>
      </c>
      <c r="W150">
        <v>379.45</v>
      </c>
      <c r="X150">
        <f>Table1[[#This Row],[UnitCost]]*(1+'scenario modeling'!$B$3)</f>
        <v>417.39500000000004</v>
      </c>
      <c r="Y150">
        <v>742.23</v>
      </c>
      <c r="Z150" t="str">
        <f>IF(Table1[[#This Row],[UnitPrice]]&lt;=Quantiles!$B$2,Quantiles!$A$2,IF(Table1[[#This Row],[UnitPrice]]&lt;=Quantiles!$B$3,Quantiles!$A$3,Quantiles!$A$4))</f>
        <v>Low</v>
      </c>
      <c r="AA150">
        <v>0.09</v>
      </c>
      <c r="AB150" s="5">
        <f>MIN(Table1[[#This Row],[DiscountPct]],'scenario modeling'!$B$2)</f>
        <v>0.09</v>
      </c>
      <c r="AC150" t="str">
        <f>IF(Table1[[#This Row],[DiscountPct]]&gt;0.3, "&gt;0.3","")</f>
        <v/>
      </c>
      <c r="AD150">
        <v>13</v>
      </c>
      <c r="AE150">
        <f>Table1[[#This Row],[Quantity]]*(1+'scenario modeling'!$B$4)</f>
        <v>15.6</v>
      </c>
      <c r="AF150">
        <f>Table1[[#This Row],[UnitCost]]*Table1[[#This Row],[Quantity]]</f>
        <v>4932.8499999999995</v>
      </c>
      <c r="AG150">
        <f>SUMIF($U:U,Table1[[#This Row],[ProductCategory]],$AM:AM)</f>
        <v>1545646.9975799995</v>
      </c>
      <c r="AH150">
        <f>SUMIFS($AM$2:AM150,$U$2:U150,U150)</f>
        <v>1075540.8285299998</v>
      </c>
      <c r="AI150" s="5">
        <f>Table1[[#This Row],[Cumulative_revenue]]/Table1[[#This Row],[Category_revenue]]</f>
        <v>0.69585153027435165</v>
      </c>
      <c r="AJ150" t="str">
        <f>IF(Table1[[#This Row],[cumulative_pct]]&lt;=0.8,"A",IF(Table1[[#This Row],[cumulative_pct]]&lt;=0.95,"B","C"))</f>
        <v>A</v>
      </c>
      <c r="AK150">
        <f>Table1[[#This Row],[adj_unit_cost]]*Table1[[#This Row],[scenario_quantity]]</f>
        <v>6511.3620000000001</v>
      </c>
      <c r="AL150" s="5">
        <f>Table1[[#This Row],[UnitPrice]]*Table1[[#This Row],[scenario_quantity]]*(1-Table1[[#This Row],[cap_adjusted_discount]])</f>
        <v>10536.69708</v>
      </c>
      <c r="AM150" s="5">
        <f>Table1[[#This Row],[UnitPrice]]*Table1[[#This Row],[Quantity]]*(1-Table1[[#This Row],[DiscountPct]])</f>
        <v>8780.5809000000008</v>
      </c>
      <c r="AN150" s="5">
        <f>Table1[[#This Row],[gross_revenue]]-Table1[[#This Row],[cost_of_goods]]</f>
        <v>3847.7309000000014</v>
      </c>
      <c r="AO150" s="5">
        <f>Table1[[#This Row],[scenario_revenue]]-Table1[[#This Row],[Scenario_unit_cost]]</f>
        <v>4025.3350799999998</v>
      </c>
      <c r="AP150" s="5">
        <f>IF(Table1[[#This Row],[gross_revenue]]=0,0,Table1[[#This Row],[gross_profit]]/Table1[[#This Row],[gross_revenue]])</f>
        <v>0.43820915083192286</v>
      </c>
    </row>
    <row r="151" spans="1:42" x14ac:dyDescent="0.35">
      <c r="A151" t="s">
        <v>482</v>
      </c>
      <c r="B151" t="str">
        <f>_xlfn.TEXTAFTER(Table1[[#This Row],[OrderID]],"-",2)</f>
        <v>795385</v>
      </c>
      <c r="C151">
        <f>YEAR(Table1[[#This Row],[OrderDate]])</f>
        <v>2025</v>
      </c>
      <c r="D151" s="9">
        <f>_xlfn.MINIFS(F:F,P:P,Table1[[#This Row],[Country]])</f>
        <v>44948</v>
      </c>
      <c r="E151" s="7">
        <f>DATEDIF(Table1[[#This Row],[first_time_orders]],Table1[[#This Row],[OrderDate]],"m")</f>
        <v>28</v>
      </c>
      <c r="F151" s="9">
        <v>45809</v>
      </c>
      <c r="G151" s="2" t="str">
        <f>TEXT(Table1[[#This Row],[OrderDate]],"MMM-YYYY")</f>
        <v>Jun-2025</v>
      </c>
      <c r="H151" s="7">
        <f>MONTH(Table1[[#This Row],[OrderDate]])</f>
        <v>6</v>
      </c>
      <c r="I151" s="7" t="str">
        <f>"Q"&amp;ROUNDUP(Table1[[#This Row],[months]]/3,0)&amp;"-"&amp;Table1[[#This Row],[order_year]]</f>
        <v>Q2-2025</v>
      </c>
      <c r="J151" s="7">
        <f>Table1[[#This Row],[RequiredDate]]-Table1[[#This Row],[OrderDate]]</f>
        <v>4</v>
      </c>
      <c r="K151" s="7">
        <f>IF(Table1[[#This Row],[lead_time]]&lt;0,MEDIAN(J:J),Table1[[#This Row],[lead_time]])</f>
        <v>4</v>
      </c>
      <c r="L151" s="7">
        <f>IF(Table1[[#This Row],[adj_lead_time]]&lt;=7,1,0)</f>
        <v>1</v>
      </c>
      <c r="M151" s="9">
        <v>45813</v>
      </c>
      <c r="N151" s="9">
        <f>IF(Table1[[#This Row],[lead_time]]&lt;0,(Table1[[#This Row],[OrderDate]]+Table1[[#This Row],[adj_lead_time]]),Table1[[#This Row],[RequiredDate]])</f>
        <v>45813</v>
      </c>
      <c r="O151" t="s">
        <v>649</v>
      </c>
      <c r="P151" t="s">
        <v>656</v>
      </c>
      <c r="Q151" t="s">
        <v>684</v>
      </c>
      <c r="R151" t="s">
        <v>706</v>
      </c>
      <c r="S151" t="s">
        <v>711</v>
      </c>
      <c r="T151" t="s">
        <v>724</v>
      </c>
      <c r="U151" t="s">
        <v>727</v>
      </c>
      <c r="V151" t="s">
        <v>1201</v>
      </c>
      <c r="W151">
        <v>1171.42</v>
      </c>
      <c r="X151">
        <f>Table1[[#This Row],[UnitCost]]*(1+'scenario modeling'!$B$3)</f>
        <v>1288.5620000000001</v>
      </c>
      <c r="Y151">
        <v>2187.8000000000002</v>
      </c>
      <c r="Z151" t="str">
        <f>IF(Table1[[#This Row],[UnitPrice]]&lt;=Quantiles!$B$2,Quantiles!$A$2,IF(Table1[[#This Row],[UnitPrice]]&lt;=Quantiles!$B$3,Quantiles!$A$3,Quantiles!$A$4))</f>
        <v>High</v>
      </c>
      <c r="AA151">
        <v>0.23</v>
      </c>
      <c r="AB151" s="5">
        <f>MIN(Table1[[#This Row],[DiscountPct]],'scenario modeling'!$B$2)</f>
        <v>0.1</v>
      </c>
      <c r="AC151" t="str">
        <f>IF(Table1[[#This Row],[DiscountPct]]&gt;0.3, "&gt;0.3","")</f>
        <v/>
      </c>
      <c r="AD151">
        <v>15</v>
      </c>
      <c r="AE151">
        <f>Table1[[#This Row],[Quantity]]*(1+'scenario modeling'!$B$4)</f>
        <v>18</v>
      </c>
      <c r="AF151">
        <f>Table1[[#This Row],[UnitCost]]*Table1[[#This Row],[Quantity]]</f>
        <v>17571.300000000003</v>
      </c>
      <c r="AG151">
        <f>SUMIF($U:U,Table1[[#This Row],[ProductCategory]],$AM:AM)</f>
        <v>1545646.9975799995</v>
      </c>
      <c r="AH151">
        <f>SUMIFS($AM$2:AM151,$U$2:U151,U151)</f>
        <v>1100809.9185299999</v>
      </c>
      <c r="AI151" s="5">
        <f>Table1[[#This Row],[Cumulative_revenue]]/Table1[[#This Row],[Category_revenue]]</f>
        <v>0.71220008207147201</v>
      </c>
      <c r="AJ151" t="str">
        <f>IF(Table1[[#This Row],[cumulative_pct]]&lt;=0.8,"A",IF(Table1[[#This Row],[cumulative_pct]]&lt;=0.95,"B","C"))</f>
        <v>A</v>
      </c>
      <c r="AK151">
        <f>Table1[[#This Row],[adj_unit_cost]]*Table1[[#This Row],[scenario_quantity]]</f>
        <v>23194.116000000002</v>
      </c>
      <c r="AL151" s="5">
        <f>Table1[[#This Row],[UnitPrice]]*Table1[[#This Row],[scenario_quantity]]*(1-Table1[[#This Row],[cap_adjusted_discount]])</f>
        <v>35442.36</v>
      </c>
      <c r="AM151" s="5">
        <f>Table1[[#This Row],[UnitPrice]]*Table1[[#This Row],[Quantity]]*(1-Table1[[#This Row],[DiscountPct]])</f>
        <v>25269.09</v>
      </c>
      <c r="AN151" s="5">
        <f>Table1[[#This Row],[gross_revenue]]-Table1[[#This Row],[cost_of_goods]]</f>
        <v>7697.7899999999972</v>
      </c>
      <c r="AO151" s="5">
        <f>Table1[[#This Row],[scenario_revenue]]-Table1[[#This Row],[Scenario_unit_cost]]</f>
        <v>12248.243999999999</v>
      </c>
      <c r="AP151" s="5">
        <f>IF(Table1[[#This Row],[gross_revenue]]=0,0,Table1[[#This Row],[gross_profit]]/Table1[[#This Row],[gross_revenue]])</f>
        <v>0.30463265594447592</v>
      </c>
    </row>
    <row r="152" spans="1:42" x14ac:dyDescent="0.35">
      <c r="A152" t="s">
        <v>486</v>
      </c>
      <c r="B152" t="str">
        <f>_xlfn.TEXTAFTER(Table1[[#This Row],[OrderID]],"-",2)</f>
        <v>779659</v>
      </c>
      <c r="C152">
        <f>YEAR(Table1[[#This Row],[OrderDate]])</f>
        <v>2025</v>
      </c>
      <c r="D152" s="9">
        <f>_xlfn.MINIFS(F:F,P:P,Table1[[#This Row],[Country]])</f>
        <v>44938</v>
      </c>
      <c r="E152" s="7">
        <f>DATEDIF(Table1[[#This Row],[first_time_orders]],Table1[[#This Row],[OrderDate]],"m")</f>
        <v>29</v>
      </c>
      <c r="F152" s="9">
        <v>45841</v>
      </c>
      <c r="G152" s="2" t="str">
        <f>TEXT(Table1[[#This Row],[OrderDate]],"MMM-YYYY")</f>
        <v>Jul-2025</v>
      </c>
      <c r="H152" s="7">
        <f>MONTH(Table1[[#This Row],[OrderDate]])</f>
        <v>7</v>
      </c>
      <c r="I152" s="7" t="str">
        <f>"Q"&amp;ROUNDUP(Table1[[#This Row],[months]]/3,0)&amp;"-"&amp;Table1[[#This Row],[order_year]]</f>
        <v>Q3-2025</v>
      </c>
      <c r="J152" s="7">
        <f>Table1[[#This Row],[RequiredDate]]-Table1[[#This Row],[OrderDate]]</f>
        <v>20</v>
      </c>
      <c r="K152" s="7">
        <f>IF(Table1[[#This Row],[lead_time]]&lt;0,MEDIAN(J:J),Table1[[#This Row],[lead_time]])</f>
        <v>20</v>
      </c>
      <c r="L152" s="7">
        <f>IF(Table1[[#This Row],[adj_lead_time]]&lt;=7,1,0)</f>
        <v>0</v>
      </c>
      <c r="M152" s="9">
        <v>45861</v>
      </c>
      <c r="N152" s="9">
        <f>IF(Table1[[#This Row],[lead_time]]&lt;0,(Table1[[#This Row],[OrderDate]]+Table1[[#This Row],[adj_lead_time]]),Table1[[#This Row],[RequiredDate]])</f>
        <v>45861</v>
      </c>
      <c r="O152" t="s">
        <v>647</v>
      </c>
      <c r="P152" t="s">
        <v>659</v>
      </c>
      <c r="Q152" t="s">
        <v>699</v>
      </c>
      <c r="R152" t="s">
        <v>705</v>
      </c>
      <c r="S152" t="s">
        <v>708</v>
      </c>
      <c r="T152" t="s">
        <v>724</v>
      </c>
      <c r="U152" t="s">
        <v>727</v>
      </c>
      <c r="V152" t="s">
        <v>1205</v>
      </c>
      <c r="W152">
        <v>647.36</v>
      </c>
      <c r="X152">
        <f>Table1[[#This Row],[UnitCost]]*(1+'scenario modeling'!$B$3)</f>
        <v>712.09600000000012</v>
      </c>
      <c r="Y152">
        <v>1383.6</v>
      </c>
      <c r="Z152" t="str">
        <f>IF(Table1[[#This Row],[UnitPrice]]&lt;=Quantiles!$B$2,Quantiles!$A$2,IF(Table1[[#This Row],[UnitPrice]]&lt;=Quantiles!$B$3,Quantiles!$A$3,Quantiles!$A$4))</f>
        <v>Medium</v>
      </c>
      <c r="AA152">
        <v>7.3999999999999996E-2</v>
      </c>
      <c r="AB152" s="5">
        <f>MIN(Table1[[#This Row],[DiscountPct]],'scenario modeling'!$B$2)</f>
        <v>7.3999999999999996E-2</v>
      </c>
      <c r="AC152" t="str">
        <f>IF(Table1[[#This Row],[DiscountPct]]&gt;0.3, "&gt;0.3","")</f>
        <v/>
      </c>
      <c r="AD152">
        <v>12</v>
      </c>
      <c r="AE152">
        <f>Table1[[#This Row],[Quantity]]*(1+'scenario modeling'!$B$4)</f>
        <v>14.399999999999999</v>
      </c>
      <c r="AF152">
        <f>Table1[[#This Row],[UnitCost]]*Table1[[#This Row],[Quantity]]</f>
        <v>7768.32</v>
      </c>
      <c r="AG152">
        <f>SUMIF($U:U,Table1[[#This Row],[ProductCategory]],$AM:AM)</f>
        <v>1545646.9975799995</v>
      </c>
      <c r="AH152">
        <f>SUMIFS($AM$2:AM152,$U$2:U152,U152)</f>
        <v>1116184.4817299999</v>
      </c>
      <c r="AI152" s="5">
        <f>Table1[[#This Row],[Cumulative_revenue]]/Table1[[#This Row],[Category_revenue]]</f>
        <v>0.72214709016845124</v>
      </c>
      <c r="AJ152" t="str">
        <f>IF(Table1[[#This Row],[cumulative_pct]]&lt;=0.8,"A",IF(Table1[[#This Row],[cumulative_pct]]&lt;=0.95,"B","C"))</f>
        <v>A</v>
      </c>
      <c r="AK152">
        <f>Table1[[#This Row],[adj_unit_cost]]*Table1[[#This Row],[scenario_quantity]]</f>
        <v>10254.182400000002</v>
      </c>
      <c r="AL152" s="5">
        <f>Table1[[#This Row],[UnitPrice]]*Table1[[#This Row],[scenario_quantity]]*(1-Table1[[#This Row],[cap_adjusted_discount]])</f>
        <v>18449.475839999999</v>
      </c>
      <c r="AM152" s="5">
        <f>Table1[[#This Row],[UnitPrice]]*Table1[[#This Row],[Quantity]]*(1-Table1[[#This Row],[DiscountPct]])</f>
        <v>15374.563199999999</v>
      </c>
      <c r="AN152" s="5">
        <f>Table1[[#This Row],[gross_revenue]]-Table1[[#This Row],[cost_of_goods]]</f>
        <v>7606.243199999999</v>
      </c>
      <c r="AO152" s="5">
        <f>Table1[[#This Row],[scenario_revenue]]-Table1[[#This Row],[Scenario_unit_cost]]</f>
        <v>8195.2934399999976</v>
      </c>
      <c r="AP152" s="5">
        <f>IF(Table1[[#This Row],[gross_revenue]]=0,0,Table1[[#This Row],[gross_profit]]/Table1[[#This Row],[gross_revenue]])</f>
        <v>0.49472906000997802</v>
      </c>
    </row>
    <row r="153" spans="1:42" x14ac:dyDescent="0.35">
      <c r="A153" t="s">
        <v>52</v>
      </c>
      <c r="B153" t="str">
        <f>_xlfn.TEXTAFTER(Table1[[#This Row],[OrderID]],"-",2)</f>
        <v>718992</v>
      </c>
      <c r="C153">
        <f>YEAR(Table1[[#This Row],[OrderDate]])</f>
        <v>2025</v>
      </c>
      <c r="D153" s="9">
        <f>_xlfn.MINIFS(F:F,P:P,Table1[[#This Row],[Country]])</f>
        <v>44938</v>
      </c>
      <c r="E153" s="7">
        <f>DATEDIF(Table1[[#This Row],[first_time_orders]],Table1[[#This Row],[OrderDate]],"m")</f>
        <v>29</v>
      </c>
      <c r="F153" s="9">
        <v>45832</v>
      </c>
      <c r="G153" s="2" t="str">
        <f>TEXT(Table1[[#This Row],[OrderDate]],"MMM-YYYY")</f>
        <v>Jun-2025</v>
      </c>
      <c r="H153" s="7">
        <f>MONTH(Table1[[#This Row],[OrderDate]])</f>
        <v>6</v>
      </c>
      <c r="I153" s="7" t="str">
        <f>"Q"&amp;ROUNDUP(Table1[[#This Row],[months]]/3,0)&amp;"-"&amp;Table1[[#This Row],[order_year]]</f>
        <v>Q2-2025</v>
      </c>
      <c r="J153" s="7">
        <f>Table1[[#This Row],[RequiredDate]]-Table1[[#This Row],[OrderDate]]</f>
        <v>16</v>
      </c>
      <c r="K153" s="7">
        <f>IF(Table1[[#This Row],[lead_time]]&lt;0,MEDIAN(J:J),Table1[[#This Row],[lead_time]])</f>
        <v>16</v>
      </c>
      <c r="L153" s="7">
        <f>IF(Table1[[#This Row],[adj_lead_time]]&lt;=7,1,0)</f>
        <v>0</v>
      </c>
      <c r="M153" s="9">
        <v>45848</v>
      </c>
      <c r="N153" s="9">
        <f>IF(Table1[[#This Row],[lead_time]]&lt;0,(Table1[[#This Row],[OrderDate]]+Table1[[#This Row],[adj_lead_time]]),Table1[[#This Row],[RequiredDate]])</f>
        <v>45848</v>
      </c>
      <c r="O153" t="s">
        <v>647</v>
      </c>
      <c r="P153" t="s">
        <v>659</v>
      </c>
      <c r="Q153" t="s">
        <v>685</v>
      </c>
      <c r="R153" t="s">
        <v>706</v>
      </c>
      <c r="S153" t="s">
        <v>711</v>
      </c>
      <c r="T153" t="s">
        <v>725</v>
      </c>
      <c r="U153" t="s">
        <v>727</v>
      </c>
      <c r="V153" t="s">
        <v>771</v>
      </c>
      <c r="W153">
        <v>757.19</v>
      </c>
      <c r="X153">
        <f>Table1[[#This Row],[UnitCost]]*(1+'scenario modeling'!$B$3)</f>
        <v>832.90900000000011</v>
      </c>
      <c r="Y153">
        <v>1735.41</v>
      </c>
      <c r="Z153" t="str">
        <f>IF(Table1[[#This Row],[UnitPrice]]&lt;=Quantiles!$B$2,Quantiles!$A$2,IF(Table1[[#This Row],[UnitPrice]]&lt;=Quantiles!$B$3,Quantiles!$A$3,Quantiles!$A$4))</f>
        <v>High</v>
      </c>
      <c r="AA153">
        <v>0.13600000000000001</v>
      </c>
      <c r="AB153" s="5">
        <f>MIN(Table1[[#This Row],[DiscountPct]],'scenario modeling'!$B$2)</f>
        <v>0.1</v>
      </c>
      <c r="AC153" t="str">
        <f>IF(Table1[[#This Row],[DiscountPct]]&gt;0.3, "&gt;0.3","")</f>
        <v/>
      </c>
      <c r="AD153">
        <v>8</v>
      </c>
      <c r="AE153">
        <f>Table1[[#This Row],[Quantity]]*(1+'scenario modeling'!$B$4)</f>
        <v>9.6</v>
      </c>
      <c r="AF153">
        <f>Table1[[#This Row],[UnitCost]]*Table1[[#This Row],[Quantity]]</f>
        <v>6057.52</v>
      </c>
      <c r="AG153">
        <f>SUMIF($U:U,Table1[[#This Row],[ProductCategory]],$AM:AM)</f>
        <v>1545646.9975799995</v>
      </c>
      <c r="AH153">
        <f>SUMIFS($AM$2:AM153,$U$2:U153,U153)</f>
        <v>1128179.6356499998</v>
      </c>
      <c r="AI153" s="5">
        <f>Table1[[#This Row],[Cumulative_revenue]]/Table1[[#This Row],[Category_revenue]]</f>
        <v>0.7299076939407102</v>
      </c>
      <c r="AJ153" t="str">
        <f>IF(Table1[[#This Row],[cumulative_pct]]&lt;=0.8,"A",IF(Table1[[#This Row],[cumulative_pct]]&lt;=0.95,"B","C"))</f>
        <v>A</v>
      </c>
      <c r="AK153">
        <f>Table1[[#This Row],[adj_unit_cost]]*Table1[[#This Row],[scenario_quantity]]</f>
        <v>7995.9264000000003</v>
      </c>
      <c r="AL153" s="5">
        <f>Table1[[#This Row],[UnitPrice]]*Table1[[#This Row],[scenario_quantity]]*(1-Table1[[#This Row],[cap_adjusted_discount]])</f>
        <v>14993.942400000002</v>
      </c>
      <c r="AM153" s="5">
        <f>Table1[[#This Row],[UnitPrice]]*Table1[[#This Row],[Quantity]]*(1-Table1[[#This Row],[DiscountPct]])</f>
        <v>11995.153920000001</v>
      </c>
      <c r="AN153" s="5">
        <f>Table1[[#This Row],[gross_revenue]]-Table1[[#This Row],[cost_of_goods]]</f>
        <v>5937.6339200000002</v>
      </c>
      <c r="AO153" s="5">
        <f>Table1[[#This Row],[scenario_revenue]]-Table1[[#This Row],[Scenario_unit_cost]]</f>
        <v>6998.0160000000014</v>
      </c>
      <c r="AP153" s="5">
        <f>IF(Table1[[#This Row],[gross_revenue]]=0,0,Table1[[#This Row],[gross_profit]]/Table1[[#This Row],[gross_revenue]])</f>
        <v>0.4950027285685718</v>
      </c>
    </row>
    <row r="154" spans="1:42" x14ac:dyDescent="0.35">
      <c r="A154" t="s">
        <v>281</v>
      </c>
      <c r="B154" t="str">
        <f>_xlfn.TEXTAFTER(Table1[[#This Row],[OrderID]],"-",2)</f>
        <v>632893</v>
      </c>
      <c r="C154">
        <f>YEAR(Table1[[#This Row],[OrderDate]])</f>
        <v>2023</v>
      </c>
      <c r="D154" s="9">
        <f>_xlfn.MINIFS(F:F,P:P,Table1[[#This Row],[Country]])</f>
        <v>44941</v>
      </c>
      <c r="E154" s="7">
        <f>DATEDIF(Table1[[#This Row],[first_time_orders]],Table1[[#This Row],[OrderDate]],"m")</f>
        <v>3</v>
      </c>
      <c r="F154" s="9">
        <v>45053</v>
      </c>
      <c r="G154" s="2" t="str">
        <f>TEXT(Table1[[#This Row],[OrderDate]],"MMM-YYYY")</f>
        <v>May-2023</v>
      </c>
      <c r="H154" s="7">
        <f>MONTH(Table1[[#This Row],[OrderDate]])</f>
        <v>5</v>
      </c>
      <c r="I154" s="7" t="str">
        <f>"Q"&amp;ROUNDUP(Table1[[#This Row],[months]]/3,0)&amp;"-"&amp;Table1[[#This Row],[order_year]]</f>
        <v>Q2-2023</v>
      </c>
      <c r="J154" s="7">
        <f>Table1[[#This Row],[RequiredDate]]-Table1[[#This Row],[OrderDate]]</f>
        <v>-2</v>
      </c>
      <c r="K154" s="7">
        <f>IF(Table1[[#This Row],[lead_time]]&lt;0,MEDIAN(J:J),Table1[[#This Row],[lead_time]])</f>
        <v>15</v>
      </c>
      <c r="L154" s="7">
        <f>IF(Table1[[#This Row],[adj_lead_time]]&lt;=7,1,0)</f>
        <v>0</v>
      </c>
      <c r="M154" s="9">
        <v>45051</v>
      </c>
      <c r="N154" s="9">
        <f>IF(Table1[[#This Row],[lead_time]]&lt;0,(Table1[[#This Row],[OrderDate]]+Table1[[#This Row],[adj_lead_time]]),Table1[[#This Row],[RequiredDate]])</f>
        <v>45068</v>
      </c>
      <c r="O154" t="s">
        <v>646</v>
      </c>
      <c r="P154" t="s">
        <v>651</v>
      </c>
      <c r="Q154" t="s">
        <v>663</v>
      </c>
      <c r="R154" t="s">
        <v>703</v>
      </c>
      <c r="S154" t="s">
        <v>709</v>
      </c>
      <c r="T154" t="s">
        <v>720</v>
      </c>
      <c r="U154" t="s">
        <v>727</v>
      </c>
      <c r="V154" t="s">
        <v>1001</v>
      </c>
      <c r="W154">
        <v>1269.6500000000001</v>
      </c>
      <c r="X154">
        <f>Table1[[#This Row],[UnitCost]]*(1+'scenario modeling'!$B$3)</f>
        <v>1396.6150000000002</v>
      </c>
      <c r="Y154">
        <v>2462.77</v>
      </c>
      <c r="Z154" t="str">
        <f>IF(Table1[[#This Row],[UnitPrice]]&lt;=Quantiles!$B$2,Quantiles!$A$2,IF(Table1[[#This Row],[UnitPrice]]&lt;=Quantiles!$B$3,Quantiles!$A$3,Quantiles!$A$4))</f>
        <v>High</v>
      </c>
      <c r="AA154">
        <v>0.107</v>
      </c>
      <c r="AB154" s="5">
        <f>MIN(Table1[[#This Row],[DiscountPct]],'scenario modeling'!$B$2)</f>
        <v>0.1</v>
      </c>
      <c r="AC154" t="str">
        <f>IF(Table1[[#This Row],[DiscountPct]]&gt;0.3, "&gt;0.3","")</f>
        <v/>
      </c>
      <c r="AD154">
        <v>8</v>
      </c>
      <c r="AE154">
        <f>Table1[[#This Row],[Quantity]]*(1+'scenario modeling'!$B$4)</f>
        <v>9.6</v>
      </c>
      <c r="AF154">
        <f>Table1[[#This Row],[UnitCost]]*Table1[[#This Row],[Quantity]]</f>
        <v>10157.200000000001</v>
      </c>
      <c r="AG154">
        <f>SUMIF($U:U,Table1[[#This Row],[ProductCategory]],$AM:AM)</f>
        <v>1545646.9975799995</v>
      </c>
      <c r="AH154">
        <f>SUMIFS($AM$2:AM154,$U$2:U154,U154)</f>
        <v>1145773.66453</v>
      </c>
      <c r="AI154" s="5">
        <f>Table1[[#This Row],[Cumulative_revenue]]/Table1[[#This Row],[Category_revenue]]</f>
        <v>0.74129064807418754</v>
      </c>
      <c r="AJ154" t="str">
        <f>IF(Table1[[#This Row],[cumulative_pct]]&lt;=0.8,"A",IF(Table1[[#This Row],[cumulative_pct]]&lt;=0.95,"B","C"))</f>
        <v>A</v>
      </c>
      <c r="AK154">
        <f>Table1[[#This Row],[adj_unit_cost]]*Table1[[#This Row],[scenario_quantity]]</f>
        <v>13407.504000000003</v>
      </c>
      <c r="AL154" s="5">
        <f>Table1[[#This Row],[UnitPrice]]*Table1[[#This Row],[scenario_quantity]]*(1-Table1[[#This Row],[cap_adjusted_discount]])</f>
        <v>21278.3328</v>
      </c>
      <c r="AM154" s="5">
        <f>Table1[[#This Row],[UnitPrice]]*Table1[[#This Row],[Quantity]]*(1-Table1[[#This Row],[DiscountPct]])</f>
        <v>17594.028880000002</v>
      </c>
      <c r="AN154" s="5">
        <f>Table1[[#This Row],[gross_revenue]]-Table1[[#This Row],[cost_of_goods]]</f>
        <v>7436.8288800000009</v>
      </c>
      <c r="AO154" s="5">
        <f>Table1[[#This Row],[scenario_revenue]]-Table1[[#This Row],[Scenario_unit_cost]]</f>
        <v>7870.8287999999975</v>
      </c>
      <c r="AP154" s="5">
        <f>IF(Table1[[#This Row],[gross_revenue]]=0,0,Table1[[#This Row],[gross_profit]]/Table1[[#This Row],[gross_revenue]])</f>
        <v>0.42269050089225502</v>
      </c>
    </row>
    <row r="155" spans="1:42" x14ac:dyDescent="0.35">
      <c r="A155" t="s">
        <v>533</v>
      </c>
      <c r="B155" t="str">
        <f>_xlfn.TEXTAFTER(Table1[[#This Row],[OrderID]],"-",2)</f>
        <v>125739</v>
      </c>
      <c r="C155">
        <f>YEAR(Table1[[#This Row],[OrderDate]])</f>
        <v>2023</v>
      </c>
      <c r="D155" s="9">
        <f>_xlfn.MINIFS(F:F,P:P,Table1[[#This Row],[Country]])</f>
        <v>44941</v>
      </c>
      <c r="E155" s="7">
        <f>DATEDIF(Table1[[#This Row],[first_time_orders]],Table1[[#This Row],[OrderDate]],"m")</f>
        <v>3</v>
      </c>
      <c r="F155" s="9">
        <v>45047</v>
      </c>
      <c r="G155" s="2" t="str">
        <f>TEXT(Table1[[#This Row],[OrderDate]],"MMM-YYYY")</f>
        <v>May-2023</v>
      </c>
      <c r="H155" s="7">
        <f>MONTH(Table1[[#This Row],[OrderDate]])</f>
        <v>5</v>
      </c>
      <c r="I155" s="7" t="str">
        <f>"Q"&amp;ROUNDUP(Table1[[#This Row],[months]]/3,0)&amp;"-"&amp;Table1[[#This Row],[order_year]]</f>
        <v>Q2-2023</v>
      </c>
      <c r="J155" s="7">
        <f>Table1[[#This Row],[RequiredDate]]-Table1[[#This Row],[OrderDate]]</f>
        <v>17</v>
      </c>
      <c r="K155" s="7">
        <f>IF(Table1[[#This Row],[lead_time]]&lt;0,MEDIAN(J:J),Table1[[#This Row],[lead_time]])</f>
        <v>17</v>
      </c>
      <c r="L155" s="7">
        <f>IF(Table1[[#This Row],[adj_lead_time]]&lt;=7,1,0)</f>
        <v>0</v>
      </c>
      <c r="M155" s="9">
        <v>45064</v>
      </c>
      <c r="N155" s="9">
        <f>IF(Table1[[#This Row],[lead_time]]&lt;0,(Table1[[#This Row],[OrderDate]]+Table1[[#This Row],[adj_lead_time]]),Table1[[#This Row],[RequiredDate]])</f>
        <v>45064</v>
      </c>
      <c r="O155" t="s">
        <v>646</v>
      </c>
      <c r="P155" t="s">
        <v>651</v>
      </c>
      <c r="Q155" t="s">
        <v>663</v>
      </c>
      <c r="R155" t="s">
        <v>701</v>
      </c>
      <c r="S155" t="s">
        <v>711</v>
      </c>
      <c r="T155" t="s">
        <v>721</v>
      </c>
      <c r="U155" t="s">
        <v>727</v>
      </c>
      <c r="V155" t="s">
        <v>1252</v>
      </c>
      <c r="W155">
        <v>327.97</v>
      </c>
      <c r="X155">
        <f>Table1[[#This Row],[UnitCost]]*(1+'scenario modeling'!$B$3)</f>
        <v>360.76700000000005</v>
      </c>
      <c r="Y155">
        <v>299.94</v>
      </c>
      <c r="Z155" t="str">
        <f>IF(Table1[[#This Row],[UnitPrice]]&lt;=Quantiles!$B$2,Quantiles!$A$2,IF(Table1[[#This Row],[UnitPrice]]&lt;=Quantiles!$B$3,Quantiles!$A$3,Quantiles!$A$4))</f>
        <v>Low</v>
      </c>
      <c r="AA155">
        <v>4.9000000000000002E-2</v>
      </c>
      <c r="AB155" s="5">
        <f>MIN(Table1[[#This Row],[DiscountPct]],'scenario modeling'!$B$2)</f>
        <v>4.9000000000000002E-2</v>
      </c>
      <c r="AC155" t="str">
        <f>IF(Table1[[#This Row],[DiscountPct]]&gt;0.3, "&gt;0.3","")</f>
        <v/>
      </c>
      <c r="AD155">
        <v>3</v>
      </c>
      <c r="AE155">
        <f>Table1[[#This Row],[Quantity]]*(1+'scenario modeling'!$B$4)</f>
        <v>3.5999999999999996</v>
      </c>
      <c r="AF155">
        <f>Table1[[#This Row],[UnitCost]]*Table1[[#This Row],[Quantity]]</f>
        <v>983.91000000000008</v>
      </c>
      <c r="AG155">
        <f>SUMIF($U:U,Table1[[#This Row],[ProductCategory]],$AM:AM)</f>
        <v>1545646.9975799995</v>
      </c>
      <c r="AH155">
        <f>SUMIFS($AM$2:AM155,$U$2:U155,U155)</f>
        <v>1146629.39335</v>
      </c>
      <c r="AI155" s="5">
        <f>Table1[[#This Row],[Cumulative_revenue]]/Table1[[#This Row],[Category_revenue]]</f>
        <v>0.74184428601437691</v>
      </c>
      <c r="AJ155" t="str">
        <f>IF(Table1[[#This Row],[cumulative_pct]]&lt;=0.8,"A",IF(Table1[[#This Row],[cumulative_pct]]&lt;=0.95,"B","C"))</f>
        <v>A</v>
      </c>
      <c r="AK155">
        <f>Table1[[#This Row],[adj_unit_cost]]*Table1[[#This Row],[scenario_quantity]]</f>
        <v>1298.7612000000001</v>
      </c>
      <c r="AL155" s="5">
        <f>Table1[[#This Row],[UnitPrice]]*Table1[[#This Row],[scenario_quantity]]*(1-Table1[[#This Row],[cap_adjusted_discount]])</f>
        <v>1026.8745839999999</v>
      </c>
      <c r="AM155" s="5">
        <f>Table1[[#This Row],[UnitPrice]]*Table1[[#This Row],[Quantity]]*(1-Table1[[#This Row],[DiscountPct]])</f>
        <v>855.72881999999993</v>
      </c>
      <c r="AN155" s="5">
        <f>Table1[[#This Row],[gross_revenue]]-Table1[[#This Row],[cost_of_goods]]</f>
        <v>-128.18118000000015</v>
      </c>
      <c r="AO155" s="5">
        <f>Table1[[#This Row],[scenario_revenue]]-Table1[[#This Row],[Scenario_unit_cost]]</f>
        <v>-271.88661600000023</v>
      </c>
      <c r="AP155" s="5">
        <f>IF(Table1[[#This Row],[gross_revenue]]=0,0,Table1[[#This Row],[gross_profit]]/Table1[[#This Row],[gross_revenue]])</f>
        <v>-0.14979182306843442</v>
      </c>
    </row>
    <row r="156" spans="1:42" x14ac:dyDescent="0.35">
      <c r="A156" t="s">
        <v>84</v>
      </c>
      <c r="B156" t="str">
        <f>_xlfn.TEXTAFTER(Table1[[#This Row],[OrderID]],"-",2)</f>
        <v>809913</v>
      </c>
      <c r="C156">
        <f>YEAR(Table1[[#This Row],[OrderDate]])</f>
        <v>2023</v>
      </c>
      <c r="D156" s="9">
        <f>_xlfn.MINIFS(F:F,P:P,Table1[[#This Row],[Country]])</f>
        <v>44938</v>
      </c>
      <c r="E156" s="7">
        <f>DATEDIF(Table1[[#This Row],[first_time_orders]],Table1[[#This Row],[OrderDate]],"m")</f>
        <v>3</v>
      </c>
      <c r="F156" s="9">
        <v>45037</v>
      </c>
      <c r="G156" s="2" t="str">
        <f>TEXT(Table1[[#This Row],[OrderDate]],"MMM-YYYY")</f>
        <v>Apr-2023</v>
      </c>
      <c r="H156" s="7">
        <f>MONTH(Table1[[#This Row],[OrderDate]])</f>
        <v>4</v>
      </c>
      <c r="I156" s="7" t="str">
        <f>"Q"&amp;ROUNDUP(Table1[[#This Row],[months]]/3,0)&amp;"-"&amp;Table1[[#This Row],[order_year]]</f>
        <v>Q2-2023</v>
      </c>
      <c r="J156" s="7">
        <f>Table1[[#This Row],[RequiredDate]]-Table1[[#This Row],[OrderDate]]</f>
        <v>19</v>
      </c>
      <c r="K156" s="7">
        <f>IF(Table1[[#This Row],[lead_time]]&lt;0,MEDIAN(J:J),Table1[[#This Row],[lead_time]])</f>
        <v>19</v>
      </c>
      <c r="L156" s="7">
        <f>IF(Table1[[#This Row],[adj_lead_time]]&lt;=7,1,0)</f>
        <v>0</v>
      </c>
      <c r="M156" s="9">
        <v>45056</v>
      </c>
      <c r="N156" s="9">
        <f>IF(Table1[[#This Row],[lead_time]]&lt;0,(Table1[[#This Row],[OrderDate]]+Table1[[#This Row],[adj_lead_time]]),Table1[[#This Row],[RequiredDate]])</f>
        <v>45056</v>
      </c>
      <c r="O156" t="s">
        <v>647</v>
      </c>
      <c r="P156" t="s">
        <v>659</v>
      </c>
      <c r="Q156" t="s">
        <v>685</v>
      </c>
      <c r="R156" t="s">
        <v>701</v>
      </c>
      <c r="S156" t="s">
        <v>707</v>
      </c>
      <c r="T156" t="s">
        <v>720</v>
      </c>
      <c r="U156" t="s">
        <v>727</v>
      </c>
      <c r="V156" t="s">
        <v>803</v>
      </c>
      <c r="W156">
        <v>882.33</v>
      </c>
      <c r="X156">
        <f>Table1[[#This Row],[UnitCost]]*(1+'scenario modeling'!$B$3)</f>
        <v>970.5630000000001</v>
      </c>
      <c r="Y156">
        <v>1880.15</v>
      </c>
      <c r="Z156" t="str">
        <f>IF(Table1[[#This Row],[UnitPrice]]&lt;=Quantiles!$B$2,Quantiles!$A$2,IF(Table1[[#This Row],[UnitPrice]]&lt;=Quantiles!$B$3,Quantiles!$A$3,Quantiles!$A$4))</f>
        <v>High</v>
      </c>
      <c r="AA156">
        <v>0.05</v>
      </c>
      <c r="AB156" s="5">
        <f>MIN(Table1[[#This Row],[DiscountPct]],'scenario modeling'!$B$2)</f>
        <v>0.05</v>
      </c>
      <c r="AC156" t="str">
        <f>IF(Table1[[#This Row],[DiscountPct]]&gt;0.3, "&gt;0.3","")</f>
        <v/>
      </c>
      <c r="AD156">
        <v>5</v>
      </c>
      <c r="AE156">
        <f>Table1[[#This Row],[Quantity]]*(1+'scenario modeling'!$B$4)</f>
        <v>6</v>
      </c>
      <c r="AF156">
        <f>Table1[[#This Row],[UnitCost]]*Table1[[#This Row],[Quantity]]</f>
        <v>4411.6500000000005</v>
      </c>
      <c r="AG156">
        <f>SUMIF($U:U,Table1[[#This Row],[ProductCategory]],$AM:AM)</f>
        <v>1545646.9975799995</v>
      </c>
      <c r="AH156">
        <f>SUMIFS($AM$2:AM156,$U$2:U156,U156)</f>
        <v>1155560.1058499999</v>
      </c>
      <c r="AI156" s="5">
        <f>Table1[[#This Row],[Cumulative_revenue]]/Table1[[#This Row],[Category_revenue]]</f>
        <v>0.74762226281890121</v>
      </c>
      <c r="AJ156" t="str">
        <f>IF(Table1[[#This Row],[cumulative_pct]]&lt;=0.8,"A",IF(Table1[[#This Row],[cumulative_pct]]&lt;=0.95,"B","C"))</f>
        <v>A</v>
      </c>
      <c r="AK156">
        <f>Table1[[#This Row],[adj_unit_cost]]*Table1[[#This Row],[scenario_quantity]]</f>
        <v>5823.3780000000006</v>
      </c>
      <c r="AL156" s="5">
        <f>Table1[[#This Row],[UnitPrice]]*Table1[[#This Row],[scenario_quantity]]*(1-Table1[[#This Row],[cap_adjusted_discount]])</f>
        <v>10716.855000000001</v>
      </c>
      <c r="AM156" s="5">
        <f>Table1[[#This Row],[UnitPrice]]*Table1[[#This Row],[Quantity]]*(1-Table1[[#This Row],[DiscountPct]])</f>
        <v>8930.7124999999996</v>
      </c>
      <c r="AN156" s="5">
        <f>Table1[[#This Row],[gross_revenue]]-Table1[[#This Row],[cost_of_goods]]</f>
        <v>4519.0624999999991</v>
      </c>
      <c r="AO156" s="5">
        <f>Table1[[#This Row],[scenario_revenue]]-Table1[[#This Row],[Scenario_unit_cost]]</f>
        <v>4893.4770000000008</v>
      </c>
      <c r="AP156" s="5">
        <f>IF(Table1[[#This Row],[gross_revenue]]=0,0,Table1[[#This Row],[gross_profit]]/Table1[[#This Row],[gross_revenue]])</f>
        <v>0.50601365792482955</v>
      </c>
    </row>
    <row r="157" spans="1:42" x14ac:dyDescent="0.35">
      <c r="A157" t="s">
        <v>589</v>
      </c>
      <c r="B157" t="str">
        <f>_xlfn.TEXTAFTER(Table1[[#This Row],[OrderID]],"-",2)</f>
        <v>340056</v>
      </c>
      <c r="C157">
        <f>YEAR(Table1[[#This Row],[OrderDate]])</f>
        <v>2023</v>
      </c>
      <c r="D157" s="9">
        <f>_xlfn.MINIFS(F:F,P:P,Table1[[#This Row],[Country]])</f>
        <v>44936</v>
      </c>
      <c r="E157" s="7">
        <f>DATEDIF(Table1[[#This Row],[first_time_orders]],Table1[[#This Row],[OrderDate]],"m")</f>
        <v>3</v>
      </c>
      <c r="F157" s="9">
        <v>45042</v>
      </c>
      <c r="G157" s="2" t="str">
        <f>TEXT(Table1[[#This Row],[OrderDate]],"MMM-YYYY")</f>
        <v>Apr-2023</v>
      </c>
      <c r="H157" s="7">
        <f>MONTH(Table1[[#This Row],[OrderDate]])</f>
        <v>4</v>
      </c>
      <c r="I157" s="7" t="str">
        <f>"Q"&amp;ROUNDUP(Table1[[#This Row],[months]]/3,0)&amp;"-"&amp;Table1[[#This Row],[order_year]]</f>
        <v>Q2-2023</v>
      </c>
      <c r="J157" s="7">
        <f>Table1[[#This Row],[RequiredDate]]-Table1[[#This Row],[OrderDate]]</f>
        <v>0</v>
      </c>
      <c r="K157" s="7">
        <f>IF(Table1[[#This Row],[lead_time]]&lt;0,MEDIAN(J:J),Table1[[#This Row],[lead_time]])</f>
        <v>0</v>
      </c>
      <c r="L157" s="7">
        <f>IF(Table1[[#This Row],[adj_lead_time]]&lt;=7,1,0)</f>
        <v>1</v>
      </c>
      <c r="M157" s="9">
        <v>45042</v>
      </c>
      <c r="N157" s="9">
        <f>IF(Table1[[#This Row],[lead_time]]&lt;0,(Table1[[#This Row],[OrderDate]]+Table1[[#This Row],[adj_lead_time]]),Table1[[#This Row],[RequiredDate]])</f>
        <v>45042</v>
      </c>
      <c r="O157" t="s">
        <v>649</v>
      </c>
      <c r="P157" t="s">
        <v>657</v>
      </c>
      <c r="Q157" t="s">
        <v>673</v>
      </c>
      <c r="R157" t="s">
        <v>704</v>
      </c>
      <c r="S157" t="s">
        <v>711</v>
      </c>
      <c r="T157" t="s">
        <v>724</v>
      </c>
      <c r="U157" t="s">
        <v>727</v>
      </c>
      <c r="V157" t="s">
        <v>1307</v>
      </c>
      <c r="W157">
        <v>81.489999999999995</v>
      </c>
      <c r="X157">
        <f>Table1[[#This Row],[UnitCost]]*(1+'scenario modeling'!$B$3)</f>
        <v>89.638999999999996</v>
      </c>
      <c r="Y157">
        <v>113.08</v>
      </c>
      <c r="Z157" t="str">
        <f>IF(Table1[[#This Row],[UnitPrice]]&lt;=Quantiles!$B$2,Quantiles!$A$2,IF(Table1[[#This Row],[UnitPrice]]&lt;=Quantiles!$B$3,Quantiles!$A$3,Quantiles!$A$4))</f>
        <v>Low</v>
      </c>
      <c r="AA157">
        <v>0.121</v>
      </c>
      <c r="AB157" s="5">
        <f>MIN(Table1[[#This Row],[DiscountPct]],'scenario modeling'!$B$2)</f>
        <v>0.1</v>
      </c>
      <c r="AC157" t="str">
        <f>IF(Table1[[#This Row],[DiscountPct]]&gt;0.3, "&gt;0.3","")</f>
        <v/>
      </c>
      <c r="AD157">
        <v>5</v>
      </c>
      <c r="AE157">
        <f>Table1[[#This Row],[Quantity]]*(1+'scenario modeling'!$B$4)</f>
        <v>6</v>
      </c>
      <c r="AF157">
        <f>Table1[[#This Row],[UnitCost]]*Table1[[#This Row],[Quantity]]</f>
        <v>407.45</v>
      </c>
      <c r="AG157">
        <f>SUMIF($U:U,Table1[[#This Row],[ProductCategory]],$AM:AM)</f>
        <v>1545646.9975799995</v>
      </c>
      <c r="AH157">
        <f>SUMIFS($AM$2:AM157,$U$2:U157,U157)</f>
        <v>1156057.0924499999</v>
      </c>
      <c r="AI157" s="5">
        <f>Table1[[#This Row],[Cumulative_revenue]]/Table1[[#This Row],[Category_revenue]]</f>
        <v>0.74794380234298274</v>
      </c>
      <c r="AJ157" t="str">
        <f>IF(Table1[[#This Row],[cumulative_pct]]&lt;=0.8,"A",IF(Table1[[#This Row],[cumulative_pct]]&lt;=0.95,"B","C"))</f>
        <v>A</v>
      </c>
      <c r="AK157">
        <f>Table1[[#This Row],[adj_unit_cost]]*Table1[[#This Row],[scenario_quantity]]</f>
        <v>537.83399999999995</v>
      </c>
      <c r="AL157" s="5">
        <f>Table1[[#This Row],[UnitPrice]]*Table1[[#This Row],[scenario_quantity]]*(1-Table1[[#This Row],[cap_adjusted_discount]])</f>
        <v>610.63200000000006</v>
      </c>
      <c r="AM157" s="5">
        <f>Table1[[#This Row],[UnitPrice]]*Table1[[#This Row],[Quantity]]*(1-Table1[[#This Row],[DiscountPct]])</f>
        <v>496.98660000000001</v>
      </c>
      <c r="AN157" s="5">
        <f>Table1[[#This Row],[gross_revenue]]-Table1[[#This Row],[cost_of_goods]]</f>
        <v>89.536600000000021</v>
      </c>
      <c r="AO157" s="5">
        <f>Table1[[#This Row],[scenario_revenue]]-Table1[[#This Row],[Scenario_unit_cost]]</f>
        <v>72.798000000000116</v>
      </c>
      <c r="AP157" s="5">
        <f>IF(Table1[[#This Row],[gross_revenue]]=0,0,Table1[[#This Row],[gross_profit]]/Table1[[#This Row],[gross_revenue]])</f>
        <v>0.18015898215364362</v>
      </c>
    </row>
    <row r="158" spans="1:42" x14ac:dyDescent="0.35">
      <c r="A158" t="s">
        <v>102</v>
      </c>
      <c r="B158" t="str">
        <f>_xlfn.TEXTAFTER(Table1[[#This Row],[OrderID]],"-",2)</f>
        <v>863978</v>
      </c>
      <c r="C158">
        <f>YEAR(Table1[[#This Row],[OrderDate]])</f>
        <v>2025</v>
      </c>
      <c r="D158" s="9">
        <f>_xlfn.MINIFS(F:F,P:P,Table1[[#This Row],[Country]])</f>
        <v>44946</v>
      </c>
      <c r="E158" s="7">
        <f>DATEDIF(Table1[[#This Row],[first_time_orders]],Table1[[#This Row],[OrderDate]],"m")</f>
        <v>30</v>
      </c>
      <c r="F158" s="9">
        <v>45876</v>
      </c>
      <c r="G158" s="2" t="str">
        <f>TEXT(Table1[[#This Row],[OrderDate]],"MMM-YYYY")</f>
        <v>Aug-2025</v>
      </c>
      <c r="H158" s="7">
        <f>MONTH(Table1[[#This Row],[OrderDate]])</f>
        <v>8</v>
      </c>
      <c r="I158" s="7" t="str">
        <f>"Q"&amp;ROUNDUP(Table1[[#This Row],[months]]/3,0)&amp;"-"&amp;Table1[[#This Row],[order_year]]</f>
        <v>Q3-2025</v>
      </c>
      <c r="J158" s="7">
        <f>Table1[[#This Row],[RequiredDate]]-Table1[[#This Row],[OrderDate]]</f>
        <v>12</v>
      </c>
      <c r="K158" s="7">
        <f>IF(Table1[[#This Row],[lead_time]]&lt;0,MEDIAN(J:J),Table1[[#This Row],[lead_time]])</f>
        <v>12</v>
      </c>
      <c r="L158" s="7">
        <f>IF(Table1[[#This Row],[adj_lead_time]]&lt;=7,1,0)</f>
        <v>0</v>
      </c>
      <c r="M158" s="9">
        <v>45888</v>
      </c>
      <c r="N158" s="9">
        <f>IF(Table1[[#This Row],[lead_time]]&lt;0,(Table1[[#This Row],[OrderDate]]+Table1[[#This Row],[adj_lead_time]]),Table1[[#This Row],[RequiredDate]])</f>
        <v>45888</v>
      </c>
      <c r="O158" t="s">
        <v>646</v>
      </c>
      <c r="P158" t="s">
        <v>650</v>
      </c>
      <c r="Q158" t="s">
        <v>678</v>
      </c>
      <c r="R158" t="s">
        <v>701</v>
      </c>
      <c r="S158" t="s">
        <v>711</v>
      </c>
      <c r="T158" t="s">
        <v>724</v>
      </c>
      <c r="U158" t="s">
        <v>727</v>
      </c>
      <c r="V158" t="s">
        <v>821</v>
      </c>
      <c r="W158">
        <v>601.51</v>
      </c>
      <c r="X158">
        <f>Table1[[#This Row],[UnitCost]]*(1+'scenario modeling'!$B$3)</f>
        <v>661.66100000000006</v>
      </c>
      <c r="Y158">
        <v>679.35</v>
      </c>
      <c r="Z158" t="str">
        <f>IF(Table1[[#This Row],[UnitPrice]]&lt;=Quantiles!$B$2,Quantiles!$A$2,IF(Table1[[#This Row],[UnitPrice]]&lt;=Quantiles!$B$3,Quantiles!$A$3,Quantiles!$A$4))</f>
        <v>Low</v>
      </c>
      <c r="AA158">
        <v>0.188</v>
      </c>
      <c r="AB158" s="5">
        <f>MIN(Table1[[#This Row],[DiscountPct]],'scenario modeling'!$B$2)</f>
        <v>0.1</v>
      </c>
      <c r="AC158" t="str">
        <f>IF(Table1[[#This Row],[DiscountPct]]&gt;0.3, "&gt;0.3","")</f>
        <v/>
      </c>
      <c r="AD158">
        <v>3</v>
      </c>
      <c r="AE158">
        <f>Table1[[#This Row],[Quantity]]*(1+'scenario modeling'!$B$4)</f>
        <v>3.5999999999999996</v>
      </c>
      <c r="AF158">
        <f>Table1[[#This Row],[UnitCost]]*Table1[[#This Row],[Quantity]]</f>
        <v>1804.53</v>
      </c>
      <c r="AG158">
        <f>SUMIF($U:U,Table1[[#This Row],[ProductCategory]],$AM:AM)</f>
        <v>1545646.9975799995</v>
      </c>
      <c r="AH158">
        <f>SUMIFS($AM$2:AM158,$U$2:U158,U158)</f>
        <v>1157711.98905</v>
      </c>
      <c r="AI158" s="5">
        <f>Table1[[#This Row],[Cumulative_revenue]]/Table1[[#This Row],[Category_revenue]]</f>
        <v>0.74901448446030394</v>
      </c>
      <c r="AJ158" t="str">
        <f>IF(Table1[[#This Row],[cumulative_pct]]&lt;=0.8,"A",IF(Table1[[#This Row],[cumulative_pct]]&lt;=0.95,"B","C"))</f>
        <v>A</v>
      </c>
      <c r="AK158">
        <f>Table1[[#This Row],[adj_unit_cost]]*Table1[[#This Row],[scenario_quantity]]</f>
        <v>2381.9796000000001</v>
      </c>
      <c r="AL158" s="5">
        <f>Table1[[#This Row],[UnitPrice]]*Table1[[#This Row],[scenario_quantity]]*(1-Table1[[#This Row],[cap_adjusted_discount]])</f>
        <v>2201.0940000000001</v>
      </c>
      <c r="AM158" s="5">
        <f>Table1[[#This Row],[UnitPrice]]*Table1[[#This Row],[Quantity]]*(1-Table1[[#This Row],[DiscountPct]])</f>
        <v>1654.8966000000003</v>
      </c>
      <c r="AN158" s="5">
        <f>Table1[[#This Row],[gross_revenue]]-Table1[[#This Row],[cost_of_goods]]</f>
        <v>-149.63339999999971</v>
      </c>
      <c r="AO158" s="5">
        <f>Table1[[#This Row],[scenario_revenue]]-Table1[[#This Row],[Scenario_unit_cost]]</f>
        <v>-180.88560000000007</v>
      </c>
      <c r="AP158" s="5">
        <f>IF(Table1[[#This Row],[gross_revenue]]=0,0,Table1[[#This Row],[gross_profit]]/Table1[[#This Row],[gross_revenue]])</f>
        <v>-9.0418579626062243E-2</v>
      </c>
    </row>
    <row r="159" spans="1:42" x14ac:dyDescent="0.35">
      <c r="A159" t="s">
        <v>251</v>
      </c>
      <c r="B159" t="str">
        <f>_xlfn.TEXTAFTER(Table1[[#This Row],[OrderID]],"-",2)</f>
        <v>132174</v>
      </c>
      <c r="C159">
        <f>YEAR(Table1[[#This Row],[OrderDate]])</f>
        <v>2025</v>
      </c>
      <c r="D159" s="9">
        <f>_xlfn.MINIFS(F:F,P:P,Table1[[#This Row],[Country]])</f>
        <v>44928</v>
      </c>
      <c r="E159" s="7">
        <f>DATEDIF(Table1[[#This Row],[first_time_orders]],Table1[[#This Row],[OrderDate]],"m")</f>
        <v>30</v>
      </c>
      <c r="F159" s="9">
        <v>45855</v>
      </c>
      <c r="G159" s="2" t="str">
        <f>TEXT(Table1[[#This Row],[OrderDate]],"MMM-YYYY")</f>
        <v>Jul-2025</v>
      </c>
      <c r="H159" s="7">
        <f>MONTH(Table1[[#This Row],[OrderDate]])</f>
        <v>7</v>
      </c>
      <c r="I159" s="7" t="str">
        <f>"Q"&amp;ROUNDUP(Table1[[#This Row],[months]]/3,0)&amp;"-"&amp;Table1[[#This Row],[order_year]]</f>
        <v>Q3-2025</v>
      </c>
      <c r="J159" s="7">
        <f>Table1[[#This Row],[RequiredDate]]-Table1[[#This Row],[OrderDate]]</f>
        <v>6</v>
      </c>
      <c r="K159" s="7">
        <f>IF(Table1[[#This Row],[lead_time]]&lt;0,MEDIAN(J:J),Table1[[#This Row],[lead_time]])</f>
        <v>6</v>
      </c>
      <c r="L159" s="7">
        <f>IF(Table1[[#This Row],[adj_lead_time]]&lt;=7,1,0)</f>
        <v>1</v>
      </c>
      <c r="M159" s="9">
        <v>45861</v>
      </c>
      <c r="N159" s="9">
        <f>IF(Table1[[#This Row],[lead_time]]&lt;0,(Table1[[#This Row],[OrderDate]]+Table1[[#This Row],[adj_lead_time]]),Table1[[#This Row],[RequiredDate]])</f>
        <v>45861</v>
      </c>
      <c r="O159" t="s">
        <v>648</v>
      </c>
      <c r="P159" t="s">
        <v>653</v>
      </c>
      <c r="Q159" t="s">
        <v>688</v>
      </c>
      <c r="R159" t="s">
        <v>704</v>
      </c>
      <c r="S159" t="s">
        <v>708</v>
      </c>
      <c r="T159" t="s">
        <v>722</v>
      </c>
      <c r="U159" t="s">
        <v>727</v>
      </c>
      <c r="V159" t="s">
        <v>971</v>
      </c>
      <c r="W159">
        <v>1364.89</v>
      </c>
      <c r="X159">
        <f>Table1[[#This Row],[UnitCost]]*(1+'scenario modeling'!$B$3)</f>
        <v>1501.3790000000001</v>
      </c>
      <c r="Y159">
        <v>2757.54</v>
      </c>
      <c r="Z159" t="str">
        <f>IF(Table1[[#This Row],[UnitPrice]]&lt;=Quantiles!$B$2,Quantiles!$A$2,IF(Table1[[#This Row],[UnitPrice]]&lt;=Quantiles!$B$3,Quantiles!$A$3,Quantiles!$A$4))</f>
        <v>High</v>
      </c>
      <c r="AA159">
        <v>0.17199999999999999</v>
      </c>
      <c r="AB159" s="5">
        <f>MIN(Table1[[#This Row],[DiscountPct]],'scenario modeling'!$B$2)</f>
        <v>0.1</v>
      </c>
      <c r="AC159" t="str">
        <f>IF(Table1[[#This Row],[DiscountPct]]&gt;0.3, "&gt;0.3","")</f>
        <v/>
      </c>
      <c r="AD159">
        <v>61</v>
      </c>
      <c r="AE159">
        <f>Table1[[#This Row],[Quantity]]*(1+'scenario modeling'!$B$4)</f>
        <v>73.2</v>
      </c>
      <c r="AF159">
        <f>Table1[[#This Row],[UnitCost]]*Table1[[#This Row],[Quantity]]</f>
        <v>83258.290000000008</v>
      </c>
      <c r="AG159">
        <f>SUMIF($U:U,Table1[[#This Row],[ProductCategory]],$AM:AM)</f>
        <v>1545646.9975799995</v>
      </c>
      <c r="AH159">
        <f>SUMIFS($AM$2:AM159,$U$2:U159,U159)</f>
        <v>1296989.8193699999</v>
      </c>
      <c r="AI159" s="5">
        <f>Table1[[#This Row],[Cumulative_revenue]]/Table1[[#This Row],[Category_revenue]]</f>
        <v>0.83912421232058865</v>
      </c>
      <c r="AJ159" t="str">
        <f>IF(Table1[[#This Row],[cumulative_pct]]&lt;=0.8,"A",IF(Table1[[#This Row],[cumulative_pct]]&lt;=0.95,"B","C"))</f>
        <v>B</v>
      </c>
      <c r="AK159">
        <f>Table1[[#This Row],[adj_unit_cost]]*Table1[[#This Row],[scenario_quantity]]</f>
        <v>109900.94280000002</v>
      </c>
      <c r="AL159" s="5">
        <f>Table1[[#This Row],[UnitPrice]]*Table1[[#This Row],[scenario_quantity]]*(1-Table1[[#This Row],[cap_adjusted_discount]])</f>
        <v>181666.73520000002</v>
      </c>
      <c r="AM159" s="5">
        <f>Table1[[#This Row],[UnitPrice]]*Table1[[#This Row],[Quantity]]*(1-Table1[[#This Row],[DiscountPct]])</f>
        <v>139277.83032000001</v>
      </c>
      <c r="AN159" s="5">
        <f>Table1[[#This Row],[gross_revenue]]-Table1[[#This Row],[cost_of_goods]]</f>
        <v>56019.54032</v>
      </c>
      <c r="AO159" s="5">
        <f>Table1[[#This Row],[scenario_revenue]]-Table1[[#This Row],[Scenario_unit_cost]]</f>
        <v>71765.792400000006</v>
      </c>
      <c r="AP159" s="5">
        <f>IF(Table1[[#This Row],[gross_revenue]]=0,0,Table1[[#This Row],[gross_profit]]/Table1[[#This Row],[gross_revenue]])</f>
        <v>0.4022143379983118</v>
      </c>
    </row>
    <row r="160" spans="1:42" x14ac:dyDescent="0.35">
      <c r="A160" t="s">
        <v>76</v>
      </c>
      <c r="B160" t="str">
        <f>_xlfn.TEXTAFTER(Table1[[#This Row],[OrderID]],"-",2)</f>
        <v>779574</v>
      </c>
      <c r="C160">
        <f>YEAR(Table1[[#This Row],[OrderDate]])</f>
        <v>2025</v>
      </c>
      <c r="D160" s="9">
        <f>_xlfn.MINIFS(F:F,P:P,Table1[[#This Row],[Country]])</f>
        <v>44988</v>
      </c>
      <c r="E160" s="7">
        <f>DATEDIF(Table1[[#This Row],[first_time_orders]],Table1[[#This Row],[OrderDate]],"m")</f>
        <v>30</v>
      </c>
      <c r="F160" s="9">
        <v>45910</v>
      </c>
      <c r="G160" s="2" t="str">
        <f>TEXT(Table1[[#This Row],[OrderDate]],"MMM-YYYY")</f>
        <v>Sept-2025</v>
      </c>
      <c r="H160" s="7">
        <f>MONTH(Table1[[#This Row],[OrderDate]])</f>
        <v>9</v>
      </c>
      <c r="I160" s="7" t="str">
        <f>"Q"&amp;ROUNDUP(Table1[[#This Row],[months]]/3,0)&amp;"-"&amp;Table1[[#This Row],[order_year]]</f>
        <v>Q3-2025</v>
      </c>
      <c r="J160" s="7">
        <f>Table1[[#This Row],[RequiredDate]]-Table1[[#This Row],[OrderDate]]</f>
        <v>2</v>
      </c>
      <c r="K160" s="7">
        <f>IF(Table1[[#This Row],[lead_time]]&lt;0,MEDIAN(J:J),Table1[[#This Row],[lead_time]])</f>
        <v>2</v>
      </c>
      <c r="L160" s="7">
        <f>IF(Table1[[#This Row],[adj_lead_time]]&lt;=7,1,0)</f>
        <v>1</v>
      </c>
      <c r="M160" s="9">
        <v>45912</v>
      </c>
      <c r="N160" s="9">
        <f>IF(Table1[[#This Row],[lead_time]]&lt;0,(Table1[[#This Row],[OrderDate]]+Table1[[#This Row],[adj_lead_time]]),Table1[[#This Row],[RequiredDate]])</f>
        <v>45912</v>
      </c>
      <c r="O160" t="s">
        <v>647</v>
      </c>
      <c r="P160" t="s">
        <v>652</v>
      </c>
      <c r="Q160" t="s">
        <v>689</v>
      </c>
      <c r="R160" t="s">
        <v>704</v>
      </c>
      <c r="S160" t="s">
        <v>708</v>
      </c>
      <c r="T160" t="s">
        <v>719</v>
      </c>
      <c r="U160" t="s">
        <v>727</v>
      </c>
      <c r="V160" t="s">
        <v>795</v>
      </c>
      <c r="W160">
        <v>1470.15</v>
      </c>
      <c r="X160">
        <f>Table1[[#This Row],[UnitCost]]*(1+'scenario modeling'!$B$3)</f>
        <v>1617.1650000000002</v>
      </c>
      <c r="Y160">
        <v>2593.7800000000002</v>
      </c>
      <c r="Z160" t="str">
        <f>IF(Table1[[#This Row],[UnitPrice]]&lt;=Quantiles!$B$2,Quantiles!$A$2,IF(Table1[[#This Row],[UnitPrice]]&lt;=Quantiles!$B$3,Quantiles!$A$3,Quantiles!$A$4))</f>
        <v>High</v>
      </c>
      <c r="AA160">
        <v>0.11</v>
      </c>
      <c r="AB160" s="5">
        <f>MIN(Table1[[#This Row],[DiscountPct]],'scenario modeling'!$B$2)</f>
        <v>0.1</v>
      </c>
      <c r="AC160" t="str">
        <f>IF(Table1[[#This Row],[DiscountPct]]&gt;0.3, "&gt;0.3","")</f>
        <v/>
      </c>
      <c r="AD160">
        <v>12</v>
      </c>
      <c r="AE160">
        <f>Table1[[#This Row],[Quantity]]*(1+'scenario modeling'!$B$4)</f>
        <v>14.399999999999999</v>
      </c>
      <c r="AF160">
        <f>Table1[[#This Row],[UnitCost]]*Table1[[#This Row],[Quantity]]</f>
        <v>17641.800000000003</v>
      </c>
      <c r="AG160">
        <f>SUMIF($U:U,Table1[[#This Row],[ProductCategory]],$AM:AM)</f>
        <v>1545646.9975799995</v>
      </c>
      <c r="AH160">
        <f>SUMIFS($AM$2:AM160,$U$2:U160,U160)</f>
        <v>1324691.38977</v>
      </c>
      <c r="AI160" s="5">
        <f>Table1[[#This Row],[Cumulative_revenue]]/Table1[[#This Row],[Category_revenue]]</f>
        <v>0.85704652604640841</v>
      </c>
      <c r="AJ160" t="str">
        <f>IF(Table1[[#This Row],[cumulative_pct]]&lt;=0.8,"A",IF(Table1[[#This Row],[cumulative_pct]]&lt;=0.95,"B","C"))</f>
        <v>B</v>
      </c>
      <c r="AK160">
        <f>Table1[[#This Row],[adj_unit_cost]]*Table1[[#This Row],[scenario_quantity]]</f>
        <v>23287.175999999999</v>
      </c>
      <c r="AL160" s="5">
        <f>Table1[[#This Row],[UnitPrice]]*Table1[[#This Row],[scenario_quantity]]*(1-Table1[[#This Row],[cap_adjusted_discount]])</f>
        <v>33615.388800000001</v>
      </c>
      <c r="AM160" s="5">
        <f>Table1[[#This Row],[UnitPrice]]*Table1[[#This Row],[Quantity]]*(1-Table1[[#This Row],[DiscountPct]])</f>
        <v>27701.570400000001</v>
      </c>
      <c r="AN160" s="5">
        <f>Table1[[#This Row],[gross_revenue]]-Table1[[#This Row],[cost_of_goods]]</f>
        <v>10059.770399999998</v>
      </c>
      <c r="AO160" s="5">
        <f>Table1[[#This Row],[scenario_revenue]]-Table1[[#This Row],[Scenario_unit_cost]]</f>
        <v>10328.212800000001</v>
      </c>
      <c r="AP160" s="5">
        <f>IF(Table1[[#This Row],[gross_revenue]]=0,0,Table1[[#This Row],[gross_profit]]/Table1[[#This Row],[gross_revenue]])</f>
        <v>0.36314801849645306</v>
      </c>
    </row>
    <row r="161" spans="1:42" x14ac:dyDescent="0.35">
      <c r="A161" t="s">
        <v>142</v>
      </c>
      <c r="B161" t="str">
        <f>_xlfn.TEXTAFTER(Table1[[#This Row],[OrderID]],"-",2)</f>
        <v>537785</v>
      </c>
      <c r="C161">
        <f>YEAR(Table1[[#This Row],[OrderDate]])</f>
        <v>2025</v>
      </c>
      <c r="D161" s="9">
        <f>_xlfn.MINIFS(F:F,P:P,Table1[[#This Row],[Country]])</f>
        <v>44945</v>
      </c>
      <c r="E161" s="7">
        <f>DATEDIF(Table1[[#This Row],[first_time_orders]],Table1[[#This Row],[OrderDate]],"m")</f>
        <v>30</v>
      </c>
      <c r="F161" s="9">
        <v>45874</v>
      </c>
      <c r="G161" s="2" t="str">
        <f>TEXT(Table1[[#This Row],[OrderDate]],"MMM-YYYY")</f>
        <v>Aug-2025</v>
      </c>
      <c r="H161" s="7">
        <f>MONTH(Table1[[#This Row],[OrderDate]])</f>
        <v>8</v>
      </c>
      <c r="I161" s="7" t="str">
        <f>"Q"&amp;ROUNDUP(Table1[[#This Row],[months]]/3,0)&amp;"-"&amp;Table1[[#This Row],[order_year]]</f>
        <v>Q3-2025</v>
      </c>
      <c r="J161" s="7">
        <f>Table1[[#This Row],[RequiredDate]]-Table1[[#This Row],[OrderDate]]</f>
        <v>9</v>
      </c>
      <c r="K161" s="7">
        <f>IF(Table1[[#This Row],[lead_time]]&lt;0,MEDIAN(J:J),Table1[[#This Row],[lead_time]])</f>
        <v>9</v>
      </c>
      <c r="L161" s="7">
        <f>IF(Table1[[#This Row],[adj_lead_time]]&lt;=7,1,0)</f>
        <v>0</v>
      </c>
      <c r="M161" s="9">
        <v>45883</v>
      </c>
      <c r="N161" s="9">
        <f>IF(Table1[[#This Row],[lead_time]]&lt;0,(Table1[[#This Row],[OrderDate]]+Table1[[#This Row],[adj_lead_time]]),Table1[[#This Row],[RequiredDate]])</f>
        <v>45883</v>
      </c>
      <c r="O161" t="s">
        <v>649</v>
      </c>
      <c r="P161" t="s">
        <v>658</v>
      </c>
      <c r="Q161" t="s">
        <v>683</v>
      </c>
      <c r="R161" t="s">
        <v>703</v>
      </c>
      <c r="S161" t="s">
        <v>711</v>
      </c>
      <c r="T161" t="s">
        <v>718</v>
      </c>
      <c r="U161" t="s">
        <v>727</v>
      </c>
      <c r="V161" t="s">
        <v>861</v>
      </c>
      <c r="W161">
        <v>41.76</v>
      </c>
      <c r="X161">
        <f>Table1[[#This Row],[UnitCost]]*(1+'scenario modeling'!$B$3)</f>
        <v>45.936</v>
      </c>
      <c r="Y161">
        <v>45.19</v>
      </c>
      <c r="Z161" t="str">
        <f>IF(Table1[[#This Row],[UnitPrice]]&lt;=Quantiles!$B$2,Quantiles!$A$2,IF(Table1[[#This Row],[UnitPrice]]&lt;=Quantiles!$B$3,Quantiles!$A$3,Quantiles!$A$4))</f>
        <v>Low</v>
      </c>
      <c r="AA161">
        <v>0.17899999999999999</v>
      </c>
      <c r="AB161" s="5">
        <f>MIN(Table1[[#This Row],[DiscountPct]],'scenario modeling'!$B$2)</f>
        <v>0.1</v>
      </c>
      <c r="AC161" t="str">
        <f>IF(Table1[[#This Row],[DiscountPct]]&gt;0.3, "&gt;0.3","")</f>
        <v/>
      </c>
      <c r="AD161">
        <v>23</v>
      </c>
      <c r="AE161">
        <f>Table1[[#This Row],[Quantity]]*(1+'scenario modeling'!$B$4)</f>
        <v>27.599999999999998</v>
      </c>
      <c r="AF161">
        <f>Table1[[#This Row],[UnitCost]]*Table1[[#This Row],[Quantity]]</f>
        <v>960.4799999999999</v>
      </c>
      <c r="AG161">
        <f>SUMIF($U:U,Table1[[#This Row],[ProductCategory]],$AM:AM)</f>
        <v>1545646.9975799995</v>
      </c>
      <c r="AH161">
        <f>SUMIFS($AM$2:AM161,$U$2:U161,U161)</f>
        <v>1325544.71254</v>
      </c>
      <c r="AI161" s="5">
        <f>Table1[[#This Row],[Cumulative_revenue]]/Table1[[#This Row],[Category_revenue]]</f>
        <v>0.85759860732456317</v>
      </c>
      <c r="AJ161" t="str">
        <f>IF(Table1[[#This Row],[cumulative_pct]]&lt;=0.8,"A",IF(Table1[[#This Row],[cumulative_pct]]&lt;=0.95,"B","C"))</f>
        <v>B</v>
      </c>
      <c r="AK161">
        <f>Table1[[#This Row],[adj_unit_cost]]*Table1[[#This Row],[scenario_quantity]]</f>
        <v>1267.8335999999999</v>
      </c>
      <c r="AL161" s="5">
        <f>Table1[[#This Row],[UnitPrice]]*Table1[[#This Row],[scenario_quantity]]*(1-Table1[[#This Row],[cap_adjusted_discount]])</f>
        <v>1122.5195999999999</v>
      </c>
      <c r="AM161" s="5">
        <f>Table1[[#This Row],[UnitPrice]]*Table1[[#This Row],[Quantity]]*(1-Table1[[#This Row],[DiscountPct]])</f>
        <v>853.32276999999988</v>
      </c>
      <c r="AN161" s="5">
        <f>Table1[[#This Row],[gross_revenue]]-Table1[[#This Row],[cost_of_goods]]</f>
        <v>-107.15723000000003</v>
      </c>
      <c r="AO161" s="5">
        <f>Table1[[#This Row],[scenario_revenue]]-Table1[[#This Row],[Scenario_unit_cost]]</f>
        <v>-145.31400000000008</v>
      </c>
      <c r="AP161" s="5">
        <f>IF(Table1[[#This Row],[gross_revenue]]=0,0,Table1[[#This Row],[gross_profit]]/Table1[[#This Row],[gross_revenue]])</f>
        <v>-0.12557643340514638</v>
      </c>
    </row>
    <row r="162" spans="1:42" x14ac:dyDescent="0.35">
      <c r="A162" t="s">
        <v>234</v>
      </c>
      <c r="B162" t="str">
        <f>_xlfn.TEXTAFTER(Table1[[#This Row],[OrderID]],"-",2)</f>
        <v>762212</v>
      </c>
      <c r="C162">
        <f>YEAR(Table1[[#This Row],[OrderDate]])</f>
        <v>2025</v>
      </c>
      <c r="D162" s="9">
        <f>_xlfn.MINIFS(F:F,P:P,Table1[[#This Row],[Country]])</f>
        <v>44946</v>
      </c>
      <c r="E162" s="7">
        <f>DATEDIF(Table1[[#This Row],[first_time_orders]],Table1[[#This Row],[OrderDate]],"m")</f>
        <v>31</v>
      </c>
      <c r="F162" s="9">
        <v>45894</v>
      </c>
      <c r="G162" s="2" t="str">
        <f>TEXT(Table1[[#This Row],[OrderDate]],"MMM-YYYY")</f>
        <v>Aug-2025</v>
      </c>
      <c r="H162" s="7">
        <f>MONTH(Table1[[#This Row],[OrderDate]])</f>
        <v>8</v>
      </c>
      <c r="I162" s="7" t="str">
        <f>"Q"&amp;ROUNDUP(Table1[[#This Row],[months]]/3,0)&amp;"-"&amp;Table1[[#This Row],[order_year]]</f>
        <v>Q3-2025</v>
      </c>
      <c r="J162" s="7">
        <f>Table1[[#This Row],[RequiredDate]]-Table1[[#This Row],[OrderDate]]</f>
        <v>30</v>
      </c>
      <c r="K162" s="7">
        <f>IF(Table1[[#This Row],[lead_time]]&lt;0,MEDIAN(J:J),Table1[[#This Row],[lead_time]])</f>
        <v>30</v>
      </c>
      <c r="L162" s="7">
        <f>IF(Table1[[#This Row],[adj_lead_time]]&lt;=7,1,0)</f>
        <v>0</v>
      </c>
      <c r="M162" s="9">
        <v>45924</v>
      </c>
      <c r="N162" s="9">
        <f>IF(Table1[[#This Row],[lead_time]]&lt;0,(Table1[[#This Row],[OrderDate]]+Table1[[#This Row],[adj_lead_time]]),Table1[[#This Row],[RequiredDate]])</f>
        <v>45924</v>
      </c>
      <c r="O162" t="s">
        <v>646</v>
      </c>
      <c r="P162" t="s">
        <v>650</v>
      </c>
      <c r="Q162" t="s">
        <v>664</v>
      </c>
      <c r="R162" t="s">
        <v>704</v>
      </c>
      <c r="S162" t="s">
        <v>711</v>
      </c>
      <c r="T162" t="s">
        <v>717</v>
      </c>
      <c r="U162" t="s">
        <v>727</v>
      </c>
      <c r="V162" t="s">
        <v>954</v>
      </c>
      <c r="W162">
        <v>589.14</v>
      </c>
      <c r="X162">
        <f>Table1[[#This Row],[UnitCost]]*(1+'scenario modeling'!$B$3)</f>
        <v>648.05400000000009</v>
      </c>
      <c r="Y162">
        <v>1300.58</v>
      </c>
      <c r="Z162" t="str">
        <f>IF(Table1[[#This Row],[UnitPrice]]&lt;=Quantiles!$B$2,Quantiles!$A$2,IF(Table1[[#This Row],[UnitPrice]]&lt;=Quantiles!$B$3,Quantiles!$A$3,Quantiles!$A$4))</f>
        <v>Medium</v>
      </c>
      <c r="AA162">
        <v>5.5E-2</v>
      </c>
      <c r="AB162" s="5">
        <f>MIN(Table1[[#This Row],[DiscountPct]],'scenario modeling'!$B$2)</f>
        <v>5.5E-2</v>
      </c>
      <c r="AC162" t="str">
        <f>IF(Table1[[#This Row],[DiscountPct]]&gt;0.3, "&gt;0.3","")</f>
        <v/>
      </c>
      <c r="AD162">
        <v>11</v>
      </c>
      <c r="AE162">
        <f>Table1[[#This Row],[Quantity]]*(1+'scenario modeling'!$B$4)</f>
        <v>13.2</v>
      </c>
      <c r="AF162">
        <f>Table1[[#This Row],[UnitCost]]*Table1[[#This Row],[Quantity]]</f>
        <v>6480.54</v>
      </c>
      <c r="AG162">
        <f>SUMIF($U:U,Table1[[#This Row],[ProductCategory]],$AM:AM)</f>
        <v>1545646.9975799995</v>
      </c>
      <c r="AH162">
        <f>SUMIFS($AM$2:AM162,$U$2:U162,U162)</f>
        <v>1339064.2416399999</v>
      </c>
      <c r="AI162" s="5">
        <f>Table1[[#This Row],[Cumulative_revenue]]/Table1[[#This Row],[Category_revenue]]</f>
        <v>0.86634544869336683</v>
      </c>
      <c r="AJ162" t="str">
        <f>IF(Table1[[#This Row],[cumulative_pct]]&lt;=0.8,"A",IF(Table1[[#This Row],[cumulative_pct]]&lt;=0.95,"B","C"))</f>
        <v>B</v>
      </c>
      <c r="AK162">
        <f>Table1[[#This Row],[adj_unit_cost]]*Table1[[#This Row],[scenario_quantity]]</f>
        <v>8554.3128000000015</v>
      </c>
      <c r="AL162" s="5">
        <f>Table1[[#This Row],[UnitPrice]]*Table1[[#This Row],[scenario_quantity]]*(1-Table1[[#This Row],[cap_adjusted_discount]])</f>
        <v>16223.434919999998</v>
      </c>
      <c r="AM162" s="5">
        <f>Table1[[#This Row],[UnitPrice]]*Table1[[#This Row],[Quantity]]*(1-Table1[[#This Row],[DiscountPct]])</f>
        <v>13519.529099999998</v>
      </c>
      <c r="AN162" s="5">
        <f>Table1[[#This Row],[gross_revenue]]-Table1[[#This Row],[cost_of_goods]]</f>
        <v>7038.989099999998</v>
      </c>
      <c r="AO162" s="5">
        <f>Table1[[#This Row],[scenario_revenue]]-Table1[[#This Row],[Scenario_unit_cost]]</f>
        <v>7669.1221199999964</v>
      </c>
      <c r="AP162" s="5">
        <f>IF(Table1[[#This Row],[gross_revenue]]=0,0,Table1[[#This Row],[gross_profit]]/Table1[[#This Row],[gross_revenue]])</f>
        <v>0.52065342275863724</v>
      </c>
    </row>
    <row r="163" spans="1:42" x14ac:dyDescent="0.35">
      <c r="A163" t="s">
        <v>605</v>
      </c>
      <c r="B163" t="str">
        <f>_xlfn.TEXTAFTER(Table1[[#This Row],[OrderID]],"-",2)</f>
        <v>993993</v>
      </c>
      <c r="C163">
        <f>YEAR(Table1[[#This Row],[OrderDate]])</f>
        <v>2025</v>
      </c>
      <c r="D163" s="9">
        <f>_xlfn.MINIFS(F:F,P:P,Table1[[#This Row],[Country]])</f>
        <v>44936</v>
      </c>
      <c r="E163" s="7">
        <f>DATEDIF(Table1[[#This Row],[first_time_orders]],Table1[[#This Row],[OrderDate]],"m")</f>
        <v>31</v>
      </c>
      <c r="F163" s="9">
        <v>45899</v>
      </c>
      <c r="G163" s="2" t="str">
        <f>TEXT(Table1[[#This Row],[OrderDate]],"MMM-YYYY")</f>
        <v>Aug-2025</v>
      </c>
      <c r="H163" s="7">
        <f>MONTH(Table1[[#This Row],[OrderDate]])</f>
        <v>8</v>
      </c>
      <c r="I163" s="7" t="str">
        <f>"Q"&amp;ROUNDUP(Table1[[#This Row],[months]]/3,0)&amp;"-"&amp;Table1[[#This Row],[order_year]]</f>
        <v>Q3-2025</v>
      </c>
      <c r="J163" s="7">
        <f>Table1[[#This Row],[RequiredDate]]-Table1[[#This Row],[OrderDate]]</f>
        <v>23</v>
      </c>
      <c r="K163" s="7">
        <f>IF(Table1[[#This Row],[lead_time]]&lt;0,MEDIAN(J:J),Table1[[#This Row],[lead_time]])</f>
        <v>23</v>
      </c>
      <c r="L163" s="7">
        <f>IF(Table1[[#This Row],[adj_lead_time]]&lt;=7,1,0)</f>
        <v>0</v>
      </c>
      <c r="M163" s="9">
        <v>45922</v>
      </c>
      <c r="N163" s="9">
        <f>IF(Table1[[#This Row],[lead_time]]&lt;0,(Table1[[#This Row],[OrderDate]]+Table1[[#This Row],[adj_lead_time]]),Table1[[#This Row],[RequiredDate]])</f>
        <v>45922</v>
      </c>
      <c r="O163" t="s">
        <v>649</v>
      </c>
      <c r="P163" t="s">
        <v>657</v>
      </c>
      <c r="Q163" t="s">
        <v>673</v>
      </c>
      <c r="R163" t="s">
        <v>701</v>
      </c>
      <c r="S163" t="s">
        <v>711</v>
      </c>
      <c r="T163" t="s">
        <v>718</v>
      </c>
      <c r="U163" t="s">
        <v>727</v>
      </c>
      <c r="V163" t="s">
        <v>1323</v>
      </c>
      <c r="W163">
        <v>663.9</v>
      </c>
      <c r="X163">
        <f>Table1[[#This Row],[UnitCost]]*(1+'scenario modeling'!$B$3)</f>
        <v>730.29000000000008</v>
      </c>
      <c r="Y163">
        <v>947.77</v>
      </c>
      <c r="Z163" t="str">
        <f>IF(Table1[[#This Row],[UnitPrice]]&lt;=Quantiles!$B$2,Quantiles!$A$2,IF(Table1[[#This Row],[UnitPrice]]&lt;=Quantiles!$B$3,Quantiles!$A$3,Quantiles!$A$4))</f>
        <v>Medium</v>
      </c>
      <c r="AA163">
        <v>0.17399999999999999</v>
      </c>
      <c r="AB163" s="5">
        <f>MIN(Table1[[#This Row],[DiscountPct]],'scenario modeling'!$B$2)</f>
        <v>0.1</v>
      </c>
      <c r="AC163" t="str">
        <f>IF(Table1[[#This Row],[DiscountPct]]&gt;0.3, "&gt;0.3","")</f>
        <v/>
      </c>
      <c r="AD163">
        <v>15</v>
      </c>
      <c r="AE163">
        <f>Table1[[#This Row],[Quantity]]*(1+'scenario modeling'!$B$4)</f>
        <v>18</v>
      </c>
      <c r="AF163">
        <f>Table1[[#This Row],[UnitCost]]*Table1[[#This Row],[Quantity]]</f>
        <v>9958.5</v>
      </c>
      <c r="AG163">
        <f>SUMIF($U:U,Table1[[#This Row],[ProductCategory]],$AM:AM)</f>
        <v>1545646.9975799995</v>
      </c>
      <c r="AH163">
        <f>SUMIFS($AM$2:AM163,$U$2:U163,U163)</f>
        <v>1350807.11194</v>
      </c>
      <c r="AI163" s="5">
        <f>Table1[[#This Row],[Cumulative_revenue]]/Table1[[#This Row],[Category_revenue]]</f>
        <v>0.87394283044895893</v>
      </c>
      <c r="AJ163" t="str">
        <f>IF(Table1[[#This Row],[cumulative_pct]]&lt;=0.8,"A",IF(Table1[[#This Row],[cumulative_pct]]&lt;=0.95,"B","C"))</f>
        <v>B</v>
      </c>
      <c r="AK163">
        <f>Table1[[#This Row],[adj_unit_cost]]*Table1[[#This Row],[scenario_quantity]]</f>
        <v>13145.220000000001</v>
      </c>
      <c r="AL163" s="5">
        <f>Table1[[#This Row],[UnitPrice]]*Table1[[#This Row],[scenario_quantity]]*(1-Table1[[#This Row],[cap_adjusted_discount]])</f>
        <v>15353.874000000002</v>
      </c>
      <c r="AM163" s="5">
        <f>Table1[[#This Row],[UnitPrice]]*Table1[[#This Row],[Quantity]]*(1-Table1[[#This Row],[DiscountPct]])</f>
        <v>11742.8703</v>
      </c>
      <c r="AN163" s="5">
        <f>Table1[[#This Row],[gross_revenue]]-Table1[[#This Row],[cost_of_goods]]</f>
        <v>1784.3703000000005</v>
      </c>
      <c r="AO163" s="5">
        <f>Table1[[#This Row],[scenario_revenue]]-Table1[[#This Row],[Scenario_unit_cost]]</f>
        <v>2208.6540000000005</v>
      </c>
      <c r="AP163" s="5">
        <f>IF(Table1[[#This Row],[gross_revenue]]=0,0,Table1[[#This Row],[gross_profit]]/Table1[[#This Row],[gross_revenue]])</f>
        <v>0.1519535049280073</v>
      </c>
    </row>
    <row r="164" spans="1:42" x14ac:dyDescent="0.35">
      <c r="A164" t="s">
        <v>412</v>
      </c>
      <c r="B164" t="str">
        <f>_xlfn.TEXTAFTER(Table1[[#This Row],[OrderID]],"-",2)</f>
        <v>588029</v>
      </c>
      <c r="C164">
        <f>YEAR(Table1[[#This Row],[OrderDate]])</f>
        <v>2025</v>
      </c>
      <c r="D164" s="9">
        <f>_xlfn.MINIFS(F:F,P:P,Table1[[#This Row],[Country]])</f>
        <v>44933</v>
      </c>
      <c r="E164" s="7">
        <f>DATEDIF(Table1[[#This Row],[first_time_orders]],Table1[[#This Row],[OrderDate]],"m")</f>
        <v>32</v>
      </c>
      <c r="F164" s="9">
        <v>45914</v>
      </c>
      <c r="G164" s="2" t="str">
        <f>TEXT(Table1[[#This Row],[OrderDate]],"MMM-YYYY")</f>
        <v>Sept-2025</v>
      </c>
      <c r="H164" s="7">
        <f>MONTH(Table1[[#This Row],[OrderDate]])</f>
        <v>9</v>
      </c>
      <c r="I164" s="7" t="str">
        <f>"Q"&amp;ROUNDUP(Table1[[#This Row],[months]]/3,0)&amp;"-"&amp;Table1[[#This Row],[order_year]]</f>
        <v>Q3-2025</v>
      </c>
      <c r="J164" s="7">
        <f>Table1[[#This Row],[RequiredDate]]-Table1[[#This Row],[OrderDate]]</f>
        <v>9</v>
      </c>
      <c r="K164" s="7">
        <f>IF(Table1[[#This Row],[lead_time]]&lt;0,MEDIAN(J:J),Table1[[#This Row],[lead_time]])</f>
        <v>9</v>
      </c>
      <c r="L164" s="7">
        <f>IF(Table1[[#This Row],[adj_lead_time]]&lt;=7,1,0)</f>
        <v>0</v>
      </c>
      <c r="M164" s="9">
        <v>45923</v>
      </c>
      <c r="N164" s="9">
        <f>IF(Table1[[#This Row],[lead_time]]&lt;0,(Table1[[#This Row],[OrderDate]]+Table1[[#This Row],[adj_lead_time]]),Table1[[#This Row],[RequiredDate]])</f>
        <v>45923</v>
      </c>
      <c r="O164" t="s">
        <v>646</v>
      </c>
      <c r="P164" t="s">
        <v>661</v>
      </c>
      <c r="Q164" t="s">
        <v>687</v>
      </c>
      <c r="R164" t="s">
        <v>703</v>
      </c>
      <c r="S164" t="s">
        <v>708</v>
      </c>
      <c r="T164" t="s">
        <v>726</v>
      </c>
      <c r="U164" t="s">
        <v>727</v>
      </c>
      <c r="V164" t="s">
        <v>1131</v>
      </c>
      <c r="W164">
        <v>1310.3</v>
      </c>
      <c r="X164">
        <f>Table1[[#This Row],[UnitCost]]*(1+'scenario modeling'!$B$3)</f>
        <v>1441.3300000000002</v>
      </c>
      <c r="Y164">
        <v>2875.8</v>
      </c>
      <c r="Z164" t="str">
        <f>IF(Table1[[#This Row],[UnitPrice]]&lt;=Quantiles!$B$2,Quantiles!$A$2,IF(Table1[[#This Row],[UnitPrice]]&lt;=Quantiles!$B$3,Quantiles!$A$3,Quantiles!$A$4))</f>
        <v>High</v>
      </c>
      <c r="AA164">
        <v>8.3000000000000004E-2</v>
      </c>
      <c r="AB164" s="5">
        <f>MIN(Table1[[#This Row],[DiscountPct]],'scenario modeling'!$B$2)</f>
        <v>8.3000000000000004E-2</v>
      </c>
      <c r="AC164" t="str">
        <f>IF(Table1[[#This Row],[DiscountPct]]&gt;0.3, "&gt;0.3","")</f>
        <v/>
      </c>
      <c r="AD164">
        <v>5</v>
      </c>
      <c r="AE164">
        <f>Table1[[#This Row],[Quantity]]*(1+'scenario modeling'!$B$4)</f>
        <v>6</v>
      </c>
      <c r="AF164">
        <f>Table1[[#This Row],[UnitCost]]*Table1[[#This Row],[Quantity]]</f>
        <v>6551.5</v>
      </c>
      <c r="AG164">
        <f>SUMIF($U:U,Table1[[#This Row],[ProductCategory]],$AM:AM)</f>
        <v>1545646.9975799995</v>
      </c>
      <c r="AH164">
        <f>SUMIFS($AM$2:AM164,$U$2:U164,U164)</f>
        <v>1363992.65494</v>
      </c>
      <c r="AI164" s="5">
        <f>Table1[[#This Row],[Cumulative_revenue]]/Table1[[#This Row],[Category_revenue]]</f>
        <v>0.88247359007301573</v>
      </c>
      <c r="AJ164" t="str">
        <f>IF(Table1[[#This Row],[cumulative_pct]]&lt;=0.8,"A",IF(Table1[[#This Row],[cumulative_pct]]&lt;=0.95,"B","C"))</f>
        <v>B</v>
      </c>
      <c r="AK164">
        <f>Table1[[#This Row],[adj_unit_cost]]*Table1[[#This Row],[scenario_quantity]]</f>
        <v>8647.9800000000014</v>
      </c>
      <c r="AL164" s="5">
        <f>Table1[[#This Row],[UnitPrice]]*Table1[[#This Row],[scenario_quantity]]*(1-Table1[[#This Row],[cap_adjusted_discount]])</f>
        <v>15822.651600000003</v>
      </c>
      <c r="AM164" s="5">
        <f>Table1[[#This Row],[UnitPrice]]*Table1[[#This Row],[Quantity]]*(1-Table1[[#This Row],[DiscountPct]])</f>
        <v>13185.543</v>
      </c>
      <c r="AN164" s="5">
        <f>Table1[[#This Row],[gross_revenue]]-Table1[[#This Row],[cost_of_goods]]</f>
        <v>6634.0429999999997</v>
      </c>
      <c r="AO164" s="5">
        <f>Table1[[#This Row],[scenario_revenue]]-Table1[[#This Row],[Scenario_unit_cost]]</f>
        <v>7174.6716000000015</v>
      </c>
      <c r="AP164" s="5">
        <f>IF(Table1[[#This Row],[gross_revenue]]=0,0,Table1[[#This Row],[gross_profit]]/Table1[[#This Row],[gross_revenue]])</f>
        <v>0.50313005691157353</v>
      </c>
    </row>
    <row r="165" spans="1:42" x14ac:dyDescent="0.35">
      <c r="A165" t="s">
        <v>274</v>
      </c>
      <c r="B165" t="str">
        <f>_xlfn.TEXTAFTER(Table1[[#This Row],[OrderID]],"-",2)</f>
        <v>638181</v>
      </c>
      <c r="C165">
        <f>YEAR(Table1[[#This Row],[OrderDate]])</f>
        <v>2023</v>
      </c>
      <c r="D165" s="9">
        <f>_xlfn.MINIFS(F:F,P:P,Table1[[#This Row],[Country]])</f>
        <v>44941</v>
      </c>
      <c r="E165" s="7">
        <f>DATEDIF(Table1[[#This Row],[first_time_orders]],Table1[[#This Row],[OrderDate]],"m")</f>
        <v>4</v>
      </c>
      <c r="F165" s="9">
        <v>45066</v>
      </c>
      <c r="G165" s="2" t="str">
        <f>TEXT(Table1[[#This Row],[OrderDate]],"MMM-YYYY")</f>
        <v>May-2023</v>
      </c>
      <c r="H165" s="7">
        <f>MONTH(Table1[[#This Row],[OrderDate]])</f>
        <v>5</v>
      </c>
      <c r="I165" s="7" t="str">
        <f>"Q"&amp;ROUNDUP(Table1[[#This Row],[months]]/3,0)&amp;"-"&amp;Table1[[#This Row],[order_year]]</f>
        <v>Q2-2023</v>
      </c>
      <c r="J165" s="7">
        <f>Table1[[#This Row],[RequiredDate]]-Table1[[#This Row],[OrderDate]]</f>
        <v>18</v>
      </c>
      <c r="K165" s="7">
        <f>IF(Table1[[#This Row],[lead_time]]&lt;0,MEDIAN(J:J),Table1[[#This Row],[lead_time]])</f>
        <v>18</v>
      </c>
      <c r="L165" s="7">
        <f>IF(Table1[[#This Row],[adj_lead_time]]&lt;=7,1,0)</f>
        <v>0</v>
      </c>
      <c r="M165" s="9">
        <v>45084</v>
      </c>
      <c r="N165" s="9">
        <f>IF(Table1[[#This Row],[lead_time]]&lt;0,(Table1[[#This Row],[OrderDate]]+Table1[[#This Row],[adj_lead_time]]),Table1[[#This Row],[RequiredDate]])</f>
        <v>45084</v>
      </c>
      <c r="O165" t="s">
        <v>646</v>
      </c>
      <c r="P165" t="s">
        <v>651</v>
      </c>
      <c r="Q165" t="s">
        <v>663</v>
      </c>
      <c r="R165" t="s">
        <v>706</v>
      </c>
      <c r="S165" t="s">
        <v>710</v>
      </c>
      <c r="T165" t="s">
        <v>718</v>
      </c>
      <c r="U165" t="s">
        <v>727</v>
      </c>
      <c r="V165" t="s">
        <v>994</v>
      </c>
      <c r="W165">
        <v>1120.06</v>
      </c>
      <c r="X165">
        <f>Table1[[#This Row],[UnitCost]]*(1+'scenario modeling'!$B$3)</f>
        <v>1232.066</v>
      </c>
      <c r="Y165">
        <v>2068.21</v>
      </c>
      <c r="Z165" t="str">
        <f>IF(Table1[[#This Row],[UnitPrice]]&lt;=Quantiles!$B$2,Quantiles!$A$2,IF(Table1[[#This Row],[UnitPrice]]&lt;=Quantiles!$B$3,Quantiles!$A$3,Quantiles!$A$4))</f>
        <v>High</v>
      </c>
      <c r="AA165">
        <v>7.8E-2</v>
      </c>
      <c r="AB165" s="5">
        <f>MIN(Table1[[#This Row],[DiscountPct]],'scenario modeling'!$B$2)</f>
        <v>7.8E-2</v>
      </c>
      <c r="AC165" t="str">
        <f>IF(Table1[[#This Row],[DiscountPct]]&gt;0.3, "&gt;0.3","")</f>
        <v/>
      </c>
      <c r="AD165">
        <v>12</v>
      </c>
      <c r="AE165">
        <f>Table1[[#This Row],[Quantity]]*(1+'scenario modeling'!$B$4)</f>
        <v>14.399999999999999</v>
      </c>
      <c r="AF165">
        <f>Table1[[#This Row],[UnitCost]]*Table1[[#This Row],[Quantity]]</f>
        <v>13440.72</v>
      </c>
      <c r="AG165">
        <f>SUMIF($U:U,Table1[[#This Row],[ProductCategory]],$AM:AM)</f>
        <v>1545646.9975799995</v>
      </c>
      <c r="AH165">
        <f>SUMIFS($AM$2:AM165,$U$2:U165,U165)</f>
        <v>1386875.3303799999</v>
      </c>
      <c r="AI165" s="5">
        <f>Table1[[#This Row],[Cumulative_revenue]]/Table1[[#This Row],[Category_revenue]]</f>
        <v>0.89727818353829403</v>
      </c>
      <c r="AJ165" t="str">
        <f>IF(Table1[[#This Row],[cumulative_pct]]&lt;=0.8,"A",IF(Table1[[#This Row],[cumulative_pct]]&lt;=0.95,"B","C"))</f>
        <v>B</v>
      </c>
      <c r="AK165">
        <f>Table1[[#This Row],[adj_unit_cost]]*Table1[[#This Row],[scenario_quantity]]</f>
        <v>17741.750399999997</v>
      </c>
      <c r="AL165" s="5">
        <f>Table1[[#This Row],[UnitPrice]]*Table1[[#This Row],[scenario_quantity]]*(1-Table1[[#This Row],[cap_adjusted_discount]])</f>
        <v>27459.210528</v>
      </c>
      <c r="AM165" s="5">
        <f>Table1[[#This Row],[UnitPrice]]*Table1[[#This Row],[Quantity]]*(1-Table1[[#This Row],[DiscountPct]])</f>
        <v>22882.675440000003</v>
      </c>
      <c r="AN165" s="5">
        <f>Table1[[#This Row],[gross_revenue]]-Table1[[#This Row],[cost_of_goods]]</f>
        <v>9441.9554400000034</v>
      </c>
      <c r="AO165" s="5">
        <f>Table1[[#This Row],[scenario_revenue]]-Table1[[#This Row],[Scenario_unit_cost]]</f>
        <v>9717.4601280000024</v>
      </c>
      <c r="AP165" s="5">
        <f>IF(Table1[[#This Row],[gross_revenue]]=0,0,Table1[[#This Row],[gross_profit]]/Table1[[#This Row],[gross_revenue]])</f>
        <v>0.41262462795303284</v>
      </c>
    </row>
    <row r="166" spans="1:42" x14ac:dyDescent="0.35">
      <c r="A166" t="s">
        <v>89</v>
      </c>
      <c r="B166" t="str">
        <f>_xlfn.TEXTAFTER(Table1[[#This Row],[OrderID]],"-",2)</f>
        <v>382272</v>
      </c>
      <c r="C166">
        <f>YEAR(Table1[[#This Row],[OrderDate]])</f>
        <v>2023</v>
      </c>
      <c r="D166" s="9">
        <f>_xlfn.MINIFS(F:F,P:P,Table1[[#This Row],[Country]])</f>
        <v>44933</v>
      </c>
      <c r="E166" s="7">
        <f>DATEDIF(Table1[[#This Row],[first_time_orders]],Table1[[#This Row],[OrderDate]],"m")</f>
        <v>4</v>
      </c>
      <c r="F166" s="9">
        <v>45066</v>
      </c>
      <c r="G166" s="2" t="str">
        <f>TEXT(Table1[[#This Row],[OrderDate]],"MMM-YYYY")</f>
        <v>May-2023</v>
      </c>
      <c r="H166" s="7">
        <f>MONTH(Table1[[#This Row],[OrderDate]])</f>
        <v>5</v>
      </c>
      <c r="I166" s="7" t="str">
        <f>"Q"&amp;ROUNDUP(Table1[[#This Row],[months]]/3,0)&amp;"-"&amp;Table1[[#This Row],[order_year]]</f>
        <v>Q2-2023</v>
      </c>
      <c r="J166" s="7">
        <f>Table1[[#This Row],[RequiredDate]]-Table1[[#This Row],[OrderDate]]</f>
        <v>-2</v>
      </c>
      <c r="K166" s="7">
        <f>IF(Table1[[#This Row],[lead_time]]&lt;0,MEDIAN(J:J),Table1[[#This Row],[lead_time]])</f>
        <v>15</v>
      </c>
      <c r="L166" s="7">
        <f>IF(Table1[[#This Row],[adj_lead_time]]&lt;=7,1,0)</f>
        <v>0</v>
      </c>
      <c r="M166" s="9">
        <v>45064</v>
      </c>
      <c r="N166" s="9">
        <f>IF(Table1[[#This Row],[lead_time]]&lt;0,(Table1[[#This Row],[OrderDate]]+Table1[[#This Row],[adj_lead_time]]),Table1[[#This Row],[RequiredDate]])</f>
        <v>45081</v>
      </c>
      <c r="O166" t="s">
        <v>646</v>
      </c>
      <c r="P166" t="s">
        <v>661</v>
      </c>
      <c r="Q166" t="s">
        <v>687</v>
      </c>
      <c r="R166" t="s">
        <v>701</v>
      </c>
      <c r="S166" t="s">
        <v>710</v>
      </c>
      <c r="T166" t="s">
        <v>720</v>
      </c>
      <c r="U166" t="s">
        <v>727</v>
      </c>
      <c r="V166" t="s">
        <v>808</v>
      </c>
      <c r="W166">
        <v>917.88</v>
      </c>
      <c r="X166">
        <f>Table1[[#This Row],[UnitCost]]*(1+'scenario modeling'!$B$3)</f>
        <v>1009.6680000000001</v>
      </c>
      <c r="Y166">
        <v>1347.92</v>
      </c>
      <c r="Z166" t="str">
        <f>IF(Table1[[#This Row],[UnitPrice]]&lt;=Quantiles!$B$2,Quantiles!$A$2,IF(Table1[[#This Row],[UnitPrice]]&lt;=Quantiles!$B$3,Quantiles!$A$3,Quantiles!$A$4))</f>
        <v>Medium</v>
      </c>
      <c r="AA166">
        <v>0.34300000000000003</v>
      </c>
      <c r="AB166" s="5">
        <f>MIN(Table1[[#This Row],[DiscountPct]],'scenario modeling'!$B$2)</f>
        <v>0.1</v>
      </c>
      <c r="AC166" t="str">
        <f>IF(Table1[[#This Row],[DiscountPct]]&gt;0.3, "&gt;0.3","")</f>
        <v>&gt;0.3</v>
      </c>
      <c r="AD166">
        <v>5</v>
      </c>
      <c r="AE166">
        <f>Table1[[#This Row],[Quantity]]*(1+'scenario modeling'!$B$4)</f>
        <v>6</v>
      </c>
      <c r="AF166">
        <f>Table1[[#This Row],[UnitCost]]*Table1[[#This Row],[Quantity]]</f>
        <v>4589.3999999999996</v>
      </c>
      <c r="AG166">
        <f>SUMIF($U:U,Table1[[#This Row],[ProductCategory]],$AM:AM)</f>
        <v>1545646.9975799995</v>
      </c>
      <c r="AH166">
        <f>SUMIFS($AM$2:AM166,$U$2:U166,U166)</f>
        <v>1391303.24758</v>
      </c>
      <c r="AI166" s="5">
        <f>Table1[[#This Row],[Cumulative_revenue]]/Table1[[#This Row],[Category_revenue]]</f>
        <v>0.90014294968925401</v>
      </c>
      <c r="AJ166" t="str">
        <f>IF(Table1[[#This Row],[cumulative_pct]]&lt;=0.8,"A",IF(Table1[[#This Row],[cumulative_pct]]&lt;=0.95,"B","C"))</f>
        <v>B</v>
      </c>
      <c r="AK166">
        <f>Table1[[#This Row],[adj_unit_cost]]*Table1[[#This Row],[scenario_quantity]]</f>
        <v>6058.0080000000007</v>
      </c>
      <c r="AL166" s="5">
        <f>Table1[[#This Row],[UnitPrice]]*Table1[[#This Row],[scenario_quantity]]*(1-Table1[[#This Row],[cap_adjusted_discount]])</f>
        <v>7278.7680000000009</v>
      </c>
      <c r="AM166" s="5">
        <f>Table1[[#This Row],[UnitPrice]]*Table1[[#This Row],[Quantity]]*(1-Table1[[#This Row],[DiscountPct]])</f>
        <v>4427.9172000000008</v>
      </c>
      <c r="AN166" s="5">
        <f>Table1[[#This Row],[gross_revenue]]-Table1[[#This Row],[cost_of_goods]]</f>
        <v>-161.48279999999886</v>
      </c>
      <c r="AO166" s="5">
        <f>Table1[[#This Row],[scenario_revenue]]-Table1[[#This Row],[Scenario_unit_cost]]</f>
        <v>1220.7600000000002</v>
      </c>
      <c r="AP166" s="5">
        <f>IF(Table1[[#This Row],[gross_revenue]]=0,0,Table1[[#This Row],[gross_profit]]/Table1[[#This Row],[gross_revenue]])</f>
        <v>-3.6469245630880096E-2</v>
      </c>
    </row>
    <row r="167" spans="1:42" x14ac:dyDescent="0.35">
      <c r="A167" t="s">
        <v>595</v>
      </c>
      <c r="B167" t="str">
        <f>_xlfn.TEXTAFTER(Table1[[#This Row],[OrderID]],"-",2)</f>
        <v>244375</v>
      </c>
      <c r="C167">
        <f>YEAR(Table1[[#This Row],[OrderDate]])</f>
        <v>2023</v>
      </c>
      <c r="D167" s="9">
        <f>_xlfn.MINIFS(F:F,P:P,Table1[[#This Row],[Country]])</f>
        <v>44955</v>
      </c>
      <c r="E167" s="7">
        <f>DATEDIF(Table1[[#This Row],[first_time_orders]],Table1[[#This Row],[OrderDate]],"m")</f>
        <v>4</v>
      </c>
      <c r="F167" s="9">
        <v>45080</v>
      </c>
      <c r="G167" s="2" t="str">
        <f>TEXT(Table1[[#This Row],[OrderDate]],"MMM-YYYY")</f>
        <v>Jun-2023</v>
      </c>
      <c r="H167" s="7">
        <f>MONTH(Table1[[#This Row],[OrderDate]])</f>
        <v>6</v>
      </c>
      <c r="I167" s="7" t="str">
        <f>"Q"&amp;ROUNDUP(Table1[[#This Row],[months]]/3,0)&amp;"-"&amp;Table1[[#This Row],[order_year]]</f>
        <v>Q2-2023</v>
      </c>
      <c r="J167" s="7">
        <f>Table1[[#This Row],[RequiredDate]]-Table1[[#This Row],[OrderDate]]</f>
        <v>28</v>
      </c>
      <c r="K167" s="7">
        <f>IF(Table1[[#This Row],[lead_time]]&lt;0,MEDIAN(J:J),Table1[[#This Row],[lead_time]])</f>
        <v>28</v>
      </c>
      <c r="L167" s="7">
        <f>IF(Table1[[#This Row],[adj_lead_time]]&lt;=7,1,0)</f>
        <v>0</v>
      </c>
      <c r="M167" s="9">
        <v>45108</v>
      </c>
      <c r="N167" s="9">
        <f>IF(Table1[[#This Row],[lead_time]]&lt;0,(Table1[[#This Row],[OrderDate]]+Table1[[#This Row],[adj_lead_time]]),Table1[[#This Row],[RequiredDate]])</f>
        <v>45108</v>
      </c>
      <c r="O167" t="s">
        <v>648</v>
      </c>
      <c r="P167" t="s">
        <v>655</v>
      </c>
      <c r="Q167" t="s">
        <v>672</v>
      </c>
      <c r="R167" t="s">
        <v>705</v>
      </c>
      <c r="S167" t="s">
        <v>709</v>
      </c>
      <c r="T167" t="s">
        <v>720</v>
      </c>
      <c r="U167" t="s">
        <v>727</v>
      </c>
      <c r="V167" t="s">
        <v>1313</v>
      </c>
      <c r="W167">
        <v>860.4</v>
      </c>
      <c r="X167">
        <f>Table1[[#This Row],[UnitCost]]*(1+'scenario modeling'!$B$3)</f>
        <v>946.44</v>
      </c>
      <c r="Y167">
        <v>2066.6</v>
      </c>
      <c r="Z167" t="str">
        <f>IF(Table1[[#This Row],[UnitPrice]]&lt;=Quantiles!$B$2,Quantiles!$A$2,IF(Table1[[#This Row],[UnitPrice]]&lt;=Quantiles!$B$3,Quantiles!$A$3,Quantiles!$A$4))</f>
        <v>High</v>
      </c>
      <c r="AA167">
        <v>0.01</v>
      </c>
      <c r="AB167" s="5">
        <f>MIN(Table1[[#This Row],[DiscountPct]],'scenario modeling'!$B$2)</f>
        <v>0.01</v>
      </c>
      <c r="AC167" t="str">
        <f>IF(Table1[[#This Row],[DiscountPct]]&gt;0.3, "&gt;0.3","")</f>
        <v/>
      </c>
      <c r="AD167">
        <v>3</v>
      </c>
      <c r="AE167">
        <f>Table1[[#This Row],[Quantity]]*(1+'scenario modeling'!$B$4)</f>
        <v>3.5999999999999996</v>
      </c>
      <c r="AF167">
        <f>Table1[[#This Row],[UnitCost]]*Table1[[#This Row],[Quantity]]</f>
        <v>2581.1999999999998</v>
      </c>
      <c r="AG167">
        <f>SUMIF($U:U,Table1[[#This Row],[ProductCategory]],$AM:AM)</f>
        <v>1545646.9975799995</v>
      </c>
      <c r="AH167">
        <f>SUMIFS($AM$2:AM167,$U$2:U167,U167)</f>
        <v>1397441.0495799999</v>
      </c>
      <c r="AI167" s="5">
        <f>Table1[[#This Row],[Cumulative_revenue]]/Table1[[#This Row],[Category_revenue]]</f>
        <v>0.9041139741273112</v>
      </c>
      <c r="AJ167" t="str">
        <f>IF(Table1[[#This Row],[cumulative_pct]]&lt;=0.8,"A",IF(Table1[[#This Row],[cumulative_pct]]&lt;=0.95,"B","C"))</f>
        <v>B</v>
      </c>
      <c r="AK167">
        <f>Table1[[#This Row],[adj_unit_cost]]*Table1[[#This Row],[scenario_quantity]]</f>
        <v>3407.1839999999997</v>
      </c>
      <c r="AL167" s="5">
        <f>Table1[[#This Row],[UnitPrice]]*Table1[[#This Row],[scenario_quantity]]*(1-Table1[[#This Row],[cap_adjusted_discount]])</f>
        <v>7365.3623999999991</v>
      </c>
      <c r="AM167" s="5">
        <f>Table1[[#This Row],[UnitPrice]]*Table1[[#This Row],[Quantity]]*(1-Table1[[#This Row],[DiscountPct]])</f>
        <v>6137.8019999999988</v>
      </c>
      <c r="AN167" s="5">
        <f>Table1[[#This Row],[gross_revenue]]-Table1[[#This Row],[cost_of_goods]]</f>
        <v>3556.601999999999</v>
      </c>
      <c r="AO167" s="5">
        <f>Table1[[#This Row],[scenario_revenue]]-Table1[[#This Row],[Scenario_unit_cost]]</f>
        <v>3958.1783999999993</v>
      </c>
      <c r="AP167" s="5">
        <f>IF(Table1[[#This Row],[gross_revenue]]=0,0,Table1[[#This Row],[gross_profit]]/Table1[[#This Row],[gross_revenue]])</f>
        <v>0.57945857491004105</v>
      </c>
    </row>
    <row r="168" spans="1:42" x14ac:dyDescent="0.35">
      <c r="A168" t="s">
        <v>244</v>
      </c>
      <c r="B168" t="str">
        <f>_xlfn.TEXTAFTER(Table1[[#This Row],[OrderID]],"-",2)</f>
        <v>603650</v>
      </c>
      <c r="C168">
        <f>YEAR(Table1[[#This Row],[OrderDate]])</f>
        <v>2023</v>
      </c>
      <c r="D168" s="9">
        <f>_xlfn.MINIFS(F:F,P:P,Table1[[#This Row],[Country]])</f>
        <v>44938</v>
      </c>
      <c r="E168" s="7">
        <f>DATEDIF(Table1[[#This Row],[first_time_orders]],Table1[[#This Row],[OrderDate]],"m")</f>
        <v>4</v>
      </c>
      <c r="F168" s="9">
        <v>45069</v>
      </c>
      <c r="G168" s="2" t="str">
        <f>TEXT(Table1[[#This Row],[OrderDate]],"MMM-YYYY")</f>
        <v>May-2023</v>
      </c>
      <c r="H168" s="7">
        <f>MONTH(Table1[[#This Row],[OrderDate]])</f>
        <v>5</v>
      </c>
      <c r="I168" s="7" t="str">
        <f>"Q"&amp;ROUNDUP(Table1[[#This Row],[months]]/3,0)&amp;"-"&amp;Table1[[#This Row],[order_year]]</f>
        <v>Q2-2023</v>
      </c>
      <c r="J168" s="7">
        <f>Table1[[#This Row],[RequiredDate]]-Table1[[#This Row],[OrderDate]]</f>
        <v>18</v>
      </c>
      <c r="K168" s="7">
        <f>IF(Table1[[#This Row],[lead_time]]&lt;0,MEDIAN(J:J),Table1[[#This Row],[lead_time]])</f>
        <v>18</v>
      </c>
      <c r="L168" s="7">
        <f>IF(Table1[[#This Row],[adj_lead_time]]&lt;=7,1,0)</f>
        <v>0</v>
      </c>
      <c r="M168" s="9">
        <v>45087</v>
      </c>
      <c r="N168" s="9">
        <f>IF(Table1[[#This Row],[lead_time]]&lt;0,(Table1[[#This Row],[OrderDate]]+Table1[[#This Row],[adj_lead_time]]),Table1[[#This Row],[RequiredDate]])</f>
        <v>45087</v>
      </c>
      <c r="O168" t="s">
        <v>647</v>
      </c>
      <c r="P168" t="s">
        <v>659</v>
      </c>
      <c r="Q168" t="s">
        <v>685</v>
      </c>
      <c r="R168" t="s">
        <v>701</v>
      </c>
      <c r="S168" t="s">
        <v>710</v>
      </c>
      <c r="T168" t="s">
        <v>718</v>
      </c>
      <c r="U168" t="s">
        <v>727</v>
      </c>
      <c r="V168" t="s">
        <v>964</v>
      </c>
      <c r="W168">
        <v>54.62</v>
      </c>
      <c r="X168">
        <f>Table1[[#This Row],[UnitCost]]*(1+'scenario modeling'!$B$3)</f>
        <v>60.082000000000001</v>
      </c>
      <c r="Y168">
        <v>48.94</v>
      </c>
      <c r="Z168" t="str">
        <f>IF(Table1[[#This Row],[UnitPrice]]&lt;=Quantiles!$B$2,Quantiles!$A$2,IF(Table1[[#This Row],[UnitPrice]]&lt;=Quantiles!$B$3,Quantiles!$A$3,Quantiles!$A$4))</f>
        <v>Low</v>
      </c>
      <c r="AA168">
        <v>0.14799999999999999</v>
      </c>
      <c r="AB168" s="5">
        <f>MIN(Table1[[#This Row],[DiscountPct]],'scenario modeling'!$B$2)</f>
        <v>0.1</v>
      </c>
      <c r="AC168" t="str">
        <f>IF(Table1[[#This Row],[DiscountPct]]&gt;0.3, "&gt;0.3","")</f>
        <v/>
      </c>
      <c r="AD168">
        <v>16</v>
      </c>
      <c r="AE168">
        <f>Table1[[#This Row],[Quantity]]*(1+'scenario modeling'!$B$4)</f>
        <v>19.2</v>
      </c>
      <c r="AF168">
        <f>Table1[[#This Row],[UnitCost]]*Table1[[#This Row],[Quantity]]</f>
        <v>873.92</v>
      </c>
      <c r="AG168">
        <f>SUMIF($U:U,Table1[[#This Row],[ProductCategory]],$AM:AM)</f>
        <v>1545646.9975799995</v>
      </c>
      <c r="AH168">
        <f>SUMIFS($AM$2:AM168,$U$2:U168,U168)</f>
        <v>1398108.1996599999</v>
      </c>
      <c r="AI168" s="5">
        <f>Table1[[#This Row],[Cumulative_revenue]]/Table1[[#This Row],[Category_revenue]]</f>
        <v>0.90454560572304077</v>
      </c>
      <c r="AJ168" t="str">
        <f>IF(Table1[[#This Row],[cumulative_pct]]&lt;=0.8,"A",IF(Table1[[#This Row],[cumulative_pct]]&lt;=0.95,"B","C"))</f>
        <v>B</v>
      </c>
      <c r="AK168">
        <f>Table1[[#This Row],[adj_unit_cost]]*Table1[[#This Row],[scenario_quantity]]</f>
        <v>1153.5744</v>
      </c>
      <c r="AL168" s="5">
        <f>Table1[[#This Row],[UnitPrice]]*Table1[[#This Row],[scenario_quantity]]*(1-Table1[[#This Row],[cap_adjusted_discount]])</f>
        <v>845.68319999999994</v>
      </c>
      <c r="AM168" s="5">
        <f>Table1[[#This Row],[UnitPrice]]*Table1[[#This Row],[Quantity]]*(1-Table1[[#This Row],[DiscountPct]])</f>
        <v>667.15008</v>
      </c>
      <c r="AN168" s="5">
        <f>Table1[[#This Row],[gross_revenue]]-Table1[[#This Row],[cost_of_goods]]</f>
        <v>-206.76991999999996</v>
      </c>
      <c r="AO168" s="5">
        <f>Table1[[#This Row],[scenario_revenue]]-Table1[[#This Row],[Scenario_unit_cost]]</f>
        <v>-307.89120000000003</v>
      </c>
      <c r="AP168" s="5">
        <f>IF(Table1[[#This Row],[gross_revenue]]=0,0,Table1[[#This Row],[gross_profit]]/Table1[[#This Row],[gross_revenue]])</f>
        <v>-0.3099301434543783</v>
      </c>
    </row>
    <row r="169" spans="1:42" x14ac:dyDescent="0.35">
      <c r="A169" t="s">
        <v>474</v>
      </c>
      <c r="B169" t="str">
        <f>_xlfn.TEXTAFTER(Table1[[#This Row],[OrderID]],"-",2)</f>
        <v>539967</v>
      </c>
      <c r="C169">
        <f>YEAR(Table1[[#This Row],[OrderDate]])</f>
        <v>2023</v>
      </c>
      <c r="D169" s="9">
        <f>_xlfn.MINIFS(F:F,P:P,Table1[[#This Row],[Country]])</f>
        <v>44988</v>
      </c>
      <c r="E169" s="7">
        <f>DATEDIF(Table1[[#This Row],[first_time_orders]],Table1[[#This Row],[OrderDate]],"m")</f>
        <v>4</v>
      </c>
      <c r="F169" s="9">
        <v>45116</v>
      </c>
      <c r="G169" s="2" t="str">
        <f>TEXT(Table1[[#This Row],[OrderDate]],"MMM-YYYY")</f>
        <v>Jul-2023</v>
      </c>
      <c r="H169" s="7">
        <f>MONTH(Table1[[#This Row],[OrderDate]])</f>
        <v>7</v>
      </c>
      <c r="I169" s="7" t="str">
        <f>"Q"&amp;ROUNDUP(Table1[[#This Row],[months]]/3,0)&amp;"-"&amp;Table1[[#This Row],[order_year]]</f>
        <v>Q3-2023</v>
      </c>
      <c r="J169" s="7">
        <f>Table1[[#This Row],[RequiredDate]]-Table1[[#This Row],[OrderDate]]</f>
        <v>10</v>
      </c>
      <c r="K169" s="7">
        <f>IF(Table1[[#This Row],[lead_time]]&lt;0,MEDIAN(J:J),Table1[[#This Row],[lead_time]])</f>
        <v>10</v>
      </c>
      <c r="L169" s="7">
        <f>IF(Table1[[#This Row],[adj_lead_time]]&lt;=7,1,0)</f>
        <v>0</v>
      </c>
      <c r="M169" s="9">
        <v>45126</v>
      </c>
      <c r="N169" s="9">
        <f>IF(Table1[[#This Row],[lead_time]]&lt;0,(Table1[[#This Row],[OrderDate]]+Table1[[#This Row],[adj_lead_time]]),Table1[[#This Row],[RequiredDate]])</f>
        <v>45126</v>
      </c>
      <c r="O169" t="s">
        <v>647</v>
      </c>
      <c r="P169" t="s">
        <v>652</v>
      </c>
      <c r="Q169" t="s">
        <v>689</v>
      </c>
      <c r="R169" t="s">
        <v>706</v>
      </c>
      <c r="S169" t="s">
        <v>710</v>
      </c>
      <c r="T169" t="s">
        <v>725</v>
      </c>
      <c r="U169" t="s">
        <v>727</v>
      </c>
      <c r="V169" t="s">
        <v>1193</v>
      </c>
      <c r="W169">
        <v>141.26</v>
      </c>
      <c r="X169">
        <f>Table1[[#This Row],[UnitCost]]*(1+'scenario modeling'!$B$3)</f>
        <v>155.386</v>
      </c>
      <c r="Y169">
        <v>206.88</v>
      </c>
      <c r="Z169" t="str">
        <f>IF(Table1[[#This Row],[UnitPrice]]&lt;=Quantiles!$B$2,Quantiles!$A$2,IF(Table1[[#This Row],[UnitPrice]]&lt;=Quantiles!$B$3,Quantiles!$A$3,Quantiles!$A$4))</f>
        <v>Low</v>
      </c>
      <c r="AA169">
        <v>0.107</v>
      </c>
      <c r="AB169" s="5">
        <f>MIN(Table1[[#This Row],[DiscountPct]],'scenario modeling'!$B$2)</f>
        <v>0.1</v>
      </c>
      <c r="AC169" t="str">
        <f>IF(Table1[[#This Row],[DiscountPct]]&gt;0.3, "&gt;0.3","")</f>
        <v/>
      </c>
      <c r="AD169">
        <v>9</v>
      </c>
      <c r="AE169">
        <f>Table1[[#This Row],[Quantity]]*(1+'scenario modeling'!$B$4)</f>
        <v>10.799999999999999</v>
      </c>
      <c r="AF169">
        <f>Table1[[#This Row],[UnitCost]]*Table1[[#This Row],[Quantity]]</f>
        <v>1271.3399999999999</v>
      </c>
      <c r="AG169">
        <f>SUMIF($U:U,Table1[[#This Row],[ProductCategory]],$AM:AM)</f>
        <v>1545646.9975799995</v>
      </c>
      <c r="AH169">
        <f>SUMIFS($AM$2:AM169,$U$2:U169,U169)</f>
        <v>1399770.8942199999</v>
      </c>
      <c r="AI169" s="5">
        <f>Table1[[#This Row],[Cumulative_revenue]]/Table1[[#This Row],[Category_revenue]]</f>
        <v>0.90562133295092861</v>
      </c>
      <c r="AJ169" t="str">
        <f>IF(Table1[[#This Row],[cumulative_pct]]&lt;=0.8,"A",IF(Table1[[#This Row],[cumulative_pct]]&lt;=0.95,"B","C"))</f>
        <v>B</v>
      </c>
      <c r="AK169">
        <f>Table1[[#This Row],[adj_unit_cost]]*Table1[[#This Row],[scenario_quantity]]</f>
        <v>1678.1687999999997</v>
      </c>
      <c r="AL169" s="5">
        <f>Table1[[#This Row],[UnitPrice]]*Table1[[#This Row],[scenario_quantity]]*(1-Table1[[#This Row],[cap_adjusted_discount]])</f>
        <v>2010.8735999999997</v>
      </c>
      <c r="AM169" s="5">
        <f>Table1[[#This Row],[UnitPrice]]*Table1[[#This Row],[Quantity]]*(1-Table1[[#This Row],[DiscountPct]])</f>
        <v>1662.6945600000001</v>
      </c>
      <c r="AN169" s="5">
        <f>Table1[[#This Row],[gross_revenue]]-Table1[[#This Row],[cost_of_goods]]</f>
        <v>391.35456000000022</v>
      </c>
      <c r="AO169" s="5">
        <f>Table1[[#This Row],[scenario_revenue]]-Table1[[#This Row],[Scenario_unit_cost]]</f>
        <v>332.70479999999998</v>
      </c>
      <c r="AP169" s="5">
        <f>IF(Table1[[#This Row],[gross_revenue]]=0,0,Table1[[#This Row],[gross_profit]]/Table1[[#This Row],[gross_revenue]])</f>
        <v>0.23537369365062469</v>
      </c>
    </row>
    <row r="170" spans="1:42" x14ac:dyDescent="0.35">
      <c r="A170" t="s">
        <v>408</v>
      </c>
      <c r="B170" t="str">
        <f>_xlfn.TEXTAFTER(Table1[[#This Row],[OrderID]],"-",2)</f>
        <v>927385</v>
      </c>
      <c r="C170">
        <f>YEAR(Table1[[#This Row],[OrderDate]])</f>
        <v>2023</v>
      </c>
      <c r="D170" s="9">
        <f>_xlfn.MINIFS(F:F,P:P,Table1[[#This Row],[Country]])</f>
        <v>44945</v>
      </c>
      <c r="E170" s="7">
        <f>DATEDIF(Table1[[#This Row],[first_time_orders]],Table1[[#This Row],[OrderDate]],"m")</f>
        <v>4</v>
      </c>
      <c r="F170" s="9">
        <v>45075</v>
      </c>
      <c r="G170" s="2" t="str">
        <f>TEXT(Table1[[#This Row],[OrderDate]],"MMM-YYYY")</f>
        <v>May-2023</v>
      </c>
      <c r="H170" s="7">
        <f>MONTH(Table1[[#This Row],[OrderDate]])</f>
        <v>5</v>
      </c>
      <c r="I170" s="7" t="str">
        <f>"Q"&amp;ROUNDUP(Table1[[#This Row],[months]]/3,0)&amp;"-"&amp;Table1[[#This Row],[order_year]]</f>
        <v>Q2-2023</v>
      </c>
      <c r="J170" s="7">
        <f>Table1[[#This Row],[RequiredDate]]-Table1[[#This Row],[OrderDate]]</f>
        <v>22</v>
      </c>
      <c r="K170" s="7">
        <f>IF(Table1[[#This Row],[lead_time]]&lt;0,MEDIAN(J:J),Table1[[#This Row],[lead_time]])</f>
        <v>22</v>
      </c>
      <c r="L170" s="7">
        <f>IF(Table1[[#This Row],[adj_lead_time]]&lt;=7,1,0)</f>
        <v>0</v>
      </c>
      <c r="M170" s="9">
        <v>45097</v>
      </c>
      <c r="N170" s="9">
        <f>IF(Table1[[#This Row],[lead_time]]&lt;0,(Table1[[#This Row],[OrderDate]]+Table1[[#This Row],[adj_lead_time]]),Table1[[#This Row],[RequiredDate]])</f>
        <v>45097</v>
      </c>
      <c r="O170" t="s">
        <v>649</v>
      </c>
      <c r="P170" t="s">
        <v>658</v>
      </c>
      <c r="Q170" t="s">
        <v>683</v>
      </c>
      <c r="R170" t="s">
        <v>705</v>
      </c>
      <c r="S170" t="s">
        <v>711</v>
      </c>
      <c r="T170" t="s">
        <v>723</v>
      </c>
      <c r="U170" t="s">
        <v>727</v>
      </c>
      <c r="V170" t="s">
        <v>1127</v>
      </c>
      <c r="W170">
        <v>1295.3900000000001</v>
      </c>
      <c r="X170">
        <f>Table1[[#This Row],[UnitCost]]*(1+'scenario modeling'!$B$3)</f>
        <v>1424.9290000000003</v>
      </c>
      <c r="Y170">
        <v>2905.06</v>
      </c>
      <c r="Z170" t="str">
        <f>IF(Table1[[#This Row],[UnitPrice]]&lt;=Quantiles!$B$2,Quantiles!$A$2,IF(Table1[[#This Row],[UnitPrice]]&lt;=Quantiles!$B$3,Quantiles!$A$3,Quantiles!$A$4))</f>
        <v>High</v>
      </c>
      <c r="AA170">
        <v>0.14799999999999999</v>
      </c>
      <c r="AB170" s="5">
        <f>MIN(Table1[[#This Row],[DiscountPct]],'scenario modeling'!$B$2)</f>
        <v>0.1</v>
      </c>
      <c r="AC170" t="str">
        <f>IF(Table1[[#This Row],[DiscountPct]]&gt;0.3, "&gt;0.3","")</f>
        <v/>
      </c>
      <c r="AD170">
        <v>8</v>
      </c>
      <c r="AE170">
        <f>Table1[[#This Row],[Quantity]]*(1+'scenario modeling'!$B$4)</f>
        <v>9.6</v>
      </c>
      <c r="AF170">
        <f>Table1[[#This Row],[UnitCost]]*Table1[[#This Row],[Quantity]]</f>
        <v>10363.120000000001</v>
      </c>
      <c r="AG170">
        <f>SUMIF($U:U,Table1[[#This Row],[ProductCategory]],$AM:AM)</f>
        <v>1545646.9975799995</v>
      </c>
      <c r="AH170">
        <f>SUMIFS($AM$2:AM170,$U$2:U170,U170)</f>
        <v>1419571.7831799998</v>
      </c>
      <c r="AI170" s="5">
        <f>Table1[[#This Row],[Cumulative_revenue]]/Table1[[#This Row],[Category_revenue]]</f>
        <v>0.91843207757179091</v>
      </c>
      <c r="AJ170" t="str">
        <f>IF(Table1[[#This Row],[cumulative_pct]]&lt;=0.8,"A",IF(Table1[[#This Row],[cumulative_pct]]&lt;=0.95,"B","C"))</f>
        <v>B</v>
      </c>
      <c r="AK170">
        <f>Table1[[#This Row],[adj_unit_cost]]*Table1[[#This Row],[scenario_quantity]]</f>
        <v>13679.318400000002</v>
      </c>
      <c r="AL170" s="5">
        <f>Table1[[#This Row],[UnitPrice]]*Table1[[#This Row],[scenario_quantity]]*(1-Table1[[#This Row],[cap_adjusted_discount]])</f>
        <v>25099.718399999998</v>
      </c>
      <c r="AM170" s="5">
        <f>Table1[[#This Row],[UnitPrice]]*Table1[[#This Row],[Quantity]]*(1-Table1[[#This Row],[DiscountPct]])</f>
        <v>19800.88896</v>
      </c>
      <c r="AN170" s="5">
        <f>Table1[[#This Row],[gross_revenue]]-Table1[[#This Row],[cost_of_goods]]</f>
        <v>9437.7689599999994</v>
      </c>
      <c r="AO170" s="5">
        <f>Table1[[#This Row],[scenario_revenue]]-Table1[[#This Row],[Scenario_unit_cost]]</f>
        <v>11420.399999999996</v>
      </c>
      <c r="AP170" s="5">
        <f>IF(Table1[[#This Row],[gross_revenue]]=0,0,Table1[[#This Row],[gross_profit]]/Table1[[#This Row],[gross_revenue]])</f>
        <v>0.47663359857556614</v>
      </c>
    </row>
    <row r="171" spans="1:42" x14ac:dyDescent="0.35">
      <c r="A171" t="s">
        <v>93</v>
      </c>
      <c r="B171" t="str">
        <f>_xlfn.TEXTAFTER(Table1[[#This Row],[OrderID]],"-",2)</f>
        <v>290279</v>
      </c>
      <c r="C171">
        <f>YEAR(Table1[[#This Row],[OrderDate]])</f>
        <v>2023</v>
      </c>
      <c r="D171" s="9">
        <f>_xlfn.MINIFS(F:F,P:P,Table1[[#This Row],[Country]])</f>
        <v>44945</v>
      </c>
      <c r="E171" s="7">
        <f>DATEDIF(Table1[[#This Row],[first_time_orders]],Table1[[#This Row],[OrderDate]],"m")</f>
        <v>4</v>
      </c>
      <c r="F171" s="9">
        <v>45091</v>
      </c>
      <c r="G171" s="2" t="str">
        <f>TEXT(Table1[[#This Row],[OrderDate]],"MMM-YYYY")</f>
        <v>Jun-2023</v>
      </c>
      <c r="H171" s="7">
        <f>MONTH(Table1[[#This Row],[OrderDate]])</f>
        <v>6</v>
      </c>
      <c r="I171" s="7" t="str">
        <f>"Q"&amp;ROUNDUP(Table1[[#This Row],[months]]/3,0)&amp;"-"&amp;Table1[[#This Row],[order_year]]</f>
        <v>Q2-2023</v>
      </c>
      <c r="J171" s="7">
        <f>Table1[[#This Row],[RequiredDate]]-Table1[[#This Row],[OrderDate]]</f>
        <v>2</v>
      </c>
      <c r="K171" s="7">
        <f>IF(Table1[[#This Row],[lead_time]]&lt;0,MEDIAN(J:J),Table1[[#This Row],[lead_time]])</f>
        <v>2</v>
      </c>
      <c r="L171" s="7">
        <f>IF(Table1[[#This Row],[adj_lead_time]]&lt;=7,1,0)</f>
        <v>1</v>
      </c>
      <c r="M171" s="9">
        <v>45093</v>
      </c>
      <c r="N171" s="9">
        <f>IF(Table1[[#This Row],[lead_time]]&lt;0,(Table1[[#This Row],[OrderDate]]+Table1[[#This Row],[adj_lead_time]]),Table1[[#This Row],[RequiredDate]])</f>
        <v>45093</v>
      </c>
      <c r="O171" t="s">
        <v>649</v>
      </c>
      <c r="P171" t="s">
        <v>658</v>
      </c>
      <c r="Q171" t="s">
        <v>693</v>
      </c>
      <c r="R171" t="s">
        <v>703</v>
      </c>
      <c r="S171" t="s">
        <v>711</v>
      </c>
      <c r="T171" t="s">
        <v>723</v>
      </c>
      <c r="U171" t="s">
        <v>727</v>
      </c>
      <c r="V171" t="s">
        <v>812</v>
      </c>
      <c r="W171">
        <v>357.36</v>
      </c>
      <c r="X171">
        <f>Table1[[#This Row],[UnitCost]]*(1+'scenario modeling'!$B$3)</f>
        <v>393.09600000000006</v>
      </c>
      <c r="Y171">
        <v>703.62</v>
      </c>
      <c r="Z171" t="str">
        <f>IF(Table1[[#This Row],[UnitPrice]]&lt;=Quantiles!$B$2,Quantiles!$A$2,IF(Table1[[#This Row],[UnitPrice]]&lt;=Quantiles!$B$3,Quantiles!$A$3,Quantiles!$A$4))</f>
        <v>Low</v>
      </c>
      <c r="AA171">
        <v>0.25700000000000001</v>
      </c>
      <c r="AB171" s="5">
        <f>MIN(Table1[[#This Row],[DiscountPct]],'scenario modeling'!$B$2)</f>
        <v>0.1</v>
      </c>
      <c r="AC171" t="str">
        <f>IF(Table1[[#This Row],[DiscountPct]]&gt;0.3, "&gt;0.3","")</f>
        <v/>
      </c>
      <c r="AD171">
        <v>20</v>
      </c>
      <c r="AE171">
        <f>Table1[[#This Row],[Quantity]]*(1+'scenario modeling'!$B$4)</f>
        <v>24</v>
      </c>
      <c r="AF171">
        <f>Table1[[#This Row],[UnitCost]]*Table1[[#This Row],[Quantity]]</f>
        <v>7147.2000000000007</v>
      </c>
      <c r="AG171">
        <f>SUMIF($U:U,Table1[[#This Row],[ProductCategory]],$AM:AM)</f>
        <v>1545646.9975799995</v>
      </c>
      <c r="AH171">
        <f>SUMIFS($AM$2:AM171,$U$2:U171,U171)</f>
        <v>1430027.5763799998</v>
      </c>
      <c r="AI171" s="5">
        <f>Table1[[#This Row],[Cumulative_revenue]]/Table1[[#This Row],[Category_revenue]]</f>
        <v>0.92519674842895971</v>
      </c>
      <c r="AJ171" t="str">
        <f>IF(Table1[[#This Row],[cumulative_pct]]&lt;=0.8,"A",IF(Table1[[#This Row],[cumulative_pct]]&lt;=0.95,"B","C"))</f>
        <v>B</v>
      </c>
      <c r="AK171">
        <f>Table1[[#This Row],[adj_unit_cost]]*Table1[[#This Row],[scenario_quantity]]</f>
        <v>9434.3040000000019</v>
      </c>
      <c r="AL171" s="5">
        <f>Table1[[#This Row],[UnitPrice]]*Table1[[#This Row],[scenario_quantity]]*(1-Table1[[#This Row],[cap_adjusted_discount]])</f>
        <v>15198.192000000001</v>
      </c>
      <c r="AM171" s="5">
        <f>Table1[[#This Row],[UnitPrice]]*Table1[[#This Row],[Quantity]]*(1-Table1[[#This Row],[DiscountPct]])</f>
        <v>10455.7932</v>
      </c>
      <c r="AN171" s="5">
        <f>Table1[[#This Row],[gross_revenue]]-Table1[[#This Row],[cost_of_goods]]</f>
        <v>3308.5931999999993</v>
      </c>
      <c r="AO171" s="5">
        <f>Table1[[#This Row],[scenario_revenue]]-Table1[[#This Row],[Scenario_unit_cost]]</f>
        <v>5763.887999999999</v>
      </c>
      <c r="AP171" s="5">
        <f>IF(Table1[[#This Row],[gross_revenue]]=0,0,Table1[[#This Row],[gross_profit]]/Table1[[#This Row],[gross_revenue]])</f>
        <v>0.31643636563125593</v>
      </c>
    </row>
    <row r="172" spans="1:42" x14ac:dyDescent="0.35">
      <c r="A172" t="s">
        <v>220</v>
      </c>
      <c r="B172" t="str">
        <f>_xlfn.TEXTAFTER(Table1[[#This Row],[OrderID]],"-",2)</f>
        <v>920483</v>
      </c>
      <c r="C172">
        <f>YEAR(Table1[[#This Row],[OrderDate]])</f>
        <v>2023</v>
      </c>
      <c r="D172" s="9">
        <f>_xlfn.MINIFS(F:F,P:P,Table1[[#This Row],[Country]])</f>
        <v>44945</v>
      </c>
      <c r="E172" s="7">
        <f>DATEDIF(Table1[[#This Row],[first_time_orders]],Table1[[#This Row],[OrderDate]],"m")</f>
        <v>5</v>
      </c>
      <c r="F172" s="9">
        <v>45109</v>
      </c>
      <c r="G172" s="2" t="str">
        <f>TEXT(Table1[[#This Row],[OrderDate]],"MMM-YYYY")</f>
        <v>Jul-2023</v>
      </c>
      <c r="H172" s="7">
        <f>MONTH(Table1[[#This Row],[OrderDate]])</f>
        <v>7</v>
      </c>
      <c r="I172" s="7" t="str">
        <f>"Q"&amp;ROUNDUP(Table1[[#This Row],[months]]/3,0)&amp;"-"&amp;Table1[[#This Row],[order_year]]</f>
        <v>Q3-2023</v>
      </c>
      <c r="J172" s="7">
        <f>Table1[[#This Row],[RequiredDate]]-Table1[[#This Row],[OrderDate]]</f>
        <v>30</v>
      </c>
      <c r="K172" s="7">
        <f>IF(Table1[[#This Row],[lead_time]]&lt;0,MEDIAN(J:J),Table1[[#This Row],[lead_time]])</f>
        <v>30</v>
      </c>
      <c r="L172" s="7">
        <f>IF(Table1[[#This Row],[adj_lead_time]]&lt;=7,1,0)</f>
        <v>0</v>
      </c>
      <c r="M172" s="9">
        <v>45139</v>
      </c>
      <c r="N172" s="9">
        <f>IF(Table1[[#This Row],[lead_time]]&lt;0,(Table1[[#This Row],[OrderDate]]+Table1[[#This Row],[adj_lead_time]]),Table1[[#This Row],[RequiredDate]])</f>
        <v>45139</v>
      </c>
      <c r="O172" t="s">
        <v>649</v>
      </c>
      <c r="P172" t="s">
        <v>658</v>
      </c>
      <c r="Q172" t="s">
        <v>674</v>
      </c>
      <c r="R172" t="s">
        <v>705</v>
      </c>
      <c r="S172" t="s">
        <v>707</v>
      </c>
      <c r="T172" t="s">
        <v>717</v>
      </c>
      <c r="U172" t="s">
        <v>727</v>
      </c>
      <c r="V172" t="s">
        <v>940</v>
      </c>
      <c r="W172">
        <v>137.46</v>
      </c>
      <c r="X172">
        <f>Table1[[#This Row],[UnitCost]]*(1+'scenario modeling'!$B$3)</f>
        <v>151.20600000000002</v>
      </c>
      <c r="Y172">
        <v>188.3</v>
      </c>
      <c r="Z172" t="str">
        <f>IF(Table1[[#This Row],[UnitPrice]]&lt;=Quantiles!$B$2,Quantiles!$A$2,IF(Table1[[#This Row],[UnitPrice]]&lt;=Quantiles!$B$3,Quantiles!$A$3,Quantiles!$A$4))</f>
        <v>Low</v>
      </c>
      <c r="AA172">
        <v>3.7999999999999999E-2</v>
      </c>
      <c r="AB172" s="5">
        <f>MIN(Table1[[#This Row],[DiscountPct]],'scenario modeling'!$B$2)</f>
        <v>3.7999999999999999E-2</v>
      </c>
      <c r="AC172" t="str">
        <f>IF(Table1[[#This Row],[DiscountPct]]&gt;0.3, "&gt;0.3","")</f>
        <v/>
      </c>
      <c r="AD172">
        <v>37</v>
      </c>
      <c r="AE172">
        <f>Table1[[#This Row],[Quantity]]*(1+'scenario modeling'!$B$4)</f>
        <v>44.4</v>
      </c>
      <c r="AF172">
        <f>Table1[[#This Row],[UnitCost]]*Table1[[#This Row],[Quantity]]</f>
        <v>5086.0200000000004</v>
      </c>
      <c r="AG172">
        <f>SUMIF($U:U,Table1[[#This Row],[ProductCategory]],$AM:AM)</f>
        <v>1545646.9975799995</v>
      </c>
      <c r="AH172">
        <f>SUMIFS($AM$2:AM172,$U$2:U172,U172)</f>
        <v>1436729.9265799997</v>
      </c>
      <c r="AI172" s="5">
        <f>Table1[[#This Row],[Cumulative_revenue]]/Table1[[#This Row],[Category_revenue]]</f>
        <v>0.92953302327728782</v>
      </c>
      <c r="AJ172" t="str">
        <f>IF(Table1[[#This Row],[cumulative_pct]]&lt;=0.8,"A",IF(Table1[[#This Row],[cumulative_pct]]&lt;=0.95,"B","C"))</f>
        <v>B</v>
      </c>
      <c r="AK172">
        <f>Table1[[#This Row],[adj_unit_cost]]*Table1[[#This Row],[scenario_quantity]]</f>
        <v>6713.5464000000002</v>
      </c>
      <c r="AL172" s="5">
        <f>Table1[[#This Row],[UnitPrice]]*Table1[[#This Row],[scenario_quantity]]*(1-Table1[[#This Row],[cap_adjusted_discount]])</f>
        <v>8042.82024</v>
      </c>
      <c r="AM172" s="5">
        <f>Table1[[#This Row],[UnitPrice]]*Table1[[#This Row],[Quantity]]*(1-Table1[[#This Row],[DiscountPct]])</f>
        <v>6702.3501999999999</v>
      </c>
      <c r="AN172" s="5">
        <f>Table1[[#This Row],[gross_revenue]]-Table1[[#This Row],[cost_of_goods]]</f>
        <v>1616.3301999999994</v>
      </c>
      <c r="AO172" s="5">
        <f>Table1[[#This Row],[scenario_revenue]]-Table1[[#This Row],[Scenario_unit_cost]]</f>
        <v>1329.2738399999998</v>
      </c>
      <c r="AP172" s="5">
        <f>IF(Table1[[#This Row],[gross_revenue]]=0,0,Table1[[#This Row],[gross_profit]]/Table1[[#This Row],[gross_revenue]])</f>
        <v>0.24115872071262398</v>
      </c>
    </row>
    <row r="173" spans="1:42" x14ac:dyDescent="0.35">
      <c r="A173" t="s">
        <v>303</v>
      </c>
      <c r="B173" t="str">
        <f>_xlfn.TEXTAFTER(Table1[[#This Row],[OrderID]],"-",2)</f>
        <v>369150</v>
      </c>
      <c r="C173">
        <f>YEAR(Table1[[#This Row],[OrderDate]])</f>
        <v>2023</v>
      </c>
      <c r="D173" s="9">
        <f>_xlfn.MINIFS(F:F,P:P,Table1[[#This Row],[Country]])</f>
        <v>44933</v>
      </c>
      <c r="E173" s="7">
        <f>DATEDIF(Table1[[#This Row],[first_time_orders]],Table1[[#This Row],[OrderDate]],"m")</f>
        <v>6</v>
      </c>
      <c r="F173" s="9">
        <v>45125</v>
      </c>
      <c r="G173" s="2" t="str">
        <f>TEXT(Table1[[#This Row],[OrderDate]],"MMM-YYYY")</f>
        <v>Jul-2023</v>
      </c>
      <c r="H173" s="7">
        <f>MONTH(Table1[[#This Row],[OrderDate]])</f>
        <v>7</v>
      </c>
      <c r="I173" s="7" t="str">
        <f>"Q"&amp;ROUNDUP(Table1[[#This Row],[months]]/3,0)&amp;"-"&amp;Table1[[#This Row],[order_year]]</f>
        <v>Q3-2023</v>
      </c>
      <c r="J173" s="7">
        <f>Table1[[#This Row],[RequiredDate]]-Table1[[#This Row],[OrderDate]]</f>
        <v>23</v>
      </c>
      <c r="K173" s="7">
        <f>IF(Table1[[#This Row],[lead_time]]&lt;0,MEDIAN(J:J),Table1[[#This Row],[lead_time]])</f>
        <v>23</v>
      </c>
      <c r="L173" s="7">
        <f>IF(Table1[[#This Row],[adj_lead_time]]&lt;=7,1,0)</f>
        <v>0</v>
      </c>
      <c r="M173" s="9">
        <v>45148</v>
      </c>
      <c r="N173" s="9">
        <f>IF(Table1[[#This Row],[lead_time]]&lt;0,(Table1[[#This Row],[OrderDate]]+Table1[[#This Row],[adj_lead_time]]),Table1[[#This Row],[RequiredDate]])</f>
        <v>45148</v>
      </c>
      <c r="O173" t="s">
        <v>646</v>
      </c>
      <c r="P173" t="s">
        <v>661</v>
      </c>
      <c r="Q173" t="s">
        <v>682</v>
      </c>
      <c r="R173" t="s">
        <v>705</v>
      </c>
      <c r="S173" t="s">
        <v>707</v>
      </c>
      <c r="T173" t="s">
        <v>716</v>
      </c>
      <c r="U173" t="s">
        <v>727</v>
      </c>
      <c r="V173" t="s">
        <v>1023</v>
      </c>
      <c r="W173">
        <v>1271.56</v>
      </c>
      <c r="X173">
        <f>Table1[[#This Row],[UnitCost]]*(1+'scenario modeling'!$B$3)</f>
        <v>1398.7160000000001</v>
      </c>
      <c r="Y173">
        <v>995.47</v>
      </c>
      <c r="Z173" t="str">
        <f>IF(Table1[[#This Row],[UnitPrice]]&lt;=Quantiles!$B$2,Quantiles!$A$2,IF(Table1[[#This Row],[UnitPrice]]&lt;=Quantiles!$B$3,Quantiles!$A$3,Quantiles!$A$4))</f>
        <v>Medium</v>
      </c>
      <c r="AA173">
        <v>0.192</v>
      </c>
      <c r="AB173" s="5">
        <f>MIN(Table1[[#This Row],[DiscountPct]],'scenario modeling'!$B$2)</f>
        <v>0.1</v>
      </c>
      <c r="AC173" t="str">
        <f>IF(Table1[[#This Row],[DiscountPct]]&gt;0.3, "&gt;0.3","")</f>
        <v/>
      </c>
      <c r="AD173">
        <v>13</v>
      </c>
      <c r="AE173">
        <f>Table1[[#This Row],[Quantity]]*(1+'scenario modeling'!$B$4)</f>
        <v>15.6</v>
      </c>
      <c r="AF173">
        <f>Table1[[#This Row],[UnitCost]]*Table1[[#This Row],[Quantity]]</f>
        <v>16530.28</v>
      </c>
      <c r="AG173">
        <f>SUMIF($U:U,Table1[[#This Row],[ProductCategory]],$AM:AM)</f>
        <v>1545646.9975799995</v>
      </c>
      <c r="AH173">
        <f>SUMIFS($AM$2:AM173,$U$2:U173,U173)</f>
        <v>1447186.3434599997</v>
      </c>
      <c r="AI173" s="5">
        <f>Table1[[#This Row],[Cumulative_revenue]]/Table1[[#This Row],[Category_revenue]]</f>
        <v>0.93629809764185579</v>
      </c>
      <c r="AJ173" t="str">
        <f>IF(Table1[[#This Row],[cumulative_pct]]&lt;=0.8,"A",IF(Table1[[#This Row],[cumulative_pct]]&lt;=0.95,"B","C"))</f>
        <v>B</v>
      </c>
      <c r="AK173">
        <f>Table1[[#This Row],[adj_unit_cost]]*Table1[[#This Row],[scenario_quantity]]</f>
        <v>21819.9696</v>
      </c>
      <c r="AL173" s="5">
        <f>Table1[[#This Row],[UnitPrice]]*Table1[[#This Row],[scenario_quantity]]*(1-Table1[[#This Row],[cap_adjusted_discount]])</f>
        <v>13976.398800000001</v>
      </c>
      <c r="AM173" s="5">
        <f>Table1[[#This Row],[UnitPrice]]*Table1[[#This Row],[Quantity]]*(1-Table1[[#This Row],[DiscountPct]])</f>
        <v>10456.416880000001</v>
      </c>
      <c r="AN173" s="5">
        <f>Table1[[#This Row],[gross_revenue]]-Table1[[#This Row],[cost_of_goods]]</f>
        <v>-6073.8631199999982</v>
      </c>
      <c r="AO173" s="5">
        <f>Table1[[#This Row],[scenario_revenue]]-Table1[[#This Row],[Scenario_unit_cost]]</f>
        <v>-7843.5707999999995</v>
      </c>
      <c r="AP173" s="5">
        <f>IF(Table1[[#This Row],[gross_revenue]]=0,0,Table1[[#This Row],[gross_profit]]/Table1[[#This Row],[gross_revenue]])</f>
        <v>-0.58087423155607754</v>
      </c>
    </row>
    <row r="174" spans="1:42" x14ac:dyDescent="0.35">
      <c r="A174" t="s">
        <v>186</v>
      </c>
      <c r="B174" t="str">
        <f>_xlfn.TEXTAFTER(Table1[[#This Row],[OrderID]],"-",2)</f>
        <v>450877</v>
      </c>
      <c r="C174">
        <f>YEAR(Table1[[#This Row],[OrderDate]])</f>
        <v>2023</v>
      </c>
      <c r="D174" s="9">
        <f>_xlfn.MINIFS(F:F,P:P,Table1[[#This Row],[Country]])</f>
        <v>44988</v>
      </c>
      <c r="E174" s="7">
        <f>DATEDIF(Table1[[#This Row],[first_time_orders]],Table1[[#This Row],[OrderDate]],"m")</f>
        <v>6</v>
      </c>
      <c r="F174" s="9">
        <v>45190</v>
      </c>
      <c r="G174" s="2" t="str">
        <f>TEXT(Table1[[#This Row],[OrderDate]],"MMM-YYYY")</f>
        <v>Sept-2023</v>
      </c>
      <c r="H174" s="7">
        <f>MONTH(Table1[[#This Row],[OrderDate]])</f>
        <v>9</v>
      </c>
      <c r="I174" s="7" t="str">
        <f>"Q"&amp;ROUNDUP(Table1[[#This Row],[months]]/3,0)&amp;"-"&amp;Table1[[#This Row],[order_year]]</f>
        <v>Q3-2023</v>
      </c>
      <c r="J174" s="7">
        <f>Table1[[#This Row],[RequiredDate]]-Table1[[#This Row],[OrderDate]]</f>
        <v>19</v>
      </c>
      <c r="K174" s="7">
        <f>IF(Table1[[#This Row],[lead_time]]&lt;0,MEDIAN(J:J),Table1[[#This Row],[lead_time]])</f>
        <v>19</v>
      </c>
      <c r="L174" s="7">
        <f>IF(Table1[[#This Row],[adj_lead_time]]&lt;=7,1,0)</f>
        <v>0</v>
      </c>
      <c r="M174" s="9">
        <v>45209</v>
      </c>
      <c r="N174" s="9">
        <f>IF(Table1[[#This Row],[lead_time]]&lt;0,(Table1[[#This Row],[OrderDate]]+Table1[[#This Row],[adj_lead_time]]),Table1[[#This Row],[RequiredDate]])</f>
        <v>45209</v>
      </c>
      <c r="O174" t="s">
        <v>647</v>
      </c>
      <c r="P174" t="s">
        <v>652</v>
      </c>
      <c r="Q174" t="s">
        <v>689</v>
      </c>
      <c r="R174" t="s">
        <v>702</v>
      </c>
      <c r="S174" t="s">
        <v>708</v>
      </c>
      <c r="T174" t="s">
        <v>726</v>
      </c>
      <c r="U174" t="s">
        <v>727</v>
      </c>
      <c r="V174" t="s">
        <v>905</v>
      </c>
      <c r="W174">
        <v>845.63</v>
      </c>
      <c r="X174">
        <f>Table1[[#This Row],[UnitCost]]*(1+'scenario modeling'!$B$3)</f>
        <v>930.1930000000001</v>
      </c>
      <c r="Y174">
        <v>2062.12</v>
      </c>
      <c r="Z174" t="str">
        <f>IF(Table1[[#This Row],[UnitPrice]]&lt;=Quantiles!$B$2,Quantiles!$A$2,IF(Table1[[#This Row],[UnitPrice]]&lt;=Quantiles!$B$3,Quantiles!$A$3,Quantiles!$A$4))</f>
        <v>High</v>
      </c>
      <c r="AA174">
        <v>0.13400000000000001</v>
      </c>
      <c r="AB174" s="5">
        <f>MIN(Table1[[#This Row],[DiscountPct]],'scenario modeling'!$B$2)</f>
        <v>0.1</v>
      </c>
      <c r="AC174" t="str">
        <f>IF(Table1[[#This Row],[DiscountPct]]&gt;0.3, "&gt;0.3","")</f>
        <v/>
      </c>
      <c r="AD174">
        <v>5</v>
      </c>
      <c r="AE174">
        <f>Table1[[#This Row],[Quantity]]*(1+'scenario modeling'!$B$4)</f>
        <v>6</v>
      </c>
      <c r="AF174">
        <f>Table1[[#This Row],[UnitCost]]*Table1[[#This Row],[Quantity]]</f>
        <v>4228.1499999999996</v>
      </c>
      <c r="AG174">
        <f>SUMIF($U:U,Table1[[#This Row],[ProductCategory]],$AM:AM)</f>
        <v>1545646.9975799995</v>
      </c>
      <c r="AH174">
        <f>SUMIFS($AM$2:AM174,$U$2:U174,U174)</f>
        <v>1456115.3230599996</v>
      </c>
      <c r="AI174" s="5">
        <f>Table1[[#This Row],[Cumulative_revenue]]/Table1[[#This Row],[Category_revenue]]</f>
        <v>0.94207495329775914</v>
      </c>
      <c r="AJ174" t="str">
        <f>IF(Table1[[#This Row],[cumulative_pct]]&lt;=0.8,"A",IF(Table1[[#This Row],[cumulative_pct]]&lt;=0.95,"B","C"))</f>
        <v>B</v>
      </c>
      <c r="AK174">
        <f>Table1[[#This Row],[adj_unit_cost]]*Table1[[#This Row],[scenario_quantity]]</f>
        <v>5581.1580000000004</v>
      </c>
      <c r="AL174" s="5">
        <f>Table1[[#This Row],[UnitPrice]]*Table1[[#This Row],[scenario_quantity]]*(1-Table1[[#This Row],[cap_adjusted_discount]])</f>
        <v>11135.448</v>
      </c>
      <c r="AM174" s="5">
        <f>Table1[[#This Row],[UnitPrice]]*Table1[[#This Row],[Quantity]]*(1-Table1[[#This Row],[DiscountPct]])</f>
        <v>8928.9795999999988</v>
      </c>
      <c r="AN174" s="5">
        <f>Table1[[#This Row],[gross_revenue]]-Table1[[#This Row],[cost_of_goods]]</f>
        <v>4700.8295999999991</v>
      </c>
      <c r="AO174" s="5">
        <f>Table1[[#This Row],[scenario_revenue]]-Table1[[#This Row],[Scenario_unit_cost]]</f>
        <v>5554.29</v>
      </c>
      <c r="AP174" s="5">
        <f>IF(Table1[[#This Row],[gross_revenue]]=0,0,Table1[[#This Row],[gross_profit]]/Table1[[#This Row],[gross_revenue]])</f>
        <v>0.52646884757133949</v>
      </c>
    </row>
    <row r="175" spans="1:42" x14ac:dyDescent="0.35">
      <c r="A175" t="s">
        <v>236</v>
      </c>
      <c r="B175" t="str">
        <f>_xlfn.TEXTAFTER(Table1[[#This Row],[OrderID]],"-",2)</f>
        <v>713375</v>
      </c>
      <c r="C175">
        <f>YEAR(Table1[[#This Row],[OrderDate]])</f>
        <v>2023</v>
      </c>
      <c r="D175" s="9">
        <f>_xlfn.MINIFS(F:F,P:P,Table1[[#This Row],[Country]])</f>
        <v>44933</v>
      </c>
      <c r="E175" s="7">
        <f>DATEDIF(Table1[[#This Row],[first_time_orders]],Table1[[#This Row],[OrderDate]],"m")</f>
        <v>7</v>
      </c>
      <c r="F175" s="9">
        <v>45164</v>
      </c>
      <c r="G175" s="2" t="str">
        <f>TEXT(Table1[[#This Row],[OrderDate]],"MMM-YYYY")</f>
        <v>Aug-2023</v>
      </c>
      <c r="H175" s="7">
        <f>MONTH(Table1[[#This Row],[OrderDate]])</f>
        <v>8</v>
      </c>
      <c r="I175" s="7" t="str">
        <f>"Q"&amp;ROUNDUP(Table1[[#This Row],[months]]/3,0)&amp;"-"&amp;Table1[[#This Row],[order_year]]</f>
        <v>Q3-2023</v>
      </c>
      <c r="J175" s="7">
        <f>Table1[[#This Row],[RequiredDate]]-Table1[[#This Row],[OrderDate]]</f>
        <v>15</v>
      </c>
      <c r="K175" s="7">
        <f>IF(Table1[[#This Row],[lead_time]]&lt;0,MEDIAN(J:J),Table1[[#This Row],[lead_time]])</f>
        <v>15</v>
      </c>
      <c r="L175" s="7">
        <f>IF(Table1[[#This Row],[adj_lead_time]]&lt;=7,1,0)</f>
        <v>0</v>
      </c>
      <c r="M175" s="9">
        <v>45179</v>
      </c>
      <c r="N175" s="9">
        <f>IF(Table1[[#This Row],[lead_time]]&lt;0,(Table1[[#This Row],[OrderDate]]+Table1[[#This Row],[adj_lead_time]]),Table1[[#This Row],[RequiredDate]])</f>
        <v>45179</v>
      </c>
      <c r="O175" t="s">
        <v>646</v>
      </c>
      <c r="P175" t="s">
        <v>661</v>
      </c>
      <c r="Q175" t="s">
        <v>695</v>
      </c>
      <c r="R175" t="s">
        <v>703</v>
      </c>
      <c r="S175" t="s">
        <v>711</v>
      </c>
      <c r="T175" t="s">
        <v>725</v>
      </c>
      <c r="U175" t="s">
        <v>727</v>
      </c>
      <c r="V175" t="s">
        <v>956</v>
      </c>
      <c r="W175">
        <v>241.14</v>
      </c>
      <c r="X175">
        <f>Table1[[#This Row],[UnitCost]]*(1+'scenario modeling'!$B$3)</f>
        <v>265.25400000000002</v>
      </c>
      <c r="Y175">
        <v>496.52</v>
      </c>
      <c r="Z175" t="str">
        <f>IF(Table1[[#This Row],[UnitPrice]]&lt;=Quantiles!$B$2,Quantiles!$A$2,IF(Table1[[#This Row],[UnitPrice]]&lt;=Quantiles!$B$3,Quantiles!$A$3,Quantiles!$A$4))</f>
        <v>Low</v>
      </c>
      <c r="AA175">
        <v>9.2999999999999999E-2</v>
      </c>
      <c r="AB175" s="5">
        <f>MIN(Table1[[#This Row],[DiscountPct]],'scenario modeling'!$B$2)</f>
        <v>9.2999999999999999E-2</v>
      </c>
      <c r="AC175" t="str">
        <f>IF(Table1[[#This Row],[DiscountPct]]&gt;0.3, "&gt;0.3","")</f>
        <v/>
      </c>
      <c r="AD175">
        <v>10</v>
      </c>
      <c r="AE175">
        <f>Table1[[#This Row],[Quantity]]*(1+'scenario modeling'!$B$4)</f>
        <v>12</v>
      </c>
      <c r="AF175">
        <f>Table1[[#This Row],[UnitCost]]*Table1[[#This Row],[Quantity]]</f>
        <v>2411.3999999999996</v>
      </c>
      <c r="AG175">
        <f>SUMIF($U:U,Table1[[#This Row],[ProductCategory]],$AM:AM)</f>
        <v>1545646.9975799995</v>
      </c>
      <c r="AH175">
        <f>SUMIFS($AM$2:AM175,$U$2:U175,U175)</f>
        <v>1460618.7594599996</v>
      </c>
      <c r="AI175" s="5">
        <f>Table1[[#This Row],[Cumulative_revenue]]/Table1[[#This Row],[Category_revenue]]</f>
        <v>0.94498857872908393</v>
      </c>
      <c r="AJ175" t="str">
        <f>IF(Table1[[#This Row],[cumulative_pct]]&lt;=0.8,"A",IF(Table1[[#This Row],[cumulative_pct]]&lt;=0.95,"B","C"))</f>
        <v>B</v>
      </c>
      <c r="AK175">
        <f>Table1[[#This Row],[adj_unit_cost]]*Table1[[#This Row],[scenario_quantity]]</f>
        <v>3183.0480000000002</v>
      </c>
      <c r="AL175" s="5">
        <f>Table1[[#This Row],[UnitPrice]]*Table1[[#This Row],[scenario_quantity]]*(1-Table1[[#This Row],[cap_adjusted_discount]])</f>
        <v>5404.1236799999997</v>
      </c>
      <c r="AM175" s="5">
        <f>Table1[[#This Row],[UnitPrice]]*Table1[[#This Row],[Quantity]]*(1-Table1[[#This Row],[DiscountPct]])</f>
        <v>4503.4363999999996</v>
      </c>
      <c r="AN175" s="5">
        <f>Table1[[#This Row],[gross_revenue]]-Table1[[#This Row],[cost_of_goods]]</f>
        <v>2092.0364</v>
      </c>
      <c r="AO175" s="5">
        <f>Table1[[#This Row],[scenario_revenue]]-Table1[[#This Row],[Scenario_unit_cost]]</f>
        <v>2221.0756799999995</v>
      </c>
      <c r="AP175" s="5">
        <f>IF(Table1[[#This Row],[gross_revenue]]=0,0,Table1[[#This Row],[gross_profit]]/Table1[[#This Row],[gross_revenue]])</f>
        <v>0.46454223268257994</v>
      </c>
    </row>
    <row r="176" spans="1:42" x14ac:dyDescent="0.35">
      <c r="A176" t="s">
        <v>139</v>
      </c>
      <c r="B176" t="str">
        <f>_xlfn.TEXTAFTER(Table1[[#This Row],[OrderID]],"-",2)</f>
        <v>603238</v>
      </c>
      <c r="C176">
        <f>YEAR(Table1[[#This Row],[OrderDate]])</f>
        <v>2023</v>
      </c>
      <c r="D176" s="9">
        <f>_xlfn.MINIFS(F:F,P:P,Table1[[#This Row],[Country]])</f>
        <v>44928</v>
      </c>
      <c r="E176" s="7">
        <f>DATEDIF(Table1[[#This Row],[first_time_orders]],Table1[[#This Row],[OrderDate]],"m")</f>
        <v>7</v>
      </c>
      <c r="F176" s="9">
        <v>45159</v>
      </c>
      <c r="G176" s="2" t="str">
        <f>TEXT(Table1[[#This Row],[OrderDate]],"MMM-YYYY")</f>
        <v>Aug-2023</v>
      </c>
      <c r="H176" s="7">
        <f>MONTH(Table1[[#This Row],[OrderDate]])</f>
        <v>8</v>
      </c>
      <c r="I176" s="7" t="str">
        <f>"Q"&amp;ROUNDUP(Table1[[#This Row],[months]]/3,0)&amp;"-"&amp;Table1[[#This Row],[order_year]]</f>
        <v>Q3-2023</v>
      </c>
      <c r="J176" s="7">
        <f>Table1[[#This Row],[RequiredDate]]-Table1[[#This Row],[OrderDate]]</f>
        <v>14</v>
      </c>
      <c r="K176" s="7">
        <f>IF(Table1[[#This Row],[lead_time]]&lt;0,MEDIAN(J:J),Table1[[#This Row],[lead_time]])</f>
        <v>14</v>
      </c>
      <c r="L176" s="7">
        <f>IF(Table1[[#This Row],[adj_lead_time]]&lt;=7,1,0)</f>
        <v>0</v>
      </c>
      <c r="M176" s="9">
        <v>45173</v>
      </c>
      <c r="N176" s="9">
        <f>IF(Table1[[#This Row],[lead_time]]&lt;0,(Table1[[#This Row],[OrderDate]]+Table1[[#This Row],[adj_lead_time]]),Table1[[#This Row],[RequiredDate]])</f>
        <v>45173</v>
      </c>
      <c r="O176" t="s">
        <v>648</v>
      </c>
      <c r="P176" t="s">
        <v>653</v>
      </c>
      <c r="Q176" t="s">
        <v>681</v>
      </c>
      <c r="R176" t="s">
        <v>702</v>
      </c>
      <c r="S176" t="s">
        <v>710</v>
      </c>
      <c r="T176" t="s">
        <v>721</v>
      </c>
      <c r="U176" t="s">
        <v>727</v>
      </c>
      <c r="V176" t="s">
        <v>858</v>
      </c>
      <c r="W176">
        <v>178.19</v>
      </c>
      <c r="X176">
        <f>Table1[[#This Row],[UnitCost]]*(1+'scenario modeling'!$B$3)</f>
        <v>196.00900000000001</v>
      </c>
      <c r="Y176">
        <v>284.43</v>
      </c>
      <c r="Z176" t="str">
        <f>IF(Table1[[#This Row],[UnitPrice]]&lt;=Quantiles!$B$2,Quantiles!$A$2,IF(Table1[[#This Row],[UnitPrice]]&lt;=Quantiles!$B$3,Quantiles!$A$3,Quantiles!$A$4))</f>
        <v>Low</v>
      </c>
      <c r="AA176">
        <v>8.8999999999999996E-2</v>
      </c>
      <c r="AB176" s="5">
        <f>MIN(Table1[[#This Row],[DiscountPct]],'scenario modeling'!$B$2)</f>
        <v>8.8999999999999996E-2</v>
      </c>
      <c r="AC176" t="str">
        <f>IF(Table1[[#This Row],[DiscountPct]]&gt;0.3, "&gt;0.3","")</f>
        <v/>
      </c>
      <c r="AD176">
        <v>8</v>
      </c>
      <c r="AE176">
        <f>Table1[[#This Row],[Quantity]]*(1+'scenario modeling'!$B$4)</f>
        <v>9.6</v>
      </c>
      <c r="AF176">
        <f>Table1[[#This Row],[UnitCost]]*Table1[[#This Row],[Quantity]]</f>
        <v>1425.52</v>
      </c>
      <c r="AG176">
        <f>SUMIF($U:U,Table1[[#This Row],[ProductCategory]],$AM:AM)</f>
        <v>1545646.9975799995</v>
      </c>
      <c r="AH176">
        <f>SUMIFS($AM$2:AM176,$U$2:U176,U176)</f>
        <v>1462691.6852999995</v>
      </c>
      <c r="AI176" s="5">
        <f>Table1[[#This Row],[Cumulative_revenue]]/Table1[[#This Row],[Category_revenue]]</f>
        <v>0.94632971667535859</v>
      </c>
      <c r="AJ176" t="str">
        <f>IF(Table1[[#This Row],[cumulative_pct]]&lt;=0.8,"A",IF(Table1[[#This Row],[cumulative_pct]]&lt;=0.95,"B","C"))</f>
        <v>B</v>
      </c>
      <c r="AK176">
        <f>Table1[[#This Row],[adj_unit_cost]]*Table1[[#This Row],[scenario_quantity]]</f>
        <v>1881.6864</v>
      </c>
      <c r="AL176" s="5">
        <f>Table1[[#This Row],[UnitPrice]]*Table1[[#This Row],[scenario_quantity]]*(1-Table1[[#This Row],[cap_adjusted_discount]])</f>
        <v>2487.5110079999999</v>
      </c>
      <c r="AM176" s="5">
        <f>Table1[[#This Row],[UnitPrice]]*Table1[[#This Row],[Quantity]]*(1-Table1[[#This Row],[DiscountPct]])</f>
        <v>2072.9258400000003</v>
      </c>
      <c r="AN176" s="5">
        <f>Table1[[#This Row],[gross_revenue]]-Table1[[#This Row],[cost_of_goods]]</f>
        <v>647.40584000000035</v>
      </c>
      <c r="AO176" s="5">
        <f>Table1[[#This Row],[scenario_revenue]]-Table1[[#This Row],[Scenario_unit_cost]]</f>
        <v>605.8246079999999</v>
      </c>
      <c r="AP176" s="5">
        <f>IF(Table1[[#This Row],[gross_revenue]]=0,0,Table1[[#This Row],[gross_profit]]/Table1[[#This Row],[gross_revenue]])</f>
        <v>0.31231500302972742</v>
      </c>
    </row>
    <row r="177" spans="1:42" x14ac:dyDescent="0.35">
      <c r="A177" t="s">
        <v>140</v>
      </c>
      <c r="B177" t="str">
        <f>_xlfn.TEXTAFTER(Table1[[#This Row],[OrderID]],"-",2)</f>
        <v>883066</v>
      </c>
      <c r="C177">
        <f>YEAR(Table1[[#This Row],[OrderDate]])</f>
        <v>2023</v>
      </c>
      <c r="D177" s="9">
        <f>_xlfn.MINIFS(F:F,P:P,Table1[[#This Row],[Country]])</f>
        <v>44938</v>
      </c>
      <c r="E177" s="7">
        <f>DATEDIF(Table1[[#This Row],[first_time_orders]],Table1[[#This Row],[OrderDate]],"m")</f>
        <v>7</v>
      </c>
      <c r="F177" s="9">
        <v>45150</v>
      </c>
      <c r="G177" s="2" t="str">
        <f>TEXT(Table1[[#This Row],[OrderDate]],"MMM-YYYY")</f>
        <v>Aug-2023</v>
      </c>
      <c r="H177" s="7">
        <f>MONTH(Table1[[#This Row],[OrderDate]])</f>
        <v>8</v>
      </c>
      <c r="I177" s="7" t="str">
        <f>"Q"&amp;ROUNDUP(Table1[[#This Row],[months]]/3,0)&amp;"-"&amp;Table1[[#This Row],[order_year]]</f>
        <v>Q3-2023</v>
      </c>
      <c r="J177" s="7">
        <f>Table1[[#This Row],[RequiredDate]]-Table1[[#This Row],[OrderDate]]</f>
        <v>25</v>
      </c>
      <c r="K177" s="7">
        <f>IF(Table1[[#This Row],[lead_time]]&lt;0,MEDIAN(J:J),Table1[[#This Row],[lead_time]])</f>
        <v>25</v>
      </c>
      <c r="L177" s="7">
        <f>IF(Table1[[#This Row],[adj_lead_time]]&lt;=7,1,0)</f>
        <v>0</v>
      </c>
      <c r="M177" s="9">
        <v>45175</v>
      </c>
      <c r="N177" s="9">
        <f>IF(Table1[[#This Row],[lead_time]]&lt;0,(Table1[[#This Row],[OrderDate]]+Table1[[#This Row],[adj_lead_time]]),Table1[[#This Row],[RequiredDate]])</f>
        <v>45175</v>
      </c>
      <c r="O177" t="s">
        <v>647</v>
      </c>
      <c r="P177" t="s">
        <v>659</v>
      </c>
      <c r="Q177" t="s">
        <v>685</v>
      </c>
      <c r="R177" t="s">
        <v>705</v>
      </c>
      <c r="S177" t="s">
        <v>707</v>
      </c>
      <c r="T177" t="s">
        <v>717</v>
      </c>
      <c r="U177" t="s">
        <v>727</v>
      </c>
      <c r="V177" t="s">
        <v>859</v>
      </c>
      <c r="W177">
        <v>950.77</v>
      </c>
      <c r="X177">
        <f>Table1[[#This Row],[UnitCost]]*(1+'scenario modeling'!$B$3)</f>
        <v>1045.847</v>
      </c>
      <c r="Y177">
        <v>694.78</v>
      </c>
      <c r="Z177" t="str">
        <f>IF(Table1[[#This Row],[UnitPrice]]&lt;=Quantiles!$B$2,Quantiles!$A$2,IF(Table1[[#This Row],[UnitPrice]]&lt;=Quantiles!$B$3,Quantiles!$A$3,Quantiles!$A$4))</f>
        <v>Low</v>
      </c>
      <c r="AA177">
        <v>8.4000000000000005E-2</v>
      </c>
      <c r="AB177" s="5">
        <f>MIN(Table1[[#This Row],[DiscountPct]],'scenario modeling'!$B$2)</f>
        <v>8.4000000000000005E-2</v>
      </c>
      <c r="AC177" t="str">
        <f>IF(Table1[[#This Row],[DiscountPct]]&gt;0.3, "&gt;0.3","")</f>
        <v/>
      </c>
      <c r="AD177">
        <v>14</v>
      </c>
      <c r="AE177">
        <f>Table1[[#This Row],[Quantity]]*(1+'scenario modeling'!$B$4)</f>
        <v>16.8</v>
      </c>
      <c r="AF177">
        <f>Table1[[#This Row],[UnitCost]]*Table1[[#This Row],[Quantity]]</f>
        <v>13310.779999999999</v>
      </c>
      <c r="AG177">
        <f>SUMIF($U:U,Table1[[#This Row],[ProductCategory]],$AM:AM)</f>
        <v>1545646.9975799995</v>
      </c>
      <c r="AH177">
        <f>SUMIFS($AM$2:AM177,$U$2:U177,U177)</f>
        <v>1471601.5440199994</v>
      </c>
      <c r="AI177" s="5">
        <f>Table1[[#This Row],[Cumulative_revenue]]/Table1[[#This Row],[Category_revenue]]</f>
        <v>0.95209420153765245</v>
      </c>
      <c r="AJ177" t="str">
        <f>IF(Table1[[#This Row],[cumulative_pct]]&lt;=0.8,"A",IF(Table1[[#This Row],[cumulative_pct]]&lt;=0.95,"B","C"))</f>
        <v>C</v>
      </c>
      <c r="AK177">
        <f>Table1[[#This Row],[adj_unit_cost]]*Table1[[#This Row],[scenario_quantity]]</f>
        <v>17570.229599999999</v>
      </c>
      <c r="AL177" s="5">
        <f>Table1[[#This Row],[UnitPrice]]*Table1[[#This Row],[scenario_quantity]]*(1-Table1[[#This Row],[cap_adjusted_discount]])</f>
        <v>10691.830464000001</v>
      </c>
      <c r="AM177" s="5">
        <f>Table1[[#This Row],[UnitPrice]]*Table1[[#This Row],[Quantity]]*(1-Table1[[#This Row],[DiscountPct]])</f>
        <v>8909.8587200000002</v>
      </c>
      <c r="AN177" s="5">
        <f>Table1[[#This Row],[gross_revenue]]-Table1[[#This Row],[cost_of_goods]]</f>
        <v>-4400.9212799999987</v>
      </c>
      <c r="AO177" s="5">
        <f>Table1[[#This Row],[scenario_revenue]]-Table1[[#This Row],[Scenario_unit_cost]]</f>
        <v>-6878.3991359999982</v>
      </c>
      <c r="AP177" s="5">
        <f>IF(Table1[[#This Row],[gross_revenue]]=0,0,Table1[[#This Row],[gross_profit]]/Table1[[#This Row],[gross_revenue]])</f>
        <v>-0.49393839097821279</v>
      </c>
    </row>
    <row r="178" spans="1:42" x14ac:dyDescent="0.35">
      <c r="A178" t="s">
        <v>90</v>
      </c>
      <c r="B178" t="str">
        <f>_xlfn.TEXTAFTER(Table1[[#This Row],[OrderID]],"-",2)</f>
        <v>722117</v>
      </c>
      <c r="C178">
        <f>YEAR(Table1[[#This Row],[OrderDate]])</f>
        <v>2023</v>
      </c>
      <c r="D178" s="9">
        <f>_xlfn.MINIFS(F:F,P:P,Table1[[#This Row],[Country]])</f>
        <v>44955</v>
      </c>
      <c r="E178" s="7">
        <f>DATEDIF(Table1[[#This Row],[first_time_orders]],Table1[[#This Row],[OrderDate]],"m")</f>
        <v>7</v>
      </c>
      <c r="F178" s="9">
        <v>45187</v>
      </c>
      <c r="G178" s="2" t="str">
        <f>TEXT(Table1[[#This Row],[OrderDate]],"MMM-YYYY")</f>
        <v>Sept-2023</v>
      </c>
      <c r="H178" s="7">
        <f>MONTH(Table1[[#This Row],[OrderDate]])</f>
        <v>9</v>
      </c>
      <c r="I178" s="7" t="str">
        <f>"Q"&amp;ROUNDUP(Table1[[#This Row],[months]]/3,0)&amp;"-"&amp;Table1[[#This Row],[order_year]]</f>
        <v>Q3-2023</v>
      </c>
      <c r="J178" s="7">
        <f>Table1[[#This Row],[RequiredDate]]-Table1[[#This Row],[OrderDate]]</f>
        <v>20</v>
      </c>
      <c r="K178" s="7">
        <f>IF(Table1[[#This Row],[lead_time]]&lt;0,MEDIAN(J:J),Table1[[#This Row],[lead_time]])</f>
        <v>20</v>
      </c>
      <c r="L178" s="7">
        <f>IF(Table1[[#This Row],[adj_lead_time]]&lt;=7,1,0)</f>
        <v>0</v>
      </c>
      <c r="M178" s="9">
        <v>45207</v>
      </c>
      <c r="N178" s="9">
        <f>IF(Table1[[#This Row],[lead_time]]&lt;0,(Table1[[#This Row],[OrderDate]]+Table1[[#This Row],[adj_lead_time]]),Table1[[#This Row],[RequiredDate]])</f>
        <v>45207</v>
      </c>
      <c r="O178" t="s">
        <v>647</v>
      </c>
      <c r="P178" t="s">
        <v>654</v>
      </c>
      <c r="Q178" t="s">
        <v>680</v>
      </c>
      <c r="R178" t="s">
        <v>705</v>
      </c>
      <c r="S178" t="s">
        <v>711</v>
      </c>
      <c r="T178" t="s">
        <v>717</v>
      </c>
      <c r="U178" t="s">
        <v>727</v>
      </c>
      <c r="V178" t="s">
        <v>809</v>
      </c>
      <c r="W178">
        <v>825.64</v>
      </c>
      <c r="X178">
        <f>Table1[[#This Row],[UnitCost]]*(1+'scenario modeling'!$B$3)</f>
        <v>908.20400000000006</v>
      </c>
      <c r="Y178">
        <v>1108.43</v>
      </c>
      <c r="Z178" t="str">
        <f>IF(Table1[[#This Row],[UnitPrice]]&lt;=Quantiles!$B$2,Quantiles!$A$2,IF(Table1[[#This Row],[UnitPrice]]&lt;=Quantiles!$B$3,Quantiles!$A$3,Quantiles!$A$4))</f>
        <v>Medium</v>
      </c>
      <c r="AA178">
        <v>0.114</v>
      </c>
      <c r="AB178" s="5">
        <f>MIN(Table1[[#This Row],[DiscountPct]],'scenario modeling'!$B$2)</f>
        <v>0.1</v>
      </c>
      <c r="AC178" t="str">
        <f>IF(Table1[[#This Row],[DiscountPct]]&gt;0.3, "&gt;0.3","")</f>
        <v/>
      </c>
      <c r="AD178">
        <v>7</v>
      </c>
      <c r="AE178">
        <f>Table1[[#This Row],[Quantity]]*(1+'scenario modeling'!$B$4)</f>
        <v>8.4</v>
      </c>
      <c r="AF178">
        <f>Table1[[#This Row],[UnitCost]]*Table1[[#This Row],[Quantity]]</f>
        <v>5779.48</v>
      </c>
      <c r="AG178">
        <f>SUMIF($U:U,Table1[[#This Row],[ProductCategory]],$AM:AM)</f>
        <v>1545646.9975799995</v>
      </c>
      <c r="AH178">
        <f>SUMIFS($AM$2:AM178,$U$2:U178,U178)</f>
        <v>1478476.0268799996</v>
      </c>
      <c r="AI178" s="5">
        <f>Table1[[#This Row],[Cumulative_revenue]]/Table1[[#This Row],[Category_revenue]]</f>
        <v>0.9565418424742721</v>
      </c>
      <c r="AJ178" t="str">
        <f>IF(Table1[[#This Row],[cumulative_pct]]&lt;=0.8,"A",IF(Table1[[#This Row],[cumulative_pct]]&lt;=0.95,"B","C"))</f>
        <v>C</v>
      </c>
      <c r="AK178">
        <f>Table1[[#This Row],[adj_unit_cost]]*Table1[[#This Row],[scenario_quantity]]</f>
        <v>7628.9136000000008</v>
      </c>
      <c r="AL178" s="5">
        <f>Table1[[#This Row],[UnitPrice]]*Table1[[#This Row],[scenario_quantity]]*(1-Table1[[#This Row],[cap_adjusted_discount]])</f>
        <v>8379.7308000000012</v>
      </c>
      <c r="AM178" s="5">
        <f>Table1[[#This Row],[UnitPrice]]*Table1[[#This Row],[Quantity]]*(1-Table1[[#This Row],[DiscountPct]])</f>
        <v>6874.4828600000001</v>
      </c>
      <c r="AN178" s="5">
        <f>Table1[[#This Row],[gross_revenue]]-Table1[[#This Row],[cost_of_goods]]</f>
        <v>1095.0028600000005</v>
      </c>
      <c r="AO178" s="5">
        <f>Table1[[#This Row],[scenario_revenue]]-Table1[[#This Row],[Scenario_unit_cost]]</f>
        <v>750.81720000000041</v>
      </c>
      <c r="AP178" s="5">
        <f>IF(Table1[[#This Row],[gross_revenue]]=0,0,Table1[[#This Row],[gross_profit]]/Table1[[#This Row],[gross_revenue]])</f>
        <v>0.15928512475773349</v>
      </c>
    </row>
    <row r="179" spans="1:42" x14ac:dyDescent="0.35">
      <c r="A179" t="s">
        <v>406</v>
      </c>
      <c r="B179" t="str">
        <f>_xlfn.TEXTAFTER(Table1[[#This Row],[OrderID]],"-",2)</f>
        <v>368449</v>
      </c>
      <c r="C179">
        <f>YEAR(Table1[[#This Row],[OrderDate]])</f>
        <v>2023</v>
      </c>
      <c r="D179" s="9">
        <f>_xlfn.MINIFS(F:F,P:P,Table1[[#This Row],[Country]])</f>
        <v>44938</v>
      </c>
      <c r="E179" s="7">
        <f>DATEDIF(Table1[[#This Row],[first_time_orders]],Table1[[#This Row],[OrderDate]],"m")</f>
        <v>8</v>
      </c>
      <c r="F179" s="9">
        <v>45208</v>
      </c>
      <c r="G179" s="2" t="str">
        <f>TEXT(Table1[[#This Row],[OrderDate]],"MMM-YYYY")</f>
        <v>Oct-2023</v>
      </c>
      <c r="H179" s="7">
        <f>MONTH(Table1[[#This Row],[OrderDate]])</f>
        <v>10</v>
      </c>
      <c r="I179" s="7" t="str">
        <f>"Q"&amp;ROUNDUP(Table1[[#This Row],[months]]/3,0)&amp;"-"&amp;Table1[[#This Row],[order_year]]</f>
        <v>Q4-2023</v>
      </c>
      <c r="J179" s="7">
        <f>Table1[[#This Row],[RequiredDate]]-Table1[[#This Row],[OrderDate]]</f>
        <v>17</v>
      </c>
      <c r="K179" s="7">
        <f>IF(Table1[[#This Row],[lead_time]]&lt;0,MEDIAN(J:J),Table1[[#This Row],[lead_time]])</f>
        <v>17</v>
      </c>
      <c r="L179" s="7">
        <f>IF(Table1[[#This Row],[adj_lead_time]]&lt;=7,1,0)</f>
        <v>0</v>
      </c>
      <c r="M179" s="9">
        <v>45225</v>
      </c>
      <c r="N179" s="9">
        <f>IF(Table1[[#This Row],[lead_time]]&lt;0,(Table1[[#This Row],[OrderDate]]+Table1[[#This Row],[adj_lead_time]]),Table1[[#This Row],[RequiredDate]])</f>
        <v>45225</v>
      </c>
      <c r="O179" t="s">
        <v>647</v>
      </c>
      <c r="P179" t="s">
        <v>659</v>
      </c>
      <c r="Q179" t="s">
        <v>685</v>
      </c>
      <c r="R179" t="s">
        <v>704</v>
      </c>
      <c r="S179" t="s">
        <v>709</v>
      </c>
      <c r="T179" t="s">
        <v>712</v>
      </c>
      <c r="U179" t="s">
        <v>727</v>
      </c>
      <c r="V179" t="s">
        <v>1125</v>
      </c>
      <c r="W179">
        <v>1132.03</v>
      </c>
      <c r="X179">
        <f>Table1[[#This Row],[UnitCost]]*(1+'scenario modeling'!$B$3)</f>
        <v>1245.2330000000002</v>
      </c>
      <c r="Y179">
        <v>2137.21</v>
      </c>
      <c r="Z179" t="str">
        <f>IF(Table1[[#This Row],[UnitPrice]]&lt;=Quantiles!$B$2,Quantiles!$A$2,IF(Table1[[#This Row],[UnitPrice]]&lt;=Quantiles!$B$3,Quantiles!$A$3,Quantiles!$A$4))</f>
        <v>High</v>
      </c>
      <c r="AA179">
        <v>0.35699999999999998</v>
      </c>
      <c r="AB179" s="5">
        <f>MIN(Table1[[#This Row],[DiscountPct]],'scenario modeling'!$B$2)</f>
        <v>0.1</v>
      </c>
      <c r="AC179" t="str">
        <f>IF(Table1[[#This Row],[DiscountPct]]&gt;0.3, "&gt;0.3","")</f>
        <v>&gt;0.3</v>
      </c>
      <c r="AD179">
        <v>35</v>
      </c>
      <c r="AE179">
        <f>Table1[[#This Row],[Quantity]]*(1+'scenario modeling'!$B$4)</f>
        <v>42</v>
      </c>
      <c r="AF179">
        <f>Table1[[#This Row],[UnitCost]]*Table1[[#This Row],[Quantity]]</f>
        <v>39621.049999999996</v>
      </c>
      <c r="AG179">
        <f>SUMIF($U:U,Table1[[#This Row],[ProductCategory]],$AM:AM)</f>
        <v>1545646.9975799995</v>
      </c>
      <c r="AH179">
        <f>SUMIFS($AM$2:AM179,$U$2:U179,U179)</f>
        <v>1526573.9379299995</v>
      </c>
      <c r="AI179" s="5">
        <f>Table1[[#This Row],[Cumulative_revenue]]/Table1[[#This Row],[Category_revenue]]</f>
        <v>0.98766014511731182</v>
      </c>
      <c r="AJ179" t="str">
        <f>IF(Table1[[#This Row],[cumulative_pct]]&lt;=0.8,"A",IF(Table1[[#This Row],[cumulative_pct]]&lt;=0.95,"B","C"))</f>
        <v>C</v>
      </c>
      <c r="AK179">
        <f>Table1[[#This Row],[adj_unit_cost]]*Table1[[#This Row],[scenario_quantity]]</f>
        <v>52299.786000000007</v>
      </c>
      <c r="AL179" s="5">
        <f>Table1[[#This Row],[UnitPrice]]*Table1[[#This Row],[scenario_quantity]]*(1-Table1[[#This Row],[cap_adjusted_discount]])</f>
        <v>80786.538000000015</v>
      </c>
      <c r="AM179" s="5">
        <f>Table1[[#This Row],[UnitPrice]]*Table1[[#This Row],[Quantity]]*(1-Table1[[#This Row],[DiscountPct]])</f>
        <v>48097.911050000002</v>
      </c>
      <c r="AN179" s="5">
        <f>Table1[[#This Row],[gross_revenue]]-Table1[[#This Row],[cost_of_goods]]</f>
        <v>8476.8610500000068</v>
      </c>
      <c r="AO179" s="5">
        <f>Table1[[#This Row],[scenario_revenue]]-Table1[[#This Row],[Scenario_unit_cost]]</f>
        <v>28486.752000000008</v>
      </c>
      <c r="AP179" s="5">
        <f>IF(Table1[[#This Row],[gross_revenue]]=0,0,Table1[[#This Row],[gross_profit]]/Table1[[#This Row],[gross_revenue]])</f>
        <v>0.17624177152284051</v>
      </c>
    </row>
    <row r="180" spans="1:42" x14ac:dyDescent="0.35">
      <c r="A180" t="s">
        <v>270</v>
      </c>
      <c r="B180" t="str">
        <f>_xlfn.TEXTAFTER(Table1[[#This Row],[OrderID]],"-",2)</f>
        <v>474313</v>
      </c>
      <c r="C180">
        <f>YEAR(Table1[[#This Row],[OrderDate]])</f>
        <v>2023</v>
      </c>
      <c r="D180" s="9">
        <f>_xlfn.MINIFS(F:F,P:P,Table1[[#This Row],[Country]])</f>
        <v>44955</v>
      </c>
      <c r="E180" s="7">
        <f>DATEDIF(Table1[[#This Row],[first_time_orders]],Table1[[#This Row],[OrderDate]],"m")</f>
        <v>8</v>
      </c>
      <c r="F180" s="9">
        <v>45204</v>
      </c>
      <c r="G180" s="2" t="str">
        <f>TEXT(Table1[[#This Row],[OrderDate]],"MMM-YYYY")</f>
        <v>Oct-2023</v>
      </c>
      <c r="H180" s="7">
        <f>MONTH(Table1[[#This Row],[OrderDate]])</f>
        <v>10</v>
      </c>
      <c r="I180" s="7" t="str">
        <f>"Q"&amp;ROUNDUP(Table1[[#This Row],[months]]/3,0)&amp;"-"&amp;Table1[[#This Row],[order_year]]</f>
        <v>Q4-2023</v>
      </c>
      <c r="J180" s="7">
        <f>Table1[[#This Row],[RequiredDate]]-Table1[[#This Row],[OrderDate]]</f>
        <v>1</v>
      </c>
      <c r="K180" s="7">
        <f>IF(Table1[[#This Row],[lead_time]]&lt;0,MEDIAN(J:J),Table1[[#This Row],[lead_time]])</f>
        <v>1</v>
      </c>
      <c r="L180" s="7">
        <f>IF(Table1[[#This Row],[adj_lead_time]]&lt;=7,1,0)</f>
        <v>1</v>
      </c>
      <c r="M180" s="9">
        <v>45205</v>
      </c>
      <c r="N180" s="9">
        <f>IF(Table1[[#This Row],[lead_time]]&lt;0,(Table1[[#This Row],[OrderDate]]+Table1[[#This Row],[adj_lead_time]]),Table1[[#This Row],[RequiredDate]])</f>
        <v>45205</v>
      </c>
      <c r="O180" t="s">
        <v>647</v>
      </c>
      <c r="P180" t="s">
        <v>654</v>
      </c>
      <c r="Q180" t="s">
        <v>668</v>
      </c>
      <c r="R180" t="s">
        <v>703</v>
      </c>
      <c r="S180" t="s">
        <v>708</v>
      </c>
      <c r="T180" t="s">
        <v>714</v>
      </c>
      <c r="U180" t="s">
        <v>727</v>
      </c>
      <c r="V180" t="s">
        <v>990</v>
      </c>
      <c r="W180">
        <v>1470.26</v>
      </c>
      <c r="X180">
        <f>Table1[[#This Row],[UnitCost]]*(1+'scenario modeling'!$B$3)</f>
        <v>1617.2860000000001</v>
      </c>
      <c r="Y180">
        <v>2562.5500000000002</v>
      </c>
      <c r="Z180" t="str">
        <f>IF(Table1[[#This Row],[UnitPrice]]&lt;=Quantiles!$B$2,Quantiles!$A$2,IF(Table1[[#This Row],[UnitPrice]]&lt;=Quantiles!$B$3,Quantiles!$A$3,Quantiles!$A$4))</f>
        <v>High</v>
      </c>
      <c r="AA180">
        <v>0.17299999999999999</v>
      </c>
      <c r="AB180" s="5">
        <f>MIN(Table1[[#This Row],[DiscountPct]],'scenario modeling'!$B$2)</f>
        <v>0.1</v>
      </c>
      <c r="AC180" t="str">
        <f>IF(Table1[[#This Row],[DiscountPct]]&gt;0.3, "&gt;0.3","")</f>
        <v/>
      </c>
      <c r="AD180">
        <v>9</v>
      </c>
      <c r="AE180">
        <f>Table1[[#This Row],[Quantity]]*(1+'scenario modeling'!$B$4)</f>
        <v>10.799999999999999</v>
      </c>
      <c r="AF180">
        <f>Table1[[#This Row],[UnitCost]]*Table1[[#This Row],[Quantity]]</f>
        <v>13232.34</v>
      </c>
      <c r="AG180">
        <f>SUMIF($U:U,Table1[[#This Row],[ProductCategory]],$AM:AM)</f>
        <v>1545646.9975799995</v>
      </c>
      <c r="AH180">
        <f>SUMIFS($AM$2:AM180,$U$2:U180,U180)</f>
        <v>1545646.9975799995</v>
      </c>
      <c r="AI180" s="5">
        <f>Table1[[#This Row],[Cumulative_revenue]]/Table1[[#This Row],[Category_revenue]]</f>
        <v>1</v>
      </c>
      <c r="AJ180" t="str">
        <f>IF(Table1[[#This Row],[cumulative_pct]]&lt;=0.8,"A",IF(Table1[[#This Row],[cumulative_pct]]&lt;=0.95,"B","C"))</f>
        <v>C</v>
      </c>
      <c r="AK180">
        <f>Table1[[#This Row],[adj_unit_cost]]*Table1[[#This Row],[scenario_quantity]]</f>
        <v>17466.6888</v>
      </c>
      <c r="AL180" s="5">
        <f>Table1[[#This Row],[UnitPrice]]*Table1[[#This Row],[scenario_quantity]]*(1-Table1[[#This Row],[cap_adjusted_discount]])</f>
        <v>24907.986000000001</v>
      </c>
      <c r="AM180" s="5">
        <f>Table1[[#This Row],[UnitPrice]]*Table1[[#This Row],[Quantity]]*(1-Table1[[#This Row],[DiscountPct]])</f>
        <v>19073.059649999999</v>
      </c>
      <c r="AN180" s="5">
        <f>Table1[[#This Row],[gross_revenue]]-Table1[[#This Row],[cost_of_goods]]</f>
        <v>5840.7196499999991</v>
      </c>
      <c r="AO180" s="5">
        <f>Table1[[#This Row],[scenario_revenue]]-Table1[[#This Row],[Scenario_unit_cost]]</f>
        <v>7441.2972000000009</v>
      </c>
      <c r="AP180" s="5">
        <f>IF(Table1[[#This Row],[gross_revenue]]=0,0,Table1[[#This Row],[gross_profit]]/Table1[[#This Row],[gross_revenue]])</f>
        <v>0.30622877279157462</v>
      </c>
    </row>
    <row r="181" spans="1:42" x14ac:dyDescent="0.35">
      <c r="A181" t="s">
        <v>20</v>
      </c>
      <c r="B181" t="str">
        <f>_xlfn.TEXTAFTER(Table1[[#This Row],[OrderID]],"-",2)</f>
        <v>723587</v>
      </c>
      <c r="C181">
        <f>YEAR(Table1[[#This Row],[OrderDate]])</f>
        <v>2023</v>
      </c>
      <c r="D181" s="9">
        <f>_xlfn.MINIFS(F:F,P:P,Table1[[#This Row],[Country]])</f>
        <v>44928</v>
      </c>
      <c r="E181" s="7">
        <f>DATEDIF(Table1[[#This Row],[first_time_orders]],Table1[[#This Row],[OrderDate]],"m")</f>
        <v>0</v>
      </c>
      <c r="F181" s="9">
        <v>44928</v>
      </c>
      <c r="G181" s="2" t="str">
        <f>TEXT(Table1[[#This Row],[OrderDate]],"MMM-YYYY")</f>
        <v>Jan-2023</v>
      </c>
      <c r="H181" s="7">
        <f>MONTH(Table1[[#This Row],[OrderDate]])</f>
        <v>1</v>
      </c>
      <c r="I181" s="7" t="str">
        <f>"Q"&amp;ROUNDUP(Table1[[#This Row],[months]]/3,0)&amp;"-"&amp;Table1[[#This Row],[order_year]]</f>
        <v>Q1-2023</v>
      </c>
      <c r="J181" s="7">
        <f>Table1[[#This Row],[RequiredDate]]-Table1[[#This Row],[OrderDate]]</f>
        <v>3</v>
      </c>
      <c r="K181" s="7">
        <f>IF(Table1[[#This Row],[lead_time]]&lt;0,MEDIAN(J:J),Table1[[#This Row],[lead_time]])</f>
        <v>3</v>
      </c>
      <c r="L181" s="7">
        <f>IF(Table1[[#This Row],[adj_lead_time]]&lt;=7,1,0)</f>
        <v>1</v>
      </c>
      <c r="M181" s="9">
        <v>44931</v>
      </c>
      <c r="N181" s="9">
        <f>IF(Table1[[#This Row],[lead_time]]&lt;0,(Table1[[#This Row],[OrderDate]]+Table1[[#This Row],[adj_lead_time]]),Table1[[#This Row],[RequiredDate]])</f>
        <v>44931</v>
      </c>
      <c r="O181" t="s">
        <v>648</v>
      </c>
      <c r="P181" t="s">
        <v>653</v>
      </c>
      <c r="Q181" t="s">
        <v>667</v>
      </c>
      <c r="R181" t="s">
        <v>701</v>
      </c>
      <c r="S181" t="s">
        <v>710</v>
      </c>
      <c r="T181" t="s">
        <v>717</v>
      </c>
      <c r="U181" t="s">
        <v>731</v>
      </c>
      <c r="V181" t="s">
        <v>739</v>
      </c>
      <c r="W181">
        <v>315.87</v>
      </c>
      <c r="X181">
        <f>Table1[[#This Row],[UnitCost]]*(1+'scenario modeling'!$B$3)</f>
        <v>347.45700000000005</v>
      </c>
      <c r="Y181">
        <v>591.67999999999995</v>
      </c>
      <c r="Z181" t="str">
        <f>IF(Table1[[#This Row],[UnitPrice]]&lt;=Quantiles!$B$2,Quantiles!$A$2,IF(Table1[[#This Row],[UnitPrice]]&lt;=Quantiles!$B$3,Quantiles!$A$3,Quantiles!$A$4))</f>
        <v>Low</v>
      </c>
      <c r="AA181">
        <v>0</v>
      </c>
      <c r="AB181" s="5">
        <f>MIN(Table1[[#This Row],[DiscountPct]],'scenario modeling'!$B$2)</f>
        <v>0</v>
      </c>
      <c r="AC181" t="str">
        <f>IF(Table1[[#This Row],[DiscountPct]]&gt;0.3, "&gt;0.3","")</f>
        <v/>
      </c>
      <c r="AD181">
        <v>7</v>
      </c>
      <c r="AE181">
        <f>Table1[[#This Row],[Quantity]]*(1+'scenario modeling'!$B$4)</f>
        <v>8.4</v>
      </c>
      <c r="AF181">
        <f>Table1[[#This Row],[UnitCost]]*Table1[[#This Row],[Quantity]]</f>
        <v>2211.09</v>
      </c>
      <c r="AG181">
        <f>SUMIF($U:U,Table1[[#This Row],[ProductCategory]],$AM:AM)</f>
        <v>1711094.3776</v>
      </c>
      <c r="AH181">
        <f>SUMIFS($AM$2:AM181,$U$2:U181,U181)</f>
        <v>4141.7599999999993</v>
      </c>
      <c r="AI181" s="5">
        <f>Table1[[#This Row],[Cumulative_revenue]]/Table1[[#This Row],[Category_revenue]]</f>
        <v>2.4205327620848583E-3</v>
      </c>
      <c r="AJ181" t="str">
        <f>IF(Table1[[#This Row],[cumulative_pct]]&lt;=0.8,"A",IF(Table1[[#This Row],[cumulative_pct]]&lt;=0.95,"B","C"))</f>
        <v>A</v>
      </c>
      <c r="AK181">
        <f>Table1[[#This Row],[adj_unit_cost]]*Table1[[#This Row],[scenario_quantity]]</f>
        <v>2918.6388000000006</v>
      </c>
      <c r="AL181" s="5">
        <f>Table1[[#This Row],[UnitPrice]]*Table1[[#This Row],[scenario_quantity]]*(1-Table1[[#This Row],[cap_adjusted_discount]])</f>
        <v>4970.1120000000001</v>
      </c>
      <c r="AM181" s="5">
        <f>Table1[[#This Row],[UnitPrice]]*Table1[[#This Row],[Quantity]]*(1-Table1[[#This Row],[DiscountPct]])</f>
        <v>4141.7599999999993</v>
      </c>
      <c r="AN181" s="5">
        <f>Table1[[#This Row],[gross_revenue]]-Table1[[#This Row],[cost_of_goods]]</f>
        <v>1930.6699999999992</v>
      </c>
      <c r="AO181" s="5">
        <f>Table1[[#This Row],[scenario_revenue]]-Table1[[#This Row],[Scenario_unit_cost]]</f>
        <v>2051.4731999999995</v>
      </c>
      <c r="AP181" s="5">
        <f>IF(Table1[[#This Row],[gross_revenue]]=0,0,Table1[[#This Row],[gross_profit]]/Table1[[#This Row],[gross_revenue]])</f>
        <v>0.46614724175229844</v>
      </c>
    </row>
    <row r="182" spans="1:42" x14ac:dyDescent="0.35">
      <c r="A182" t="s">
        <v>323</v>
      </c>
      <c r="B182" t="str">
        <f>_xlfn.TEXTAFTER(Table1[[#This Row],[OrderID]],"-",2)</f>
        <v>884192</v>
      </c>
      <c r="C182">
        <f>YEAR(Table1[[#This Row],[OrderDate]])</f>
        <v>2023</v>
      </c>
      <c r="D182" s="9">
        <f>_xlfn.MINIFS(F:F,P:P,Table1[[#This Row],[Country]])</f>
        <v>44936</v>
      </c>
      <c r="E182" s="7">
        <f>DATEDIF(Table1[[#This Row],[first_time_orders]],Table1[[#This Row],[OrderDate]],"m")</f>
        <v>0</v>
      </c>
      <c r="F182" s="9">
        <v>44936</v>
      </c>
      <c r="G182" s="2" t="str">
        <f>TEXT(Table1[[#This Row],[OrderDate]],"MMM-YYYY")</f>
        <v>Jan-2023</v>
      </c>
      <c r="H182" s="7">
        <f>MONTH(Table1[[#This Row],[OrderDate]])</f>
        <v>1</v>
      </c>
      <c r="I182" s="7" t="str">
        <f>"Q"&amp;ROUNDUP(Table1[[#This Row],[months]]/3,0)&amp;"-"&amp;Table1[[#This Row],[order_year]]</f>
        <v>Q1-2023</v>
      </c>
      <c r="J182" s="7">
        <f>Table1[[#This Row],[RequiredDate]]-Table1[[#This Row],[OrderDate]]</f>
        <v>19</v>
      </c>
      <c r="K182" s="7">
        <f>IF(Table1[[#This Row],[lead_time]]&lt;0,MEDIAN(J:J),Table1[[#This Row],[lead_time]])</f>
        <v>19</v>
      </c>
      <c r="L182" s="7">
        <f>IF(Table1[[#This Row],[adj_lead_time]]&lt;=7,1,0)</f>
        <v>0</v>
      </c>
      <c r="M182" s="9">
        <v>44955</v>
      </c>
      <c r="N182" s="9">
        <f>IF(Table1[[#This Row],[lead_time]]&lt;0,(Table1[[#This Row],[OrderDate]]+Table1[[#This Row],[adj_lead_time]]),Table1[[#This Row],[RequiredDate]])</f>
        <v>44955</v>
      </c>
      <c r="O182" t="s">
        <v>649</v>
      </c>
      <c r="P182" t="s">
        <v>657</v>
      </c>
      <c r="Q182" t="s">
        <v>679</v>
      </c>
      <c r="R182" t="s">
        <v>703</v>
      </c>
      <c r="S182" t="s">
        <v>711</v>
      </c>
      <c r="T182" t="s">
        <v>726</v>
      </c>
      <c r="U182" t="s">
        <v>731</v>
      </c>
      <c r="V182" t="s">
        <v>1043</v>
      </c>
      <c r="W182">
        <v>401.66</v>
      </c>
      <c r="X182">
        <f>Table1[[#This Row],[UnitCost]]*(1+'scenario modeling'!$B$3)</f>
        <v>441.82600000000008</v>
      </c>
      <c r="Y182">
        <v>772.09</v>
      </c>
      <c r="Z182" t="str">
        <f>IF(Table1[[#This Row],[UnitPrice]]&lt;=Quantiles!$B$2,Quantiles!$A$2,IF(Table1[[#This Row],[UnitPrice]]&lt;=Quantiles!$B$3,Quantiles!$A$3,Quantiles!$A$4))</f>
        <v>Low</v>
      </c>
      <c r="AA182">
        <v>8.8999999999999996E-2</v>
      </c>
      <c r="AB182" s="5">
        <f>MIN(Table1[[#This Row],[DiscountPct]],'scenario modeling'!$B$2)</f>
        <v>8.8999999999999996E-2</v>
      </c>
      <c r="AC182" t="str">
        <f>IF(Table1[[#This Row],[DiscountPct]]&gt;0.3, "&gt;0.3","")</f>
        <v/>
      </c>
      <c r="AD182">
        <v>14</v>
      </c>
      <c r="AE182">
        <f>Table1[[#This Row],[Quantity]]*(1+'scenario modeling'!$B$4)</f>
        <v>16.8</v>
      </c>
      <c r="AF182">
        <f>Table1[[#This Row],[UnitCost]]*Table1[[#This Row],[Quantity]]</f>
        <v>5623.2400000000007</v>
      </c>
      <c r="AG182">
        <f>SUMIF($U:U,Table1[[#This Row],[ProductCategory]],$AM:AM)</f>
        <v>1711094.3776</v>
      </c>
      <c r="AH182">
        <f>SUMIFS($AM$2:AM182,$U$2:U182,U182)</f>
        <v>13988.995859999999</v>
      </c>
      <c r="AI182" s="5">
        <f>Table1[[#This Row],[Cumulative_revenue]]/Table1[[#This Row],[Category_revenue]]</f>
        <v>8.1754671414566386E-3</v>
      </c>
      <c r="AJ182" t="str">
        <f>IF(Table1[[#This Row],[cumulative_pct]]&lt;=0.8,"A",IF(Table1[[#This Row],[cumulative_pct]]&lt;=0.95,"B","C"))</f>
        <v>A</v>
      </c>
      <c r="AK182">
        <f>Table1[[#This Row],[adj_unit_cost]]*Table1[[#This Row],[scenario_quantity]]</f>
        <v>7422.676800000002</v>
      </c>
      <c r="AL182" s="5">
        <f>Table1[[#This Row],[UnitPrice]]*Table1[[#This Row],[scenario_quantity]]*(1-Table1[[#This Row],[cap_adjusted_discount]])</f>
        <v>11816.683032000001</v>
      </c>
      <c r="AM182" s="5">
        <f>Table1[[#This Row],[UnitPrice]]*Table1[[#This Row],[Quantity]]*(1-Table1[[#This Row],[DiscountPct]])</f>
        <v>9847.2358600000007</v>
      </c>
      <c r="AN182" s="5">
        <f>Table1[[#This Row],[gross_revenue]]-Table1[[#This Row],[cost_of_goods]]</f>
        <v>4223.99586</v>
      </c>
      <c r="AO182" s="5">
        <f>Table1[[#This Row],[scenario_revenue]]-Table1[[#This Row],[Scenario_unit_cost]]</f>
        <v>4394.0062319999988</v>
      </c>
      <c r="AP182" s="5">
        <f>IF(Table1[[#This Row],[gross_revenue]]=0,0,Table1[[#This Row],[gross_profit]]/Table1[[#This Row],[gross_revenue]])</f>
        <v>0.42895244107619046</v>
      </c>
    </row>
    <row r="183" spans="1:42" x14ac:dyDescent="0.35">
      <c r="A183" t="s">
        <v>147</v>
      </c>
      <c r="B183" t="str">
        <f>_xlfn.TEXTAFTER(Table1[[#This Row],[OrderID]],"-",2)</f>
        <v>430904</v>
      </c>
      <c r="C183">
        <f>YEAR(Table1[[#This Row],[OrderDate]])</f>
        <v>2023</v>
      </c>
      <c r="D183" s="9">
        <f>_xlfn.MINIFS(F:F,P:P,Table1[[#This Row],[Country]])</f>
        <v>44945</v>
      </c>
      <c r="E183" s="7">
        <f>DATEDIF(Table1[[#This Row],[first_time_orders]],Table1[[#This Row],[OrderDate]],"m")</f>
        <v>0</v>
      </c>
      <c r="F183" s="9">
        <v>44953</v>
      </c>
      <c r="G183" s="2" t="str">
        <f>TEXT(Table1[[#This Row],[OrderDate]],"MMM-YYYY")</f>
        <v>Jan-2023</v>
      </c>
      <c r="H183" s="7">
        <f>MONTH(Table1[[#This Row],[OrderDate]])</f>
        <v>1</v>
      </c>
      <c r="I183" s="7" t="str">
        <f>"Q"&amp;ROUNDUP(Table1[[#This Row],[months]]/3,0)&amp;"-"&amp;Table1[[#This Row],[order_year]]</f>
        <v>Q1-2023</v>
      </c>
      <c r="J183" s="7">
        <f>Table1[[#This Row],[RequiredDate]]-Table1[[#This Row],[OrderDate]]</f>
        <v>4</v>
      </c>
      <c r="K183" s="7">
        <f>IF(Table1[[#This Row],[lead_time]]&lt;0,MEDIAN(J:J),Table1[[#This Row],[lead_time]])</f>
        <v>4</v>
      </c>
      <c r="L183" s="7">
        <f>IF(Table1[[#This Row],[adj_lead_time]]&lt;=7,1,0)</f>
        <v>1</v>
      </c>
      <c r="M183" s="9">
        <v>44957</v>
      </c>
      <c r="N183" s="9">
        <f>IF(Table1[[#This Row],[lead_time]]&lt;0,(Table1[[#This Row],[OrderDate]]+Table1[[#This Row],[adj_lead_time]]),Table1[[#This Row],[RequiredDate]])</f>
        <v>44957</v>
      </c>
      <c r="O183" t="s">
        <v>649</v>
      </c>
      <c r="P183" t="s">
        <v>658</v>
      </c>
      <c r="Q183" t="s">
        <v>693</v>
      </c>
      <c r="R183" t="s">
        <v>706</v>
      </c>
      <c r="S183" t="s">
        <v>708</v>
      </c>
      <c r="T183" t="s">
        <v>725</v>
      </c>
      <c r="U183" t="s">
        <v>731</v>
      </c>
      <c r="V183" t="s">
        <v>866</v>
      </c>
      <c r="W183">
        <v>941.2</v>
      </c>
      <c r="X183">
        <f>Table1[[#This Row],[UnitCost]]*(1+'scenario modeling'!$B$3)</f>
        <v>1035.3200000000002</v>
      </c>
      <c r="Y183">
        <v>668.02</v>
      </c>
      <c r="Z183" t="str">
        <f>IF(Table1[[#This Row],[UnitPrice]]&lt;=Quantiles!$B$2,Quantiles!$A$2,IF(Table1[[#This Row],[UnitPrice]]&lt;=Quantiles!$B$3,Quantiles!$A$3,Quantiles!$A$4))</f>
        <v>Low</v>
      </c>
      <c r="AA183">
        <v>0.22</v>
      </c>
      <c r="AB183" s="5">
        <f>MIN(Table1[[#This Row],[DiscountPct]],'scenario modeling'!$B$2)</f>
        <v>0.1</v>
      </c>
      <c r="AC183" t="str">
        <f>IF(Table1[[#This Row],[DiscountPct]]&gt;0.3, "&gt;0.3","")</f>
        <v/>
      </c>
      <c r="AD183">
        <v>16</v>
      </c>
      <c r="AE183">
        <f>Table1[[#This Row],[Quantity]]*(1+'scenario modeling'!$B$4)</f>
        <v>19.2</v>
      </c>
      <c r="AF183">
        <f>Table1[[#This Row],[UnitCost]]*Table1[[#This Row],[Quantity]]</f>
        <v>15059.2</v>
      </c>
      <c r="AG183">
        <f>SUMIF($U:U,Table1[[#This Row],[ProductCategory]],$AM:AM)</f>
        <v>1711094.3776</v>
      </c>
      <c r="AH183">
        <f>SUMIFS($AM$2:AM183,$U$2:U183,U183)</f>
        <v>22325.885459999998</v>
      </c>
      <c r="AI183" s="5">
        <f>Table1[[#This Row],[Cumulative_revenue]]/Table1[[#This Row],[Category_revenue]]</f>
        <v>1.3047722996620754E-2</v>
      </c>
      <c r="AJ183" t="str">
        <f>IF(Table1[[#This Row],[cumulative_pct]]&lt;=0.8,"A",IF(Table1[[#This Row],[cumulative_pct]]&lt;=0.95,"B","C"))</f>
        <v>A</v>
      </c>
      <c r="AK183">
        <f>Table1[[#This Row],[adj_unit_cost]]*Table1[[#This Row],[scenario_quantity]]</f>
        <v>19878.144000000004</v>
      </c>
      <c r="AL183" s="5">
        <f>Table1[[#This Row],[UnitPrice]]*Table1[[#This Row],[scenario_quantity]]*(1-Table1[[#This Row],[cap_adjusted_discount]])</f>
        <v>11543.3856</v>
      </c>
      <c r="AM183" s="5">
        <f>Table1[[#This Row],[UnitPrice]]*Table1[[#This Row],[Quantity]]*(1-Table1[[#This Row],[DiscountPct]])</f>
        <v>8336.8896000000004</v>
      </c>
      <c r="AN183" s="5">
        <f>Table1[[#This Row],[gross_revenue]]-Table1[[#This Row],[cost_of_goods]]</f>
        <v>-6722.3104000000003</v>
      </c>
      <c r="AO183" s="5">
        <f>Table1[[#This Row],[scenario_revenue]]-Table1[[#This Row],[Scenario_unit_cost]]</f>
        <v>-8334.7584000000043</v>
      </c>
      <c r="AP183" s="5">
        <f>IF(Table1[[#This Row],[gross_revenue]]=0,0,Table1[[#This Row],[gross_profit]]/Table1[[#This Row],[gross_revenue]])</f>
        <v>-0.80633314371825193</v>
      </c>
    </row>
    <row r="184" spans="1:42" x14ac:dyDescent="0.35">
      <c r="A184" t="s">
        <v>79</v>
      </c>
      <c r="B184" t="str">
        <f>_xlfn.TEXTAFTER(Table1[[#This Row],[OrderID]],"-",2)</f>
        <v>480975</v>
      </c>
      <c r="C184">
        <f>YEAR(Table1[[#This Row],[OrderDate]])</f>
        <v>2023</v>
      </c>
      <c r="D184" s="9">
        <f>_xlfn.MINIFS(F:F,P:P,Table1[[#This Row],[Country]])</f>
        <v>44933</v>
      </c>
      <c r="E184" s="7">
        <f>DATEDIF(Table1[[#This Row],[first_time_orders]],Table1[[#This Row],[OrderDate]],"m")</f>
        <v>1</v>
      </c>
      <c r="F184" s="9">
        <v>44972</v>
      </c>
      <c r="G184" s="2" t="str">
        <f>TEXT(Table1[[#This Row],[OrderDate]],"MMM-YYYY")</f>
        <v>Feb-2023</v>
      </c>
      <c r="H184" s="7">
        <f>MONTH(Table1[[#This Row],[OrderDate]])</f>
        <v>2</v>
      </c>
      <c r="I184" s="7" t="str">
        <f>"Q"&amp;ROUNDUP(Table1[[#This Row],[months]]/3,0)&amp;"-"&amp;Table1[[#This Row],[order_year]]</f>
        <v>Q1-2023</v>
      </c>
      <c r="J184" s="7">
        <f>Table1[[#This Row],[RequiredDate]]-Table1[[#This Row],[OrderDate]]</f>
        <v>11</v>
      </c>
      <c r="K184" s="7">
        <f>IF(Table1[[#This Row],[lead_time]]&lt;0,MEDIAN(J:J),Table1[[#This Row],[lead_time]])</f>
        <v>11</v>
      </c>
      <c r="L184" s="7">
        <f>IF(Table1[[#This Row],[adj_lead_time]]&lt;=7,1,0)</f>
        <v>0</v>
      </c>
      <c r="M184" s="9">
        <v>44983</v>
      </c>
      <c r="N184" s="9">
        <f>IF(Table1[[#This Row],[lead_time]]&lt;0,(Table1[[#This Row],[OrderDate]]+Table1[[#This Row],[adj_lead_time]]),Table1[[#This Row],[RequiredDate]])</f>
        <v>44983</v>
      </c>
      <c r="O184" t="s">
        <v>646</v>
      </c>
      <c r="P184" t="s">
        <v>661</v>
      </c>
      <c r="Q184" t="s">
        <v>682</v>
      </c>
      <c r="R184" t="s">
        <v>703</v>
      </c>
      <c r="S184" t="s">
        <v>707</v>
      </c>
      <c r="T184" t="s">
        <v>723</v>
      </c>
      <c r="U184" t="s">
        <v>731</v>
      </c>
      <c r="V184" t="s">
        <v>798</v>
      </c>
      <c r="W184">
        <v>498.5</v>
      </c>
      <c r="X184">
        <f>Table1[[#This Row],[UnitCost]]*(1+'scenario modeling'!$B$3)</f>
        <v>548.35</v>
      </c>
      <c r="Y184">
        <v>755.87</v>
      </c>
      <c r="Z184" t="str">
        <f>IF(Table1[[#This Row],[UnitPrice]]&lt;=Quantiles!$B$2,Quantiles!$A$2,IF(Table1[[#This Row],[UnitPrice]]&lt;=Quantiles!$B$3,Quantiles!$A$3,Quantiles!$A$4))</f>
        <v>Low</v>
      </c>
      <c r="AA184">
        <v>0.13</v>
      </c>
      <c r="AB184" s="5">
        <f>MIN(Table1[[#This Row],[DiscountPct]],'scenario modeling'!$B$2)</f>
        <v>0.1</v>
      </c>
      <c r="AC184" t="str">
        <f>IF(Table1[[#This Row],[DiscountPct]]&gt;0.3, "&gt;0.3","")</f>
        <v/>
      </c>
      <c r="AD184">
        <v>40</v>
      </c>
      <c r="AE184">
        <f>Table1[[#This Row],[Quantity]]*(1+'scenario modeling'!$B$4)</f>
        <v>48</v>
      </c>
      <c r="AF184">
        <f>Table1[[#This Row],[UnitCost]]*Table1[[#This Row],[Quantity]]</f>
        <v>19940</v>
      </c>
      <c r="AG184">
        <f>SUMIF($U:U,Table1[[#This Row],[ProductCategory]],$AM:AM)</f>
        <v>1711094.3776</v>
      </c>
      <c r="AH184">
        <f>SUMIFS($AM$2:AM184,$U$2:U184,U184)</f>
        <v>48630.161459999996</v>
      </c>
      <c r="AI184" s="5">
        <f>Table1[[#This Row],[Cumulative_revenue]]/Table1[[#This Row],[Category_revenue]]</f>
        <v>2.8420502163188217E-2</v>
      </c>
      <c r="AJ184" t="str">
        <f>IF(Table1[[#This Row],[cumulative_pct]]&lt;=0.8,"A",IF(Table1[[#This Row],[cumulative_pct]]&lt;=0.95,"B","C"))</f>
        <v>A</v>
      </c>
      <c r="AK184">
        <f>Table1[[#This Row],[adj_unit_cost]]*Table1[[#This Row],[scenario_quantity]]</f>
        <v>26320.800000000003</v>
      </c>
      <c r="AL184" s="5">
        <f>Table1[[#This Row],[UnitPrice]]*Table1[[#This Row],[scenario_quantity]]*(1-Table1[[#This Row],[cap_adjusted_discount]])</f>
        <v>32653.584000000003</v>
      </c>
      <c r="AM184" s="5">
        <f>Table1[[#This Row],[UnitPrice]]*Table1[[#This Row],[Quantity]]*(1-Table1[[#This Row],[DiscountPct]])</f>
        <v>26304.275999999998</v>
      </c>
      <c r="AN184" s="5">
        <f>Table1[[#This Row],[gross_revenue]]-Table1[[#This Row],[cost_of_goods]]</f>
        <v>6364.275999999998</v>
      </c>
      <c r="AO184" s="5">
        <f>Table1[[#This Row],[scenario_revenue]]-Table1[[#This Row],[Scenario_unit_cost]]</f>
        <v>6332.7839999999997</v>
      </c>
      <c r="AP184" s="5">
        <f>IF(Table1[[#This Row],[gross_revenue]]=0,0,Table1[[#This Row],[gross_profit]]/Table1[[#This Row],[gross_revenue]])</f>
        <v>0.24194834330357537</v>
      </c>
    </row>
    <row r="185" spans="1:42" x14ac:dyDescent="0.35">
      <c r="A185" t="s">
        <v>114</v>
      </c>
      <c r="B185" t="str">
        <f>_xlfn.TEXTAFTER(Table1[[#This Row],[OrderID]],"-",2)</f>
        <v>422918</v>
      </c>
      <c r="C185">
        <f>YEAR(Table1[[#This Row],[OrderDate]])</f>
        <v>2023</v>
      </c>
      <c r="D185" s="9">
        <f>_xlfn.MINIFS(F:F,P:P,Table1[[#This Row],[Country]])</f>
        <v>44948</v>
      </c>
      <c r="E185" s="7">
        <f>DATEDIF(Table1[[#This Row],[first_time_orders]],Table1[[#This Row],[OrderDate]],"m")</f>
        <v>1</v>
      </c>
      <c r="F185" s="9">
        <v>44985</v>
      </c>
      <c r="G185" s="2" t="str">
        <f>TEXT(Table1[[#This Row],[OrderDate]],"MMM-YYYY")</f>
        <v>Feb-2023</v>
      </c>
      <c r="H185" s="7">
        <f>MONTH(Table1[[#This Row],[OrderDate]])</f>
        <v>2</v>
      </c>
      <c r="I185" s="7" t="str">
        <f>"Q"&amp;ROUNDUP(Table1[[#This Row],[months]]/3,0)&amp;"-"&amp;Table1[[#This Row],[order_year]]</f>
        <v>Q1-2023</v>
      </c>
      <c r="J185" s="7">
        <f>Table1[[#This Row],[RequiredDate]]-Table1[[#This Row],[OrderDate]]</f>
        <v>20</v>
      </c>
      <c r="K185" s="7">
        <f>IF(Table1[[#This Row],[lead_time]]&lt;0,MEDIAN(J:J),Table1[[#This Row],[lead_time]])</f>
        <v>20</v>
      </c>
      <c r="L185" s="7">
        <f>IF(Table1[[#This Row],[adj_lead_time]]&lt;=7,1,0)</f>
        <v>0</v>
      </c>
      <c r="M185" s="9">
        <v>45005</v>
      </c>
      <c r="N185" s="9">
        <f>IF(Table1[[#This Row],[lead_time]]&lt;0,(Table1[[#This Row],[OrderDate]]+Table1[[#This Row],[adj_lead_time]]),Table1[[#This Row],[RequiredDate]])</f>
        <v>45005</v>
      </c>
      <c r="O185" t="s">
        <v>649</v>
      </c>
      <c r="P185" t="s">
        <v>656</v>
      </c>
      <c r="Q185" t="s">
        <v>671</v>
      </c>
      <c r="R185" t="s">
        <v>705</v>
      </c>
      <c r="S185" t="s">
        <v>711</v>
      </c>
      <c r="T185" t="s">
        <v>722</v>
      </c>
      <c r="U185" t="s">
        <v>731</v>
      </c>
      <c r="V185" t="s">
        <v>833</v>
      </c>
      <c r="W185">
        <v>1200.78</v>
      </c>
      <c r="X185">
        <f>Table1[[#This Row],[UnitCost]]*(1+'scenario modeling'!$B$3)</f>
        <v>1320.8580000000002</v>
      </c>
      <c r="Y185">
        <v>2001.17</v>
      </c>
      <c r="Z185" t="str">
        <f>IF(Table1[[#This Row],[UnitPrice]]&lt;=Quantiles!$B$2,Quantiles!$A$2,IF(Table1[[#This Row],[UnitPrice]]&lt;=Quantiles!$B$3,Quantiles!$A$3,Quantiles!$A$4))</f>
        <v>High</v>
      </c>
      <c r="AA185">
        <v>0.29199999999999998</v>
      </c>
      <c r="AB185" s="5">
        <f>MIN(Table1[[#This Row],[DiscountPct]],'scenario modeling'!$B$2)</f>
        <v>0.1</v>
      </c>
      <c r="AC185" t="str">
        <f>IF(Table1[[#This Row],[DiscountPct]]&gt;0.3, "&gt;0.3","")</f>
        <v/>
      </c>
      <c r="AD185">
        <v>18</v>
      </c>
      <c r="AE185">
        <f>Table1[[#This Row],[Quantity]]*(1+'scenario modeling'!$B$4)</f>
        <v>21.599999999999998</v>
      </c>
      <c r="AF185">
        <f>Table1[[#This Row],[UnitCost]]*Table1[[#This Row],[Quantity]]</f>
        <v>21614.04</v>
      </c>
      <c r="AG185">
        <f>SUMIF($U:U,Table1[[#This Row],[ProductCategory]],$AM:AM)</f>
        <v>1711094.3776</v>
      </c>
      <c r="AH185">
        <f>SUMIFS($AM$2:AM185,$U$2:U185,U185)</f>
        <v>74133.071939999994</v>
      </c>
      <c r="AI185" s="5">
        <f>Table1[[#This Row],[Cumulative_revenue]]/Table1[[#This Row],[Category_revenue]]</f>
        <v>4.3324946251053591E-2</v>
      </c>
      <c r="AJ185" t="str">
        <f>IF(Table1[[#This Row],[cumulative_pct]]&lt;=0.8,"A",IF(Table1[[#This Row],[cumulative_pct]]&lt;=0.95,"B","C"))</f>
        <v>A</v>
      </c>
      <c r="AK185">
        <f>Table1[[#This Row],[adj_unit_cost]]*Table1[[#This Row],[scenario_quantity]]</f>
        <v>28530.532800000001</v>
      </c>
      <c r="AL185" s="5">
        <f>Table1[[#This Row],[UnitPrice]]*Table1[[#This Row],[scenario_quantity]]*(1-Table1[[#This Row],[cap_adjusted_discount]])</f>
        <v>38902.7448</v>
      </c>
      <c r="AM185" s="5">
        <f>Table1[[#This Row],[UnitPrice]]*Table1[[#This Row],[Quantity]]*(1-Table1[[#This Row],[DiscountPct]])</f>
        <v>25502.910479999999</v>
      </c>
      <c r="AN185" s="5">
        <f>Table1[[#This Row],[gross_revenue]]-Table1[[#This Row],[cost_of_goods]]</f>
        <v>3888.8704799999978</v>
      </c>
      <c r="AO185" s="5">
        <f>Table1[[#This Row],[scenario_revenue]]-Table1[[#This Row],[Scenario_unit_cost]]</f>
        <v>10372.212</v>
      </c>
      <c r="AP185" s="5">
        <f>IF(Table1[[#This Row],[gross_revenue]]=0,0,Table1[[#This Row],[gross_profit]]/Table1[[#This Row],[gross_revenue]])</f>
        <v>0.15248732034132906</v>
      </c>
    </row>
    <row r="186" spans="1:42" x14ac:dyDescent="0.35">
      <c r="A186" t="s">
        <v>160</v>
      </c>
      <c r="B186" t="str">
        <f>_xlfn.TEXTAFTER(Table1[[#This Row],[OrderID]],"-",2)</f>
        <v>825495</v>
      </c>
      <c r="C186">
        <f>YEAR(Table1[[#This Row],[OrderDate]])</f>
        <v>2023</v>
      </c>
      <c r="D186" s="9">
        <f>_xlfn.MINIFS(F:F,P:P,Table1[[#This Row],[Country]])</f>
        <v>44933</v>
      </c>
      <c r="E186" s="7">
        <f>DATEDIF(Table1[[#This Row],[first_time_orders]],Table1[[#This Row],[OrderDate]],"m")</f>
        <v>10</v>
      </c>
      <c r="F186" s="9">
        <v>45260</v>
      </c>
      <c r="G186" s="2" t="str">
        <f>TEXT(Table1[[#This Row],[OrderDate]],"MMM-YYYY")</f>
        <v>Nov-2023</v>
      </c>
      <c r="H186" s="7">
        <f>MONTH(Table1[[#This Row],[OrderDate]])</f>
        <v>11</v>
      </c>
      <c r="I186" s="7" t="str">
        <f>"Q"&amp;ROUNDUP(Table1[[#This Row],[months]]/3,0)&amp;"-"&amp;Table1[[#This Row],[order_year]]</f>
        <v>Q4-2023</v>
      </c>
      <c r="J186" s="7">
        <f>Table1[[#This Row],[RequiredDate]]-Table1[[#This Row],[OrderDate]]</f>
        <v>-1</v>
      </c>
      <c r="K186" s="7">
        <f>IF(Table1[[#This Row],[lead_time]]&lt;0,MEDIAN(J:J),Table1[[#This Row],[lead_time]])</f>
        <v>15</v>
      </c>
      <c r="L186" s="7">
        <f>IF(Table1[[#This Row],[adj_lead_time]]&lt;=7,1,0)</f>
        <v>0</v>
      </c>
      <c r="M186" s="9">
        <v>45259</v>
      </c>
      <c r="N186" s="9">
        <f>IF(Table1[[#This Row],[lead_time]]&lt;0,(Table1[[#This Row],[OrderDate]]+Table1[[#This Row],[adj_lead_time]]),Table1[[#This Row],[RequiredDate]])</f>
        <v>45275</v>
      </c>
      <c r="O186" t="s">
        <v>646</v>
      </c>
      <c r="P186" t="s">
        <v>661</v>
      </c>
      <c r="Q186" t="s">
        <v>687</v>
      </c>
      <c r="R186" t="s">
        <v>705</v>
      </c>
      <c r="S186" t="s">
        <v>709</v>
      </c>
      <c r="T186" t="s">
        <v>718</v>
      </c>
      <c r="U186" t="s">
        <v>731</v>
      </c>
      <c r="V186" t="s">
        <v>879</v>
      </c>
      <c r="W186">
        <v>275.56</v>
      </c>
      <c r="X186">
        <f>Table1[[#This Row],[UnitCost]]*(1+'scenario modeling'!$B$3)</f>
        <v>303.11600000000004</v>
      </c>
      <c r="Y186">
        <v>630.72</v>
      </c>
      <c r="Z186" t="str">
        <f>IF(Table1[[#This Row],[UnitPrice]]&lt;=Quantiles!$B$2,Quantiles!$A$2,IF(Table1[[#This Row],[UnitPrice]]&lt;=Quantiles!$B$3,Quantiles!$A$3,Quantiles!$A$4))</f>
        <v>Low</v>
      </c>
      <c r="AA186">
        <v>0.107</v>
      </c>
      <c r="AB186" s="5">
        <f>MIN(Table1[[#This Row],[DiscountPct]],'scenario modeling'!$B$2)</f>
        <v>0.1</v>
      </c>
      <c r="AC186" t="str">
        <f>IF(Table1[[#This Row],[DiscountPct]]&gt;0.3, "&gt;0.3","")</f>
        <v/>
      </c>
      <c r="AD186">
        <v>23</v>
      </c>
      <c r="AE186">
        <f>Table1[[#This Row],[Quantity]]*(1+'scenario modeling'!$B$4)</f>
        <v>27.599999999999998</v>
      </c>
      <c r="AF186">
        <f>Table1[[#This Row],[UnitCost]]*Table1[[#This Row],[Quantity]]</f>
        <v>6337.88</v>
      </c>
      <c r="AG186">
        <f>SUMIF($U:U,Table1[[#This Row],[ProductCategory]],$AM:AM)</f>
        <v>1711094.3776</v>
      </c>
      <c r="AH186">
        <f>SUMIFS($AM$2:AM186,$U$2:U186,U186)</f>
        <v>87087.43002</v>
      </c>
      <c r="AI186" s="5">
        <f>Table1[[#This Row],[Cumulative_revenue]]/Table1[[#This Row],[Category_revenue]]</f>
        <v>5.0895749036444032E-2</v>
      </c>
      <c r="AJ186" t="str">
        <f>IF(Table1[[#This Row],[cumulative_pct]]&lt;=0.8,"A",IF(Table1[[#This Row],[cumulative_pct]]&lt;=0.95,"B","C"))</f>
        <v>A</v>
      </c>
      <c r="AK186">
        <f>Table1[[#This Row],[adj_unit_cost]]*Table1[[#This Row],[scenario_quantity]]</f>
        <v>8366.0016000000014</v>
      </c>
      <c r="AL186" s="5">
        <f>Table1[[#This Row],[UnitPrice]]*Table1[[#This Row],[scenario_quantity]]*(1-Table1[[#This Row],[cap_adjusted_discount]])</f>
        <v>15667.084800000001</v>
      </c>
      <c r="AM186" s="5">
        <f>Table1[[#This Row],[UnitPrice]]*Table1[[#This Row],[Quantity]]*(1-Table1[[#This Row],[DiscountPct]])</f>
        <v>12954.358080000002</v>
      </c>
      <c r="AN186" s="5">
        <f>Table1[[#This Row],[gross_revenue]]-Table1[[#This Row],[cost_of_goods]]</f>
        <v>6616.4780800000017</v>
      </c>
      <c r="AO186" s="5">
        <f>Table1[[#This Row],[scenario_revenue]]-Table1[[#This Row],[Scenario_unit_cost]]</f>
        <v>7301.0831999999991</v>
      </c>
      <c r="AP186" s="5">
        <f>IF(Table1[[#This Row],[gross_revenue]]=0,0,Table1[[#This Row],[gross_profit]]/Table1[[#This Row],[gross_revenue]])</f>
        <v>0.5107530638831933</v>
      </c>
    </row>
    <row r="187" spans="1:42" x14ac:dyDescent="0.35">
      <c r="A187" t="s">
        <v>472</v>
      </c>
      <c r="B187" t="str">
        <f>_xlfn.TEXTAFTER(Table1[[#This Row],[OrderID]],"-",2)</f>
        <v>191563</v>
      </c>
      <c r="C187">
        <f>YEAR(Table1[[#This Row],[OrderDate]])</f>
        <v>2023</v>
      </c>
      <c r="D187" s="9">
        <f>_xlfn.MINIFS(F:F,P:P,Table1[[#This Row],[Country]])</f>
        <v>44948</v>
      </c>
      <c r="E187" s="7">
        <f>DATEDIF(Table1[[#This Row],[first_time_orders]],Table1[[#This Row],[OrderDate]],"m")</f>
        <v>10</v>
      </c>
      <c r="F187" s="9">
        <v>45260</v>
      </c>
      <c r="G187" s="2" t="str">
        <f>TEXT(Table1[[#This Row],[OrderDate]],"MMM-YYYY")</f>
        <v>Nov-2023</v>
      </c>
      <c r="H187" s="7">
        <f>MONTH(Table1[[#This Row],[OrderDate]])</f>
        <v>11</v>
      </c>
      <c r="I187" s="7" t="str">
        <f>"Q"&amp;ROUNDUP(Table1[[#This Row],[months]]/3,0)&amp;"-"&amp;Table1[[#This Row],[order_year]]</f>
        <v>Q4-2023</v>
      </c>
      <c r="J187" s="7">
        <f>Table1[[#This Row],[RequiredDate]]-Table1[[#This Row],[OrderDate]]</f>
        <v>10</v>
      </c>
      <c r="K187" s="7">
        <f>IF(Table1[[#This Row],[lead_time]]&lt;0,MEDIAN(J:J),Table1[[#This Row],[lead_time]])</f>
        <v>10</v>
      </c>
      <c r="L187" s="7">
        <f>IF(Table1[[#This Row],[adj_lead_time]]&lt;=7,1,0)</f>
        <v>0</v>
      </c>
      <c r="M187" s="9">
        <v>45270</v>
      </c>
      <c r="N187" s="9">
        <f>IF(Table1[[#This Row],[lead_time]]&lt;0,(Table1[[#This Row],[OrderDate]]+Table1[[#This Row],[adj_lead_time]]),Table1[[#This Row],[RequiredDate]])</f>
        <v>45270</v>
      </c>
      <c r="O187" t="s">
        <v>649</v>
      </c>
      <c r="P187" t="s">
        <v>656</v>
      </c>
      <c r="Q187" t="s">
        <v>684</v>
      </c>
      <c r="R187" t="s">
        <v>705</v>
      </c>
      <c r="S187" t="s">
        <v>711</v>
      </c>
      <c r="T187" t="s">
        <v>721</v>
      </c>
      <c r="U187" t="s">
        <v>731</v>
      </c>
      <c r="V187" t="s">
        <v>1191</v>
      </c>
      <c r="W187">
        <v>174.74</v>
      </c>
      <c r="X187">
        <f>Table1[[#This Row],[UnitCost]]*(1+'scenario modeling'!$B$3)</f>
        <v>192.21400000000003</v>
      </c>
      <c r="Y187">
        <v>415.96</v>
      </c>
      <c r="Z187" t="str">
        <f>IF(Table1[[#This Row],[UnitPrice]]&lt;=Quantiles!$B$2,Quantiles!$A$2,IF(Table1[[#This Row],[UnitPrice]]&lt;=Quantiles!$B$3,Quantiles!$A$3,Quantiles!$A$4))</f>
        <v>Low</v>
      </c>
      <c r="AA187">
        <v>0.125</v>
      </c>
      <c r="AB187" s="5">
        <f>MIN(Table1[[#This Row],[DiscountPct]],'scenario modeling'!$B$2)</f>
        <v>0.1</v>
      </c>
      <c r="AC187" t="str">
        <f>IF(Table1[[#This Row],[DiscountPct]]&gt;0.3, "&gt;0.3","")</f>
        <v/>
      </c>
      <c r="AD187">
        <v>21</v>
      </c>
      <c r="AE187">
        <f>Table1[[#This Row],[Quantity]]*(1+'scenario modeling'!$B$4)</f>
        <v>25.2</v>
      </c>
      <c r="AF187">
        <f>Table1[[#This Row],[UnitCost]]*Table1[[#This Row],[Quantity]]</f>
        <v>3669.54</v>
      </c>
      <c r="AG187">
        <f>SUMIF($U:U,Table1[[#This Row],[ProductCategory]],$AM:AM)</f>
        <v>1711094.3776</v>
      </c>
      <c r="AH187">
        <f>SUMIFS($AM$2:AM187,$U$2:U187,U187)</f>
        <v>94730.695019999999</v>
      </c>
      <c r="AI187" s="5">
        <f>Table1[[#This Row],[Cumulative_revenue]]/Table1[[#This Row],[Category_revenue]]</f>
        <v>5.536263590139915E-2</v>
      </c>
      <c r="AJ187" t="str">
        <f>IF(Table1[[#This Row],[cumulative_pct]]&lt;=0.8,"A",IF(Table1[[#This Row],[cumulative_pct]]&lt;=0.95,"B","C"))</f>
        <v>A</v>
      </c>
      <c r="AK187">
        <f>Table1[[#This Row],[adj_unit_cost]]*Table1[[#This Row],[scenario_quantity]]</f>
        <v>4843.7928000000002</v>
      </c>
      <c r="AL187" s="5">
        <f>Table1[[#This Row],[UnitPrice]]*Table1[[#This Row],[scenario_quantity]]*(1-Table1[[#This Row],[cap_adjusted_discount]])</f>
        <v>9433.9727999999996</v>
      </c>
      <c r="AM187" s="5">
        <f>Table1[[#This Row],[UnitPrice]]*Table1[[#This Row],[Quantity]]*(1-Table1[[#This Row],[DiscountPct]])</f>
        <v>7643.2649999999994</v>
      </c>
      <c r="AN187" s="5">
        <f>Table1[[#This Row],[gross_revenue]]-Table1[[#This Row],[cost_of_goods]]</f>
        <v>3973.7249999999995</v>
      </c>
      <c r="AO187" s="5">
        <f>Table1[[#This Row],[scenario_revenue]]-Table1[[#This Row],[Scenario_unit_cost]]</f>
        <v>4590.1799999999994</v>
      </c>
      <c r="AP187" s="5">
        <f>IF(Table1[[#This Row],[gross_revenue]]=0,0,Table1[[#This Row],[gross_profit]]/Table1[[#This Row],[gross_revenue]])</f>
        <v>0.51989889137691803</v>
      </c>
    </row>
    <row r="188" spans="1:42" x14ac:dyDescent="0.35">
      <c r="A188" t="s">
        <v>289</v>
      </c>
      <c r="B188" t="str">
        <f>_xlfn.TEXTAFTER(Table1[[#This Row],[OrderID]],"-",2)</f>
        <v>499009</v>
      </c>
      <c r="C188">
        <f>YEAR(Table1[[#This Row],[OrderDate]])</f>
        <v>2024</v>
      </c>
      <c r="D188" s="9">
        <f>_xlfn.MINIFS(F:F,P:P,Table1[[#This Row],[Country]])</f>
        <v>44955</v>
      </c>
      <c r="E188" s="7">
        <f>DATEDIF(Table1[[#This Row],[first_time_orders]],Table1[[#This Row],[OrderDate]],"m")</f>
        <v>11</v>
      </c>
      <c r="F188" s="9">
        <v>45316</v>
      </c>
      <c r="G188" s="2" t="str">
        <f>TEXT(Table1[[#This Row],[OrderDate]],"MMM-YYYY")</f>
        <v>Jan-2024</v>
      </c>
      <c r="H188" s="7">
        <f>MONTH(Table1[[#This Row],[OrderDate]])</f>
        <v>1</v>
      </c>
      <c r="I188" s="7" t="str">
        <f>"Q"&amp;ROUNDUP(Table1[[#This Row],[months]]/3,0)&amp;"-"&amp;Table1[[#This Row],[order_year]]</f>
        <v>Q1-2024</v>
      </c>
      <c r="J188" s="7">
        <f>Table1[[#This Row],[RequiredDate]]-Table1[[#This Row],[OrderDate]]</f>
        <v>2</v>
      </c>
      <c r="K188" s="7">
        <f>IF(Table1[[#This Row],[lead_time]]&lt;0,MEDIAN(J:J),Table1[[#This Row],[lead_time]])</f>
        <v>2</v>
      </c>
      <c r="L188" s="7">
        <f>IF(Table1[[#This Row],[adj_lead_time]]&lt;=7,1,0)</f>
        <v>1</v>
      </c>
      <c r="M188" s="9">
        <v>45318</v>
      </c>
      <c r="N188" s="9">
        <f>IF(Table1[[#This Row],[lead_time]]&lt;0,(Table1[[#This Row],[OrderDate]]+Table1[[#This Row],[adj_lead_time]]),Table1[[#This Row],[RequiredDate]])</f>
        <v>45318</v>
      </c>
      <c r="O188" t="s">
        <v>648</v>
      </c>
      <c r="P188" t="s">
        <v>655</v>
      </c>
      <c r="Q188" t="s">
        <v>670</v>
      </c>
      <c r="R188" t="s">
        <v>703</v>
      </c>
      <c r="S188" t="s">
        <v>709</v>
      </c>
      <c r="T188" t="s">
        <v>725</v>
      </c>
      <c r="U188" t="s">
        <v>731</v>
      </c>
      <c r="V188" t="s">
        <v>1009</v>
      </c>
      <c r="W188">
        <v>1410.97</v>
      </c>
      <c r="X188">
        <f>Table1[[#This Row],[UnitCost]]*(1+'scenario modeling'!$B$3)</f>
        <v>1552.0670000000002</v>
      </c>
      <c r="Y188">
        <v>1650.75</v>
      </c>
      <c r="Z188" t="str">
        <f>IF(Table1[[#This Row],[UnitPrice]]&lt;=Quantiles!$B$2,Quantiles!$A$2,IF(Table1[[#This Row],[UnitPrice]]&lt;=Quantiles!$B$3,Quantiles!$A$3,Quantiles!$A$4))</f>
        <v>High</v>
      </c>
      <c r="AA188">
        <v>0.13500000000000001</v>
      </c>
      <c r="AB188" s="5">
        <f>MIN(Table1[[#This Row],[DiscountPct]],'scenario modeling'!$B$2)</f>
        <v>0.1</v>
      </c>
      <c r="AC188" t="str">
        <f>IF(Table1[[#This Row],[DiscountPct]]&gt;0.3, "&gt;0.3","")</f>
        <v/>
      </c>
      <c r="AD188">
        <v>6</v>
      </c>
      <c r="AE188">
        <f>Table1[[#This Row],[Quantity]]*(1+'scenario modeling'!$B$4)</f>
        <v>7.1999999999999993</v>
      </c>
      <c r="AF188">
        <f>Table1[[#This Row],[UnitCost]]*Table1[[#This Row],[Quantity]]</f>
        <v>8465.82</v>
      </c>
      <c r="AG188">
        <f>SUMIF($U:U,Table1[[#This Row],[ProductCategory]],$AM:AM)</f>
        <v>1711094.3776</v>
      </c>
      <c r="AH188">
        <f>SUMIFS($AM$2:AM188,$U$2:U188,U188)</f>
        <v>103298.08752</v>
      </c>
      <c r="AI188" s="5">
        <f>Table1[[#This Row],[Cumulative_revenue]]/Table1[[#This Row],[Category_revenue]]</f>
        <v>6.0369602560956949E-2</v>
      </c>
      <c r="AJ188" t="str">
        <f>IF(Table1[[#This Row],[cumulative_pct]]&lt;=0.8,"A",IF(Table1[[#This Row],[cumulative_pct]]&lt;=0.95,"B","C"))</f>
        <v>A</v>
      </c>
      <c r="AK188">
        <f>Table1[[#This Row],[adj_unit_cost]]*Table1[[#This Row],[scenario_quantity]]</f>
        <v>11174.8824</v>
      </c>
      <c r="AL188" s="5">
        <f>Table1[[#This Row],[UnitPrice]]*Table1[[#This Row],[scenario_quantity]]*(1-Table1[[#This Row],[cap_adjusted_discount]])</f>
        <v>10696.86</v>
      </c>
      <c r="AM188" s="5">
        <f>Table1[[#This Row],[UnitPrice]]*Table1[[#This Row],[Quantity]]*(1-Table1[[#This Row],[DiscountPct]])</f>
        <v>8567.3924999999999</v>
      </c>
      <c r="AN188" s="5">
        <f>Table1[[#This Row],[gross_revenue]]-Table1[[#This Row],[cost_of_goods]]</f>
        <v>101.57250000000022</v>
      </c>
      <c r="AO188" s="5">
        <f>Table1[[#This Row],[scenario_revenue]]-Table1[[#This Row],[Scenario_unit_cost]]</f>
        <v>-478.02239999999983</v>
      </c>
      <c r="AP188" s="5">
        <f>IF(Table1[[#This Row],[gross_revenue]]=0,0,Table1[[#This Row],[gross_profit]]/Table1[[#This Row],[gross_revenue]])</f>
        <v>1.1855707556295596E-2</v>
      </c>
    </row>
    <row r="189" spans="1:42" x14ac:dyDescent="0.35">
      <c r="A189" t="s">
        <v>384</v>
      </c>
      <c r="B189" t="str">
        <f>_xlfn.TEXTAFTER(Table1[[#This Row],[OrderID]],"-",2)</f>
        <v>813340</v>
      </c>
      <c r="C189">
        <f>YEAR(Table1[[#This Row],[OrderDate]])</f>
        <v>2023</v>
      </c>
      <c r="D189" s="9">
        <f>_xlfn.MINIFS(F:F,P:P,Table1[[#This Row],[Country]])</f>
        <v>44936</v>
      </c>
      <c r="E189" s="7">
        <f>DATEDIF(Table1[[#This Row],[first_time_orders]],Table1[[#This Row],[OrderDate]],"m")</f>
        <v>11</v>
      </c>
      <c r="F189" s="9">
        <v>45286</v>
      </c>
      <c r="G189" s="2" t="str">
        <f>TEXT(Table1[[#This Row],[OrderDate]],"MMM-YYYY")</f>
        <v>Dec-2023</v>
      </c>
      <c r="H189" s="7">
        <f>MONTH(Table1[[#This Row],[OrderDate]])</f>
        <v>12</v>
      </c>
      <c r="I189" s="7" t="str">
        <f>"Q"&amp;ROUNDUP(Table1[[#This Row],[months]]/3,0)&amp;"-"&amp;Table1[[#This Row],[order_year]]</f>
        <v>Q4-2023</v>
      </c>
      <c r="J189" s="7">
        <f>Table1[[#This Row],[RequiredDate]]-Table1[[#This Row],[OrderDate]]</f>
        <v>8</v>
      </c>
      <c r="K189" s="7">
        <f>IF(Table1[[#This Row],[lead_time]]&lt;0,MEDIAN(J:J),Table1[[#This Row],[lead_time]])</f>
        <v>8</v>
      </c>
      <c r="L189" s="7">
        <f>IF(Table1[[#This Row],[adj_lead_time]]&lt;=7,1,0)</f>
        <v>0</v>
      </c>
      <c r="M189" s="9">
        <v>45294</v>
      </c>
      <c r="N189" s="9">
        <f>IF(Table1[[#This Row],[lead_time]]&lt;0,(Table1[[#This Row],[OrderDate]]+Table1[[#This Row],[adj_lead_time]]),Table1[[#This Row],[RequiredDate]])</f>
        <v>45294</v>
      </c>
      <c r="O189" t="s">
        <v>649</v>
      </c>
      <c r="P189" t="s">
        <v>657</v>
      </c>
      <c r="Q189" t="s">
        <v>679</v>
      </c>
      <c r="R189" t="s">
        <v>705</v>
      </c>
      <c r="S189" t="s">
        <v>707</v>
      </c>
      <c r="T189" t="s">
        <v>724</v>
      </c>
      <c r="U189" t="s">
        <v>731</v>
      </c>
      <c r="V189" t="s">
        <v>1104</v>
      </c>
      <c r="W189">
        <v>492.75</v>
      </c>
      <c r="X189">
        <f>Table1[[#This Row],[UnitCost]]*(1+'scenario modeling'!$B$3)</f>
        <v>542.02500000000009</v>
      </c>
      <c r="Y189">
        <v>731.29</v>
      </c>
      <c r="Z189" t="str">
        <f>IF(Table1[[#This Row],[UnitPrice]]&lt;=Quantiles!$B$2,Quantiles!$A$2,IF(Table1[[#This Row],[UnitPrice]]&lt;=Quantiles!$B$3,Quantiles!$A$3,Quantiles!$A$4))</f>
        <v>Low</v>
      </c>
      <c r="AA189">
        <v>5.8000000000000003E-2</v>
      </c>
      <c r="AB189" s="5">
        <f>MIN(Table1[[#This Row],[DiscountPct]],'scenario modeling'!$B$2)</f>
        <v>5.8000000000000003E-2</v>
      </c>
      <c r="AC189" t="str">
        <f>IF(Table1[[#This Row],[DiscountPct]]&gt;0.3, "&gt;0.3","")</f>
        <v/>
      </c>
      <c r="AD189">
        <v>6</v>
      </c>
      <c r="AE189">
        <f>Table1[[#This Row],[Quantity]]*(1+'scenario modeling'!$B$4)</f>
        <v>7.1999999999999993</v>
      </c>
      <c r="AF189">
        <f>Table1[[#This Row],[UnitCost]]*Table1[[#This Row],[Quantity]]</f>
        <v>2956.5</v>
      </c>
      <c r="AG189">
        <f>SUMIF($U:U,Table1[[#This Row],[ProductCategory]],$AM:AM)</f>
        <v>1711094.3776</v>
      </c>
      <c r="AH189">
        <f>SUMIFS($AM$2:AM189,$U$2:U189,U189)</f>
        <v>107431.3386</v>
      </c>
      <c r="AI189" s="5">
        <f>Table1[[#This Row],[Cumulative_revenue]]/Table1[[#This Row],[Category_revenue]]</f>
        <v>6.2785162528956703E-2</v>
      </c>
      <c r="AJ189" t="str">
        <f>IF(Table1[[#This Row],[cumulative_pct]]&lt;=0.8,"A",IF(Table1[[#This Row],[cumulative_pct]]&lt;=0.95,"B","C"))</f>
        <v>A</v>
      </c>
      <c r="AK189">
        <f>Table1[[#This Row],[adj_unit_cost]]*Table1[[#This Row],[scenario_quantity]]</f>
        <v>3902.5800000000004</v>
      </c>
      <c r="AL189" s="5">
        <f>Table1[[#This Row],[UnitPrice]]*Table1[[#This Row],[scenario_quantity]]*(1-Table1[[#This Row],[cap_adjusted_discount]])</f>
        <v>4959.9012959999991</v>
      </c>
      <c r="AM189" s="5">
        <f>Table1[[#This Row],[UnitPrice]]*Table1[[#This Row],[Quantity]]*(1-Table1[[#This Row],[DiscountPct]])</f>
        <v>4133.25108</v>
      </c>
      <c r="AN189" s="5">
        <f>Table1[[#This Row],[gross_revenue]]-Table1[[#This Row],[cost_of_goods]]</f>
        <v>1176.75108</v>
      </c>
      <c r="AO189" s="5">
        <f>Table1[[#This Row],[scenario_revenue]]-Table1[[#This Row],[Scenario_unit_cost]]</f>
        <v>1057.3212959999987</v>
      </c>
      <c r="AP189" s="5">
        <f>IF(Table1[[#This Row],[gross_revenue]]=0,0,Table1[[#This Row],[gross_profit]]/Table1[[#This Row],[gross_revenue]])</f>
        <v>0.28470350753528384</v>
      </c>
    </row>
    <row r="190" spans="1:42" x14ac:dyDescent="0.35">
      <c r="A190" t="s">
        <v>298</v>
      </c>
      <c r="B190" t="str">
        <f>_xlfn.TEXTAFTER(Table1[[#This Row],[OrderID]],"-",2)</f>
        <v>366010</v>
      </c>
      <c r="C190">
        <f>YEAR(Table1[[#This Row],[OrderDate]])</f>
        <v>2024</v>
      </c>
      <c r="D190" s="9">
        <f>_xlfn.MINIFS(F:F,P:P,Table1[[#This Row],[Country]])</f>
        <v>44948</v>
      </c>
      <c r="E190" s="7">
        <f>DATEDIF(Table1[[#This Row],[first_time_orders]],Table1[[#This Row],[OrderDate]],"m")</f>
        <v>11</v>
      </c>
      <c r="F190" s="9">
        <v>45304</v>
      </c>
      <c r="G190" s="2" t="str">
        <f>TEXT(Table1[[#This Row],[OrderDate]],"MMM-YYYY")</f>
        <v>Jan-2024</v>
      </c>
      <c r="H190" s="7">
        <f>MONTH(Table1[[#This Row],[OrderDate]])</f>
        <v>1</v>
      </c>
      <c r="I190" s="7" t="str">
        <f>"Q"&amp;ROUNDUP(Table1[[#This Row],[months]]/3,0)&amp;"-"&amp;Table1[[#This Row],[order_year]]</f>
        <v>Q1-2024</v>
      </c>
      <c r="J190" s="7">
        <f>Table1[[#This Row],[RequiredDate]]-Table1[[#This Row],[OrderDate]]</f>
        <v>23</v>
      </c>
      <c r="K190" s="7">
        <f>IF(Table1[[#This Row],[lead_time]]&lt;0,MEDIAN(J:J),Table1[[#This Row],[lead_time]])</f>
        <v>23</v>
      </c>
      <c r="L190" s="7">
        <f>IF(Table1[[#This Row],[adj_lead_time]]&lt;=7,1,0)</f>
        <v>0</v>
      </c>
      <c r="M190" s="9">
        <v>45327</v>
      </c>
      <c r="N190" s="9">
        <f>IF(Table1[[#This Row],[lead_time]]&lt;0,(Table1[[#This Row],[OrderDate]]+Table1[[#This Row],[adj_lead_time]]),Table1[[#This Row],[RequiredDate]])</f>
        <v>45327</v>
      </c>
      <c r="O190" t="s">
        <v>649</v>
      </c>
      <c r="P190" t="s">
        <v>656</v>
      </c>
      <c r="Q190" t="s">
        <v>698</v>
      </c>
      <c r="R190" t="s">
        <v>702</v>
      </c>
      <c r="S190" t="s">
        <v>711</v>
      </c>
      <c r="T190" t="s">
        <v>717</v>
      </c>
      <c r="U190" t="s">
        <v>731</v>
      </c>
      <c r="V190" t="s">
        <v>1018</v>
      </c>
      <c r="W190">
        <v>1017.93</v>
      </c>
      <c r="X190">
        <f>Table1[[#This Row],[UnitCost]]*(1+'scenario modeling'!$B$3)</f>
        <v>1119.723</v>
      </c>
      <c r="Y190">
        <v>1529.14</v>
      </c>
      <c r="Z190" t="str">
        <f>IF(Table1[[#This Row],[UnitPrice]]&lt;=Quantiles!$B$2,Quantiles!$A$2,IF(Table1[[#This Row],[UnitPrice]]&lt;=Quantiles!$B$3,Quantiles!$A$3,Quantiles!$A$4))</f>
        <v>Medium</v>
      </c>
      <c r="AA190">
        <v>0.155</v>
      </c>
      <c r="AB190" s="5">
        <f>MIN(Table1[[#This Row],[DiscountPct]],'scenario modeling'!$B$2)</f>
        <v>0.1</v>
      </c>
      <c r="AC190" t="str">
        <f>IF(Table1[[#This Row],[DiscountPct]]&gt;0.3, "&gt;0.3","")</f>
        <v/>
      </c>
      <c r="AD190">
        <v>12</v>
      </c>
      <c r="AE190">
        <f>Table1[[#This Row],[Quantity]]*(1+'scenario modeling'!$B$4)</f>
        <v>14.399999999999999</v>
      </c>
      <c r="AF190">
        <f>Table1[[#This Row],[UnitCost]]*Table1[[#This Row],[Quantity]]</f>
        <v>12215.16</v>
      </c>
      <c r="AG190">
        <f>SUMIF($U:U,Table1[[#This Row],[ProductCategory]],$AM:AM)</f>
        <v>1711094.3776</v>
      </c>
      <c r="AH190">
        <f>SUMIFS($AM$2:AM190,$U$2:U190,U190)</f>
        <v>122936.81820000001</v>
      </c>
      <c r="AI190" s="5">
        <f>Table1[[#This Row],[Cumulative_revenue]]/Table1[[#This Row],[Category_revenue]]</f>
        <v>7.1846895068659253E-2</v>
      </c>
      <c r="AJ190" t="str">
        <f>IF(Table1[[#This Row],[cumulative_pct]]&lt;=0.8,"A",IF(Table1[[#This Row],[cumulative_pct]]&lt;=0.95,"B","C"))</f>
        <v>A</v>
      </c>
      <c r="AK190">
        <f>Table1[[#This Row],[adj_unit_cost]]*Table1[[#This Row],[scenario_quantity]]</f>
        <v>16124.011199999997</v>
      </c>
      <c r="AL190" s="5">
        <f>Table1[[#This Row],[UnitPrice]]*Table1[[#This Row],[scenario_quantity]]*(1-Table1[[#This Row],[cap_adjusted_discount]])</f>
        <v>19817.654399999999</v>
      </c>
      <c r="AM190" s="5">
        <f>Table1[[#This Row],[UnitPrice]]*Table1[[#This Row],[Quantity]]*(1-Table1[[#This Row],[DiscountPct]])</f>
        <v>15505.479600000001</v>
      </c>
      <c r="AN190" s="5">
        <f>Table1[[#This Row],[gross_revenue]]-Table1[[#This Row],[cost_of_goods]]</f>
        <v>3290.3196000000007</v>
      </c>
      <c r="AO190" s="5">
        <f>Table1[[#This Row],[scenario_revenue]]-Table1[[#This Row],[Scenario_unit_cost]]</f>
        <v>3693.6432000000023</v>
      </c>
      <c r="AP190" s="5">
        <f>IF(Table1[[#This Row],[gross_revenue]]=0,0,Table1[[#This Row],[gross_profit]]/Table1[[#This Row],[gross_revenue]])</f>
        <v>0.21220366508366503</v>
      </c>
    </row>
    <row r="191" spans="1:42" x14ac:dyDescent="0.35">
      <c r="A191" t="s">
        <v>587</v>
      </c>
      <c r="B191" t="str">
        <f>_xlfn.TEXTAFTER(Table1[[#This Row],[OrderID]],"-",2)</f>
        <v>355095</v>
      </c>
      <c r="C191">
        <f>YEAR(Table1[[#This Row],[OrderDate]])</f>
        <v>2024</v>
      </c>
      <c r="D191" s="9">
        <f>_xlfn.MINIFS(F:F,P:P,Table1[[#This Row],[Country]])</f>
        <v>44928</v>
      </c>
      <c r="E191" s="7">
        <f>DATEDIF(Table1[[#This Row],[first_time_orders]],Table1[[#This Row],[OrderDate]],"m")</f>
        <v>12</v>
      </c>
      <c r="F191" s="9">
        <v>45293</v>
      </c>
      <c r="G191" s="2" t="str">
        <f>TEXT(Table1[[#This Row],[OrderDate]],"MMM-YYYY")</f>
        <v>Jan-2024</v>
      </c>
      <c r="H191" s="7">
        <f>MONTH(Table1[[#This Row],[OrderDate]])</f>
        <v>1</v>
      </c>
      <c r="I191" s="7" t="str">
        <f>"Q"&amp;ROUNDUP(Table1[[#This Row],[months]]/3,0)&amp;"-"&amp;Table1[[#This Row],[order_year]]</f>
        <v>Q1-2024</v>
      </c>
      <c r="J191" s="7">
        <f>Table1[[#This Row],[RequiredDate]]-Table1[[#This Row],[OrderDate]]</f>
        <v>0</v>
      </c>
      <c r="K191" s="7">
        <f>IF(Table1[[#This Row],[lead_time]]&lt;0,MEDIAN(J:J),Table1[[#This Row],[lead_time]])</f>
        <v>0</v>
      </c>
      <c r="L191" s="7">
        <f>IF(Table1[[#This Row],[adj_lead_time]]&lt;=7,1,0)</f>
        <v>1</v>
      </c>
      <c r="M191" s="9">
        <v>45293</v>
      </c>
      <c r="N191" s="9">
        <f>IF(Table1[[#This Row],[lead_time]]&lt;0,(Table1[[#This Row],[OrderDate]]+Table1[[#This Row],[adj_lead_time]]),Table1[[#This Row],[RequiredDate]])</f>
        <v>45293</v>
      </c>
      <c r="O191" t="s">
        <v>648</v>
      </c>
      <c r="P191" t="s">
        <v>653</v>
      </c>
      <c r="Q191" t="s">
        <v>688</v>
      </c>
      <c r="R191" t="s">
        <v>702</v>
      </c>
      <c r="S191" t="s">
        <v>711</v>
      </c>
      <c r="T191" t="s">
        <v>720</v>
      </c>
      <c r="U191" t="s">
        <v>731</v>
      </c>
      <c r="V191" t="s">
        <v>1305</v>
      </c>
      <c r="W191">
        <v>444.41</v>
      </c>
      <c r="X191">
        <f>Table1[[#This Row],[UnitCost]]*(1+'scenario modeling'!$B$3)</f>
        <v>488.85100000000006</v>
      </c>
      <c r="Y191">
        <v>754.24</v>
      </c>
      <c r="Z191" t="str">
        <f>IF(Table1[[#This Row],[UnitPrice]]&lt;=Quantiles!$B$2,Quantiles!$A$2,IF(Table1[[#This Row],[UnitPrice]]&lt;=Quantiles!$B$3,Quantiles!$A$3,Quantiles!$A$4))</f>
        <v>Low</v>
      </c>
      <c r="AA191">
        <v>0.20699999999999999</v>
      </c>
      <c r="AB191" s="5">
        <f>MIN(Table1[[#This Row],[DiscountPct]],'scenario modeling'!$B$2)</f>
        <v>0.1</v>
      </c>
      <c r="AC191" t="str">
        <f>IF(Table1[[#This Row],[DiscountPct]]&gt;0.3, "&gt;0.3","")</f>
        <v/>
      </c>
      <c r="AD191">
        <v>32</v>
      </c>
      <c r="AE191">
        <f>Table1[[#This Row],[Quantity]]*(1+'scenario modeling'!$B$4)</f>
        <v>38.4</v>
      </c>
      <c r="AF191">
        <f>Table1[[#This Row],[UnitCost]]*Table1[[#This Row],[Quantity]]</f>
        <v>14221.12</v>
      </c>
      <c r="AG191">
        <f>SUMIF($U:U,Table1[[#This Row],[ProductCategory]],$AM:AM)</f>
        <v>1711094.3776</v>
      </c>
      <c r="AH191">
        <f>SUMIFS($AM$2:AM191,$U$2:U191,U191)</f>
        <v>142076.41244000001</v>
      </c>
      <c r="AI191" s="5">
        <f>Table1[[#This Row],[Cumulative_revenue]]/Table1[[#This Row],[Category_revenue]]</f>
        <v>8.3032481609388475E-2</v>
      </c>
      <c r="AJ191" t="str">
        <f>IF(Table1[[#This Row],[cumulative_pct]]&lt;=0.8,"A",IF(Table1[[#This Row],[cumulative_pct]]&lt;=0.95,"B","C"))</f>
        <v>A</v>
      </c>
      <c r="AK191">
        <f>Table1[[#This Row],[adj_unit_cost]]*Table1[[#This Row],[scenario_quantity]]</f>
        <v>18771.878400000001</v>
      </c>
      <c r="AL191" s="5">
        <f>Table1[[#This Row],[UnitPrice]]*Table1[[#This Row],[scenario_quantity]]*(1-Table1[[#This Row],[cap_adjusted_discount]])</f>
        <v>26066.5344</v>
      </c>
      <c r="AM191" s="5">
        <f>Table1[[#This Row],[UnitPrice]]*Table1[[#This Row],[Quantity]]*(1-Table1[[#This Row],[DiscountPct]])</f>
        <v>19139.594240000002</v>
      </c>
      <c r="AN191" s="5">
        <f>Table1[[#This Row],[gross_revenue]]-Table1[[#This Row],[cost_of_goods]]</f>
        <v>4918.4742400000014</v>
      </c>
      <c r="AO191" s="5">
        <f>Table1[[#This Row],[scenario_revenue]]-Table1[[#This Row],[Scenario_unit_cost]]</f>
        <v>7294.655999999999</v>
      </c>
      <c r="AP191" s="5">
        <f>IF(Table1[[#This Row],[gross_revenue]]=0,0,Table1[[#This Row],[gross_profit]]/Table1[[#This Row],[gross_revenue]])</f>
        <v>0.25697902360546598</v>
      </c>
    </row>
    <row r="192" spans="1:42" x14ac:dyDescent="0.35">
      <c r="A192" t="s">
        <v>204</v>
      </c>
      <c r="B192" t="str">
        <f>_xlfn.TEXTAFTER(Table1[[#This Row],[OrderID]],"-",2)</f>
        <v>760799</v>
      </c>
      <c r="C192">
        <f>YEAR(Table1[[#This Row],[OrderDate]])</f>
        <v>2024</v>
      </c>
      <c r="D192" s="9">
        <f>_xlfn.MINIFS(F:F,P:P,Table1[[#This Row],[Country]])</f>
        <v>44938</v>
      </c>
      <c r="E192" s="7">
        <f>DATEDIF(Table1[[#This Row],[first_time_orders]],Table1[[#This Row],[OrderDate]],"m")</f>
        <v>12</v>
      </c>
      <c r="F192" s="9">
        <v>45325</v>
      </c>
      <c r="G192" s="2" t="str">
        <f>TEXT(Table1[[#This Row],[OrderDate]],"MMM-YYYY")</f>
        <v>Feb-2024</v>
      </c>
      <c r="H192" s="7">
        <f>MONTH(Table1[[#This Row],[OrderDate]])</f>
        <v>2</v>
      </c>
      <c r="I192" s="7" t="str">
        <f>"Q"&amp;ROUNDUP(Table1[[#This Row],[months]]/3,0)&amp;"-"&amp;Table1[[#This Row],[order_year]]</f>
        <v>Q1-2024</v>
      </c>
      <c r="J192" s="7">
        <f>Table1[[#This Row],[RequiredDate]]-Table1[[#This Row],[OrderDate]]</f>
        <v>16</v>
      </c>
      <c r="K192" s="7">
        <f>IF(Table1[[#This Row],[lead_time]]&lt;0,MEDIAN(J:J),Table1[[#This Row],[lead_time]])</f>
        <v>16</v>
      </c>
      <c r="L192" s="7">
        <f>IF(Table1[[#This Row],[adj_lead_time]]&lt;=7,1,0)</f>
        <v>0</v>
      </c>
      <c r="M192" s="9">
        <v>45341</v>
      </c>
      <c r="N192" s="9">
        <f>IF(Table1[[#This Row],[lead_time]]&lt;0,(Table1[[#This Row],[OrderDate]]+Table1[[#This Row],[adj_lead_time]]),Table1[[#This Row],[RequiredDate]])</f>
        <v>45341</v>
      </c>
      <c r="O192" t="s">
        <v>647</v>
      </c>
      <c r="P192" t="s">
        <v>659</v>
      </c>
      <c r="Q192" t="s">
        <v>676</v>
      </c>
      <c r="R192" t="s">
        <v>705</v>
      </c>
      <c r="S192" t="s">
        <v>708</v>
      </c>
      <c r="T192" t="s">
        <v>722</v>
      </c>
      <c r="U192" t="s">
        <v>731</v>
      </c>
      <c r="V192" t="s">
        <v>924</v>
      </c>
      <c r="W192">
        <v>993.75</v>
      </c>
      <c r="X192">
        <f>Table1[[#This Row],[UnitCost]]*(1+'scenario modeling'!$B$3)</f>
        <v>1093.125</v>
      </c>
      <c r="Y192">
        <v>1310.29</v>
      </c>
      <c r="Z192" t="str">
        <f>IF(Table1[[#This Row],[UnitPrice]]&lt;=Quantiles!$B$2,Quantiles!$A$2,IF(Table1[[#This Row],[UnitPrice]]&lt;=Quantiles!$B$3,Quantiles!$A$3,Quantiles!$A$4))</f>
        <v>Medium</v>
      </c>
      <c r="AA192">
        <v>0.215</v>
      </c>
      <c r="AB192" s="5">
        <f>MIN(Table1[[#This Row],[DiscountPct]],'scenario modeling'!$B$2)</f>
        <v>0.1</v>
      </c>
      <c r="AC192" t="str">
        <f>IF(Table1[[#This Row],[DiscountPct]]&gt;0.3, "&gt;0.3","")</f>
        <v/>
      </c>
      <c r="AD192">
        <v>19</v>
      </c>
      <c r="AE192">
        <f>Table1[[#This Row],[Quantity]]*(1+'scenario modeling'!$B$4)</f>
        <v>22.8</v>
      </c>
      <c r="AF192">
        <f>Table1[[#This Row],[UnitCost]]*Table1[[#This Row],[Quantity]]</f>
        <v>18881.25</v>
      </c>
      <c r="AG192">
        <f>SUMIF($U:U,Table1[[#This Row],[ProductCategory]],$AM:AM)</f>
        <v>1711094.3776</v>
      </c>
      <c r="AH192">
        <f>SUMIFS($AM$2:AM192,$U$2:U192,U192)</f>
        <v>161619.38779000001</v>
      </c>
      <c r="AI192" s="5">
        <f>Table1[[#This Row],[Cumulative_revenue]]/Table1[[#This Row],[Category_revenue]]</f>
        <v>9.4453812662682671E-2</v>
      </c>
      <c r="AJ192" t="str">
        <f>IF(Table1[[#This Row],[cumulative_pct]]&lt;=0.8,"A",IF(Table1[[#This Row],[cumulative_pct]]&lt;=0.95,"B","C"))</f>
        <v>A</v>
      </c>
      <c r="AK192">
        <f>Table1[[#This Row],[adj_unit_cost]]*Table1[[#This Row],[scenario_quantity]]</f>
        <v>24923.25</v>
      </c>
      <c r="AL192" s="5">
        <f>Table1[[#This Row],[UnitPrice]]*Table1[[#This Row],[scenario_quantity]]*(1-Table1[[#This Row],[cap_adjusted_discount]])</f>
        <v>26887.150800000003</v>
      </c>
      <c r="AM192" s="5">
        <f>Table1[[#This Row],[UnitPrice]]*Table1[[#This Row],[Quantity]]*(1-Table1[[#This Row],[DiscountPct]])</f>
        <v>19542.975350000001</v>
      </c>
      <c r="AN192" s="5">
        <f>Table1[[#This Row],[gross_revenue]]-Table1[[#This Row],[cost_of_goods]]</f>
        <v>661.72535000000062</v>
      </c>
      <c r="AO192" s="5">
        <f>Table1[[#This Row],[scenario_revenue]]-Table1[[#This Row],[Scenario_unit_cost]]</f>
        <v>1963.9008000000031</v>
      </c>
      <c r="AP192" s="5">
        <f>IF(Table1[[#This Row],[gross_revenue]]=0,0,Table1[[#This Row],[gross_profit]]/Table1[[#This Row],[gross_revenue]])</f>
        <v>3.3860010471742245E-2</v>
      </c>
    </row>
    <row r="193" spans="1:42" x14ac:dyDescent="0.35">
      <c r="A193" t="s">
        <v>439</v>
      </c>
      <c r="B193" t="str">
        <f>_xlfn.TEXTAFTER(Table1[[#This Row],[OrderID]],"-",2)</f>
        <v>515105</v>
      </c>
      <c r="C193">
        <f>YEAR(Table1[[#This Row],[OrderDate]])</f>
        <v>2024</v>
      </c>
      <c r="D193" s="9">
        <f>_xlfn.MINIFS(F:F,P:P,Table1[[#This Row],[Country]])</f>
        <v>44955</v>
      </c>
      <c r="E193" s="7">
        <f>DATEDIF(Table1[[#This Row],[first_time_orders]],Table1[[#This Row],[OrderDate]],"m")</f>
        <v>12</v>
      </c>
      <c r="F193" s="9">
        <v>45349</v>
      </c>
      <c r="G193" s="2" t="str">
        <f>TEXT(Table1[[#This Row],[OrderDate]],"MMM-YYYY")</f>
        <v>Feb-2024</v>
      </c>
      <c r="H193" s="7">
        <f>MONTH(Table1[[#This Row],[OrderDate]])</f>
        <v>2</v>
      </c>
      <c r="I193" s="7" t="str">
        <f>"Q"&amp;ROUNDUP(Table1[[#This Row],[months]]/3,0)&amp;"-"&amp;Table1[[#This Row],[order_year]]</f>
        <v>Q1-2024</v>
      </c>
      <c r="J193" s="7">
        <f>Table1[[#This Row],[RequiredDate]]-Table1[[#This Row],[OrderDate]]</f>
        <v>28</v>
      </c>
      <c r="K193" s="7">
        <f>IF(Table1[[#This Row],[lead_time]]&lt;0,MEDIAN(J:J),Table1[[#This Row],[lead_time]])</f>
        <v>28</v>
      </c>
      <c r="L193" s="7">
        <f>IF(Table1[[#This Row],[adj_lead_time]]&lt;=7,1,0)</f>
        <v>0</v>
      </c>
      <c r="M193" s="9">
        <v>45377</v>
      </c>
      <c r="N193" s="9">
        <f>IF(Table1[[#This Row],[lead_time]]&lt;0,(Table1[[#This Row],[OrderDate]]+Table1[[#This Row],[adj_lead_time]]),Table1[[#This Row],[RequiredDate]])</f>
        <v>45377</v>
      </c>
      <c r="O193" t="s">
        <v>647</v>
      </c>
      <c r="P193" t="s">
        <v>654</v>
      </c>
      <c r="Q193" t="s">
        <v>691</v>
      </c>
      <c r="R193" t="s">
        <v>702</v>
      </c>
      <c r="S193" t="s">
        <v>709</v>
      </c>
      <c r="T193" t="s">
        <v>715</v>
      </c>
      <c r="U193" t="s">
        <v>731</v>
      </c>
      <c r="V193" t="s">
        <v>1158</v>
      </c>
      <c r="W193">
        <v>1035.19</v>
      </c>
      <c r="X193">
        <f>Table1[[#This Row],[UnitCost]]*(1+'scenario modeling'!$B$3)</f>
        <v>1138.7090000000001</v>
      </c>
      <c r="Y193">
        <v>2322.6999999999998</v>
      </c>
      <c r="Z193" t="str">
        <f>IF(Table1[[#This Row],[UnitPrice]]&lt;=Quantiles!$B$2,Quantiles!$A$2,IF(Table1[[#This Row],[UnitPrice]]&lt;=Quantiles!$B$3,Quantiles!$A$3,Quantiles!$A$4))</f>
        <v>High</v>
      </c>
      <c r="AA193">
        <v>0.17299999999999999</v>
      </c>
      <c r="AB193" s="5">
        <f>MIN(Table1[[#This Row],[DiscountPct]],'scenario modeling'!$B$2)</f>
        <v>0.1</v>
      </c>
      <c r="AC193" t="str">
        <f>IF(Table1[[#This Row],[DiscountPct]]&gt;0.3, "&gt;0.3","")</f>
        <v/>
      </c>
      <c r="AD193">
        <v>8</v>
      </c>
      <c r="AE193">
        <f>Table1[[#This Row],[Quantity]]*(1+'scenario modeling'!$B$4)</f>
        <v>9.6</v>
      </c>
      <c r="AF193">
        <f>Table1[[#This Row],[UnitCost]]*Table1[[#This Row],[Quantity]]</f>
        <v>8281.52</v>
      </c>
      <c r="AG193">
        <f>SUMIF($U:U,Table1[[#This Row],[ProductCategory]],$AM:AM)</f>
        <v>1711094.3776</v>
      </c>
      <c r="AH193">
        <f>SUMIFS($AM$2:AM193,$U$2:U193,U193)</f>
        <v>176986.37099</v>
      </c>
      <c r="AI193" s="5">
        <f>Table1[[#This Row],[Cumulative_revenue]]/Table1[[#This Row],[Category_revenue]]</f>
        <v>0.10343460495629882</v>
      </c>
      <c r="AJ193" t="str">
        <f>IF(Table1[[#This Row],[cumulative_pct]]&lt;=0.8,"A",IF(Table1[[#This Row],[cumulative_pct]]&lt;=0.95,"B","C"))</f>
        <v>A</v>
      </c>
      <c r="AK193">
        <f>Table1[[#This Row],[adj_unit_cost]]*Table1[[#This Row],[scenario_quantity]]</f>
        <v>10931.606400000001</v>
      </c>
      <c r="AL193" s="5">
        <f>Table1[[#This Row],[UnitPrice]]*Table1[[#This Row],[scenario_quantity]]*(1-Table1[[#This Row],[cap_adjusted_discount]])</f>
        <v>20068.128000000001</v>
      </c>
      <c r="AM193" s="5">
        <f>Table1[[#This Row],[UnitPrice]]*Table1[[#This Row],[Quantity]]*(1-Table1[[#This Row],[DiscountPct]])</f>
        <v>15366.983199999999</v>
      </c>
      <c r="AN193" s="5">
        <f>Table1[[#This Row],[gross_revenue]]-Table1[[#This Row],[cost_of_goods]]</f>
        <v>7085.4631999999983</v>
      </c>
      <c r="AO193" s="5">
        <f>Table1[[#This Row],[scenario_revenue]]-Table1[[#This Row],[Scenario_unit_cost]]</f>
        <v>9136.5216</v>
      </c>
      <c r="AP193" s="5">
        <f>IF(Table1[[#This Row],[gross_revenue]]=0,0,Table1[[#This Row],[gross_profit]]/Table1[[#This Row],[gross_revenue]])</f>
        <v>0.46108355217047409</v>
      </c>
    </row>
    <row r="194" spans="1:42" x14ac:dyDescent="0.35">
      <c r="A194" t="s">
        <v>579</v>
      </c>
      <c r="B194" t="str">
        <f>_xlfn.TEXTAFTER(Table1[[#This Row],[OrderID]],"-",2)</f>
        <v>207669</v>
      </c>
      <c r="C194">
        <f>YEAR(Table1[[#This Row],[OrderDate]])</f>
        <v>2024</v>
      </c>
      <c r="D194" s="9">
        <f>_xlfn.MINIFS(F:F,P:P,Table1[[#This Row],[Country]])</f>
        <v>44945</v>
      </c>
      <c r="E194" s="7">
        <f>DATEDIF(Table1[[#This Row],[first_time_orders]],Table1[[#This Row],[OrderDate]],"m")</f>
        <v>12</v>
      </c>
      <c r="F194" s="9">
        <v>45315</v>
      </c>
      <c r="G194" s="2" t="str">
        <f>TEXT(Table1[[#This Row],[OrderDate]],"MMM-YYYY")</f>
        <v>Jan-2024</v>
      </c>
      <c r="H194" s="7">
        <f>MONTH(Table1[[#This Row],[OrderDate]])</f>
        <v>1</v>
      </c>
      <c r="I194" s="7" t="str">
        <f>"Q"&amp;ROUNDUP(Table1[[#This Row],[months]]/3,0)&amp;"-"&amp;Table1[[#This Row],[order_year]]</f>
        <v>Q1-2024</v>
      </c>
      <c r="J194" s="7">
        <f>Table1[[#This Row],[RequiredDate]]-Table1[[#This Row],[OrderDate]]</f>
        <v>11</v>
      </c>
      <c r="K194" s="7">
        <f>IF(Table1[[#This Row],[lead_time]]&lt;0,MEDIAN(J:J),Table1[[#This Row],[lead_time]])</f>
        <v>11</v>
      </c>
      <c r="L194" s="7">
        <f>IF(Table1[[#This Row],[adj_lead_time]]&lt;=7,1,0)</f>
        <v>0</v>
      </c>
      <c r="M194" s="9">
        <v>45326</v>
      </c>
      <c r="N194" s="9">
        <f>IF(Table1[[#This Row],[lead_time]]&lt;0,(Table1[[#This Row],[OrderDate]]+Table1[[#This Row],[adj_lead_time]]),Table1[[#This Row],[RequiredDate]])</f>
        <v>45326</v>
      </c>
      <c r="O194" t="s">
        <v>649</v>
      </c>
      <c r="P194" t="s">
        <v>658</v>
      </c>
      <c r="Q194" t="s">
        <v>693</v>
      </c>
      <c r="R194" t="s">
        <v>704</v>
      </c>
      <c r="S194" t="s">
        <v>707</v>
      </c>
      <c r="T194" t="s">
        <v>717</v>
      </c>
      <c r="U194" t="s">
        <v>731</v>
      </c>
      <c r="V194" t="s">
        <v>1297</v>
      </c>
      <c r="W194">
        <v>525.34</v>
      </c>
      <c r="X194">
        <f>Table1[[#This Row],[UnitCost]]*(1+'scenario modeling'!$B$3)</f>
        <v>577.87400000000014</v>
      </c>
      <c r="Y194">
        <v>1233.79</v>
      </c>
      <c r="Z194" t="str">
        <f>IF(Table1[[#This Row],[UnitPrice]]&lt;=Quantiles!$B$2,Quantiles!$A$2,IF(Table1[[#This Row],[UnitPrice]]&lt;=Quantiles!$B$3,Quantiles!$A$3,Quantiles!$A$4))</f>
        <v>Medium</v>
      </c>
      <c r="AA194">
        <v>0.14299999999999999</v>
      </c>
      <c r="AB194" s="5">
        <f>MIN(Table1[[#This Row],[DiscountPct]],'scenario modeling'!$B$2)</f>
        <v>0.1</v>
      </c>
      <c r="AC194" t="str">
        <f>IF(Table1[[#This Row],[DiscountPct]]&gt;0.3, "&gt;0.3","")</f>
        <v/>
      </c>
      <c r="AD194">
        <v>4</v>
      </c>
      <c r="AE194">
        <f>Table1[[#This Row],[Quantity]]*(1+'scenario modeling'!$B$4)</f>
        <v>4.8</v>
      </c>
      <c r="AF194">
        <f>Table1[[#This Row],[UnitCost]]*Table1[[#This Row],[Quantity]]</f>
        <v>2101.36</v>
      </c>
      <c r="AG194">
        <f>SUMIF($U:U,Table1[[#This Row],[ProductCategory]],$AM:AM)</f>
        <v>1711094.3776</v>
      </c>
      <c r="AH194">
        <f>SUMIFS($AM$2:AM194,$U$2:U194,U194)</f>
        <v>181215.80311000001</v>
      </c>
      <c r="AI194" s="5">
        <f>Table1[[#This Row],[Cumulative_revenue]]/Table1[[#This Row],[Category_revenue]]</f>
        <v>0.10590637517269813</v>
      </c>
      <c r="AJ194" t="str">
        <f>IF(Table1[[#This Row],[cumulative_pct]]&lt;=0.8,"A",IF(Table1[[#This Row],[cumulative_pct]]&lt;=0.95,"B","C"))</f>
        <v>A</v>
      </c>
      <c r="AK194">
        <f>Table1[[#This Row],[adj_unit_cost]]*Table1[[#This Row],[scenario_quantity]]</f>
        <v>2773.7952000000005</v>
      </c>
      <c r="AL194" s="5">
        <f>Table1[[#This Row],[UnitPrice]]*Table1[[#This Row],[scenario_quantity]]*(1-Table1[[#This Row],[cap_adjusted_discount]])</f>
        <v>5329.9728000000005</v>
      </c>
      <c r="AM194" s="5">
        <f>Table1[[#This Row],[UnitPrice]]*Table1[[#This Row],[Quantity]]*(1-Table1[[#This Row],[DiscountPct]])</f>
        <v>4229.4321199999995</v>
      </c>
      <c r="AN194" s="5">
        <f>Table1[[#This Row],[gross_revenue]]-Table1[[#This Row],[cost_of_goods]]</f>
        <v>2128.0721199999994</v>
      </c>
      <c r="AO194" s="5">
        <f>Table1[[#This Row],[scenario_revenue]]-Table1[[#This Row],[Scenario_unit_cost]]</f>
        <v>2556.1776</v>
      </c>
      <c r="AP194" s="5">
        <f>IF(Table1[[#This Row],[gross_revenue]]=0,0,Table1[[#This Row],[gross_profit]]/Table1[[#This Row],[gross_revenue]])</f>
        <v>0.50315788494082736</v>
      </c>
    </row>
    <row r="195" spans="1:42" x14ac:dyDescent="0.35">
      <c r="A195" t="s">
        <v>260</v>
      </c>
      <c r="B195" t="str">
        <f>_xlfn.TEXTAFTER(Table1[[#This Row],[OrderID]],"-",2)</f>
        <v>544865</v>
      </c>
      <c r="C195">
        <f>YEAR(Table1[[#This Row],[OrderDate]])</f>
        <v>2024</v>
      </c>
      <c r="D195" s="9">
        <f>_xlfn.MINIFS(F:F,P:P,Table1[[#This Row],[Country]])</f>
        <v>44928</v>
      </c>
      <c r="E195" s="7">
        <f>DATEDIF(Table1[[#This Row],[first_time_orders]],Table1[[#This Row],[OrderDate]],"m")</f>
        <v>13</v>
      </c>
      <c r="F195" s="9">
        <v>45338</v>
      </c>
      <c r="G195" s="2" t="str">
        <f>TEXT(Table1[[#This Row],[OrderDate]],"MMM-YYYY")</f>
        <v>Feb-2024</v>
      </c>
      <c r="H195" s="7">
        <f>MONTH(Table1[[#This Row],[OrderDate]])</f>
        <v>2</v>
      </c>
      <c r="I195" s="7" t="str">
        <f>"Q"&amp;ROUNDUP(Table1[[#This Row],[months]]/3,0)&amp;"-"&amp;Table1[[#This Row],[order_year]]</f>
        <v>Q1-2024</v>
      </c>
      <c r="J195" s="7">
        <f>Table1[[#This Row],[RequiredDate]]-Table1[[#This Row],[OrderDate]]</f>
        <v>17</v>
      </c>
      <c r="K195" s="7">
        <f>IF(Table1[[#This Row],[lead_time]]&lt;0,MEDIAN(J:J),Table1[[#This Row],[lead_time]])</f>
        <v>17</v>
      </c>
      <c r="L195" s="7">
        <f>IF(Table1[[#This Row],[adj_lead_time]]&lt;=7,1,0)</f>
        <v>0</v>
      </c>
      <c r="M195" s="9">
        <v>45355</v>
      </c>
      <c r="N195" s="9">
        <f>IF(Table1[[#This Row],[lead_time]]&lt;0,(Table1[[#This Row],[OrderDate]]+Table1[[#This Row],[adj_lead_time]]),Table1[[#This Row],[RequiredDate]])</f>
        <v>45355</v>
      </c>
      <c r="O195" t="s">
        <v>648</v>
      </c>
      <c r="P195" t="s">
        <v>653</v>
      </c>
      <c r="Q195" t="s">
        <v>681</v>
      </c>
      <c r="R195" t="s">
        <v>703</v>
      </c>
      <c r="S195" t="s">
        <v>707</v>
      </c>
      <c r="T195" t="s">
        <v>726</v>
      </c>
      <c r="U195" t="s">
        <v>731</v>
      </c>
      <c r="V195" t="s">
        <v>980</v>
      </c>
      <c r="W195">
        <v>1350.98</v>
      </c>
      <c r="X195">
        <f>Table1[[#This Row],[UnitCost]]*(1+'scenario modeling'!$B$3)</f>
        <v>1486.0780000000002</v>
      </c>
      <c r="Y195">
        <v>2210.4</v>
      </c>
      <c r="Z195" t="str">
        <f>IF(Table1[[#This Row],[UnitPrice]]&lt;=Quantiles!$B$2,Quantiles!$A$2,IF(Table1[[#This Row],[UnitPrice]]&lt;=Quantiles!$B$3,Quantiles!$A$3,Quantiles!$A$4))</f>
        <v>High</v>
      </c>
      <c r="AA195">
        <v>0.26300000000000001</v>
      </c>
      <c r="AB195" s="5">
        <f>MIN(Table1[[#This Row],[DiscountPct]],'scenario modeling'!$B$2)</f>
        <v>0.1</v>
      </c>
      <c r="AC195" t="str">
        <f>IF(Table1[[#This Row],[DiscountPct]]&gt;0.3, "&gt;0.3","")</f>
        <v/>
      </c>
      <c r="AD195">
        <v>6</v>
      </c>
      <c r="AE195">
        <f>Table1[[#This Row],[Quantity]]*(1+'scenario modeling'!$B$4)</f>
        <v>7.1999999999999993</v>
      </c>
      <c r="AF195">
        <f>Table1[[#This Row],[UnitCost]]*Table1[[#This Row],[Quantity]]</f>
        <v>8105.88</v>
      </c>
      <c r="AG195">
        <f>SUMIF($U:U,Table1[[#This Row],[ProductCategory]],$AM:AM)</f>
        <v>1711094.3776</v>
      </c>
      <c r="AH195">
        <f>SUMIFS($AM$2:AM195,$U$2:U195,U195)</f>
        <v>190990.19190999999</v>
      </c>
      <c r="AI195" s="5">
        <f>Table1[[#This Row],[Cumulative_revenue]]/Table1[[#This Row],[Category_revenue]]</f>
        <v>0.11161873617858821</v>
      </c>
      <c r="AJ195" t="str">
        <f>IF(Table1[[#This Row],[cumulative_pct]]&lt;=0.8,"A",IF(Table1[[#This Row],[cumulative_pct]]&lt;=0.95,"B","C"))</f>
        <v>A</v>
      </c>
      <c r="AK195">
        <f>Table1[[#This Row],[adj_unit_cost]]*Table1[[#This Row],[scenario_quantity]]</f>
        <v>10699.7616</v>
      </c>
      <c r="AL195" s="5">
        <f>Table1[[#This Row],[UnitPrice]]*Table1[[#This Row],[scenario_quantity]]*(1-Table1[[#This Row],[cap_adjusted_discount]])</f>
        <v>14323.392</v>
      </c>
      <c r="AM195" s="5">
        <f>Table1[[#This Row],[UnitPrice]]*Table1[[#This Row],[Quantity]]*(1-Table1[[#This Row],[DiscountPct]])</f>
        <v>9774.3888000000006</v>
      </c>
      <c r="AN195" s="5">
        <f>Table1[[#This Row],[gross_revenue]]-Table1[[#This Row],[cost_of_goods]]</f>
        <v>1668.5088000000005</v>
      </c>
      <c r="AO195" s="5">
        <f>Table1[[#This Row],[scenario_revenue]]-Table1[[#This Row],[Scenario_unit_cost]]</f>
        <v>3623.6304</v>
      </c>
      <c r="AP195" s="5">
        <f>IF(Table1[[#This Row],[gross_revenue]]=0,0,Table1[[#This Row],[gross_profit]]/Table1[[#This Row],[gross_revenue]])</f>
        <v>0.17070211080615091</v>
      </c>
    </row>
    <row r="196" spans="1:42" x14ac:dyDescent="0.35">
      <c r="A196" t="s">
        <v>614</v>
      </c>
      <c r="B196" t="str">
        <f>_xlfn.TEXTAFTER(Table1[[#This Row],[OrderID]],"-",2)</f>
        <v>907733</v>
      </c>
      <c r="C196">
        <f>YEAR(Table1[[#This Row],[OrderDate]])</f>
        <v>2024</v>
      </c>
      <c r="D196" s="9">
        <f>_xlfn.MINIFS(F:F,P:P,Table1[[#This Row],[Country]])</f>
        <v>44945</v>
      </c>
      <c r="E196" s="7">
        <f>DATEDIF(Table1[[#This Row],[first_time_orders]],Table1[[#This Row],[OrderDate]],"m")</f>
        <v>13</v>
      </c>
      <c r="F196" s="9">
        <v>45360</v>
      </c>
      <c r="G196" s="2" t="str">
        <f>TEXT(Table1[[#This Row],[OrderDate]],"MMM-YYYY")</f>
        <v>Mar-2024</v>
      </c>
      <c r="H196" s="7">
        <f>MONTH(Table1[[#This Row],[OrderDate]])</f>
        <v>3</v>
      </c>
      <c r="I196" s="7" t="str">
        <f>"Q"&amp;ROUNDUP(Table1[[#This Row],[months]]/3,0)&amp;"-"&amp;Table1[[#This Row],[order_year]]</f>
        <v>Q1-2024</v>
      </c>
      <c r="J196" s="7">
        <f>Table1[[#This Row],[RequiredDate]]-Table1[[#This Row],[OrderDate]]</f>
        <v>13</v>
      </c>
      <c r="K196" s="7">
        <f>IF(Table1[[#This Row],[lead_time]]&lt;0,MEDIAN(J:J),Table1[[#This Row],[lead_time]])</f>
        <v>13</v>
      </c>
      <c r="L196" s="7">
        <f>IF(Table1[[#This Row],[adj_lead_time]]&lt;=7,1,0)</f>
        <v>0</v>
      </c>
      <c r="M196" s="9">
        <v>45373</v>
      </c>
      <c r="N196" s="9">
        <f>IF(Table1[[#This Row],[lead_time]]&lt;0,(Table1[[#This Row],[OrderDate]]+Table1[[#This Row],[adj_lead_time]]),Table1[[#This Row],[RequiredDate]])</f>
        <v>45373</v>
      </c>
      <c r="O196" t="s">
        <v>649</v>
      </c>
      <c r="P196" t="s">
        <v>658</v>
      </c>
      <c r="Q196" t="s">
        <v>693</v>
      </c>
      <c r="R196" t="s">
        <v>704</v>
      </c>
      <c r="S196" t="s">
        <v>708</v>
      </c>
      <c r="T196" t="s">
        <v>718</v>
      </c>
      <c r="U196" t="s">
        <v>731</v>
      </c>
      <c r="V196" t="s">
        <v>1332</v>
      </c>
      <c r="W196">
        <v>985.45</v>
      </c>
      <c r="X196">
        <f>Table1[[#This Row],[UnitCost]]*(1+'scenario modeling'!$B$3)</f>
        <v>1083.9950000000001</v>
      </c>
      <c r="Y196">
        <v>1802.44</v>
      </c>
      <c r="Z196" t="str">
        <f>IF(Table1[[#This Row],[UnitPrice]]&lt;=Quantiles!$B$2,Quantiles!$A$2,IF(Table1[[#This Row],[UnitPrice]]&lt;=Quantiles!$B$3,Quantiles!$A$3,Quantiles!$A$4))</f>
        <v>High</v>
      </c>
      <c r="AA196">
        <v>8.9999999999999993E-3</v>
      </c>
      <c r="AB196" s="5">
        <f>MIN(Table1[[#This Row],[DiscountPct]],'scenario modeling'!$B$2)</f>
        <v>8.9999999999999993E-3</v>
      </c>
      <c r="AC196" t="str">
        <f>IF(Table1[[#This Row],[DiscountPct]]&gt;0.3, "&gt;0.3","")</f>
        <v/>
      </c>
      <c r="AD196">
        <v>19</v>
      </c>
      <c r="AE196">
        <f>Table1[[#This Row],[Quantity]]*(1+'scenario modeling'!$B$4)</f>
        <v>22.8</v>
      </c>
      <c r="AF196">
        <f>Table1[[#This Row],[UnitCost]]*Table1[[#This Row],[Quantity]]</f>
        <v>18723.55</v>
      </c>
      <c r="AG196">
        <f>SUMIF($U:U,Table1[[#This Row],[ProductCategory]],$AM:AM)</f>
        <v>1711094.3776</v>
      </c>
      <c r="AH196">
        <f>SUMIFS($AM$2:AM196,$U$2:U196,U196)</f>
        <v>224928.33467000001</v>
      </c>
      <c r="AI196" s="5">
        <f>Table1[[#This Row],[Cumulative_revenue]]/Table1[[#This Row],[Category_revenue]]</f>
        <v>0.13145290967847548</v>
      </c>
      <c r="AJ196" t="str">
        <f>IF(Table1[[#This Row],[cumulative_pct]]&lt;=0.8,"A",IF(Table1[[#This Row],[cumulative_pct]]&lt;=0.95,"B","C"))</f>
        <v>A</v>
      </c>
      <c r="AK196">
        <f>Table1[[#This Row],[adj_unit_cost]]*Table1[[#This Row],[scenario_quantity]]</f>
        <v>24715.086000000003</v>
      </c>
      <c r="AL196" s="5">
        <f>Table1[[#This Row],[UnitPrice]]*Table1[[#This Row],[scenario_quantity]]*(1-Table1[[#This Row],[cap_adjusted_discount]])</f>
        <v>40725.771312000004</v>
      </c>
      <c r="AM196" s="5">
        <f>Table1[[#This Row],[UnitPrice]]*Table1[[#This Row],[Quantity]]*(1-Table1[[#This Row],[DiscountPct]])</f>
        <v>33938.142760000002</v>
      </c>
      <c r="AN196" s="5">
        <f>Table1[[#This Row],[gross_revenue]]-Table1[[#This Row],[cost_of_goods]]</f>
        <v>15214.592760000003</v>
      </c>
      <c r="AO196" s="5">
        <f>Table1[[#This Row],[scenario_revenue]]-Table1[[#This Row],[Scenario_unit_cost]]</f>
        <v>16010.685312000001</v>
      </c>
      <c r="AP196" s="5">
        <f>IF(Table1[[#This Row],[gross_revenue]]=0,0,Table1[[#This Row],[gross_profit]]/Table1[[#This Row],[gross_revenue]])</f>
        <v>0.44830363486867486</v>
      </c>
    </row>
    <row r="197" spans="1:42" x14ac:dyDescent="0.35">
      <c r="A197" t="s">
        <v>253</v>
      </c>
      <c r="B197" t="str">
        <f>_xlfn.TEXTAFTER(Table1[[#This Row],[OrderID]],"-",2)</f>
        <v>897622</v>
      </c>
      <c r="C197">
        <f>YEAR(Table1[[#This Row],[OrderDate]])</f>
        <v>2024</v>
      </c>
      <c r="D197" s="9">
        <f>_xlfn.MINIFS(F:F,P:P,Table1[[#This Row],[Country]])</f>
        <v>44939</v>
      </c>
      <c r="E197" s="7">
        <f>DATEDIF(Table1[[#This Row],[first_time_orders]],Table1[[#This Row],[OrderDate]],"m")</f>
        <v>14</v>
      </c>
      <c r="F197" s="9">
        <v>45381</v>
      </c>
      <c r="G197" s="2" t="str">
        <f>TEXT(Table1[[#This Row],[OrderDate]],"MMM-YYYY")</f>
        <v>Mar-2024</v>
      </c>
      <c r="H197" s="7">
        <f>MONTH(Table1[[#This Row],[OrderDate]])</f>
        <v>3</v>
      </c>
      <c r="I197" s="7" t="str">
        <f>"Q"&amp;ROUNDUP(Table1[[#This Row],[months]]/3,0)&amp;"-"&amp;Table1[[#This Row],[order_year]]</f>
        <v>Q1-2024</v>
      </c>
      <c r="J197" s="7">
        <f>Table1[[#This Row],[RequiredDate]]-Table1[[#This Row],[OrderDate]]</f>
        <v>25</v>
      </c>
      <c r="K197" s="7">
        <f>IF(Table1[[#This Row],[lead_time]]&lt;0,MEDIAN(J:J),Table1[[#This Row],[lead_time]])</f>
        <v>25</v>
      </c>
      <c r="L197" s="7">
        <f>IF(Table1[[#This Row],[adj_lead_time]]&lt;=7,1,0)</f>
        <v>0</v>
      </c>
      <c r="M197" s="9">
        <v>45406</v>
      </c>
      <c r="N197" s="9">
        <f>IF(Table1[[#This Row],[lead_time]]&lt;0,(Table1[[#This Row],[OrderDate]]+Table1[[#This Row],[adj_lead_time]]),Table1[[#This Row],[RequiredDate]])</f>
        <v>45406</v>
      </c>
      <c r="O197" t="s">
        <v>648</v>
      </c>
      <c r="P197" t="s">
        <v>660</v>
      </c>
      <c r="Q197" t="s">
        <v>697</v>
      </c>
      <c r="R197" t="s">
        <v>703</v>
      </c>
      <c r="S197" t="s">
        <v>708</v>
      </c>
      <c r="T197" t="s">
        <v>715</v>
      </c>
      <c r="U197" t="s">
        <v>731</v>
      </c>
      <c r="V197" t="s">
        <v>973</v>
      </c>
      <c r="W197">
        <v>160.82</v>
      </c>
      <c r="X197">
        <f>Table1[[#This Row],[UnitCost]]*(1+'scenario modeling'!$B$3)</f>
        <v>176.90200000000002</v>
      </c>
      <c r="Y197">
        <v>258.52</v>
      </c>
      <c r="Z197" t="str">
        <f>IF(Table1[[#This Row],[UnitPrice]]&lt;=Quantiles!$B$2,Quantiles!$A$2,IF(Table1[[#This Row],[UnitPrice]]&lt;=Quantiles!$B$3,Quantiles!$A$3,Quantiles!$A$4))</f>
        <v>Low</v>
      </c>
      <c r="AA197">
        <v>0.13</v>
      </c>
      <c r="AB197" s="5">
        <f>MIN(Table1[[#This Row],[DiscountPct]],'scenario modeling'!$B$2)</f>
        <v>0.1</v>
      </c>
      <c r="AC197" t="str">
        <f>IF(Table1[[#This Row],[DiscountPct]]&gt;0.3, "&gt;0.3","")</f>
        <v/>
      </c>
      <c r="AD197">
        <v>17</v>
      </c>
      <c r="AE197">
        <f>Table1[[#This Row],[Quantity]]*(1+'scenario modeling'!$B$4)</f>
        <v>20.399999999999999</v>
      </c>
      <c r="AF197">
        <f>Table1[[#This Row],[UnitCost]]*Table1[[#This Row],[Quantity]]</f>
        <v>2733.94</v>
      </c>
      <c r="AG197">
        <f>SUMIF($U:U,Table1[[#This Row],[ProductCategory]],$AM:AM)</f>
        <v>1711094.3776</v>
      </c>
      <c r="AH197">
        <f>SUMIFS($AM$2:AM197,$U$2:U197,U197)</f>
        <v>228751.84547</v>
      </c>
      <c r="AI197" s="5">
        <f>Table1[[#This Row],[Cumulative_revenue]]/Table1[[#This Row],[Category_revenue]]</f>
        <v>0.13368745082948019</v>
      </c>
      <c r="AJ197" t="str">
        <f>IF(Table1[[#This Row],[cumulative_pct]]&lt;=0.8,"A",IF(Table1[[#This Row],[cumulative_pct]]&lt;=0.95,"B","C"))</f>
        <v>A</v>
      </c>
      <c r="AK197">
        <f>Table1[[#This Row],[adj_unit_cost]]*Table1[[#This Row],[scenario_quantity]]</f>
        <v>3608.8008</v>
      </c>
      <c r="AL197" s="5">
        <f>Table1[[#This Row],[UnitPrice]]*Table1[[#This Row],[scenario_quantity]]*(1-Table1[[#This Row],[cap_adjusted_discount]])</f>
        <v>4746.4271999999992</v>
      </c>
      <c r="AM197" s="5">
        <f>Table1[[#This Row],[UnitPrice]]*Table1[[#This Row],[Quantity]]*(1-Table1[[#This Row],[DiscountPct]])</f>
        <v>3823.5108</v>
      </c>
      <c r="AN197" s="5">
        <f>Table1[[#This Row],[gross_revenue]]-Table1[[#This Row],[cost_of_goods]]</f>
        <v>1089.5708</v>
      </c>
      <c r="AO197" s="5">
        <f>Table1[[#This Row],[scenario_revenue]]-Table1[[#This Row],[Scenario_unit_cost]]</f>
        <v>1137.6263999999992</v>
      </c>
      <c r="AP197" s="5">
        <f>IF(Table1[[#This Row],[gross_revenue]]=0,0,Table1[[#This Row],[gross_profit]]/Table1[[#This Row],[gross_revenue]])</f>
        <v>0.28496605789631874</v>
      </c>
    </row>
    <row r="198" spans="1:42" x14ac:dyDescent="0.35">
      <c r="A198" t="s">
        <v>48</v>
      </c>
      <c r="B198" t="str">
        <f>_xlfn.TEXTAFTER(Table1[[#This Row],[OrderID]],"-",2)</f>
        <v>629525</v>
      </c>
      <c r="C198">
        <f>YEAR(Table1[[#This Row],[OrderDate]])</f>
        <v>2024</v>
      </c>
      <c r="D198" s="9">
        <f>_xlfn.MINIFS(F:F,P:P,Table1[[#This Row],[Country]])</f>
        <v>44945</v>
      </c>
      <c r="E198" s="7">
        <f>DATEDIF(Table1[[#This Row],[first_time_orders]],Table1[[#This Row],[OrderDate]],"m")</f>
        <v>14</v>
      </c>
      <c r="F198" s="9">
        <v>45400</v>
      </c>
      <c r="G198" s="2" t="str">
        <f>TEXT(Table1[[#This Row],[OrderDate]],"MMM-YYYY")</f>
        <v>Apr-2024</v>
      </c>
      <c r="H198" s="7">
        <f>MONTH(Table1[[#This Row],[OrderDate]])</f>
        <v>4</v>
      </c>
      <c r="I198" s="7" t="str">
        <f>"Q"&amp;ROUNDUP(Table1[[#This Row],[months]]/3,0)&amp;"-"&amp;Table1[[#This Row],[order_year]]</f>
        <v>Q2-2024</v>
      </c>
      <c r="J198" s="7">
        <f>Table1[[#This Row],[RequiredDate]]-Table1[[#This Row],[OrderDate]]</f>
        <v>20</v>
      </c>
      <c r="K198" s="7">
        <f>IF(Table1[[#This Row],[lead_time]]&lt;0,MEDIAN(J:J),Table1[[#This Row],[lead_time]])</f>
        <v>20</v>
      </c>
      <c r="L198" s="7">
        <f>IF(Table1[[#This Row],[adj_lead_time]]&lt;=7,1,0)</f>
        <v>0</v>
      </c>
      <c r="M198" s="9">
        <v>45420</v>
      </c>
      <c r="N198" s="9">
        <f>IF(Table1[[#This Row],[lead_time]]&lt;0,(Table1[[#This Row],[OrderDate]]+Table1[[#This Row],[adj_lead_time]]),Table1[[#This Row],[RequiredDate]])</f>
        <v>45420</v>
      </c>
      <c r="O198" t="s">
        <v>649</v>
      </c>
      <c r="P198" t="s">
        <v>658</v>
      </c>
      <c r="Q198" t="s">
        <v>683</v>
      </c>
      <c r="R198" t="s">
        <v>703</v>
      </c>
      <c r="S198" t="s">
        <v>711</v>
      </c>
      <c r="T198" t="s">
        <v>726</v>
      </c>
      <c r="U198" t="s">
        <v>731</v>
      </c>
      <c r="V198" t="s">
        <v>767</v>
      </c>
      <c r="W198">
        <v>645.33000000000004</v>
      </c>
      <c r="X198">
        <f>Table1[[#This Row],[UnitCost]]*(1+'scenario modeling'!$B$3)</f>
        <v>709.86300000000006</v>
      </c>
      <c r="Y198">
        <v>1321.85</v>
      </c>
      <c r="Z198" t="str">
        <f>IF(Table1[[#This Row],[UnitPrice]]&lt;=Quantiles!$B$2,Quantiles!$A$2,IF(Table1[[#This Row],[UnitPrice]]&lt;=Quantiles!$B$3,Quantiles!$A$3,Quantiles!$A$4))</f>
        <v>Medium</v>
      </c>
      <c r="AA198">
        <v>0</v>
      </c>
      <c r="AB198" s="5">
        <f>MIN(Table1[[#This Row],[DiscountPct]],'scenario modeling'!$B$2)</f>
        <v>0</v>
      </c>
      <c r="AC198" t="str">
        <f>IF(Table1[[#This Row],[DiscountPct]]&gt;0.3, "&gt;0.3","")</f>
        <v/>
      </c>
      <c r="AD198">
        <v>10</v>
      </c>
      <c r="AE198">
        <f>Table1[[#This Row],[Quantity]]*(1+'scenario modeling'!$B$4)</f>
        <v>12</v>
      </c>
      <c r="AF198">
        <f>Table1[[#This Row],[UnitCost]]*Table1[[#This Row],[Quantity]]</f>
        <v>6453.3</v>
      </c>
      <c r="AG198">
        <f>SUMIF($U:U,Table1[[#This Row],[ProductCategory]],$AM:AM)</f>
        <v>1711094.3776</v>
      </c>
      <c r="AH198">
        <f>SUMIFS($AM$2:AM198,$U$2:U198,U198)</f>
        <v>241970.34547</v>
      </c>
      <c r="AI198" s="5">
        <f>Table1[[#This Row],[Cumulative_revenue]]/Table1[[#This Row],[Category_revenue]]</f>
        <v>0.14141262377905203</v>
      </c>
      <c r="AJ198" t="str">
        <f>IF(Table1[[#This Row],[cumulative_pct]]&lt;=0.8,"A",IF(Table1[[#This Row],[cumulative_pct]]&lt;=0.95,"B","C"))</f>
        <v>A</v>
      </c>
      <c r="AK198">
        <f>Table1[[#This Row],[adj_unit_cost]]*Table1[[#This Row],[scenario_quantity]]</f>
        <v>8518.3559999999998</v>
      </c>
      <c r="AL198" s="5">
        <f>Table1[[#This Row],[UnitPrice]]*Table1[[#This Row],[scenario_quantity]]*(1-Table1[[#This Row],[cap_adjusted_discount]])</f>
        <v>15862.199999999999</v>
      </c>
      <c r="AM198" s="5">
        <f>Table1[[#This Row],[UnitPrice]]*Table1[[#This Row],[Quantity]]*(1-Table1[[#This Row],[DiscountPct]])</f>
        <v>13218.5</v>
      </c>
      <c r="AN198" s="5">
        <f>Table1[[#This Row],[gross_revenue]]-Table1[[#This Row],[cost_of_goods]]</f>
        <v>6765.2</v>
      </c>
      <c r="AO198" s="5">
        <f>Table1[[#This Row],[scenario_revenue]]-Table1[[#This Row],[Scenario_unit_cost]]</f>
        <v>7343.8439999999991</v>
      </c>
      <c r="AP198" s="5">
        <f>IF(Table1[[#This Row],[gross_revenue]]=0,0,Table1[[#This Row],[gross_profit]]/Table1[[#This Row],[gross_revenue]])</f>
        <v>0.51179785906116426</v>
      </c>
    </row>
    <row r="199" spans="1:42" x14ac:dyDescent="0.35">
      <c r="A199" t="s">
        <v>401</v>
      </c>
      <c r="B199" t="str">
        <f>_xlfn.TEXTAFTER(Table1[[#This Row],[OrderID]],"-",2)</f>
        <v>527858</v>
      </c>
      <c r="C199">
        <f>YEAR(Table1[[#This Row],[OrderDate]])</f>
        <v>2024</v>
      </c>
      <c r="D199" s="9">
        <f>_xlfn.MINIFS(F:F,P:P,Table1[[#This Row],[Country]])</f>
        <v>44941</v>
      </c>
      <c r="E199" s="7">
        <f>DATEDIF(Table1[[#This Row],[first_time_orders]],Table1[[#This Row],[OrderDate]],"m")</f>
        <v>15</v>
      </c>
      <c r="F199" s="9">
        <v>45419</v>
      </c>
      <c r="G199" s="2" t="str">
        <f>TEXT(Table1[[#This Row],[OrderDate]],"MMM-YYYY")</f>
        <v>May-2024</v>
      </c>
      <c r="H199" s="7">
        <f>MONTH(Table1[[#This Row],[OrderDate]])</f>
        <v>5</v>
      </c>
      <c r="I199" s="7" t="str">
        <f>"Q"&amp;ROUNDUP(Table1[[#This Row],[months]]/3,0)&amp;"-"&amp;Table1[[#This Row],[order_year]]</f>
        <v>Q2-2024</v>
      </c>
      <c r="J199" s="7">
        <f>Table1[[#This Row],[RequiredDate]]-Table1[[#This Row],[OrderDate]]</f>
        <v>5</v>
      </c>
      <c r="K199" s="7">
        <f>IF(Table1[[#This Row],[lead_time]]&lt;0,MEDIAN(J:J),Table1[[#This Row],[lead_time]])</f>
        <v>5</v>
      </c>
      <c r="L199" s="7">
        <f>IF(Table1[[#This Row],[adj_lead_time]]&lt;=7,1,0)</f>
        <v>1</v>
      </c>
      <c r="M199" s="9">
        <v>45424</v>
      </c>
      <c r="N199" s="9">
        <f>IF(Table1[[#This Row],[lead_time]]&lt;0,(Table1[[#This Row],[OrderDate]]+Table1[[#This Row],[adj_lead_time]]),Table1[[#This Row],[RequiredDate]])</f>
        <v>45424</v>
      </c>
      <c r="O199" t="s">
        <v>646</v>
      </c>
      <c r="P199" t="s">
        <v>651</v>
      </c>
      <c r="Q199" t="s">
        <v>669</v>
      </c>
      <c r="R199" t="s">
        <v>703</v>
      </c>
      <c r="S199" t="s">
        <v>710</v>
      </c>
      <c r="T199" t="s">
        <v>716</v>
      </c>
      <c r="U199" t="s">
        <v>731</v>
      </c>
      <c r="V199" t="s">
        <v>1120</v>
      </c>
      <c r="W199">
        <v>1163.99</v>
      </c>
      <c r="X199">
        <f>Table1[[#This Row],[UnitCost]]*(1+'scenario modeling'!$B$3)</f>
        <v>1280.3890000000001</v>
      </c>
      <c r="Y199">
        <v>1617.85</v>
      </c>
      <c r="Z199" t="str">
        <f>IF(Table1[[#This Row],[UnitPrice]]&lt;=Quantiles!$B$2,Quantiles!$A$2,IF(Table1[[#This Row],[UnitPrice]]&lt;=Quantiles!$B$3,Quantiles!$A$3,Quantiles!$A$4))</f>
        <v>Medium</v>
      </c>
      <c r="AA199">
        <v>0.127</v>
      </c>
      <c r="AB199" s="5">
        <f>MIN(Table1[[#This Row],[DiscountPct]],'scenario modeling'!$B$2)</f>
        <v>0.1</v>
      </c>
      <c r="AC199" t="str">
        <f>IF(Table1[[#This Row],[DiscountPct]]&gt;0.3, "&gt;0.3","")</f>
        <v/>
      </c>
      <c r="AD199">
        <v>14</v>
      </c>
      <c r="AE199">
        <f>Table1[[#This Row],[Quantity]]*(1+'scenario modeling'!$B$4)</f>
        <v>16.8</v>
      </c>
      <c r="AF199">
        <f>Table1[[#This Row],[UnitCost]]*Table1[[#This Row],[Quantity]]</f>
        <v>16295.86</v>
      </c>
      <c r="AG199">
        <f>SUMIF($U:U,Table1[[#This Row],[ProductCategory]],$AM:AM)</f>
        <v>1711094.3776</v>
      </c>
      <c r="AH199">
        <f>SUMIFS($AM$2:AM199,$U$2:U199,U199)</f>
        <v>261743.70817</v>
      </c>
      <c r="AI199" s="5">
        <f>Table1[[#This Row],[Cumulative_revenue]]/Table1[[#This Row],[Category_revenue]]</f>
        <v>0.15296859810685876</v>
      </c>
      <c r="AJ199" t="str">
        <f>IF(Table1[[#This Row],[cumulative_pct]]&lt;=0.8,"A",IF(Table1[[#This Row],[cumulative_pct]]&lt;=0.95,"B","C"))</f>
        <v>A</v>
      </c>
      <c r="AK199">
        <f>Table1[[#This Row],[adj_unit_cost]]*Table1[[#This Row],[scenario_quantity]]</f>
        <v>21510.535200000002</v>
      </c>
      <c r="AL199" s="5">
        <f>Table1[[#This Row],[UnitPrice]]*Table1[[#This Row],[scenario_quantity]]*(1-Table1[[#This Row],[cap_adjusted_discount]])</f>
        <v>24461.892</v>
      </c>
      <c r="AM199" s="5">
        <f>Table1[[#This Row],[UnitPrice]]*Table1[[#This Row],[Quantity]]*(1-Table1[[#This Row],[DiscountPct]])</f>
        <v>19773.362699999998</v>
      </c>
      <c r="AN199" s="5">
        <f>Table1[[#This Row],[gross_revenue]]-Table1[[#This Row],[cost_of_goods]]</f>
        <v>3477.5026999999973</v>
      </c>
      <c r="AO199" s="5">
        <f>Table1[[#This Row],[scenario_revenue]]-Table1[[#This Row],[Scenario_unit_cost]]</f>
        <v>2951.3567999999977</v>
      </c>
      <c r="AP199" s="5">
        <f>IF(Table1[[#This Row],[gross_revenue]]=0,0,Table1[[#This Row],[gross_profit]]/Table1[[#This Row],[gross_revenue]])</f>
        <v>0.17586804797749436</v>
      </c>
    </row>
    <row r="200" spans="1:42" x14ac:dyDescent="0.35">
      <c r="A200" t="s">
        <v>87</v>
      </c>
      <c r="B200" t="str">
        <f>_xlfn.TEXTAFTER(Table1[[#This Row],[OrderID]],"-",2)</f>
        <v>939873</v>
      </c>
      <c r="C200">
        <f>YEAR(Table1[[#This Row],[OrderDate]])</f>
        <v>2024</v>
      </c>
      <c r="D200" s="9">
        <f>_xlfn.MINIFS(F:F,P:P,Table1[[#This Row],[Country]])</f>
        <v>44933</v>
      </c>
      <c r="E200" s="7">
        <f>DATEDIF(Table1[[#This Row],[first_time_orders]],Table1[[#This Row],[OrderDate]],"m")</f>
        <v>15</v>
      </c>
      <c r="F200" s="9">
        <v>45394</v>
      </c>
      <c r="G200" s="2" t="str">
        <f>TEXT(Table1[[#This Row],[OrderDate]],"MMM-YYYY")</f>
        <v>Apr-2024</v>
      </c>
      <c r="H200" s="7">
        <f>MONTH(Table1[[#This Row],[OrderDate]])</f>
        <v>4</v>
      </c>
      <c r="I200" s="7" t="str">
        <f>"Q"&amp;ROUNDUP(Table1[[#This Row],[months]]/3,0)&amp;"-"&amp;Table1[[#This Row],[order_year]]</f>
        <v>Q2-2024</v>
      </c>
      <c r="J200" s="7">
        <f>Table1[[#This Row],[RequiredDate]]-Table1[[#This Row],[OrderDate]]</f>
        <v>25</v>
      </c>
      <c r="K200" s="7">
        <f>IF(Table1[[#This Row],[lead_time]]&lt;0,MEDIAN(J:J),Table1[[#This Row],[lead_time]])</f>
        <v>25</v>
      </c>
      <c r="L200" s="7">
        <f>IF(Table1[[#This Row],[adj_lead_time]]&lt;=7,1,0)</f>
        <v>0</v>
      </c>
      <c r="M200" s="9">
        <v>45419</v>
      </c>
      <c r="N200" s="9">
        <f>IF(Table1[[#This Row],[lead_time]]&lt;0,(Table1[[#This Row],[OrderDate]]+Table1[[#This Row],[adj_lead_time]]),Table1[[#This Row],[RequiredDate]])</f>
        <v>45419</v>
      </c>
      <c r="O200" t="s">
        <v>646</v>
      </c>
      <c r="P200" t="s">
        <v>661</v>
      </c>
      <c r="Q200" t="s">
        <v>682</v>
      </c>
      <c r="R200" t="s">
        <v>702</v>
      </c>
      <c r="S200" t="s">
        <v>710</v>
      </c>
      <c r="T200" t="s">
        <v>720</v>
      </c>
      <c r="U200" t="s">
        <v>731</v>
      </c>
      <c r="V200" t="s">
        <v>806</v>
      </c>
      <c r="W200">
        <v>1376.51</v>
      </c>
      <c r="X200">
        <f>Table1[[#This Row],[UnitCost]]*(1+'scenario modeling'!$B$3)</f>
        <v>1514.1610000000001</v>
      </c>
      <c r="Y200">
        <v>1455.91</v>
      </c>
      <c r="Z200" t="str">
        <f>IF(Table1[[#This Row],[UnitPrice]]&lt;=Quantiles!$B$2,Quantiles!$A$2,IF(Table1[[#This Row],[UnitPrice]]&lt;=Quantiles!$B$3,Quantiles!$A$3,Quantiles!$A$4))</f>
        <v>Medium</v>
      </c>
      <c r="AA200">
        <v>0.185</v>
      </c>
      <c r="AB200" s="5">
        <f>MIN(Table1[[#This Row],[DiscountPct]],'scenario modeling'!$B$2)</f>
        <v>0.1</v>
      </c>
      <c r="AC200" t="str">
        <f>IF(Table1[[#This Row],[DiscountPct]]&gt;0.3, "&gt;0.3","")</f>
        <v/>
      </c>
      <c r="AD200">
        <v>17</v>
      </c>
      <c r="AE200">
        <f>Table1[[#This Row],[Quantity]]*(1+'scenario modeling'!$B$4)</f>
        <v>20.399999999999999</v>
      </c>
      <c r="AF200">
        <f>Table1[[#This Row],[UnitCost]]*Table1[[#This Row],[Quantity]]</f>
        <v>23400.67</v>
      </c>
      <c r="AG200">
        <f>SUMIF($U:U,Table1[[#This Row],[ProductCategory]],$AM:AM)</f>
        <v>1711094.3776</v>
      </c>
      <c r="AH200">
        <f>SUMIFS($AM$2:AM200,$U$2:U200,U200)</f>
        <v>281915.34122</v>
      </c>
      <c r="AI200" s="5">
        <f>Table1[[#This Row],[Cumulative_revenue]]/Table1[[#This Row],[Category_revenue]]</f>
        <v>0.16475733011022897</v>
      </c>
      <c r="AJ200" t="str">
        <f>IF(Table1[[#This Row],[cumulative_pct]]&lt;=0.8,"A",IF(Table1[[#This Row],[cumulative_pct]]&lt;=0.95,"B","C"))</f>
        <v>A</v>
      </c>
      <c r="AK200">
        <f>Table1[[#This Row],[adj_unit_cost]]*Table1[[#This Row],[scenario_quantity]]</f>
        <v>30888.884399999999</v>
      </c>
      <c r="AL200" s="5">
        <f>Table1[[#This Row],[UnitPrice]]*Table1[[#This Row],[scenario_quantity]]*(1-Table1[[#This Row],[cap_adjusted_discount]])</f>
        <v>26730.507600000001</v>
      </c>
      <c r="AM200" s="5">
        <f>Table1[[#This Row],[UnitPrice]]*Table1[[#This Row],[Quantity]]*(1-Table1[[#This Row],[DiscountPct]])</f>
        <v>20171.63305</v>
      </c>
      <c r="AN200" s="5">
        <f>Table1[[#This Row],[gross_revenue]]-Table1[[#This Row],[cost_of_goods]]</f>
        <v>-3229.0369499999979</v>
      </c>
      <c r="AO200" s="5">
        <f>Table1[[#This Row],[scenario_revenue]]-Table1[[#This Row],[Scenario_unit_cost]]</f>
        <v>-4158.3767999999982</v>
      </c>
      <c r="AP200" s="5">
        <f>IF(Table1[[#This Row],[gross_revenue]]=0,0,Table1[[#This Row],[gross_profit]]/Table1[[#This Row],[gross_revenue]])</f>
        <v>-0.1600781127634085</v>
      </c>
    </row>
    <row r="201" spans="1:42" x14ac:dyDescent="0.35">
      <c r="A201" t="s">
        <v>269</v>
      </c>
      <c r="B201" t="str">
        <f>_xlfn.TEXTAFTER(Table1[[#This Row],[OrderID]],"-",2)</f>
        <v>855600</v>
      </c>
      <c r="C201">
        <f>YEAR(Table1[[#This Row],[OrderDate]])</f>
        <v>2024</v>
      </c>
      <c r="D201" s="9">
        <f>_xlfn.MINIFS(F:F,P:P,Table1[[#This Row],[Country]])</f>
        <v>44948</v>
      </c>
      <c r="E201" s="7">
        <f>DATEDIF(Table1[[#This Row],[first_time_orders]],Table1[[#This Row],[OrderDate]],"m")</f>
        <v>15</v>
      </c>
      <c r="F201" s="9">
        <v>45411</v>
      </c>
      <c r="G201" s="2" t="str">
        <f>TEXT(Table1[[#This Row],[OrderDate]],"MMM-YYYY")</f>
        <v>Apr-2024</v>
      </c>
      <c r="H201" s="7">
        <f>MONTH(Table1[[#This Row],[OrderDate]])</f>
        <v>4</v>
      </c>
      <c r="I201" s="7" t="str">
        <f>"Q"&amp;ROUNDUP(Table1[[#This Row],[months]]/3,0)&amp;"-"&amp;Table1[[#This Row],[order_year]]</f>
        <v>Q2-2024</v>
      </c>
      <c r="J201" s="7">
        <f>Table1[[#This Row],[RequiredDate]]-Table1[[#This Row],[OrderDate]]</f>
        <v>20</v>
      </c>
      <c r="K201" s="7">
        <f>IF(Table1[[#This Row],[lead_time]]&lt;0,MEDIAN(J:J),Table1[[#This Row],[lead_time]])</f>
        <v>20</v>
      </c>
      <c r="L201" s="7">
        <f>IF(Table1[[#This Row],[adj_lead_time]]&lt;=7,1,0)</f>
        <v>0</v>
      </c>
      <c r="M201" s="9">
        <v>45431</v>
      </c>
      <c r="N201" s="9">
        <f>IF(Table1[[#This Row],[lead_time]]&lt;0,(Table1[[#This Row],[OrderDate]]+Table1[[#This Row],[adj_lead_time]]),Table1[[#This Row],[RequiredDate]])</f>
        <v>45431</v>
      </c>
      <c r="O201" t="s">
        <v>649</v>
      </c>
      <c r="P201" t="s">
        <v>656</v>
      </c>
      <c r="Q201" t="s">
        <v>698</v>
      </c>
      <c r="R201" t="s">
        <v>706</v>
      </c>
      <c r="S201" t="s">
        <v>709</v>
      </c>
      <c r="T201" t="s">
        <v>712</v>
      </c>
      <c r="U201" t="s">
        <v>731</v>
      </c>
      <c r="V201" t="s">
        <v>989</v>
      </c>
      <c r="W201">
        <v>668.97</v>
      </c>
      <c r="X201">
        <f>Table1[[#This Row],[UnitCost]]*(1+'scenario modeling'!$B$3)</f>
        <v>735.86700000000008</v>
      </c>
      <c r="Y201">
        <v>1667.44</v>
      </c>
      <c r="Z201" t="str">
        <f>IF(Table1[[#This Row],[UnitPrice]]&lt;=Quantiles!$B$2,Quantiles!$A$2,IF(Table1[[#This Row],[UnitPrice]]&lt;=Quantiles!$B$3,Quantiles!$A$3,Quantiles!$A$4))</f>
        <v>High</v>
      </c>
      <c r="AA201">
        <v>3.4000000000000002E-2</v>
      </c>
      <c r="AB201" s="5">
        <f>MIN(Table1[[#This Row],[DiscountPct]],'scenario modeling'!$B$2)</f>
        <v>3.4000000000000002E-2</v>
      </c>
      <c r="AC201" t="str">
        <f>IF(Table1[[#This Row],[DiscountPct]]&gt;0.3, "&gt;0.3","")</f>
        <v/>
      </c>
      <c r="AD201">
        <v>15</v>
      </c>
      <c r="AE201">
        <f>Table1[[#This Row],[Quantity]]*(1+'scenario modeling'!$B$4)</f>
        <v>18</v>
      </c>
      <c r="AF201">
        <f>Table1[[#This Row],[UnitCost]]*Table1[[#This Row],[Quantity]]</f>
        <v>10034.550000000001</v>
      </c>
      <c r="AG201">
        <f>SUMIF($U:U,Table1[[#This Row],[ProductCategory]],$AM:AM)</f>
        <v>1711094.3776</v>
      </c>
      <c r="AH201">
        <f>SUMIFS($AM$2:AM201,$U$2:U201,U201)</f>
        <v>306076.54681999999</v>
      </c>
      <c r="AI201" s="5">
        <f>Table1[[#This Row],[Cumulative_revenue]]/Table1[[#This Row],[Category_revenue]]</f>
        <v>0.17887765328836294</v>
      </c>
      <c r="AJ201" t="str">
        <f>IF(Table1[[#This Row],[cumulative_pct]]&lt;=0.8,"A",IF(Table1[[#This Row],[cumulative_pct]]&lt;=0.95,"B","C"))</f>
        <v>A</v>
      </c>
      <c r="AK201">
        <f>Table1[[#This Row],[adj_unit_cost]]*Table1[[#This Row],[scenario_quantity]]</f>
        <v>13245.606000000002</v>
      </c>
      <c r="AL201" s="5">
        <f>Table1[[#This Row],[UnitPrice]]*Table1[[#This Row],[scenario_quantity]]*(1-Table1[[#This Row],[cap_adjusted_discount]])</f>
        <v>28993.44672</v>
      </c>
      <c r="AM201" s="5">
        <f>Table1[[#This Row],[UnitPrice]]*Table1[[#This Row],[Quantity]]*(1-Table1[[#This Row],[DiscountPct]])</f>
        <v>24161.205600000001</v>
      </c>
      <c r="AN201" s="5">
        <f>Table1[[#This Row],[gross_revenue]]-Table1[[#This Row],[cost_of_goods]]</f>
        <v>14126.6556</v>
      </c>
      <c r="AO201" s="5">
        <f>Table1[[#This Row],[scenario_revenue]]-Table1[[#This Row],[Scenario_unit_cost]]</f>
        <v>15747.840719999998</v>
      </c>
      <c r="AP201" s="5">
        <f>IF(Table1[[#This Row],[gross_revenue]]=0,0,Table1[[#This Row],[gross_profit]]/Table1[[#This Row],[gross_revenue]])</f>
        <v>0.58468339013679016</v>
      </c>
    </row>
    <row r="202" spans="1:42" x14ac:dyDescent="0.35">
      <c r="A202" t="s">
        <v>490</v>
      </c>
      <c r="B202" t="str">
        <f>_xlfn.TEXTAFTER(Table1[[#This Row],[OrderID]],"-",2)</f>
        <v>641220</v>
      </c>
      <c r="C202">
        <f>YEAR(Table1[[#This Row],[OrderDate]])</f>
        <v>2024</v>
      </c>
      <c r="D202" s="9">
        <f>_xlfn.MINIFS(F:F,P:P,Table1[[#This Row],[Country]])</f>
        <v>44945</v>
      </c>
      <c r="E202" s="7">
        <f>DATEDIF(Table1[[#This Row],[first_time_orders]],Table1[[#This Row],[OrderDate]],"m")</f>
        <v>15</v>
      </c>
      <c r="F202" s="9">
        <v>45422</v>
      </c>
      <c r="G202" s="2" t="str">
        <f>TEXT(Table1[[#This Row],[OrderDate]],"MMM-YYYY")</f>
        <v>May-2024</v>
      </c>
      <c r="H202" s="7">
        <f>MONTH(Table1[[#This Row],[OrderDate]])</f>
        <v>5</v>
      </c>
      <c r="I202" s="7" t="str">
        <f>"Q"&amp;ROUNDUP(Table1[[#This Row],[months]]/3,0)&amp;"-"&amp;Table1[[#This Row],[order_year]]</f>
        <v>Q2-2024</v>
      </c>
      <c r="J202" s="7">
        <f>Table1[[#This Row],[RequiredDate]]-Table1[[#This Row],[OrderDate]]</f>
        <v>6</v>
      </c>
      <c r="K202" s="7">
        <f>IF(Table1[[#This Row],[lead_time]]&lt;0,MEDIAN(J:J),Table1[[#This Row],[lead_time]])</f>
        <v>6</v>
      </c>
      <c r="L202" s="7">
        <f>IF(Table1[[#This Row],[adj_lead_time]]&lt;=7,1,0)</f>
        <v>1</v>
      </c>
      <c r="M202" s="9">
        <v>45428</v>
      </c>
      <c r="N202" s="9">
        <f>IF(Table1[[#This Row],[lead_time]]&lt;0,(Table1[[#This Row],[OrderDate]]+Table1[[#This Row],[adj_lead_time]]),Table1[[#This Row],[RequiredDate]])</f>
        <v>45428</v>
      </c>
      <c r="O202" t="s">
        <v>649</v>
      </c>
      <c r="P202" t="s">
        <v>658</v>
      </c>
      <c r="Q202" t="s">
        <v>674</v>
      </c>
      <c r="R202" t="s">
        <v>703</v>
      </c>
      <c r="S202" t="s">
        <v>711</v>
      </c>
      <c r="T202" t="s">
        <v>715</v>
      </c>
      <c r="U202" t="s">
        <v>731</v>
      </c>
      <c r="V202" t="s">
        <v>1209</v>
      </c>
      <c r="W202">
        <v>210.76</v>
      </c>
      <c r="X202">
        <f>Table1[[#This Row],[UnitCost]]*(1+'scenario modeling'!$B$3)</f>
        <v>231.83600000000001</v>
      </c>
      <c r="Y202">
        <v>221.58</v>
      </c>
      <c r="Z202" t="str">
        <f>IF(Table1[[#This Row],[UnitPrice]]&lt;=Quantiles!$B$2,Quantiles!$A$2,IF(Table1[[#This Row],[UnitPrice]]&lt;=Quantiles!$B$3,Quantiles!$A$3,Quantiles!$A$4))</f>
        <v>Low</v>
      </c>
      <c r="AA202">
        <v>8.8999999999999996E-2</v>
      </c>
      <c r="AB202" s="5">
        <f>MIN(Table1[[#This Row],[DiscountPct]],'scenario modeling'!$B$2)</f>
        <v>8.8999999999999996E-2</v>
      </c>
      <c r="AC202" t="str">
        <f>IF(Table1[[#This Row],[DiscountPct]]&gt;0.3, "&gt;0.3","")</f>
        <v/>
      </c>
      <c r="AD202">
        <v>5</v>
      </c>
      <c r="AE202">
        <f>Table1[[#This Row],[Quantity]]*(1+'scenario modeling'!$B$4)</f>
        <v>6</v>
      </c>
      <c r="AF202">
        <f>Table1[[#This Row],[UnitCost]]*Table1[[#This Row],[Quantity]]</f>
        <v>1053.8</v>
      </c>
      <c r="AG202">
        <f>SUMIF($U:U,Table1[[#This Row],[ProductCategory]],$AM:AM)</f>
        <v>1711094.3776</v>
      </c>
      <c r="AH202">
        <f>SUMIFS($AM$2:AM202,$U$2:U202,U202)</f>
        <v>307085.84372</v>
      </c>
      <c r="AI202" s="5">
        <f>Table1[[#This Row],[Cumulative_revenue]]/Table1[[#This Row],[Category_revenue]]</f>
        <v>0.17946750789440499</v>
      </c>
      <c r="AJ202" t="str">
        <f>IF(Table1[[#This Row],[cumulative_pct]]&lt;=0.8,"A",IF(Table1[[#This Row],[cumulative_pct]]&lt;=0.95,"B","C"))</f>
        <v>A</v>
      </c>
      <c r="AK202">
        <f>Table1[[#This Row],[adj_unit_cost]]*Table1[[#This Row],[scenario_quantity]]</f>
        <v>1391.0160000000001</v>
      </c>
      <c r="AL202" s="5">
        <f>Table1[[#This Row],[UnitPrice]]*Table1[[#This Row],[scenario_quantity]]*(1-Table1[[#This Row],[cap_adjusted_discount]])</f>
        <v>1211.1562800000002</v>
      </c>
      <c r="AM202" s="5">
        <f>Table1[[#This Row],[UnitPrice]]*Table1[[#This Row],[Quantity]]*(1-Table1[[#This Row],[DiscountPct]])</f>
        <v>1009.2969000000002</v>
      </c>
      <c r="AN202" s="5">
        <f>Table1[[#This Row],[gross_revenue]]-Table1[[#This Row],[cost_of_goods]]</f>
        <v>-44.50309999999979</v>
      </c>
      <c r="AO202" s="5">
        <f>Table1[[#This Row],[scenario_revenue]]-Table1[[#This Row],[Scenario_unit_cost]]</f>
        <v>-179.85971999999992</v>
      </c>
      <c r="AP202" s="5">
        <f>IF(Table1[[#This Row],[gross_revenue]]=0,0,Table1[[#This Row],[gross_profit]]/Table1[[#This Row],[gross_revenue]])</f>
        <v>-4.4093170205912434E-2</v>
      </c>
    </row>
    <row r="203" spans="1:42" x14ac:dyDescent="0.35">
      <c r="A203" t="s">
        <v>318</v>
      </c>
      <c r="B203" t="str">
        <f>_xlfn.TEXTAFTER(Table1[[#This Row],[OrderID]],"-",2)</f>
        <v>878493</v>
      </c>
      <c r="C203">
        <f>YEAR(Table1[[#This Row],[OrderDate]])</f>
        <v>2024</v>
      </c>
      <c r="D203" s="9">
        <f>_xlfn.MINIFS(F:F,P:P,Table1[[#This Row],[Country]])</f>
        <v>44946</v>
      </c>
      <c r="E203" s="7">
        <f>DATEDIF(Table1[[#This Row],[first_time_orders]],Table1[[#This Row],[OrderDate]],"m")</f>
        <v>16</v>
      </c>
      <c r="F203" s="9">
        <v>45462</v>
      </c>
      <c r="G203" s="2" t="str">
        <f>TEXT(Table1[[#This Row],[OrderDate]],"MMM-YYYY")</f>
        <v>Jun-2024</v>
      </c>
      <c r="H203" s="7">
        <f>MONTH(Table1[[#This Row],[OrderDate]])</f>
        <v>6</v>
      </c>
      <c r="I203" s="7" t="str">
        <f>"Q"&amp;ROUNDUP(Table1[[#This Row],[months]]/3,0)&amp;"-"&amp;Table1[[#This Row],[order_year]]</f>
        <v>Q2-2024</v>
      </c>
      <c r="J203" s="7">
        <f>Table1[[#This Row],[RequiredDate]]-Table1[[#This Row],[OrderDate]]</f>
        <v>1</v>
      </c>
      <c r="K203" s="7">
        <f>IF(Table1[[#This Row],[lead_time]]&lt;0,MEDIAN(J:J),Table1[[#This Row],[lead_time]])</f>
        <v>1</v>
      </c>
      <c r="L203" s="7">
        <f>IF(Table1[[#This Row],[adj_lead_time]]&lt;=7,1,0)</f>
        <v>1</v>
      </c>
      <c r="M203" s="9">
        <v>45463</v>
      </c>
      <c r="N203" s="9">
        <f>IF(Table1[[#This Row],[lead_time]]&lt;0,(Table1[[#This Row],[OrderDate]]+Table1[[#This Row],[adj_lead_time]]),Table1[[#This Row],[RequiredDate]])</f>
        <v>45463</v>
      </c>
      <c r="O203" t="s">
        <v>646</v>
      </c>
      <c r="P203" t="s">
        <v>650</v>
      </c>
      <c r="Q203" t="s">
        <v>662</v>
      </c>
      <c r="R203" t="s">
        <v>705</v>
      </c>
      <c r="S203" t="s">
        <v>711</v>
      </c>
      <c r="T203" t="s">
        <v>713</v>
      </c>
      <c r="U203" t="s">
        <v>731</v>
      </c>
      <c r="V203" t="s">
        <v>1038</v>
      </c>
      <c r="W203">
        <v>231.63</v>
      </c>
      <c r="X203">
        <f>Table1[[#This Row],[UnitCost]]*(1+'scenario modeling'!$B$3)</f>
        <v>254.79300000000001</v>
      </c>
      <c r="Y203">
        <v>537.39</v>
      </c>
      <c r="Z203" t="str">
        <f>IF(Table1[[#This Row],[UnitPrice]]&lt;=Quantiles!$B$2,Quantiles!$A$2,IF(Table1[[#This Row],[UnitPrice]]&lt;=Quantiles!$B$3,Quantiles!$A$3,Quantiles!$A$4))</f>
        <v>Low</v>
      </c>
      <c r="AA203">
        <v>0.08</v>
      </c>
      <c r="AB203" s="5">
        <f>MIN(Table1[[#This Row],[DiscountPct]],'scenario modeling'!$B$2)</f>
        <v>0.08</v>
      </c>
      <c r="AC203" t="str">
        <f>IF(Table1[[#This Row],[DiscountPct]]&gt;0.3, "&gt;0.3","")</f>
        <v/>
      </c>
      <c r="AD203">
        <v>12</v>
      </c>
      <c r="AE203">
        <f>Table1[[#This Row],[Quantity]]*(1+'scenario modeling'!$B$4)</f>
        <v>14.399999999999999</v>
      </c>
      <c r="AF203">
        <f>Table1[[#This Row],[UnitCost]]*Table1[[#This Row],[Quantity]]</f>
        <v>2779.56</v>
      </c>
      <c r="AG203">
        <f>SUMIF($U:U,Table1[[#This Row],[ProductCategory]],$AM:AM)</f>
        <v>1711094.3776</v>
      </c>
      <c r="AH203">
        <f>SUMIFS($AM$2:AM203,$U$2:U203,U203)</f>
        <v>313018.62932000001</v>
      </c>
      <c r="AI203" s="5">
        <f>Table1[[#This Row],[Cumulative_revenue]]/Table1[[#This Row],[Category_revenue]]</f>
        <v>0.18293475416536836</v>
      </c>
      <c r="AJ203" t="str">
        <f>IF(Table1[[#This Row],[cumulative_pct]]&lt;=0.8,"A",IF(Table1[[#This Row],[cumulative_pct]]&lt;=0.95,"B","C"))</f>
        <v>A</v>
      </c>
      <c r="AK203">
        <f>Table1[[#This Row],[adj_unit_cost]]*Table1[[#This Row],[scenario_quantity]]</f>
        <v>3669.0191999999997</v>
      </c>
      <c r="AL203" s="5">
        <f>Table1[[#This Row],[UnitPrice]]*Table1[[#This Row],[scenario_quantity]]*(1-Table1[[#This Row],[cap_adjusted_discount]])</f>
        <v>7119.3427199999996</v>
      </c>
      <c r="AM203" s="5">
        <f>Table1[[#This Row],[UnitPrice]]*Table1[[#This Row],[Quantity]]*(1-Table1[[#This Row],[DiscountPct]])</f>
        <v>5932.7856000000002</v>
      </c>
      <c r="AN203" s="5">
        <f>Table1[[#This Row],[gross_revenue]]-Table1[[#This Row],[cost_of_goods]]</f>
        <v>3153.2256000000002</v>
      </c>
      <c r="AO203" s="5">
        <f>Table1[[#This Row],[scenario_revenue]]-Table1[[#This Row],[Scenario_unit_cost]]</f>
        <v>3450.3235199999999</v>
      </c>
      <c r="AP203" s="5">
        <f>IF(Table1[[#This Row],[gross_revenue]]=0,0,Table1[[#This Row],[gross_profit]]/Table1[[#This Row],[gross_revenue]])</f>
        <v>0.53149158129024587</v>
      </c>
    </row>
    <row r="204" spans="1:42" x14ac:dyDescent="0.35">
      <c r="A204" t="s">
        <v>542</v>
      </c>
      <c r="B204" t="str">
        <f>_xlfn.TEXTAFTER(Table1[[#This Row],[OrderID]],"-",2)</f>
        <v>713332</v>
      </c>
      <c r="C204">
        <f>YEAR(Table1[[#This Row],[OrderDate]])</f>
        <v>2024</v>
      </c>
      <c r="D204" s="9">
        <f>_xlfn.MINIFS(F:F,P:P,Table1[[#This Row],[Country]])</f>
        <v>44946</v>
      </c>
      <c r="E204" s="7">
        <f>DATEDIF(Table1[[#This Row],[first_time_orders]],Table1[[#This Row],[OrderDate]],"m")</f>
        <v>16</v>
      </c>
      <c r="F204" s="9">
        <v>45448</v>
      </c>
      <c r="G204" s="2" t="str">
        <f>TEXT(Table1[[#This Row],[OrderDate]],"MMM-YYYY")</f>
        <v>Jun-2024</v>
      </c>
      <c r="H204" s="7">
        <f>MONTH(Table1[[#This Row],[OrderDate]])</f>
        <v>6</v>
      </c>
      <c r="I204" s="7" t="str">
        <f>"Q"&amp;ROUNDUP(Table1[[#This Row],[months]]/3,0)&amp;"-"&amp;Table1[[#This Row],[order_year]]</f>
        <v>Q2-2024</v>
      </c>
      <c r="J204" s="7">
        <f>Table1[[#This Row],[RequiredDate]]-Table1[[#This Row],[OrderDate]]</f>
        <v>18</v>
      </c>
      <c r="K204" s="7">
        <f>IF(Table1[[#This Row],[lead_time]]&lt;0,MEDIAN(J:J),Table1[[#This Row],[lead_time]])</f>
        <v>18</v>
      </c>
      <c r="L204" s="7">
        <f>IF(Table1[[#This Row],[adj_lead_time]]&lt;=7,1,0)</f>
        <v>0</v>
      </c>
      <c r="M204" s="9">
        <v>45466</v>
      </c>
      <c r="N204" s="9">
        <f>IF(Table1[[#This Row],[lead_time]]&lt;0,(Table1[[#This Row],[OrderDate]]+Table1[[#This Row],[adj_lead_time]]),Table1[[#This Row],[RequiredDate]])</f>
        <v>45466</v>
      </c>
      <c r="O204" t="s">
        <v>646</v>
      </c>
      <c r="P204" t="s">
        <v>650</v>
      </c>
      <c r="Q204" t="s">
        <v>664</v>
      </c>
      <c r="R204" t="s">
        <v>704</v>
      </c>
      <c r="S204" t="s">
        <v>710</v>
      </c>
      <c r="T204" t="s">
        <v>726</v>
      </c>
      <c r="U204" t="s">
        <v>731</v>
      </c>
      <c r="V204" t="s">
        <v>1261</v>
      </c>
      <c r="W204">
        <v>1208.74</v>
      </c>
      <c r="X204">
        <f>Table1[[#This Row],[UnitCost]]*(1+'scenario modeling'!$B$3)</f>
        <v>1329.614</v>
      </c>
      <c r="Y204">
        <v>1594.78</v>
      </c>
      <c r="Z204" t="str">
        <f>IF(Table1[[#This Row],[UnitPrice]]&lt;=Quantiles!$B$2,Quantiles!$A$2,IF(Table1[[#This Row],[UnitPrice]]&lt;=Quantiles!$B$3,Quantiles!$A$3,Quantiles!$A$4))</f>
        <v>Medium</v>
      </c>
      <c r="AA204">
        <v>5.8999999999999997E-2</v>
      </c>
      <c r="AB204" s="5">
        <f>MIN(Table1[[#This Row],[DiscountPct]],'scenario modeling'!$B$2)</f>
        <v>5.8999999999999997E-2</v>
      </c>
      <c r="AC204" t="str">
        <f>IF(Table1[[#This Row],[DiscountPct]]&gt;0.3, "&gt;0.3","")</f>
        <v/>
      </c>
      <c r="AD204">
        <v>39</v>
      </c>
      <c r="AE204">
        <f>Table1[[#This Row],[Quantity]]*(1+'scenario modeling'!$B$4)</f>
        <v>46.8</v>
      </c>
      <c r="AF204">
        <f>Table1[[#This Row],[UnitCost]]*Table1[[#This Row],[Quantity]]</f>
        <v>47140.86</v>
      </c>
      <c r="AG204">
        <f>SUMIF($U:U,Table1[[#This Row],[ProductCategory]],$AM:AM)</f>
        <v>1711094.3776</v>
      </c>
      <c r="AH204">
        <f>SUMIFS($AM$2:AM204,$U$2:U204,U204)</f>
        <v>371545.46054</v>
      </c>
      <c r="AI204" s="5">
        <f>Table1[[#This Row],[Cumulative_revenue]]/Table1[[#This Row],[Category_revenue]]</f>
        <v>0.2171390809320137</v>
      </c>
      <c r="AJ204" t="str">
        <f>IF(Table1[[#This Row],[cumulative_pct]]&lt;=0.8,"A",IF(Table1[[#This Row],[cumulative_pct]]&lt;=0.95,"B","C"))</f>
        <v>A</v>
      </c>
      <c r="AK204">
        <f>Table1[[#This Row],[adj_unit_cost]]*Table1[[#This Row],[scenario_quantity]]</f>
        <v>62225.9352</v>
      </c>
      <c r="AL204" s="5">
        <f>Table1[[#This Row],[UnitPrice]]*Table1[[#This Row],[scenario_quantity]]*(1-Table1[[#This Row],[cap_adjusted_discount]])</f>
        <v>70232.197463999997</v>
      </c>
      <c r="AM204" s="5">
        <f>Table1[[#This Row],[UnitPrice]]*Table1[[#This Row],[Quantity]]*(1-Table1[[#This Row],[DiscountPct]])</f>
        <v>58526.83122</v>
      </c>
      <c r="AN204" s="5">
        <f>Table1[[#This Row],[gross_revenue]]-Table1[[#This Row],[cost_of_goods]]</f>
        <v>11385.971219999999</v>
      </c>
      <c r="AO204" s="5">
        <f>Table1[[#This Row],[scenario_revenue]]-Table1[[#This Row],[Scenario_unit_cost]]</f>
        <v>8006.2622639999972</v>
      </c>
      <c r="AP204" s="5">
        <f>IF(Table1[[#This Row],[gross_revenue]]=0,0,Table1[[#This Row],[gross_profit]]/Table1[[#This Row],[gross_revenue]])</f>
        <v>0.1945427589817838</v>
      </c>
    </row>
    <row r="205" spans="1:42" x14ac:dyDescent="0.35">
      <c r="A205" t="s">
        <v>38</v>
      </c>
      <c r="B205" t="str">
        <f>_xlfn.TEXTAFTER(Table1[[#This Row],[OrderID]],"-",2)</f>
        <v>500109</v>
      </c>
      <c r="C205">
        <f>YEAR(Table1[[#This Row],[OrderDate]])</f>
        <v>2024</v>
      </c>
      <c r="D205" s="9">
        <f>_xlfn.MINIFS(F:F,P:P,Table1[[#This Row],[Country]])</f>
        <v>44939</v>
      </c>
      <c r="E205" s="7">
        <f>DATEDIF(Table1[[#This Row],[first_time_orders]],Table1[[#This Row],[OrderDate]],"m")</f>
        <v>16</v>
      </c>
      <c r="F205" s="9">
        <v>45430</v>
      </c>
      <c r="G205" s="2" t="str">
        <f>TEXT(Table1[[#This Row],[OrderDate]],"MMM-YYYY")</f>
        <v>May-2024</v>
      </c>
      <c r="H205" s="7">
        <f>MONTH(Table1[[#This Row],[OrderDate]])</f>
        <v>5</v>
      </c>
      <c r="I205" s="7" t="str">
        <f>"Q"&amp;ROUNDUP(Table1[[#This Row],[months]]/3,0)&amp;"-"&amp;Table1[[#This Row],[order_year]]</f>
        <v>Q2-2024</v>
      </c>
      <c r="J205" s="7">
        <f>Table1[[#This Row],[RequiredDate]]-Table1[[#This Row],[OrderDate]]</f>
        <v>5</v>
      </c>
      <c r="K205" s="7">
        <f>IF(Table1[[#This Row],[lead_time]]&lt;0,MEDIAN(J:J),Table1[[#This Row],[lead_time]])</f>
        <v>5</v>
      </c>
      <c r="L205" s="7">
        <f>IF(Table1[[#This Row],[adj_lead_time]]&lt;=7,1,0)</f>
        <v>1</v>
      </c>
      <c r="M205" s="9">
        <v>45435</v>
      </c>
      <c r="N205" s="9">
        <f>IF(Table1[[#This Row],[lead_time]]&lt;0,(Table1[[#This Row],[OrderDate]]+Table1[[#This Row],[adj_lead_time]]),Table1[[#This Row],[RequiredDate]])</f>
        <v>45435</v>
      </c>
      <c r="O205" t="s">
        <v>648</v>
      </c>
      <c r="P205" t="s">
        <v>660</v>
      </c>
      <c r="Q205" t="s">
        <v>677</v>
      </c>
      <c r="R205" t="s">
        <v>706</v>
      </c>
      <c r="S205" t="s">
        <v>707</v>
      </c>
      <c r="T205" t="s">
        <v>722</v>
      </c>
      <c r="U205" t="s">
        <v>731</v>
      </c>
      <c r="V205" t="s">
        <v>757</v>
      </c>
      <c r="W205">
        <v>1274.5899999999999</v>
      </c>
      <c r="X205">
        <f>Table1[[#This Row],[UnitCost]]*(1+'scenario modeling'!$B$3)</f>
        <v>1402.049</v>
      </c>
      <c r="Y205">
        <v>2553.69</v>
      </c>
      <c r="Z205" t="str">
        <f>IF(Table1[[#This Row],[UnitPrice]]&lt;=Quantiles!$B$2,Quantiles!$A$2,IF(Table1[[#This Row],[UnitPrice]]&lt;=Quantiles!$B$3,Quantiles!$A$3,Quantiles!$A$4))</f>
        <v>High</v>
      </c>
      <c r="AA205">
        <v>0.01</v>
      </c>
      <c r="AB205" s="5">
        <f>MIN(Table1[[#This Row],[DiscountPct]],'scenario modeling'!$B$2)</f>
        <v>0.01</v>
      </c>
      <c r="AC205" t="str">
        <f>IF(Table1[[#This Row],[DiscountPct]]&gt;0.3, "&gt;0.3","")</f>
        <v/>
      </c>
      <c r="AD205">
        <v>8</v>
      </c>
      <c r="AE205">
        <f>Table1[[#This Row],[Quantity]]*(1+'scenario modeling'!$B$4)</f>
        <v>9.6</v>
      </c>
      <c r="AF205">
        <f>Table1[[#This Row],[UnitCost]]*Table1[[#This Row],[Quantity]]</f>
        <v>10196.719999999999</v>
      </c>
      <c r="AG205">
        <f>SUMIF($U:U,Table1[[#This Row],[ProductCategory]],$AM:AM)</f>
        <v>1711094.3776</v>
      </c>
      <c r="AH205">
        <f>SUMIFS($AM$2:AM205,$U$2:U205,U205)</f>
        <v>391770.68534000003</v>
      </c>
      <c r="AI205" s="5">
        <f>Table1[[#This Row],[Cumulative_revenue]]/Table1[[#This Row],[Category_revenue]]</f>
        <v>0.22895913309557006</v>
      </c>
      <c r="AJ205" t="str">
        <f>IF(Table1[[#This Row],[cumulative_pct]]&lt;=0.8,"A",IF(Table1[[#This Row],[cumulative_pct]]&lt;=0.95,"B","C"))</f>
        <v>A</v>
      </c>
      <c r="AK205">
        <f>Table1[[#This Row],[adj_unit_cost]]*Table1[[#This Row],[scenario_quantity]]</f>
        <v>13459.670399999999</v>
      </c>
      <c r="AL205" s="5">
        <f>Table1[[#This Row],[UnitPrice]]*Table1[[#This Row],[scenario_quantity]]*(1-Table1[[#This Row],[cap_adjusted_discount]])</f>
        <v>24270.269759999999</v>
      </c>
      <c r="AM205" s="5">
        <f>Table1[[#This Row],[UnitPrice]]*Table1[[#This Row],[Quantity]]*(1-Table1[[#This Row],[DiscountPct]])</f>
        <v>20225.2248</v>
      </c>
      <c r="AN205" s="5">
        <f>Table1[[#This Row],[gross_revenue]]-Table1[[#This Row],[cost_of_goods]]</f>
        <v>10028.504800000001</v>
      </c>
      <c r="AO205" s="5">
        <f>Table1[[#This Row],[scenario_revenue]]-Table1[[#This Row],[Scenario_unit_cost]]</f>
        <v>10810.59936</v>
      </c>
      <c r="AP205" s="5">
        <f>IF(Table1[[#This Row],[gross_revenue]]=0,0,Table1[[#This Row],[gross_profit]]/Table1[[#This Row],[gross_revenue]])</f>
        <v>0.49584145042481803</v>
      </c>
    </row>
    <row r="206" spans="1:42" x14ac:dyDescent="0.35">
      <c r="A206" t="s">
        <v>126</v>
      </c>
      <c r="B206" t="str">
        <f>_xlfn.TEXTAFTER(Table1[[#This Row],[OrderID]],"-",2)</f>
        <v>223618</v>
      </c>
      <c r="C206">
        <f>YEAR(Table1[[#This Row],[OrderDate]])</f>
        <v>2024</v>
      </c>
      <c r="D206" s="9">
        <f>_xlfn.MINIFS(F:F,P:P,Table1[[#This Row],[Country]])</f>
        <v>44945</v>
      </c>
      <c r="E206" s="7">
        <f>DATEDIF(Table1[[#This Row],[first_time_orders]],Table1[[#This Row],[OrderDate]],"m")</f>
        <v>16</v>
      </c>
      <c r="F206" s="9">
        <v>45453</v>
      </c>
      <c r="G206" s="2" t="str">
        <f>TEXT(Table1[[#This Row],[OrderDate]],"MMM-YYYY")</f>
        <v>Jun-2024</v>
      </c>
      <c r="H206" s="7">
        <f>MONTH(Table1[[#This Row],[OrderDate]])</f>
        <v>6</v>
      </c>
      <c r="I206" s="7" t="str">
        <f>"Q"&amp;ROUNDUP(Table1[[#This Row],[months]]/3,0)&amp;"-"&amp;Table1[[#This Row],[order_year]]</f>
        <v>Q2-2024</v>
      </c>
      <c r="J206" s="7">
        <f>Table1[[#This Row],[RequiredDate]]-Table1[[#This Row],[OrderDate]]</f>
        <v>1</v>
      </c>
      <c r="K206" s="7">
        <f>IF(Table1[[#This Row],[lead_time]]&lt;0,MEDIAN(J:J),Table1[[#This Row],[lead_time]])</f>
        <v>1</v>
      </c>
      <c r="L206" s="7">
        <f>IF(Table1[[#This Row],[adj_lead_time]]&lt;=7,1,0)</f>
        <v>1</v>
      </c>
      <c r="M206" s="9">
        <v>45454</v>
      </c>
      <c r="N206" s="9">
        <f>IF(Table1[[#This Row],[lead_time]]&lt;0,(Table1[[#This Row],[OrderDate]]+Table1[[#This Row],[adj_lead_time]]),Table1[[#This Row],[RequiredDate]])</f>
        <v>45454</v>
      </c>
      <c r="O206" t="s">
        <v>649</v>
      </c>
      <c r="P206" t="s">
        <v>658</v>
      </c>
      <c r="Q206" t="s">
        <v>674</v>
      </c>
      <c r="R206" t="s">
        <v>705</v>
      </c>
      <c r="S206" t="s">
        <v>709</v>
      </c>
      <c r="T206" t="s">
        <v>724</v>
      </c>
      <c r="U206" t="s">
        <v>731</v>
      </c>
      <c r="V206" t="s">
        <v>845</v>
      </c>
      <c r="W206">
        <v>1187.1300000000001</v>
      </c>
      <c r="X206">
        <f>Table1[[#This Row],[UnitCost]]*(1+'scenario modeling'!$B$3)</f>
        <v>1305.8430000000003</v>
      </c>
      <c r="Y206">
        <v>1795.17</v>
      </c>
      <c r="Z206" t="str">
        <f>IF(Table1[[#This Row],[UnitPrice]]&lt;=Quantiles!$B$2,Quantiles!$A$2,IF(Table1[[#This Row],[UnitPrice]]&lt;=Quantiles!$B$3,Quantiles!$A$3,Quantiles!$A$4))</f>
        <v>High</v>
      </c>
      <c r="AA206">
        <v>1.2E-2</v>
      </c>
      <c r="AB206" s="5">
        <f>MIN(Table1[[#This Row],[DiscountPct]],'scenario modeling'!$B$2)</f>
        <v>1.2E-2</v>
      </c>
      <c r="AC206" t="str">
        <f>IF(Table1[[#This Row],[DiscountPct]]&gt;0.3, "&gt;0.3","")</f>
        <v/>
      </c>
      <c r="AD206">
        <v>17</v>
      </c>
      <c r="AE206">
        <f>Table1[[#This Row],[Quantity]]*(1+'scenario modeling'!$B$4)</f>
        <v>20.399999999999999</v>
      </c>
      <c r="AF206">
        <f>Table1[[#This Row],[UnitCost]]*Table1[[#This Row],[Quantity]]</f>
        <v>20181.210000000003</v>
      </c>
      <c r="AG206">
        <f>SUMIF($U:U,Table1[[#This Row],[ProductCategory]],$AM:AM)</f>
        <v>1711094.3776</v>
      </c>
      <c r="AH206">
        <f>SUMIFS($AM$2:AM206,$U$2:U206,U206)</f>
        <v>421922.36066000001</v>
      </c>
      <c r="AI206" s="5">
        <f>Table1[[#This Row],[Cumulative_revenue]]/Table1[[#This Row],[Category_revenue]]</f>
        <v>0.24658041437304762</v>
      </c>
      <c r="AJ206" t="str">
        <f>IF(Table1[[#This Row],[cumulative_pct]]&lt;=0.8,"A",IF(Table1[[#This Row],[cumulative_pct]]&lt;=0.95,"B","C"))</f>
        <v>A</v>
      </c>
      <c r="AK206">
        <f>Table1[[#This Row],[adj_unit_cost]]*Table1[[#This Row],[scenario_quantity]]</f>
        <v>26639.197200000006</v>
      </c>
      <c r="AL206" s="5">
        <f>Table1[[#This Row],[UnitPrice]]*Table1[[#This Row],[scenario_quantity]]*(1-Table1[[#This Row],[cap_adjusted_discount]])</f>
        <v>36182.010384000001</v>
      </c>
      <c r="AM206" s="5">
        <f>Table1[[#This Row],[UnitPrice]]*Table1[[#This Row],[Quantity]]*(1-Table1[[#This Row],[DiscountPct]])</f>
        <v>30151.675319999998</v>
      </c>
      <c r="AN206" s="5">
        <f>Table1[[#This Row],[gross_revenue]]-Table1[[#This Row],[cost_of_goods]]</f>
        <v>9970.4653199999957</v>
      </c>
      <c r="AO206" s="5">
        <f>Table1[[#This Row],[scenario_revenue]]-Table1[[#This Row],[Scenario_unit_cost]]</f>
        <v>9542.8131839999951</v>
      </c>
      <c r="AP206" s="5">
        <f>IF(Table1[[#This Row],[gross_revenue]]=0,0,Table1[[#This Row],[gross_profit]]/Table1[[#This Row],[gross_revenue]])</f>
        <v>0.33067699271046663</v>
      </c>
    </row>
    <row r="207" spans="1:42" x14ac:dyDescent="0.35">
      <c r="A207" t="s">
        <v>609</v>
      </c>
      <c r="B207" t="str">
        <f>_xlfn.TEXTAFTER(Table1[[#This Row],[OrderID]],"-",2)</f>
        <v>442776</v>
      </c>
      <c r="C207">
        <f>YEAR(Table1[[#This Row],[OrderDate]])</f>
        <v>2024</v>
      </c>
      <c r="D207" s="9">
        <f>_xlfn.MINIFS(F:F,P:P,Table1[[#This Row],[Country]])</f>
        <v>44946</v>
      </c>
      <c r="E207" s="7">
        <f>DATEDIF(Table1[[#This Row],[first_time_orders]],Table1[[#This Row],[OrderDate]],"m")</f>
        <v>17</v>
      </c>
      <c r="F207" s="9">
        <v>45473</v>
      </c>
      <c r="G207" s="2" t="str">
        <f>TEXT(Table1[[#This Row],[OrderDate]],"MMM-YYYY")</f>
        <v>Jun-2024</v>
      </c>
      <c r="H207" s="7">
        <f>MONTH(Table1[[#This Row],[OrderDate]])</f>
        <v>6</v>
      </c>
      <c r="I207" s="7" t="str">
        <f>"Q"&amp;ROUNDUP(Table1[[#This Row],[months]]/3,0)&amp;"-"&amp;Table1[[#This Row],[order_year]]</f>
        <v>Q2-2024</v>
      </c>
      <c r="J207" s="7">
        <f>Table1[[#This Row],[RequiredDate]]-Table1[[#This Row],[OrderDate]]</f>
        <v>21</v>
      </c>
      <c r="K207" s="7">
        <f>IF(Table1[[#This Row],[lead_time]]&lt;0,MEDIAN(J:J),Table1[[#This Row],[lead_time]])</f>
        <v>21</v>
      </c>
      <c r="L207" s="7">
        <f>IF(Table1[[#This Row],[adj_lead_time]]&lt;=7,1,0)</f>
        <v>0</v>
      </c>
      <c r="M207" s="9">
        <v>45494</v>
      </c>
      <c r="N207" s="9">
        <f>IF(Table1[[#This Row],[lead_time]]&lt;0,(Table1[[#This Row],[OrderDate]]+Table1[[#This Row],[adj_lead_time]]),Table1[[#This Row],[RequiredDate]])</f>
        <v>45494</v>
      </c>
      <c r="O207" t="s">
        <v>646</v>
      </c>
      <c r="P207" t="s">
        <v>650</v>
      </c>
      <c r="Q207" t="s">
        <v>662</v>
      </c>
      <c r="R207" t="s">
        <v>705</v>
      </c>
      <c r="S207" t="s">
        <v>707</v>
      </c>
      <c r="T207" t="s">
        <v>723</v>
      </c>
      <c r="U207" t="s">
        <v>731</v>
      </c>
      <c r="V207" t="s">
        <v>1327</v>
      </c>
      <c r="W207">
        <v>753.43</v>
      </c>
      <c r="X207">
        <f>Table1[[#This Row],[UnitCost]]*(1+'scenario modeling'!$B$3)</f>
        <v>828.77300000000002</v>
      </c>
      <c r="Y207">
        <v>1787.2</v>
      </c>
      <c r="Z207" t="str">
        <f>IF(Table1[[#This Row],[UnitPrice]]&lt;=Quantiles!$B$2,Quantiles!$A$2,IF(Table1[[#This Row],[UnitPrice]]&lt;=Quantiles!$B$3,Quantiles!$A$3,Quantiles!$A$4))</f>
        <v>High</v>
      </c>
      <c r="AA207">
        <v>7.2999999999999995E-2</v>
      </c>
      <c r="AB207" s="5">
        <f>MIN(Table1[[#This Row],[DiscountPct]],'scenario modeling'!$B$2)</f>
        <v>7.2999999999999995E-2</v>
      </c>
      <c r="AC207" t="str">
        <f>IF(Table1[[#This Row],[DiscountPct]]&gt;0.3, "&gt;0.3","")</f>
        <v/>
      </c>
      <c r="AD207">
        <v>9</v>
      </c>
      <c r="AE207">
        <f>Table1[[#This Row],[Quantity]]*(1+'scenario modeling'!$B$4)</f>
        <v>10.799999999999999</v>
      </c>
      <c r="AF207">
        <f>Table1[[#This Row],[UnitCost]]*Table1[[#This Row],[Quantity]]</f>
        <v>6780.87</v>
      </c>
      <c r="AG207">
        <f>SUMIF($U:U,Table1[[#This Row],[ProductCategory]],$AM:AM)</f>
        <v>1711094.3776</v>
      </c>
      <c r="AH207">
        <f>SUMIFS($AM$2:AM207,$U$2:U207,U207)</f>
        <v>436832.97026000003</v>
      </c>
      <c r="AI207" s="5">
        <f>Table1[[#This Row],[Cumulative_revenue]]/Table1[[#This Row],[Category_revenue]]</f>
        <v>0.25529449221422074</v>
      </c>
      <c r="AJ207" t="str">
        <f>IF(Table1[[#This Row],[cumulative_pct]]&lt;=0.8,"A",IF(Table1[[#This Row],[cumulative_pct]]&lt;=0.95,"B","C"))</f>
        <v>A</v>
      </c>
      <c r="AK207">
        <f>Table1[[#This Row],[adj_unit_cost]]*Table1[[#This Row],[scenario_quantity]]</f>
        <v>8950.7483999999986</v>
      </c>
      <c r="AL207" s="5">
        <f>Table1[[#This Row],[UnitPrice]]*Table1[[#This Row],[scenario_quantity]]*(1-Table1[[#This Row],[cap_adjusted_discount]])</f>
        <v>17892.731520000001</v>
      </c>
      <c r="AM207" s="5">
        <f>Table1[[#This Row],[UnitPrice]]*Table1[[#This Row],[Quantity]]*(1-Table1[[#This Row],[DiscountPct]])</f>
        <v>14910.609600000002</v>
      </c>
      <c r="AN207" s="5">
        <f>Table1[[#This Row],[gross_revenue]]-Table1[[#This Row],[cost_of_goods]]</f>
        <v>8129.7396000000017</v>
      </c>
      <c r="AO207" s="5">
        <f>Table1[[#This Row],[scenario_revenue]]-Table1[[#This Row],[Scenario_unit_cost]]</f>
        <v>8941.9831200000026</v>
      </c>
      <c r="AP207" s="5">
        <f>IF(Table1[[#This Row],[gross_revenue]]=0,0,Table1[[#This Row],[gross_profit]]/Table1[[#This Row],[gross_revenue]])</f>
        <v>0.54523187301476939</v>
      </c>
    </row>
    <row r="208" spans="1:42" x14ac:dyDescent="0.35">
      <c r="A208" t="s">
        <v>424</v>
      </c>
      <c r="B208" t="str">
        <f>_xlfn.TEXTAFTER(Table1[[#This Row],[OrderID]],"-",2)</f>
        <v>542244</v>
      </c>
      <c r="C208">
        <f>YEAR(Table1[[#This Row],[OrderDate]])</f>
        <v>2024</v>
      </c>
      <c r="D208" s="9">
        <f>_xlfn.MINIFS(F:F,P:P,Table1[[#This Row],[Country]])</f>
        <v>44988</v>
      </c>
      <c r="E208" s="7">
        <f>DATEDIF(Table1[[#This Row],[first_time_orders]],Table1[[#This Row],[OrderDate]],"m")</f>
        <v>17</v>
      </c>
      <c r="F208" s="9">
        <v>45534</v>
      </c>
      <c r="G208" s="2" t="str">
        <f>TEXT(Table1[[#This Row],[OrderDate]],"MMM-YYYY")</f>
        <v>Aug-2024</v>
      </c>
      <c r="H208" s="7">
        <f>MONTH(Table1[[#This Row],[OrderDate]])</f>
        <v>8</v>
      </c>
      <c r="I208" s="7" t="str">
        <f>"Q"&amp;ROUNDUP(Table1[[#This Row],[months]]/3,0)&amp;"-"&amp;Table1[[#This Row],[order_year]]</f>
        <v>Q3-2024</v>
      </c>
      <c r="J208" s="7">
        <f>Table1[[#This Row],[RequiredDate]]-Table1[[#This Row],[OrderDate]]</f>
        <v>6</v>
      </c>
      <c r="K208" s="7">
        <f>IF(Table1[[#This Row],[lead_time]]&lt;0,MEDIAN(J:J),Table1[[#This Row],[lead_time]])</f>
        <v>6</v>
      </c>
      <c r="L208" s="7">
        <f>IF(Table1[[#This Row],[adj_lead_time]]&lt;=7,1,0)</f>
        <v>1</v>
      </c>
      <c r="M208" s="9">
        <v>45540</v>
      </c>
      <c r="N208" s="9">
        <f>IF(Table1[[#This Row],[lead_time]]&lt;0,(Table1[[#This Row],[OrderDate]]+Table1[[#This Row],[adj_lead_time]]),Table1[[#This Row],[RequiredDate]])</f>
        <v>45540</v>
      </c>
      <c r="O208" t="s">
        <v>647</v>
      </c>
      <c r="P208" t="s">
        <v>652</v>
      </c>
      <c r="Q208" t="s">
        <v>694</v>
      </c>
      <c r="R208" t="s">
        <v>702</v>
      </c>
      <c r="S208" t="s">
        <v>708</v>
      </c>
      <c r="T208" t="s">
        <v>725</v>
      </c>
      <c r="U208" t="s">
        <v>731</v>
      </c>
      <c r="V208" t="s">
        <v>1143</v>
      </c>
      <c r="W208">
        <v>466.16</v>
      </c>
      <c r="X208">
        <f>Table1[[#This Row],[UnitCost]]*(1+'scenario modeling'!$B$3)</f>
        <v>512.77600000000007</v>
      </c>
      <c r="Y208">
        <v>876.81</v>
      </c>
      <c r="Z208" t="str">
        <f>IF(Table1[[#This Row],[UnitPrice]]&lt;=Quantiles!$B$2,Quantiles!$A$2,IF(Table1[[#This Row],[UnitPrice]]&lt;=Quantiles!$B$3,Quantiles!$A$3,Quantiles!$A$4))</f>
        <v>Medium</v>
      </c>
      <c r="AA208">
        <v>0.24099999999999999</v>
      </c>
      <c r="AB208" s="5">
        <f>MIN(Table1[[#This Row],[DiscountPct]],'scenario modeling'!$B$2)</f>
        <v>0.1</v>
      </c>
      <c r="AC208" t="str">
        <f>IF(Table1[[#This Row],[DiscountPct]]&gt;0.3, "&gt;0.3","")</f>
        <v/>
      </c>
      <c r="AD208">
        <v>8</v>
      </c>
      <c r="AE208">
        <f>Table1[[#This Row],[Quantity]]*(1+'scenario modeling'!$B$4)</f>
        <v>9.6</v>
      </c>
      <c r="AF208">
        <f>Table1[[#This Row],[UnitCost]]*Table1[[#This Row],[Quantity]]</f>
        <v>3729.28</v>
      </c>
      <c r="AG208">
        <f>SUMIF($U:U,Table1[[#This Row],[ProductCategory]],$AM:AM)</f>
        <v>1711094.3776</v>
      </c>
      <c r="AH208">
        <f>SUMIFS($AM$2:AM208,$U$2:U208,U208)</f>
        <v>442156.96058000001</v>
      </c>
      <c r="AI208" s="5">
        <f>Table1[[#This Row],[Cumulative_revenue]]/Table1[[#This Row],[Category_revenue]]</f>
        <v>0.25840594555641888</v>
      </c>
      <c r="AJ208" t="str">
        <f>IF(Table1[[#This Row],[cumulative_pct]]&lt;=0.8,"A",IF(Table1[[#This Row],[cumulative_pct]]&lt;=0.95,"B","C"))</f>
        <v>A</v>
      </c>
      <c r="AK208">
        <f>Table1[[#This Row],[adj_unit_cost]]*Table1[[#This Row],[scenario_quantity]]</f>
        <v>4922.6496000000006</v>
      </c>
      <c r="AL208" s="5">
        <f>Table1[[#This Row],[UnitPrice]]*Table1[[#This Row],[scenario_quantity]]*(1-Table1[[#This Row],[cap_adjusted_discount]])</f>
        <v>7575.6383999999989</v>
      </c>
      <c r="AM208" s="5">
        <f>Table1[[#This Row],[UnitPrice]]*Table1[[#This Row],[Quantity]]*(1-Table1[[#This Row],[DiscountPct]])</f>
        <v>5323.9903199999999</v>
      </c>
      <c r="AN208" s="5">
        <f>Table1[[#This Row],[gross_revenue]]-Table1[[#This Row],[cost_of_goods]]</f>
        <v>1594.7103199999997</v>
      </c>
      <c r="AO208" s="5">
        <f>Table1[[#This Row],[scenario_revenue]]-Table1[[#This Row],[Scenario_unit_cost]]</f>
        <v>2652.9887999999983</v>
      </c>
      <c r="AP208" s="5">
        <f>IF(Table1[[#This Row],[gross_revenue]]=0,0,Table1[[#This Row],[gross_profit]]/Table1[[#This Row],[gross_revenue]])</f>
        <v>0.29953291124691594</v>
      </c>
    </row>
    <row r="209" spans="1:42" x14ac:dyDescent="0.35">
      <c r="A209" t="s">
        <v>35</v>
      </c>
      <c r="B209" t="str">
        <f>_xlfn.TEXTAFTER(Table1[[#This Row],[OrderID]],"-",2)</f>
        <v>798002</v>
      </c>
      <c r="C209">
        <f>YEAR(Table1[[#This Row],[OrderDate]])</f>
        <v>2024</v>
      </c>
      <c r="D209" s="9">
        <f>_xlfn.MINIFS(F:F,P:P,Table1[[#This Row],[Country]])</f>
        <v>44946</v>
      </c>
      <c r="E209" s="7">
        <f>DATEDIF(Table1[[#This Row],[first_time_orders]],Table1[[#This Row],[OrderDate]],"m")</f>
        <v>18</v>
      </c>
      <c r="F209" s="9">
        <v>45498</v>
      </c>
      <c r="G209" s="2" t="str">
        <f>TEXT(Table1[[#This Row],[OrderDate]],"MMM-YYYY")</f>
        <v>Jul-2024</v>
      </c>
      <c r="H209" s="7">
        <f>MONTH(Table1[[#This Row],[OrderDate]])</f>
        <v>7</v>
      </c>
      <c r="I209" s="7" t="str">
        <f>"Q"&amp;ROUNDUP(Table1[[#This Row],[months]]/3,0)&amp;"-"&amp;Table1[[#This Row],[order_year]]</f>
        <v>Q3-2024</v>
      </c>
      <c r="J209" s="7">
        <f>Table1[[#This Row],[RequiredDate]]-Table1[[#This Row],[OrderDate]]</f>
        <v>-1</v>
      </c>
      <c r="K209" s="7">
        <f>IF(Table1[[#This Row],[lead_time]]&lt;0,MEDIAN(J:J),Table1[[#This Row],[lead_time]])</f>
        <v>15</v>
      </c>
      <c r="L209" s="7">
        <f>IF(Table1[[#This Row],[adj_lead_time]]&lt;=7,1,0)</f>
        <v>0</v>
      </c>
      <c r="M209" s="9">
        <v>45497</v>
      </c>
      <c r="N209" s="9">
        <f>IF(Table1[[#This Row],[lead_time]]&lt;0,(Table1[[#This Row],[OrderDate]]+Table1[[#This Row],[adj_lead_time]]),Table1[[#This Row],[RequiredDate]])</f>
        <v>45513</v>
      </c>
      <c r="O209" t="s">
        <v>646</v>
      </c>
      <c r="P209" t="s">
        <v>650</v>
      </c>
      <c r="Q209" t="s">
        <v>675</v>
      </c>
      <c r="R209" t="s">
        <v>703</v>
      </c>
      <c r="S209" t="s">
        <v>711</v>
      </c>
      <c r="T209" t="s">
        <v>713</v>
      </c>
      <c r="U209" t="s">
        <v>731</v>
      </c>
      <c r="V209" t="s">
        <v>754</v>
      </c>
      <c r="W209">
        <v>1494.4</v>
      </c>
      <c r="X209">
        <f>Table1[[#This Row],[UnitCost]]*(1+'scenario modeling'!$B$3)</f>
        <v>1643.8400000000001</v>
      </c>
      <c r="Y209">
        <v>3661.07</v>
      </c>
      <c r="Z209" t="str">
        <f>IF(Table1[[#This Row],[UnitPrice]]&lt;=Quantiles!$B$2,Quantiles!$A$2,IF(Table1[[#This Row],[UnitPrice]]&lt;=Quantiles!$B$3,Quantiles!$A$3,Quantiles!$A$4))</f>
        <v>High</v>
      </c>
      <c r="AA209">
        <v>7.1999999999999995E-2</v>
      </c>
      <c r="AB209" s="5">
        <f>MIN(Table1[[#This Row],[DiscountPct]],'scenario modeling'!$B$2)</f>
        <v>7.1999999999999995E-2</v>
      </c>
      <c r="AC209" t="str">
        <f>IF(Table1[[#This Row],[DiscountPct]]&gt;0.3, "&gt;0.3","")</f>
        <v/>
      </c>
      <c r="AD209">
        <v>7</v>
      </c>
      <c r="AE209">
        <f>Table1[[#This Row],[Quantity]]*(1+'scenario modeling'!$B$4)</f>
        <v>8.4</v>
      </c>
      <c r="AF209">
        <f>Table1[[#This Row],[UnitCost]]*Table1[[#This Row],[Quantity]]</f>
        <v>10460.800000000001</v>
      </c>
      <c r="AG209">
        <f>SUMIF($U:U,Table1[[#This Row],[ProductCategory]],$AM:AM)</f>
        <v>1711094.3776</v>
      </c>
      <c r="AH209">
        <f>SUMIFS($AM$2:AM209,$U$2:U209,U209)</f>
        <v>465939.27130000002</v>
      </c>
      <c r="AI209" s="5">
        <f>Table1[[#This Row],[Cumulative_revenue]]/Table1[[#This Row],[Category_revenue]]</f>
        <v>0.27230483449634824</v>
      </c>
      <c r="AJ209" t="str">
        <f>IF(Table1[[#This Row],[cumulative_pct]]&lt;=0.8,"A",IF(Table1[[#This Row],[cumulative_pct]]&lt;=0.95,"B","C"))</f>
        <v>A</v>
      </c>
      <c r="AK209">
        <f>Table1[[#This Row],[adj_unit_cost]]*Table1[[#This Row],[scenario_quantity]]</f>
        <v>13808.256000000001</v>
      </c>
      <c r="AL209" s="5">
        <f>Table1[[#This Row],[UnitPrice]]*Table1[[#This Row],[scenario_quantity]]*(1-Table1[[#This Row],[cap_adjusted_discount]])</f>
        <v>28538.772864000002</v>
      </c>
      <c r="AM209" s="5">
        <f>Table1[[#This Row],[UnitPrice]]*Table1[[#This Row],[Quantity]]*(1-Table1[[#This Row],[DiscountPct]])</f>
        <v>23782.310720000001</v>
      </c>
      <c r="AN209" s="5">
        <f>Table1[[#This Row],[gross_revenue]]-Table1[[#This Row],[cost_of_goods]]</f>
        <v>13321.51072</v>
      </c>
      <c r="AO209" s="5">
        <f>Table1[[#This Row],[scenario_revenue]]-Table1[[#This Row],[Scenario_unit_cost]]</f>
        <v>14730.516864000001</v>
      </c>
      <c r="AP209" s="5">
        <f>IF(Table1[[#This Row],[gross_revenue]]=0,0,Table1[[#This Row],[gross_profit]]/Table1[[#This Row],[gross_revenue]])</f>
        <v>0.56014366630897339</v>
      </c>
    </row>
    <row r="210" spans="1:42" x14ac:dyDescent="0.35">
      <c r="A210" t="s">
        <v>598</v>
      </c>
      <c r="B210" t="str">
        <f>_xlfn.TEXTAFTER(Table1[[#This Row],[OrderID]],"-",2)</f>
        <v>689872</v>
      </c>
      <c r="C210">
        <f>YEAR(Table1[[#This Row],[OrderDate]])</f>
        <v>2024</v>
      </c>
      <c r="D210" s="9">
        <f>_xlfn.MINIFS(F:F,P:P,Table1[[#This Row],[Country]])</f>
        <v>44946</v>
      </c>
      <c r="E210" s="7">
        <f>DATEDIF(Table1[[#This Row],[first_time_orders]],Table1[[#This Row],[OrderDate]],"m")</f>
        <v>18</v>
      </c>
      <c r="F210" s="9">
        <v>45507</v>
      </c>
      <c r="G210" s="2" t="str">
        <f>TEXT(Table1[[#This Row],[OrderDate]],"MMM-YYYY")</f>
        <v>Aug-2024</v>
      </c>
      <c r="H210" s="7">
        <f>MONTH(Table1[[#This Row],[OrderDate]])</f>
        <v>8</v>
      </c>
      <c r="I210" s="7" t="str">
        <f>"Q"&amp;ROUNDUP(Table1[[#This Row],[months]]/3,0)&amp;"-"&amp;Table1[[#This Row],[order_year]]</f>
        <v>Q3-2024</v>
      </c>
      <c r="J210" s="7">
        <f>Table1[[#This Row],[RequiredDate]]-Table1[[#This Row],[OrderDate]]</f>
        <v>6</v>
      </c>
      <c r="K210" s="7">
        <f>IF(Table1[[#This Row],[lead_time]]&lt;0,MEDIAN(J:J),Table1[[#This Row],[lead_time]])</f>
        <v>6</v>
      </c>
      <c r="L210" s="7">
        <f>IF(Table1[[#This Row],[adj_lead_time]]&lt;=7,1,0)</f>
        <v>1</v>
      </c>
      <c r="M210" s="9">
        <v>45513</v>
      </c>
      <c r="N210" s="9">
        <f>IF(Table1[[#This Row],[lead_time]]&lt;0,(Table1[[#This Row],[OrderDate]]+Table1[[#This Row],[adj_lead_time]]),Table1[[#This Row],[RequiredDate]])</f>
        <v>45513</v>
      </c>
      <c r="O210" t="s">
        <v>646</v>
      </c>
      <c r="P210" t="s">
        <v>650</v>
      </c>
      <c r="Q210" t="s">
        <v>675</v>
      </c>
      <c r="R210" t="s">
        <v>704</v>
      </c>
      <c r="S210" t="s">
        <v>709</v>
      </c>
      <c r="T210" t="s">
        <v>722</v>
      </c>
      <c r="U210" t="s">
        <v>731</v>
      </c>
      <c r="V210" t="s">
        <v>1316</v>
      </c>
      <c r="W210">
        <v>643.21</v>
      </c>
      <c r="X210">
        <f>Table1[[#This Row],[UnitCost]]*(1+'scenario modeling'!$B$3)</f>
        <v>707.53100000000006</v>
      </c>
      <c r="Y210">
        <v>1112.81</v>
      </c>
      <c r="Z210" t="str">
        <f>IF(Table1[[#This Row],[UnitPrice]]&lt;=Quantiles!$B$2,Quantiles!$A$2,IF(Table1[[#This Row],[UnitPrice]]&lt;=Quantiles!$B$3,Quantiles!$A$3,Quantiles!$A$4))</f>
        <v>Medium</v>
      </c>
      <c r="AA210">
        <v>0.14099999999999999</v>
      </c>
      <c r="AB210" s="5">
        <f>MIN(Table1[[#This Row],[DiscountPct]],'scenario modeling'!$B$2)</f>
        <v>0.1</v>
      </c>
      <c r="AC210" t="str">
        <f>IF(Table1[[#This Row],[DiscountPct]]&gt;0.3, "&gt;0.3","")</f>
        <v/>
      </c>
      <c r="AD210">
        <v>4</v>
      </c>
      <c r="AE210">
        <f>Table1[[#This Row],[Quantity]]*(1+'scenario modeling'!$B$4)</f>
        <v>4.8</v>
      </c>
      <c r="AF210">
        <f>Table1[[#This Row],[UnitCost]]*Table1[[#This Row],[Quantity]]</f>
        <v>2572.84</v>
      </c>
      <c r="AG210">
        <f>SUMIF($U:U,Table1[[#This Row],[ProductCategory]],$AM:AM)</f>
        <v>1711094.3776</v>
      </c>
      <c r="AH210">
        <f>SUMIFS($AM$2:AM210,$U$2:U210,U210)</f>
        <v>469762.88646000001</v>
      </c>
      <c r="AI210" s="5">
        <f>Table1[[#This Row],[Cumulative_revenue]]/Table1[[#This Row],[Category_revenue]]</f>
        <v>0.27453943663755981</v>
      </c>
      <c r="AJ210" t="str">
        <f>IF(Table1[[#This Row],[cumulative_pct]]&lt;=0.8,"A",IF(Table1[[#This Row],[cumulative_pct]]&lt;=0.95,"B","C"))</f>
        <v>A</v>
      </c>
      <c r="AK210">
        <f>Table1[[#This Row],[adj_unit_cost]]*Table1[[#This Row],[scenario_quantity]]</f>
        <v>3396.1488000000004</v>
      </c>
      <c r="AL210" s="5">
        <f>Table1[[#This Row],[UnitPrice]]*Table1[[#This Row],[scenario_quantity]]*(1-Table1[[#This Row],[cap_adjusted_discount]])</f>
        <v>4807.3391999999994</v>
      </c>
      <c r="AM210" s="5">
        <f>Table1[[#This Row],[UnitPrice]]*Table1[[#This Row],[Quantity]]*(1-Table1[[#This Row],[DiscountPct]])</f>
        <v>3823.6151599999998</v>
      </c>
      <c r="AN210" s="5">
        <f>Table1[[#This Row],[gross_revenue]]-Table1[[#This Row],[cost_of_goods]]</f>
        <v>1250.7751599999997</v>
      </c>
      <c r="AO210" s="5">
        <f>Table1[[#This Row],[scenario_revenue]]-Table1[[#This Row],[Scenario_unit_cost]]</f>
        <v>1411.190399999999</v>
      </c>
      <c r="AP210" s="5">
        <f>IF(Table1[[#This Row],[gross_revenue]]=0,0,Table1[[#This Row],[gross_profit]]/Table1[[#This Row],[gross_revenue]])</f>
        <v>0.32711847496702562</v>
      </c>
    </row>
    <row r="211" spans="1:42" x14ac:dyDescent="0.35">
      <c r="A211" t="s">
        <v>206</v>
      </c>
      <c r="B211" t="str">
        <f>_xlfn.TEXTAFTER(Table1[[#This Row],[OrderID]],"-",2)</f>
        <v>212990</v>
      </c>
      <c r="C211">
        <f>YEAR(Table1[[#This Row],[OrderDate]])</f>
        <v>2024</v>
      </c>
      <c r="D211" s="9">
        <f>_xlfn.MINIFS(F:F,P:P,Table1[[#This Row],[Country]])</f>
        <v>44939</v>
      </c>
      <c r="E211" s="7">
        <f>DATEDIF(Table1[[#This Row],[first_time_orders]],Table1[[#This Row],[OrderDate]],"m")</f>
        <v>18</v>
      </c>
      <c r="F211" s="9">
        <v>45516</v>
      </c>
      <c r="G211" s="2" t="str">
        <f>TEXT(Table1[[#This Row],[OrderDate]],"MMM-YYYY")</f>
        <v>Aug-2024</v>
      </c>
      <c r="H211" s="7">
        <f>MONTH(Table1[[#This Row],[OrderDate]])</f>
        <v>8</v>
      </c>
      <c r="I211" s="7" t="str">
        <f>"Q"&amp;ROUNDUP(Table1[[#This Row],[months]]/3,0)&amp;"-"&amp;Table1[[#This Row],[order_year]]</f>
        <v>Q3-2024</v>
      </c>
      <c r="J211" s="7">
        <f>Table1[[#This Row],[RequiredDate]]-Table1[[#This Row],[OrderDate]]</f>
        <v>22</v>
      </c>
      <c r="K211" s="7">
        <f>IF(Table1[[#This Row],[lead_time]]&lt;0,MEDIAN(J:J),Table1[[#This Row],[lead_time]])</f>
        <v>22</v>
      </c>
      <c r="L211" s="7">
        <f>IF(Table1[[#This Row],[adj_lead_time]]&lt;=7,1,0)</f>
        <v>0</v>
      </c>
      <c r="M211" s="9">
        <v>45538</v>
      </c>
      <c r="N211" s="9">
        <f>IF(Table1[[#This Row],[lead_time]]&lt;0,(Table1[[#This Row],[OrderDate]]+Table1[[#This Row],[adj_lead_time]]),Table1[[#This Row],[RequiredDate]])</f>
        <v>45538</v>
      </c>
      <c r="O211" t="s">
        <v>648</v>
      </c>
      <c r="P211" t="s">
        <v>660</v>
      </c>
      <c r="Q211" t="s">
        <v>697</v>
      </c>
      <c r="R211" t="s">
        <v>704</v>
      </c>
      <c r="S211" t="s">
        <v>710</v>
      </c>
      <c r="T211" t="s">
        <v>714</v>
      </c>
      <c r="U211" t="s">
        <v>731</v>
      </c>
      <c r="V211" t="s">
        <v>926</v>
      </c>
      <c r="W211">
        <v>797.8</v>
      </c>
      <c r="X211">
        <f>Table1[[#This Row],[UnitCost]]*(1+'scenario modeling'!$B$3)</f>
        <v>877.58</v>
      </c>
      <c r="Y211">
        <v>886.22</v>
      </c>
      <c r="Z211" t="str">
        <f>IF(Table1[[#This Row],[UnitPrice]]&lt;=Quantiles!$B$2,Quantiles!$A$2,IF(Table1[[#This Row],[UnitPrice]]&lt;=Quantiles!$B$3,Quantiles!$A$3,Quantiles!$A$4))</f>
        <v>Medium</v>
      </c>
      <c r="AA211">
        <v>0.23599999999999999</v>
      </c>
      <c r="AB211" s="5">
        <f>MIN(Table1[[#This Row],[DiscountPct]],'scenario modeling'!$B$2)</f>
        <v>0.1</v>
      </c>
      <c r="AC211" t="str">
        <f>IF(Table1[[#This Row],[DiscountPct]]&gt;0.3, "&gt;0.3","")</f>
        <v/>
      </c>
      <c r="AD211">
        <v>36</v>
      </c>
      <c r="AE211">
        <f>Table1[[#This Row],[Quantity]]*(1+'scenario modeling'!$B$4)</f>
        <v>43.199999999999996</v>
      </c>
      <c r="AF211">
        <f>Table1[[#This Row],[UnitCost]]*Table1[[#This Row],[Quantity]]</f>
        <v>28720.799999999999</v>
      </c>
      <c r="AG211">
        <f>SUMIF($U:U,Table1[[#This Row],[ProductCategory]],$AM:AM)</f>
        <v>1711094.3776</v>
      </c>
      <c r="AH211">
        <f>SUMIFS($AM$2:AM211,$U$2:U211,U211)</f>
        <v>494137.48134</v>
      </c>
      <c r="AI211" s="5">
        <f>Table1[[#This Row],[Cumulative_revenue]]/Table1[[#This Row],[Category_revenue]]</f>
        <v>0.2887844690560451</v>
      </c>
      <c r="AJ211" t="str">
        <f>IF(Table1[[#This Row],[cumulative_pct]]&lt;=0.8,"A",IF(Table1[[#This Row],[cumulative_pct]]&lt;=0.95,"B","C"))</f>
        <v>A</v>
      </c>
      <c r="AK211">
        <f>Table1[[#This Row],[adj_unit_cost]]*Table1[[#This Row],[scenario_quantity]]</f>
        <v>37911.455999999998</v>
      </c>
      <c r="AL211" s="5">
        <f>Table1[[#This Row],[UnitPrice]]*Table1[[#This Row],[scenario_quantity]]*(1-Table1[[#This Row],[cap_adjusted_discount]])</f>
        <v>34456.2336</v>
      </c>
      <c r="AM211" s="5">
        <f>Table1[[#This Row],[UnitPrice]]*Table1[[#This Row],[Quantity]]*(1-Table1[[#This Row],[DiscountPct]])</f>
        <v>24374.594880000001</v>
      </c>
      <c r="AN211" s="5">
        <f>Table1[[#This Row],[gross_revenue]]-Table1[[#This Row],[cost_of_goods]]</f>
        <v>-4346.2051199999987</v>
      </c>
      <c r="AO211" s="5">
        <f>Table1[[#This Row],[scenario_revenue]]-Table1[[#This Row],[Scenario_unit_cost]]</f>
        <v>-3455.2223999999987</v>
      </c>
      <c r="AP211" s="5">
        <f>IF(Table1[[#This Row],[gross_revenue]]=0,0,Table1[[#This Row],[gross_profit]]/Table1[[#This Row],[gross_revenue]])</f>
        <v>-0.17830881462428633</v>
      </c>
    </row>
    <row r="212" spans="1:42" x14ac:dyDescent="0.35">
      <c r="A212" t="s">
        <v>597</v>
      </c>
      <c r="B212" t="str">
        <f>_xlfn.TEXTAFTER(Table1[[#This Row],[OrderID]],"-",2)</f>
        <v>594527</v>
      </c>
      <c r="C212">
        <f>YEAR(Table1[[#This Row],[OrderDate]])</f>
        <v>2024</v>
      </c>
      <c r="D212" s="9">
        <f>_xlfn.MINIFS(F:F,P:P,Table1[[#This Row],[Country]])</f>
        <v>44988</v>
      </c>
      <c r="E212" s="7">
        <f>DATEDIF(Table1[[#This Row],[first_time_orders]],Table1[[#This Row],[OrderDate]],"m")</f>
        <v>18</v>
      </c>
      <c r="F212" s="9">
        <v>45541</v>
      </c>
      <c r="G212" s="2" t="str">
        <f>TEXT(Table1[[#This Row],[OrderDate]],"MMM-YYYY")</f>
        <v>Sept-2024</v>
      </c>
      <c r="H212" s="7">
        <f>MONTH(Table1[[#This Row],[OrderDate]])</f>
        <v>9</v>
      </c>
      <c r="I212" s="7" t="str">
        <f>"Q"&amp;ROUNDUP(Table1[[#This Row],[months]]/3,0)&amp;"-"&amp;Table1[[#This Row],[order_year]]</f>
        <v>Q3-2024</v>
      </c>
      <c r="J212" s="7">
        <f>Table1[[#This Row],[RequiredDate]]-Table1[[#This Row],[OrderDate]]</f>
        <v>-2</v>
      </c>
      <c r="K212" s="7">
        <f>IF(Table1[[#This Row],[lead_time]]&lt;0,MEDIAN(J:J),Table1[[#This Row],[lead_time]])</f>
        <v>15</v>
      </c>
      <c r="L212" s="7">
        <f>IF(Table1[[#This Row],[adj_lead_time]]&lt;=7,1,0)</f>
        <v>0</v>
      </c>
      <c r="M212" s="9">
        <v>45539</v>
      </c>
      <c r="N212" s="9">
        <f>IF(Table1[[#This Row],[lead_time]]&lt;0,(Table1[[#This Row],[OrderDate]]+Table1[[#This Row],[adj_lead_time]]),Table1[[#This Row],[RequiredDate]])</f>
        <v>45556</v>
      </c>
      <c r="O212" t="s">
        <v>647</v>
      </c>
      <c r="P212" t="s">
        <v>652</v>
      </c>
      <c r="Q212" t="s">
        <v>666</v>
      </c>
      <c r="R212" t="s">
        <v>701</v>
      </c>
      <c r="S212" t="s">
        <v>711</v>
      </c>
      <c r="T212" t="s">
        <v>720</v>
      </c>
      <c r="U212" t="s">
        <v>731</v>
      </c>
      <c r="V212" t="s">
        <v>1315</v>
      </c>
      <c r="W212">
        <v>1368.17</v>
      </c>
      <c r="X212">
        <f>Table1[[#This Row],[UnitCost]]*(1+'scenario modeling'!$B$3)</f>
        <v>1504.9870000000003</v>
      </c>
      <c r="Y212">
        <v>2307.75</v>
      </c>
      <c r="Z212" t="str">
        <f>IF(Table1[[#This Row],[UnitPrice]]&lt;=Quantiles!$B$2,Quantiles!$A$2,IF(Table1[[#This Row],[UnitPrice]]&lt;=Quantiles!$B$3,Quantiles!$A$3,Quantiles!$A$4))</f>
        <v>High</v>
      </c>
      <c r="AA212">
        <v>0.16300000000000001</v>
      </c>
      <c r="AB212" s="5">
        <f>MIN(Table1[[#This Row],[DiscountPct]],'scenario modeling'!$B$2)</f>
        <v>0.1</v>
      </c>
      <c r="AC212" t="str">
        <f>IF(Table1[[#This Row],[DiscountPct]]&gt;0.3, "&gt;0.3","")</f>
        <v/>
      </c>
      <c r="AD212">
        <v>21</v>
      </c>
      <c r="AE212">
        <f>Table1[[#This Row],[Quantity]]*(1+'scenario modeling'!$B$4)</f>
        <v>25.2</v>
      </c>
      <c r="AF212">
        <f>Table1[[#This Row],[UnitCost]]*Table1[[#This Row],[Quantity]]</f>
        <v>28731.57</v>
      </c>
      <c r="AG212">
        <f>SUMIF($U:U,Table1[[#This Row],[ProductCategory]],$AM:AM)</f>
        <v>1711094.3776</v>
      </c>
      <c r="AH212">
        <f>SUMIFS($AM$2:AM212,$U$2:U212,U212)</f>
        <v>534700.80308999994</v>
      </c>
      <c r="AI212" s="5">
        <f>Table1[[#This Row],[Cumulative_revenue]]/Table1[[#This Row],[Category_revenue]]</f>
        <v>0.31249053827175638</v>
      </c>
      <c r="AJ212" t="str">
        <f>IF(Table1[[#This Row],[cumulative_pct]]&lt;=0.8,"A",IF(Table1[[#This Row],[cumulative_pct]]&lt;=0.95,"B","C"))</f>
        <v>A</v>
      </c>
      <c r="AK212">
        <f>Table1[[#This Row],[adj_unit_cost]]*Table1[[#This Row],[scenario_quantity]]</f>
        <v>37925.672400000003</v>
      </c>
      <c r="AL212" s="5">
        <f>Table1[[#This Row],[UnitPrice]]*Table1[[#This Row],[scenario_quantity]]*(1-Table1[[#This Row],[cap_adjusted_discount]])</f>
        <v>52339.77</v>
      </c>
      <c r="AM212" s="5">
        <f>Table1[[#This Row],[UnitPrice]]*Table1[[#This Row],[Quantity]]*(1-Table1[[#This Row],[DiscountPct]])</f>
        <v>40563.321749999996</v>
      </c>
      <c r="AN212" s="5">
        <f>Table1[[#This Row],[gross_revenue]]-Table1[[#This Row],[cost_of_goods]]</f>
        <v>11831.751749999996</v>
      </c>
      <c r="AO212" s="5">
        <f>Table1[[#This Row],[scenario_revenue]]-Table1[[#This Row],[Scenario_unit_cost]]</f>
        <v>14414.097599999994</v>
      </c>
      <c r="AP212" s="5">
        <f>IF(Table1[[#This Row],[gross_revenue]]=0,0,Table1[[#This Row],[gross_profit]]/Table1[[#This Row],[gross_revenue]])</f>
        <v>0.29168596750831921</v>
      </c>
    </row>
    <row r="213" spans="1:42" x14ac:dyDescent="0.35">
      <c r="A213" t="s">
        <v>417</v>
      </c>
      <c r="B213" t="str">
        <f>_xlfn.TEXTAFTER(Table1[[#This Row],[OrderID]],"-",2)</f>
        <v>678110</v>
      </c>
      <c r="C213">
        <f>YEAR(Table1[[#This Row],[OrderDate]])</f>
        <v>2024</v>
      </c>
      <c r="D213" s="9">
        <f>_xlfn.MINIFS(F:F,P:P,Table1[[#This Row],[Country]])</f>
        <v>44936</v>
      </c>
      <c r="E213" s="7">
        <f>DATEDIF(Table1[[#This Row],[first_time_orders]],Table1[[#This Row],[OrderDate]],"m")</f>
        <v>18</v>
      </c>
      <c r="F213" s="9">
        <v>45497</v>
      </c>
      <c r="G213" s="2" t="str">
        <f>TEXT(Table1[[#This Row],[OrderDate]],"MMM-YYYY")</f>
        <v>Jul-2024</v>
      </c>
      <c r="H213" s="7">
        <f>MONTH(Table1[[#This Row],[OrderDate]])</f>
        <v>7</v>
      </c>
      <c r="I213" s="7" t="str">
        <f>"Q"&amp;ROUNDUP(Table1[[#This Row],[months]]/3,0)&amp;"-"&amp;Table1[[#This Row],[order_year]]</f>
        <v>Q3-2024</v>
      </c>
      <c r="J213" s="7">
        <f>Table1[[#This Row],[RequiredDate]]-Table1[[#This Row],[OrderDate]]</f>
        <v>15</v>
      </c>
      <c r="K213" s="7">
        <f>IF(Table1[[#This Row],[lead_time]]&lt;0,MEDIAN(J:J),Table1[[#This Row],[lead_time]])</f>
        <v>15</v>
      </c>
      <c r="L213" s="7">
        <f>IF(Table1[[#This Row],[adj_lead_time]]&lt;=7,1,0)</f>
        <v>0</v>
      </c>
      <c r="M213" s="9">
        <v>45512</v>
      </c>
      <c r="N213" s="9">
        <f>IF(Table1[[#This Row],[lead_time]]&lt;0,(Table1[[#This Row],[OrderDate]]+Table1[[#This Row],[adj_lead_time]]),Table1[[#This Row],[RequiredDate]])</f>
        <v>45512</v>
      </c>
      <c r="O213" t="s">
        <v>649</v>
      </c>
      <c r="P213" t="s">
        <v>657</v>
      </c>
      <c r="Q213" t="s">
        <v>673</v>
      </c>
      <c r="R213" t="s">
        <v>706</v>
      </c>
      <c r="S213" t="s">
        <v>709</v>
      </c>
      <c r="T213" t="s">
        <v>722</v>
      </c>
      <c r="U213" t="s">
        <v>731</v>
      </c>
      <c r="V213" t="s">
        <v>1136</v>
      </c>
      <c r="W213">
        <v>501.5</v>
      </c>
      <c r="X213">
        <f>Table1[[#This Row],[UnitCost]]*(1+'scenario modeling'!$B$3)</f>
        <v>551.65000000000009</v>
      </c>
      <c r="Y213">
        <v>1201.47</v>
      </c>
      <c r="Z213" t="str">
        <f>IF(Table1[[#This Row],[UnitPrice]]&lt;=Quantiles!$B$2,Quantiles!$A$2,IF(Table1[[#This Row],[UnitPrice]]&lt;=Quantiles!$B$3,Quantiles!$A$3,Quantiles!$A$4))</f>
        <v>Medium</v>
      </c>
      <c r="AA213">
        <v>0.126</v>
      </c>
      <c r="AB213" s="5">
        <f>MIN(Table1[[#This Row],[DiscountPct]],'scenario modeling'!$B$2)</f>
        <v>0.1</v>
      </c>
      <c r="AC213" t="str">
        <f>IF(Table1[[#This Row],[DiscountPct]]&gt;0.3, "&gt;0.3","")</f>
        <v/>
      </c>
      <c r="AD213">
        <v>5</v>
      </c>
      <c r="AE213">
        <f>Table1[[#This Row],[Quantity]]*(1+'scenario modeling'!$B$4)</f>
        <v>6</v>
      </c>
      <c r="AF213">
        <f>Table1[[#This Row],[UnitCost]]*Table1[[#This Row],[Quantity]]</f>
        <v>2507.5</v>
      </c>
      <c r="AG213">
        <f>SUMIF($U:U,Table1[[#This Row],[ProductCategory]],$AM:AM)</f>
        <v>1711094.3776</v>
      </c>
      <c r="AH213">
        <f>SUMIFS($AM$2:AM213,$U$2:U213,U213)</f>
        <v>539951.22699</v>
      </c>
      <c r="AI213" s="5">
        <f>Table1[[#This Row],[Cumulative_revenue]]/Table1[[#This Row],[Category_revenue]]</f>
        <v>0.31555899783116675</v>
      </c>
      <c r="AJ213" t="str">
        <f>IF(Table1[[#This Row],[cumulative_pct]]&lt;=0.8,"A",IF(Table1[[#This Row],[cumulative_pct]]&lt;=0.95,"B","C"))</f>
        <v>A</v>
      </c>
      <c r="AK213">
        <f>Table1[[#This Row],[adj_unit_cost]]*Table1[[#This Row],[scenario_quantity]]</f>
        <v>3309.9000000000005</v>
      </c>
      <c r="AL213" s="5">
        <f>Table1[[#This Row],[UnitPrice]]*Table1[[#This Row],[scenario_quantity]]*(1-Table1[[#This Row],[cap_adjusted_discount]])</f>
        <v>6487.9380000000001</v>
      </c>
      <c r="AM213" s="5">
        <f>Table1[[#This Row],[UnitPrice]]*Table1[[#This Row],[Quantity]]*(1-Table1[[#This Row],[DiscountPct]])</f>
        <v>5250.4239000000007</v>
      </c>
      <c r="AN213" s="5">
        <f>Table1[[#This Row],[gross_revenue]]-Table1[[#This Row],[cost_of_goods]]</f>
        <v>2742.9239000000007</v>
      </c>
      <c r="AO213" s="5">
        <f>Table1[[#This Row],[scenario_revenue]]-Table1[[#This Row],[Scenario_unit_cost]]</f>
        <v>3178.0379999999996</v>
      </c>
      <c r="AP213" s="5">
        <f>IF(Table1[[#This Row],[gross_revenue]]=0,0,Table1[[#This Row],[gross_profit]]/Table1[[#This Row],[gross_revenue]])</f>
        <v>0.52241951359394057</v>
      </c>
    </row>
    <row r="214" spans="1:42" x14ac:dyDescent="0.35">
      <c r="A214" t="s">
        <v>551</v>
      </c>
      <c r="B214" t="str">
        <f>_xlfn.TEXTAFTER(Table1[[#This Row],[OrderID]],"-",2)</f>
        <v>353078</v>
      </c>
      <c r="C214">
        <f>YEAR(Table1[[#This Row],[OrderDate]])</f>
        <v>2024</v>
      </c>
      <c r="D214" s="9">
        <f>_xlfn.MINIFS(F:F,P:P,Table1[[#This Row],[Country]])</f>
        <v>44939</v>
      </c>
      <c r="E214" s="7">
        <f>DATEDIF(Table1[[#This Row],[first_time_orders]],Table1[[#This Row],[OrderDate]],"m")</f>
        <v>19</v>
      </c>
      <c r="F214" s="9">
        <v>45520</v>
      </c>
      <c r="G214" s="2" t="str">
        <f>TEXT(Table1[[#This Row],[OrderDate]],"MMM-YYYY")</f>
        <v>Aug-2024</v>
      </c>
      <c r="H214" s="7">
        <f>MONTH(Table1[[#This Row],[OrderDate]])</f>
        <v>8</v>
      </c>
      <c r="I214" s="7" t="str">
        <f>"Q"&amp;ROUNDUP(Table1[[#This Row],[months]]/3,0)&amp;"-"&amp;Table1[[#This Row],[order_year]]</f>
        <v>Q3-2024</v>
      </c>
      <c r="J214" s="7">
        <f>Table1[[#This Row],[RequiredDate]]-Table1[[#This Row],[OrderDate]]</f>
        <v>10</v>
      </c>
      <c r="K214" s="7">
        <f>IF(Table1[[#This Row],[lead_time]]&lt;0,MEDIAN(J:J),Table1[[#This Row],[lead_time]])</f>
        <v>10</v>
      </c>
      <c r="L214" s="7">
        <f>IF(Table1[[#This Row],[adj_lead_time]]&lt;=7,1,0)</f>
        <v>0</v>
      </c>
      <c r="M214" s="9">
        <v>45530</v>
      </c>
      <c r="N214" s="9">
        <f>IF(Table1[[#This Row],[lead_time]]&lt;0,(Table1[[#This Row],[OrderDate]]+Table1[[#This Row],[adj_lead_time]]),Table1[[#This Row],[RequiredDate]])</f>
        <v>45530</v>
      </c>
      <c r="O214" t="s">
        <v>648</v>
      </c>
      <c r="P214" t="s">
        <v>660</v>
      </c>
      <c r="Q214" t="s">
        <v>677</v>
      </c>
      <c r="R214" t="s">
        <v>701</v>
      </c>
      <c r="S214" t="s">
        <v>710</v>
      </c>
      <c r="T214" t="s">
        <v>716</v>
      </c>
      <c r="U214" t="s">
        <v>731</v>
      </c>
      <c r="V214" t="s">
        <v>1121</v>
      </c>
      <c r="W214">
        <v>1291.7</v>
      </c>
      <c r="X214">
        <f>Table1[[#This Row],[UnitCost]]*(1+'scenario modeling'!$B$3)</f>
        <v>1420.8700000000001</v>
      </c>
      <c r="Y214">
        <v>2657.84</v>
      </c>
      <c r="Z214" t="str">
        <f>IF(Table1[[#This Row],[UnitPrice]]&lt;=Quantiles!$B$2,Quantiles!$A$2,IF(Table1[[#This Row],[UnitPrice]]&lt;=Quantiles!$B$3,Quantiles!$A$3,Quantiles!$A$4))</f>
        <v>High</v>
      </c>
      <c r="AA214">
        <v>8.6999999999999994E-2</v>
      </c>
      <c r="AB214" s="5">
        <f>MIN(Table1[[#This Row],[DiscountPct]],'scenario modeling'!$B$2)</f>
        <v>8.6999999999999994E-2</v>
      </c>
      <c r="AC214" t="str">
        <f>IF(Table1[[#This Row],[DiscountPct]]&gt;0.3, "&gt;0.3","")</f>
        <v/>
      </c>
      <c r="AD214">
        <v>21</v>
      </c>
      <c r="AE214">
        <f>Table1[[#This Row],[Quantity]]*(1+'scenario modeling'!$B$4)</f>
        <v>25.2</v>
      </c>
      <c r="AF214">
        <f>Table1[[#This Row],[UnitCost]]*Table1[[#This Row],[Quantity]]</f>
        <v>27125.7</v>
      </c>
      <c r="AG214">
        <f>SUMIF($U:U,Table1[[#This Row],[ProductCategory]],$AM:AM)</f>
        <v>1711094.3776</v>
      </c>
      <c r="AH214">
        <f>SUMIFS($AM$2:AM214,$U$2:U214,U214)</f>
        <v>590909.99331000005</v>
      </c>
      <c r="AI214" s="5">
        <f>Table1[[#This Row],[Cumulative_revenue]]/Table1[[#This Row],[Category_revenue]]</f>
        <v>0.34534038627303359</v>
      </c>
      <c r="AJ214" t="str">
        <f>IF(Table1[[#This Row],[cumulative_pct]]&lt;=0.8,"A",IF(Table1[[#This Row],[cumulative_pct]]&lt;=0.95,"B","C"))</f>
        <v>A</v>
      </c>
      <c r="AK214">
        <f>Table1[[#This Row],[adj_unit_cost]]*Table1[[#This Row],[scenario_quantity]]</f>
        <v>35805.923999999999</v>
      </c>
      <c r="AL214" s="5">
        <f>Table1[[#This Row],[UnitPrice]]*Table1[[#This Row],[scenario_quantity]]*(1-Table1[[#This Row],[cap_adjusted_discount]])</f>
        <v>61150.519584000001</v>
      </c>
      <c r="AM214" s="5">
        <f>Table1[[#This Row],[UnitPrice]]*Table1[[#This Row],[Quantity]]*(1-Table1[[#This Row],[DiscountPct]])</f>
        <v>50958.766320000002</v>
      </c>
      <c r="AN214" s="5">
        <f>Table1[[#This Row],[gross_revenue]]-Table1[[#This Row],[cost_of_goods]]</f>
        <v>23833.066320000002</v>
      </c>
      <c r="AO214" s="5">
        <f>Table1[[#This Row],[scenario_revenue]]-Table1[[#This Row],[Scenario_unit_cost]]</f>
        <v>25344.595584000002</v>
      </c>
      <c r="AP214" s="5">
        <f>IF(Table1[[#This Row],[gross_revenue]]=0,0,Table1[[#This Row],[gross_profit]]/Table1[[#This Row],[gross_revenue]])</f>
        <v>0.46769315745083367</v>
      </c>
    </row>
    <row r="215" spans="1:42" x14ac:dyDescent="0.35">
      <c r="A215" t="s">
        <v>67</v>
      </c>
      <c r="B215" t="str">
        <f>_xlfn.TEXTAFTER(Table1[[#This Row],[OrderID]],"-",2)</f>
        <v>419187</v>
      </c>
      <c r="C215">
        <f>YEAR(Table1[[#This Row],[OrderDate]])</f>
        <v>2023</v>
      </c>
      <c r="D215" s="9">
        <f>_xlfn.MINIFS(F:F,P:P,Table1[[#This Row],[Country]])</f>
        <v>44946</v>
      </c>
      <c r="E215" s="7">
        <f>DATEDIF(Table1[[#This Row],[first_time_orders]],Table1[[#This Row],[OrderDate]],"m")</f>
        <v>2</v>
      </c>
      <c r="F215" s="9">
        <v>45016</v>
      </c>
      <c r="G215" s="2" t="str">
        <f>TEXT(Table1[[#This Row],[OrderDate]],"MMM-YYYY")</f>
        <v>Mar-2023</v>
      </c>
      <c r="H215" s="7">
        <f>MONTH(Table1[[#This Row],[OrderDate]])</f>
        <v>3</v>
      </c>
      <c r="I215" s="7" t="str">
        <f>"Q"&amp;ROUNDUP(Table1[[#This Row],[months]]/3,0)&amp;"-"&amp;Table1[[#This Row],[order_year]]</f>
        <v>Q1-2023</v>
      </c>
      <c r="J215" s="7">
        <f>Table1[[#This Row],[RequiredDate]]-Table1[[#This Row],[OrderDate]]</f>
        <v>5</v>
      </c>
      <c r="K215" s="7">
        <f>IF(Table1[[#This Row],[lead_time]]&lt;0,MEDIAN(J:J),Table1[[#This Row],[lead_time]])</f>
        <v>5</v>
      </c>
      <c r="L215" s="7">
        <f>IF(Table1[[#This Row],[adj_lead_time]]&lt;=7,1,0)</f>
        <v>1</v>
      </c>
      <c r="M215" s="9">
        <v>45021</v>
      </c>
      <c r="N215" s="9">
        <f>IF(Table1[[#This Row],[lead_time]]&lt;0,(Table1[[#This Row],[OrderDate]]+Table1[[#This Row],[adj_lead_time]]),Table1[[#This Row],[RequiredDate]])</f>
        <v>45021</v>
      </c>
      <c r="O215" t="s">
        <v>646</v>
      </c>
      <c r="P215" t="s">
        <v>650</v>
      </c>
      <c r="Q215" t="s">
        <v>678</v>
      </c>
      <c r="R215" t="s">
        <v>702</v>
      </c>
      <c r="S215" t="s">
        <v>709</v>
      </c>
      <c r="T215" t="s">
        <v>717</v>
      </c>
      <c r="U215" t="s">
        <v>731</v>
      </c>
      <c r="V215" t="s">
        <v>786</v>
      </c>
      <c r="W215">
        <v>533.26</v>
      </c>
      <c r="X215">
        <f>Table1[[#This Row],[UnitCost]]*(1+'scenario modeling'!$B$3)</f>
        <v>586.58600000000001</v>
      </c>
      <c r="Y215">
        <v>385.72</v>
      </c>
      <c r="Z215" t="str">
        <f>IF(Table1[[#This Row],[UnitPrice]]&lt;=Quantiles!$B$2,Quantiles!$A$2,IF(Table1[[#This Row],[UnitPrice]]&lt;=Quantiles!$B$3,Quantiles!$A$3,Quantiles!$A$4))</f>
        <v>Low</v>
      </c>
      <c r="AA215">
        <v>0</v>
      </c>
      <c r="AB215" s="5">
        <f>MIN(Table1[[#This Row],[DiscountPct]],'scenario modeling'!$B$2)</f>
        <v>0</v>
      </c>
      <c r="AC215" t="str">
        <f>IF(Table1[[#This Row],[DiscountPct]]&gt;0.3, "&gt;0.3","")</f>
        <v/>
      </c>
      <c r="AD215">
        <v>15</v>
      </c>
      <c r="AE215">
        <f>Table1[[#This Row],[Quantity]]*(1+'scenario modeling'!$B$4)</f>
        <v>18</v>
      </c>
      <c r="AF215">
        <f>Table1[[#This Row],[UnitCost]]*Table1[[#This Row],[Quantity]]</f>
        <v>7998.9</v>
      </c>
      <c r="AG215">
        <f>SUMIF($U:U,Table1[[#This Row],[ProductCategory]],$AM:AM)</f>
        <v>1711094.3776</v>
      </c>
      <c r="AH215">
        <f>SUMIFS($AM$2:AM215,$U$2:U215,U215)</f>
        <v>596695.7933100001</v>
      </c>
      <c r="AI215" s="5">
        <f>Table1[[#This Row],[Cumulative_revenue]]/Table1[[#This Row],[Category_revenue]]</f>
        <v>0.34872173102861354</v>
      </c>
      <c r="AJ215" t="str">
        <f>IF(Table1[[#This Row],[cumulative_pct]]&lt;=0.8,"A",IF(Table1[[#This Row],[cumulative_pct]]&lt;=0.95,"B","C"))</f>
        <v>A</v>
      </c>
      <c r="AK215">
        <f>Table1[[#This Row],[adj_unit_cost]]*Table1[[#This Row],[scenario_quantity]]</f>
        <v>10558.548000000001</v>
      </c>
      <c r="AL215" s="5">
        <f>Table1[[#This Row],[UnitPrice]]*Table1[[#This Row],[scenario_quantity]]*(1-Table1[[#This Row],[cap_adjusted_discount]])</f>
        <v>6942.9600000000009</v>
      </c>
      <c r="AM215" s="5">
        <f>Table1[[#This Row],[UnitPrice]]*Table1[[#This Row],[Quantity]]*(1-Table1[[#This Row],[DiscountPct]])</f>
        <v>5785.8</v>
      </c>
      <c r="AN215" s="5">
        <f>Table1[[#This Row],[gross_revenue]]-Table1[[#This Row],[cost_of_goods]]</f>
        <v>-2213.0999999999995</v>
      </c>
      <c r="AO215" s="5">
        <f>Table1[[#This Row],[scenario_revenue]]-Table1[[#This Row],[Scenario_unit_cost]]</f>
        <v>-3615.5879999999997</v>
      </c>
      <c r="AP215" s="5">
        <f>IF(Table1[[#This Row],[gross_revenue]]=0,0,Table1[[#This Row],[gross_profit]]/Table1[[#This Row],[gross_revenue]])</f>
        <v>-0.38250544436378708</v>
      </c>
    </row>
    <row r="216" spans="1:42" x14ac:dyDescent="0.35">
      <c r="A216" t="s">
        <v>265</v>
      </c>
      <c r="B216" t="str">
        <f>_xlfn.TEXTAFTER(Table1[[#This Row],[OrderID]],"-",2)</f>
        <v>276806</v>
      </c>
      <c r="C216">
        <f>YEAR(Table1[[#This Row],[OrderDate]])</f>
        <v>2023</v>
      </c>
      <c r="D216" s="9">
        <f>_xlfn.MINIFS(F:F,P:P,Table1[[#This Row],[Country]])</f>
        <v>44928</v>
      </c>
      <c r="E216" s="7">
        <f>DATEDIF(Table1[[#This Row],[first_time_orders]],Table1[[#This Row],[OrderDate]],"m")</f>
        <v>2</v>
      </c>
      <c r="F216" s="9">
        <v>44989</v>
      </c>
      <c r="G216" s="2" t="str">
        <f>TEXT(Table1[[#This Row],[OrderDate]],"MMM-YYYY")</f>
        <v>Mar-2023</v>
      </c>
      <c r="H216" s="7">
        <f>MONTH(Table1[[#This Row],[OrderDate]])</f>
        <v>3</v>
      </c>
      <c r="I216" s="7" t="str">
        <f>"Q"&amp;ROUNDUP(Table1[[#This Row],[months]]/3,0)&amp;"-"&amp;Table1[[#This Row],[order_year]]</f>
        <v>Q1-2023</v>
      </c>
      <c r="J216" s="7">
        <f>Table1[[#This Row],[RequiredDate]]-Table1[[#This Row],[OrderDate]]</f>
        <v>20</v>
      </c>
      <c r="K216" s="7">
        <f>IF(Table1[[#This Row],[lead_time]]&lt;0,MEDIAN(J:J),Table1[[#This Row],[lead_time]])</f>
        <v>20</v>
      </c>
      <c r="L216" s="7">
        <f>IF(Table1[[#This Row],[adj_lead_time]]&lt;=7,1,0)</f>
        <v>0</v>
      </c>
      <c r="M216" s="9">
        <v>45009</v>
      </c>
      <c r="N216" s="9">
        <f>IF(Table1[[#This Row],[lead_time]]&lt;0,(Table1[[#This Row],[OrderDate]]+Table1[[#This Row],[adj_lead_time]]),Table1[[#This Row],[RequiredDate]])</f>
        <v>45009</v>
      </c>
      <c r="O216" t="s">
        <v>648</v>
      </c>
      <c r="P216" t="s">
        <v>653</v>
      </c>
      <c r="Q216" t="s">
        <v>681</v>
      </c>
      <c r="R216" t="s">
        <v>704</v>
      </c>
      <c r="S216" t="s">
        <v>710</v>
      </c>
      <c r="T216" t="s">
        <v>714</v>
      </c>
      <c r="U216" t="s">
        <v>731</v>
      </c>
      <c r="V216" t="s">
        <v>985</v>
      </c>
      <c r="W216">
        <v>481.71</v>
      </c>
      <c r="X216">
        <f>Table1[[#This Row],[UnitCost]]*(1+'scenario modeling'!$B$3)</f>
        <v>529.88099999999997</v>
      </c>
      <c r="Y216">
        <v>912.45</v>
      </c>
      <c r="Z216" t="str">
        <f>IF(Table1[[#This Row],[UnitPrice]]&lt;=Quantiles!$B$2,Quantiles!$A$2,IF(Table1[[#This Row],[UnitPrice]]&lt;=Quantiles!$B$3,Quantiles!$A$3,Quantiles!$A$4))</f>
        <v>Medium</v>
      </c>
      <c r="AA216">
        <v>0.20300000000000001</v>
      </c>
      <c r="AB216" s="5">
        <f>MIN(Table1[[#This Row],[DiscountPct]],'scenario modeling'!$B$2)</f>
        <v>0.1</v>
      </c>
      <c r="AC216" t="str">
        <f>IF(Table1[[#This Row],[DiscountPct]]&gt;0.3, "&gt;0.3","")</f>
        <v/>
      </c>
      <c r="AD216">
        <v>24</v>
      </c>
      <c r="AE216">
        <f>Table1[[#This Row],[Quantity]]*(1+'scenario modeling'!$B$4)</f>
        <v>28.799999999999997</v>
      </c>
      <c r="AF216">
        <f>Table1[[#This Row],[UnitCost]]*Table1[[#This Row],[Quantity]]</f>
        <v>11561.039999999999</v>
      </c>
      <c r="AG216">
        <f>SUMIF($U:U,Table1[[#This Row],[ProductCategory]],$AM:AM)</f>
        <v>1711094.3776</v>
      </c>
      <c r="AH216">
        <f>SUMIFS($AM$2:AM216,$U$2:U216,U216)</f>
        <v>614149.13691000012</v>
      </c>
      <c r="AI216" s="5">
        <f>Table1[[#This Row],[Cumulative_revenue]]/Table1[[#This Row],[Category_revenue]]</f>
        <v>0.35892183677875938</v>
      </c>
      <c r="AJ216" t="str">
        <f>IF(Table1[[#This Row],[cumulative_pct]]&lt;=0.8,"A",IF(Table1[[#This Row],[cumulative_pct]]&lt;=0.95,"B","C"))</f>
        <v>A</v>
      </c>
      <c r="AK216">
        <f>Table1[[#This Row],[adj_unit_cost]]*Table1[[#This Row],[scenario_quantity]]</f>
        <v>15260.572799999998</v>
      </c>
      <c r="AL216" s="5">
        <f>Table1[[#This Row],[UnitPrice]]*Table1[[#This Row],[scenario_quantity]]*(1-Table1[[#This Row],[cap_adjusted_discount]])</f>
        <v>23650.703999999998</v>
      </c>
      <c r="AM216" s="5">
        <f>Table1[[#This Row],[UnitPrice]]*Table1[[#This Row],[Quantity]]*(1-Table1[[#This Row],[DiscountPct]])</f>
        <v>17453.3436</v>
      </c>
      <c r="AN216" s="5">
        <f>Table1[[#This Row],[gross_revenue]]-Table1[[#This Row],[cost_of_goods]]</f>
        <v>5892.3036000000011</v>
      </c>
      <c r="AO216" s="5">
        <f>Table1[[#This Row],[scenario_revenue]]-Table1[[#This Row],[Scenario_unit_cost]]</f>
        <v>8390.1311999999998</v>
      </c>
      <c r="AP216" s="5">
        <f>IF(Table1[[#This Row],[gross_revenue]]=0,0,Table1[[#This Row],[gross_profit]]/Table1[[#This Row],[gross_revenue]])</f>
        <v>0.33760313983619739</v>
      </c>
    </row>
    <row r="217" spans="1:42" x14ac:dyDescent="0.35">
      <c r="A217" t="s">
        <v>119</v>
      </c>
      <c r="B217" t="str">
        <f>_xlfn.TEXTAFTER(Table1[[#This Row],[OrderID]],"-",2)</f>
        <v>771210</v>
      </c>
      <c r="C217">
        <f>YEAR(Table1[[#This Row],[OrderDate]])</f>
        <v>2024</v>
      </c>
      <c r="D217" s="9">
        <f>_xlfn.MINIFS(F:F,P:P,Table1[[#This Row],[Country]])</f>
        <v>44938</v>
      </c>
      <c r="E217" s="7">
        <f>DATEDIF(Table1[[#This Row],[first_time_orders]],Table1[[#This Row],[OrderDate]],"m")</f>
        <v>20</v>
      </c>
      <c r="F217" s="9">
        <v>45549</v>
      </c>
      <c r="G217" s="2" t="str">
        <f>TEXT(Table1[[#This Row],[OrderDate]],"MMM-YYYY")</f>
        <v>Sept-2024</v>
      </c>
      <c r="H217" s="7">
        <f>MONTH(Table1[[#This Row],[OrderDate]])</f>
        <v>9</v>
      </c>
      <c r="I217" s="7" t="str">
        <f>"Q"&amp;ROUNDUP(Table1[[#This Row],[months]]/3,0)&amp;"-"&amp;Table1[[#This Row],[order_year]]</f>
        <v>Q3-2024</v>
      </c>
      <c r="J217" s="7">
        <f>Table1[[#This Row],[RequiredDate]]-Table1[[#This Row],[OrderDate]]</f>
        <v>21</v>
      </c>
      <c r="K217" s="7">
        <f>IF(Table1[[#This Row],[lead_time]]&lt;0,MEDIAN(J:J),Table1[[#This Row],[lead_time]])</f>
        <v>21</v>
      </c>
      <c r="L217" s="7">
        <f>IF(Table1[[#This Row],[adj_lead_time]]&lt;=7,1,0)</f>
        <v>0</v>
      </c>
      <c r="M217" s="9">
        <v>45570</v>
      </c>
      <c r="N217" s="9">
        <f>IF(Table1[[#This Row],[lead_time]]&lt;0,(Table1[[#This Row],[OrderDate]]+Table1[[#This Row],[adj_lead_time]]),Table1[[#This Row],[RequiredDate]])</f>
        <v>45570</v>
      </c>
      <c r="O217" t="s">
        <v>647</v>
      </c>
      <c r="P217" t="s">
        <v>659</v>
      </c>
      <c r="Q217" t="s">
        <v>685</v>
      </c>
      <c r="R217" t="s">
        <v>705</v>
      </c>
      <c r="S217" t="s">
        <v>708</v>
      </c>
      <c r="T217" t="s">
        <v>722</v>
      </c>
      <c r="U217" t="s">
        <v>731</v>
      </c>
      <c r="V217" t="s">
        <v>838</v>
      </c>
      <c r="W217">
        <v>1405.56</v>
      </c>
      <c r="X217">
        <f>Table1[[#This Row],[UnitCost]]*(1+'scenario modeling'!$B$3)</f>
        <v>1546.116</v>
      </c>
      <c r="Y217">
        <v>2968.87</v>
      </c>
      <c r="Z217" t="str">
        <f>IF(Table1[[#This Row],[UnitPrice]]&lt;=Quantiles!$B$2,Quantiles!$A$2,IF(Table1[[#This Row],[UnitPrice]]&lt;=Quantiles!$B$3,Quantiles!$A$3,Quantiles!$A$4))</f>
        <v>High</v>
      </c>
      <c r="AA217">
        <v>0.16900000000000001</v>
      </c>
      <c r="AB217" s="5">
        <f>MIN(Table1[[#This Row],[DiscountPct]],'scenario modeling'!$B$2)</f>
        <v>0.1</v>
      </c>
      <c r="AC217" t="str">
        <f>IF(Table1[[#This Row],[DiscountPct]]&gt;0.3, "&gt;0.3","")</f>
        <v/>
      </c>
      <c r="AD217">
        <v>5</v>
      </c>
      <c r="AE217">
        <f>Table1[[#This Row],[Quantity]]*(1+'scenario modeling'!$B$4)</f>
        <v>6</v>
      </c>
      <c r="AF217">
        <f>Table1[[#This Row],[UnitCost]]*Table1[[#This Row],[Quantity]]</f>
        <v>7027.7999999999993</v>
      </c>
      <c r="AG217">
        <f>SUMIF($U:U,Table1[[#This Row],[ProductCategory]],$AM:AM)</f>
        <v>1711094.3776</v>
      </c>
      <c r="AH217">
        <f>SUMIFS($AM$2:AM217,$U$2:U217,U217)</f>
        <v>626484.79176000017</v>
      </c>
      <c r="AI217" s="5">
        <f>Table1[[#This Row],[Cumulative_revenue]]/Table1[[#This Row],[Category_revenue]]</f>
        <v>0.36613105621836867</v>
      </c>
      <c r="AJ217" t="str">
        <f>IF(Table1[[#This Row],[cumulative_pct]]&lt;=0.8,"A",IF(Table1[[#This Row],[cumulative_pct]]&lt;=0.95,"B","C"))</f>
        <v>A</v>
      </c>
      <c r="AK217">
        <f>Table1[[#This Row],[adj_unit_cost]]*Table1[[#This Row],[scenario_quantity]]</f>
        <v>9276.6959999999999</v>
      </c>
      <c r="AL217" s="5">
        <f>Table1[[#This Row],[UnitPrice]]*Table1[[#This Row],[scenario_quantity]]*(1-Table1[[#This Row],[cap_adjusted_discount]])</f>
        <v>16031.898000000001</v>
      </c>
      <c r="AM217" s="5">
        <f>Table1[[#This Row],[UnitPrice]]*Table1[[#This Row],[Quantity]]*(1-Table1[[#This Row],[DiscountPct]])</f>
        <v>12335.654849999999</v>
      </c>
      <c r="AN217" s="5">
        <f>Table1[[#This Row],[gross_revenue]]-Table1[[#This Row],[cost_of_goods]]</f>
        <v>5307.8548499999997</v>
      </c>
      <c r="AO217" s="5">
        <f>Table1[[#This Row],[scenario_revenue]]-Table1[[#This Row],[Scenario_unit_cost]]</f>
        <v>6755.2020000000011</v>
      </c>
      <c r="AP217" s="5">
        <f>IF(Table1[[#This Row],[gross_revenue]]=0,0,Table1[[#This Row],[gross_profit]]/Table1[[#This Row],[gross_revenue]])</f>
        <v>0.4302856163327235</v>
      </c>
    </row>
    <row r="218" spans="1:42" x14ac:dyDescent="0.35">
      <c r="A218" t="s">
        <v>523</v>
      </c>
      <c r="B218" t="str">
        <f>_xlfn.TEXTAFTER(Table1[[#This Row],[OrderID]],"-",2)</f>
        <v>776337</v>
      </c>
      <c r="C218">
        <f>YEAR(Table1[[#This Row],[OrderDate]])</f>
        <v>2024</v>
      </c>
      <c r="D218" s="9">
        <f>_xlfn.MINIFS(F:F,P:P,Table1[[#This Row],[Country]])</f>
        <v>44955</v>
      </c>
      <c r="E218" s="7">
        <f>DATEDIF(Table1[[#This Row],[first_time_orders]],Table1[[#This Row],[OrderDate]],"m")</f>
        <v>21</v>
      </c>
      <c r="F218" s="9">
        <v>45608</v>
      </c>
      <c r="G218" s="2" t="str">
        <f>TEXT(Table1[[#This Row],[OrderDate]],"MMM-YYYY")</f>
        <v>Nov-2024</v>
      </c>
      <c r="H218" s="7">
        <f>MONTH(Table1[[#This Row],[OrderDate]])</f>
        <v>11</v>
      </c>
      <c r="I218" s="7" t="str">
        <f>"Q"&amp;ROUNDUP(Table1[[#This Row],[months]]/3,0)&amp;"-"&amp;Table1[[#This Row],[order_year]]</f>
        <v>Q4-2024</v>
      </c>
      <c r="J218" s="7">
        <f>Table1[[#This Row],[RequiredDate]]-Table1[[#This Row],[OrderDate]]</f>
        <v>9</v>
      </c>
      <c r="K218" s="7">
        <f>IF(Table1[[#This Row],[lead_time]]&lt;0,MEDIAN(J:J),Table1[[#This Row],[lead_time]])</f>
        <v>9</v>
      </c>
      <c r="L218" s="7">
        <f>IF(Table1[[#This Row],[adj_lead_time]]&lt;=7,1,0)</f>
        <v>0</v>
      </c>
      <c r="M218" s="9">
        <v>45617</v>
      </c>
      <c r="N218" s="9">
        <f>IF(Table1[[#This Row],[lead_time]]&lt;0,(Table1[[#This Row],[OrderDate]]+Table1[[#This Row],[adj_lead_time]]),Table1[[#This Row],[RequiredDate]])</f>
        <v>45617</v>
      </c>
      <c r="O218" t="s">
        <v>647</v>
      </c>
      <c r="P218" t="s">
        <v>654</v>
      </c>
      <c r="Q218" t="s">
        <v>691</v>
      </c>
      <c r="R218" t="s">
        <v>701</v>
      </c>
      <c r="S218" t="s">
        <v>711</v>
      </c>
      <c r="T218" t="s">
        <v>722</v>
      </c>
      <c r="U218" t="s">
        <v>731</v>
      </c>
      <c r="V218" t="s">
        <v>1242</v>
      </c>
      <c r="W218">
        <v>903.41</v>
      </c>
      <c r="X218">
        <f>Table1[[#This Row],[UnitCost]]*(1+'scenario modeling'!$B$3)</f>
        <v>993.75100000000009</v>
      </c>
      <c r="Y218">
        <v>1860.41</v>
      </c>
      <c r="Z218" t="str">
        <f>IF(Table1[[#This Row],[UnitPrice]]&lt;=Quantiles!$B$2,Quantiles!$A$2,IF(Table1[[#This Row],[UnitPrice]]&lt;=Quantiles!$B$3,Quantiles!$A$3,Quantiles!$A$4))</f>
        <v>High</v>
      </c>
      <c r="AA218">
        <v>0.108</v>
      </c>
      <c r="AB218" s="5">
        <f>MIN(Table1[[#This Row],[DiscountPct]],'scenario modeling'!$B$2)</f>
        <v>0.1</v>
      </c>
      <c r="AC218" t="str">
        <f>IF(Table1[[#This Row],[DiscountPct]]&gt;0.3, "&gt;0.3","")</f>
        <v/>
      </c>
      <c r="AD218">
        <v>5</v>
      </c>
      <c r="AE218">
        <f>Table1[[#This Row],[Quantity]]*(1+'scenario modeling'!$B$4)</f>
        <v>6</v>
      </c>
      <c r="AF218">
        <f>Table1[[#This Row],[UnitCost]]*Table1[[#This Row],[Quantity]]</f>
        <v>4517.05</v>
      </c>
      <c r="AG218">
        <f>SUMIF($U:U,Table1[[#This Row],[ProductCategory]],$AM:AM)</f>
        <v>1711094.3776</v>
      </c>
      <c r="AH218">
        <f>SUMIFS($AM$2:AM218,$U$2:U218,U218)</f>
        <v>634782.22036000015</v>
      </c>
      <c r="AI218" s="5">
        <f>Table1[[#This Row],[Cumulative_revenue]]/Table1[[#This Row],[Category_revenue]]</f>
        <v>0.37098025022462683</v>
      </c>
      <c r="AJ218" t="str">
        <f>IF(Table1[[#This Row],[cumulative_pct]]&lt;=0.8,"A",IF(Table1[[#This Row],[cumulative_pct]]&lt;=0.95,"B","C"))</f>
        <v>A</v>
      </c>
      <c r="AK218">
        <f>Table1[[#This Row],[adj_unit_cost]]*Table1[[#This Row],[scenario_quantity]]</f>
        <v>5962.5060000000003</v>
      </c>
      <c r="AL218" s="5">
        <f>Table1[[#This Row],[UnitPrice]]*Table1[[#This Row],[scenario_quantity]]*(1-Table1[[#This Row],[cap_adjusted_discount]])</f>
        <v>10046.214000000002</v>
      </c>
      <c r="AM218" s="5">
        <f>Table1[[#This Row],[UnitPrice]]*Table1[[#This Row],[Quantity]]*(1-Table1[[#This Row],[DiscountPct]])</f>
        <v>8297.4286000000011</v>
      </c>
      <c r="AN218" s="5">
        <f>Table1[[#This Row],[gross_revenue]]-Table1[[#This Row],[cost_of_goods]]</f>
        <v>3780.3786000000009</v>
      </c>
      <c r="AO218" s="5">
        <f>Table1[[#This Row],[scenario_revenue]]-Table1[[#This Row],[Scenario_unit_cost]]</f>
        <v>4083.7080000000014</v>
      </c>
      <c r="AP218" s="5">
        <f>IF(Table1[[#This Row],[gross_revenue]]=0,0,Table1[[#This Row],[gross_profit]]/Table1[[#This Row],[gross_revenue]])</f>
        <v>0.455608451996803</v>
      </c>
    </row>
    <row r="219" spans="1:42" x14ac:dyDescent="0.35">
      <c r="A219" t="s">
        <v>411</v>
      </c>
      <c r="B219" t="str">
        <f>_xlfn.TEXTAFTER(Table1[[#This Row],[OrderID]],"-",2)</f>
        <v>102866</v>
      </c>
      <c r="C219">
        <f>YEAR(Table1[[#This Row],[OrderDate]])</f>
        <v>2024</v>
      </c>
      <c r="D219" s="9">
        <f>_xlfn.MINIFS(F:F,P:P,Table1[[#This Row],[Country]])</f>
        <v>44988</v>
      </c>
      <c r="E219" s="7">
        <f>DATEDIF(Table1[[#This Row],[first_time_orders]],Table1[[#This Row],[OrderDate]],"m")</f>
        <v>21</v>
      </c>
      <c r="F219" s="9">
        <v>45638</v>
      </c>
      <c r="G219" s="2" t="str">
        <f>TEXT(Table1[[#This Row],[OrderDate]],"MMM-YYYY")</f>
        <v>Dec-2024</v>
      </c>
      <c r="H219" s="7">
        <f>MONTH(Table1[[#This Row],[OrderDate]])</f>
        <v>12</v>
      </c>
      <c r="I219" s="7" t="str">
        <f>"Q"&amp;ROUNDUP(Table1[[#This Row],[months]]/3,0)&amp;"-"&amp;Table1[[#This Row],[order_year]]</f>
        <v>Q4-2024</v>
      </c>
      <c r="J219" s="7">
        <f>Table1[[#This Row],[RequiredDate]]-Table1[[#This Row],[OrderDate]]</f>
        <v>8</v>
      </c>
      <c r="K219" s="7">
        <f>IF(Table1[[#This Row],[lead_time]]&lt;0,MEDIAN(J:J),Table1[[#This Row],[lead_time]])</f>
        <v>8</v>
      </c>
      <c r="L219" s="7">
        <f>IF(Table1[[#This Row],[adj_lead_time]]&lt;=7,1,0)</f>
        <v>0</v>
      </c>
      <c r="M219" s="9">
        <v>45646</v>
      </c>
      <c r="N219" s="9">
        <f>IF(Table1[[#This Row],[lead_time]]&lt;0,(Table1[[#This Row],[OrderDate]]+Table1[[#This Row],[adj_lead_time]]),Table1[[#This Row],[RequiredDate]])</f>
        <v>45646</v>
      </c>
      <c r="O219" t="s">
        <v>647</v>
      </c>
      <c r="P219" t="s">
        <v>652</v>
      </c>
      <c r="Q219" t="s">
        <v>689</v>
      </c>
      <c r="R219" t="s">
        <v>701</v>
      </c>
      <c r="S219" t="s">
        <v>707</v>
      </c>
      <c r="T219" t="s">
        <v>717</v>
      </c>
      <c r="U219" t="s">
        <v>731</v>
      </c>
      <c r="V219" t="s">
        <v>1130</v>
      </c>
      <c r="W219">
        <v>1202.47</v>
      </c>
      <c r="X219">
        <f>Table1[[#This Row],[UnitCost]]*(1+'scenario modeling'!$B$3)</f>
        <v>1322.7170000000001</v>
      </c>
      <c r="Y219">
        <v>1444.72</v>
      </c>
      <c r="Z219" t="str">
        <f>IF(Table1[[#This Row],[UnitPrice]]&lt;=Quantiles!$B$2,Quantiles!$A$2,IF(Table1[[#This Row],[UnitPrice]]&lt;=Quantiles!$B$3,Quantiles!$A$3,Quantiles!$A$4))</f>
        <v>Medium</v>
      </c>
      <c r="AA219">
        <v>0.24099999999999999</v>
      </c>
      <c r="AB219" s="5">
        <f>MIN(Table1[[#This Row],[DiscountPct]],'scenario modeling'!$B$2)</f>
        <v>0.1</v>
      </c>
      <c r="AC219" t="str">
        <f>IF(Table1[[#This Row],[DiscountPct]]&gt;0.3, "&gt;0.3","")</f>
        <v/>
      </c>
      <c r="AD219">
        <v>17</v>
      </c>
      <c r="AE219">
        <f>Table1[[#This Row],[Quantity]]*(1+'scenario modeling'!$B$4)</f>
        <v>20.399999999999999</v>
      </c>
      <c r="AF219">
        <f>Table1[[#This Row],[UnitCost]]*Table1[[#This Row],[Quantity]]</f>
        <v>20441.990000000002</v>
      </c>
      <c r="AG219">
        <f>SUMIF($U:U,Table1[[#This Row],[ProductCategory]],$AM:AM)</f>
        <v>1711094.3776</v>
      </c>
      <c r="AH219">
        <f>SUMIFS($AM$2:AM219,$U$2:U219,U219)</f>
        <v>653423.44252000016</v>
      </c>
      <c r="AI219" s="5">
        <f>Table1[[#This Row],[Cumulative_revenue]]/Table1[[#This Row],[Category_revenue]]</f>
        <v>0.38187457750664761</v>
      </c>
      <c r="AJ219" t="str">
        <f>IF(Table1[[#This Row],[cumulative_pct]]&lt;=0.8,"A",IF(Table1[[#This Row],[cumulative_pct]]&lt;=0.95,"B","C"))</f>
        <v>A</v>
      </c>
      <c r="AK219">
        <f>Table1[[#This Row],[adj_unit_cost]]*Table1[[#This Row],[scenario_quantity]]</f>
        <v>26983.426800000001</v>
      </c>
      <c r="AL219" s="5">
        <f>Table1[[#This Row],[UnitPrice]]*Table1[[#This Row],[scenario_quantity]]*(1-Table1[[#This Row],[cap_adjusted_discount]])</f>
        <v>26525.059199999996</v>
      </c>
      <c r="AM219" s="5">
        <f>Table1[[#This Row],[UnitPrice]]*Table1[[#This Row],[Quantity]]*(1-Table1[[#This Row],[DiscountPct]])</f>
        <v>18641.222160000001</v>
      </c>
      <c r="AN219" s="5">
        <f>Table1[[#This Row],[gross_revenue]]-Table1[[#This Row],[cost_of_goods]]</f>
        <v>-1800.7678400000004</v>
      </c>
      <c r="AO219" s="5">
        <f>Table1[[#This Row],[scenario_revenue]]-Table1[[#This Row],[Scenario_unit_cost]]</f>
        <v>-458.36760000000504</v>
      </c>
      <c r="AP219" s="5">
        <f>IF(Table1[[#This Row],[gross_revenue]]=0,0,Table1[[#This Row],[gross_profit]]/Table1[[#This Row],[gross_revenue]])</f>
        <v>-9.6601382921343834E-2</v>
      </c>
    </row>
    <row r="220" spans="1:42" x14ac:dyDescent="0.35">
      <c r="A220" t="s">
        <v>549</v>
      </c>
      <c r="B220" t="str">
        <f>_xlfn.TEXTAFTER(Table1[[#This Row],[OrderID]],"-",2)</f>
        <v>149156</v>
      </c>
      <c r="C220">
        <f>YEAR(Table1[[#This Row],[OrderDate]])</f>
        <v>2025</v>
      </c>
      <c r="D220" s="9">
        <f>_xlfn.MINIFS(F:F,P:P,Table1[[#This Row],[Country]])</f>
        <v>44955</v>
      </c>
      <c r="E220" s="7">
        <f>DATEDIF(Table1[[#This Row],[first_time_orders]],Table1[[#This Row],[OrderDate]],"m")</f>
        <v>23</v>
      </c>
      <c r="F220" s="9">
        <v>45667</v>
      </c>
      <c r="G220" s="2" t="str">
        <f>TEXT(Table1[[#This Row],[OrderDate]],"MMM-YYYY")</f>
        <v>Jan-2025</v>
      </c>
      <c r="H220" s="7">
        <f>MONTH(Table1[[#This Row],[OrderDate]])</f>
        <v>1</v>
      </c>
      <c r="I220" s="7" t="str">
        <f>"Q"&amp;ROUNDUP(Table1[[#This Row],[months]]/3,0)&amp;"-"&amp;Table1[[#This Row],[order_year]]</f>
        <v>Q1-2025</v>
      </c>
      <c r="J220" s="7">
        <f>Table1[[#This Row],[RequiredDate]]-Table1[[#This Row],[OrderDate]]</f>
        <v>27</v>
      </c>
      <c r="K220" s="7">
        <f>IF(Table1[[#This Row],[lead_time]]&lt;0,MEDIAN(J:J),Table1[[#This Row],[lead_time]])</f>
        <v>27</v>
      </c>
      <c r="L220" s="7">
        <f>IF(Table1[[#This Row],[adj_lead_time]]&lt;=7,1,0)</f>
        <v>0</v>
      </c>
      <c r="M220" s="9">
        <v>45694</v>
      </c>
      <c r="N220" s="9">
        <f>IF(Table1[[#This Row],[lead_time]]&lt;0,(Table1[[#This Row],[OrderDate]]+Table1[[#This Row],[adj_lead_time]]),Table1[[#This Row],[RequiredDate]])</f>
        <v>45694</v>
      </c>
      <c r="O220" t="s">
        <v>648</v>
      </c>
      <c r="P220" t="s">
        <v>655</v>
      </c>
      <c r="Q220" t="s">
        <v>672</v>
      </c>
      <c r="R220" t="s">
        <v>703</v>
      </c>
      <c r="S220" t="s">
        <v>707</v>
      </c>
      <c r="T220" t="s">
        <v>717</v>
      </c>
      <c r="U220" t="s">
        <v>731</v>
      </c>
      <c r="V220" t="s">
        <v>1268</v>
      </c>
      <c r="W220">
        <v>725.62</v>
      </c>
      <c r="X220">
        <f>Table1[[#This Row],[UnitCost]]*(1+'scenario modeling'!$B$3)</f>
        <v>798.18200000000002</v>
      </c>
      <c r="Y220">
        <v>1559.19</v>
      </c>
      <c r="Z220" t="str">
        <f>IF(Table1[[#This Row],[UnitPrice]]&lt;=Quantiles!$B$2,Quantiles!$A$2,IF(Table1[[#This Row],[UnitPrice]]&lt;=Quantiles!$B$3,Quantiles!$A$3,Quantiles!$A$4))</f>
        <v>Medium</v>
      </c>
      <c r="AA220">
        <v>0.19</v>
      </c>
      <c r="AB220" s="5">
        <f>MIN(Table1[[#This Row],[DiscountPct]],'scenario modeling'!$B$2)</f>
        <v>0.1</v>
      </c>
      <c r="AC220" t="str">
        <f>IF(Table1[[#This Row],[DiscountPct]]&gt;0.3, "&gt;0.3","")</f>
        <v/>
      </c>
      <c r="AD220">
        <v>12</v>
      </c>
      <c r="AE220">
        <f>Table1[[#This Row],[Quantity]]*(1+'scenario modeling'!$B$4)</f>
        <v>14.399999999999999</v>
      </c>
      <c r="AF220">
        <f>Table1[[#This Row],[UnitCost]]*Table1[[#This Row],[Quantity]]</f>
        <v>8707.44</v>
      </c>
      <c r="AG220">
        <f>SUMIF($U:U,Table1[[#This Row],[ProductCategory]],$AM:AM)</f>
        <v>1711094.3776</v>
      </c>
      <c r="AH220">
        <f>SUMIFS($AM$2:AM220,$U$2:U220,U220)</f>
        <v>668578.7693200002</v>
      </c>
      <c r="AI220" s="5">
        <f>Table1[[#This Row],[Cumulative_revenue]]/Table1[[#This Row],[Category_revenue]]</f>
        <v>0.39073167329189418</v>
      </c>
      <c r="AJ220" t="str">
        <f>IF(Table1[[#This Row],[cumulative_pct]]&lt;=0.8,"A",IF(Table1[[#This Row],[cumulative_pct]]&lt;=0.95,"B","C"))</f>
        <v>A</v>
      </c>
      <c r="AK220">
        <f>Table1[[#This Row],[adj_unit_cost]]*Table1[[#This Row],[scenario_quantity]]</f>
        <v>11493.8208</v>
      </c>
      <c r="AL220" s="5">
        <f>Table1[[#This Row],[UnitPrice]]*Table1[[#This Row],[scenario_quantity]]*(1-Table1[[#This Row],[cap_adjusted_discount]])</f>
        <v>20207.1024</v>
      </c>
      <c r="AM220" s="5">
        <f>Table1[[#This Row],[UnitPrice]]*Table1[[#This Row],[Quantity]]*(1-Table1[[#This Row],[DiscountPct]])</f>
        <v>15155.326800000001</v>
      </c>
      <c r="AN220" s="5">
        <f>Table1[[#This Row],[gross_revenue]]-Table1[[#This Row],[cost_of_goods]]</f>
        <v>6447.8868000000002</v>
      </c>
      <c r="AO220" s="5">
        <f>Table1[[#This Row],[scenario_revenue]]-Table1[[#This Row],[Scenario_unit_cost]]</f>
        <v>8713.2816000000003</v>
      </c>
      <c r="AP220" s="5">
        <f>IF(Table1[[#This Row],[gross_revenue]]=0,0,Table1[[#This Row],[gross_profit]]/Table1[[#This Row],[gross_revenue]])</f>
        <v>0.42545349797405885</v>
      </c>
    </row>
    <row r="221" spans="1:42" x14ac:dyDescent="0.35">
      <c r="A221" t="s">
        <v>445</v>
      </c>
      <c r="B221" t="str">
        <f>_xlfn.TEXTAFTER(Table1[[#This Row],[OrderID]],"-",2)</f>
        <v>651852</v>
      </c>
      <c r="C221">
        <f>YEAR(Table1[[#This Row],[OrderDate]])</f>
        <v>2024</v>
      </c>
      <c r="D221" s="9">
        <f>_xlfn.MINIFS(F:F,P:P,Table1[[#This Row],[Country]])</f>
        <v>44938</v>
      </c>
      <c r="E221" s="7">
        <f>DATEDIF(Table1[[#This Row],[first_time_orders]],Table1[[#This Row],[OrderDate]],"m")</f>
        <v>23</v>
      </c>
      <c r="F221" s="9">
        <v>45654</v>
      </c>
      <c r="G221" s="2" t="str">
        <f>TEXT(Table1[[#This Row],[OrderDate]],"MMM-YYYY")</f>
        <v>Dec-2024</v>
      </c>
      <c r="H221" s="7">
        <f>MONTH(Table1[[#This Row],[OrderDate]])</f>
        <v>12</v>
      </c>
      <c r="I221" s="7" t="str">
        <f>"Q"&amp;ROUNDUP(Table1[[#This Row],[months]]/3,0)&amp;"-"&amp;Table1[[#This Row],[order_year]]</f>
        <v>Q4-2024</v>
      </c>
      <c r="J221" s="7">
        <f>Table1[[#This Row],[RequiredDate]]-Table1[[#This Row],[OrderDate]]</f>
        <v>11</v>
      </c>
      <c r="K221" s="7">
        <f>IF(Table1[[#This Row],[lead_time]]&lt;0,MEDIAN(J:J),Table1[[#This Row],[lead_time]])</f>
        <v>11</v>
      </c>
      <c r="L221" s="7">
        <f>IF(Table1[[#This Row],[adj_lead_time]]&lt;=7,1,0)</f>
        <v>0</v>
      </c>
      <c r="M221" s="9">
        <v>45665</v>
      </c>
      <c r="N221" s="9">
        <f>IF(Table1[[#This Row],[lead_time]]&lt;0,(Table1[[#This Row],[OrderDate]]+Table1[[#This Row],[adj_lead_time]]),Table1[[#This Row],[RequiredDate]])</f>
        <v>45665</v>
      </c>
      <c r="O221" t="s">
        <v>647</v>
      </c>
      <c r="P221" t="s">
        <v>659</v>
      </c>
      <c r="Q221" t="s">
        <v>676</v>
      </c>
      <c r="R221" t="s">
        <v>706</v>
      </c>
      <c r="S221" t="s">
        <v>708</v>
      </c>
      <c r="T221" t="s">
        <v>723</v>
      </c>
      <c r="U221" t="s">
        <v>731</v>
      </c>
      <c r="V221" t="s">
        <v>1164</v>
      </c>
      <c r="W221">
        <v>1201.31</v>
      </c>
      <c r="X221">
        <f>Table1[[#This Row],[UnitCost]]*(1+'scenario modeling'!$B$3)</f>
        <v>1321.441</v>
      </c>
      <c r="Y221">
        <v>2764.65</v>
      </c>
      <c r="Z221" t="str">
        <f>IF(Table1[[#This Row],[UnitPrice]]&lt;=Quantiles!$B$2,Quantiles!$A$2,IF(Table1[[#This Row],[UnitPrice]]&lt;=Quantiles!$B$3,Quantiles!$A$3,Quantiles!$A$4))</f>
        <v>High</v>
      </c>
      <c r="AA221">
        <v>0</v>
      </c>
      <c r="AB221" s="5">
        <f>MIN(Table1[[#This Row],[DiscountPct]],'scenario modeling'!$B$2)</f>
        <v>0</v>
      </c>
      <c r="AC221" t="str">
        <f>IF(Table1[[#This Row],[DiscountPct]]&gt;0.3, "&gt;0.3","")</f>
        <v/>
      </c>
      <c r="AD221">
        <v>21</v>
      </c>
      <c r="AE221">
        <f>Table1[[#This Row],[Quantity]]*(1+'scenario modeling'!$B$4)</f>
        <v>25.2</v>
      </c>
      <c r="AF221">
        <f>Table1[[#This Row],[UnitCost]]*Table1[[#This Row],[Quantity]]</f>
        <v>25227.51</v>
      </c>
      <c r="AG221">
        <f>SUMIF($U:U,Table1[[#This Row],[ProductCategory]],$AM:AM)</f>
        <v>1711094.3776</v>
      </c>
      <c r="AH221">
        <f>SUMIFS($AM$2:AM221,$U$2:U221,U221)</f>
        <v>726636.41932000022</v>
      </c>
      <c r="AI221" s="5">
        <f>Table1[[#This Row],[Cumulative_revenue]]/Table1[[#This Row],[Category_revenue]]</f>
        <v>0.42466180056017044</v>
      </c>
      <c r="AJ221" t="str">
        <f>IF(Table1[[#This Row],[cumulative_pct]]&lt;=0.8,"A",IF(Table1[[#This Row],[cumulative_pct]]&lt;=0.95,"B","C"))</f>
        <v>A</v>
      </c>
      <c r="AK221">
        <f>Table1[[#This Row],[adj_unit_cost]]*Table1[[#This Row],[scenario_quantity]]</f>
        <v>33300.313199999997</v>
      </c>
      <c r="AL221" s="5">
        <f>Table1[[#This Row],[UnitPrice]]*Table1[[#This Row],[scenario_quantity]]*(1-Table1[[#This Row],[cap_adjusted_discount]])</f>
        <v>69669.180000000008</v>
      </c>
      <c r="AM221" s="5">
        <f>Table1[[#This Row],[UnitPrice]]*Table1[[#This Row],[Quantity]]*(1-Table1[[#This Row],[DiscountPct]])</f>
        <v>58057.65</v>
      </c>
      <c r="AN221" s="5">
        <f>Table1[[#This Row],[gross_revenue]]-Table1[[#This Row],[cost_of_goods]]</f>
        <v>32830.14</v>
      </c>
      <c r="AO221" s="5">
        <f>Table1[[#This Row],[scenario_revenue]]-Table1[[#This Row],[Scenario_unit_cost]]</f>
        <v>36368.866800000011</v>
      </c>
      <c r="AP221" s="5">
        <f>IF(Table1[[#This Row],[gross_revenue]]=0,0,Table1[[#This Row],[gross_profit]]/Table1[[#This Row],[gross_revenue]])</f>
        <v>0.56547483406579491</v>
      </c>
    </row>
    <row r="222" spans="1:42" x14ac:dyDescent="0.35">
      <c r="A222" t="s">
        <v>645</v>
      </c>
      <c r="B222" t="str">
        <f>_xlfn.TEXTAFTER(Table1[[#This Row],[OrderID]],"-",2)</f>
        <v>728935</v>
      </c>
      <c r="C222">
        <f>YEAR(Table1[[#This Row],[OrderDate]])</f>
        <v>2025</v>
      </c>
      <c r="D222" s="9">
        <f>_xlfn.MINIFS(F:F,P:P,Table1[[#This Row],[Country]])</f>
        <v>44988</v>
      </c>
      <c r="E222" s="7">
        <f>DATEDIF(Table1[[#This Row],[first_time_orders]],Table1[[#This Row],[OrderDate]],"m")</f>
        <v>23</v>
      </c>
      <c r="F222" s="9">
        <v>45716</v>
      </c>
      <c r="G222" s="2" t="str">
        <f>TEXT(Table1[[#This Row],[OrderDate]],"MMM-YYYY")</f>
        <v>Feb-2025</v>
      </c>
      <c r="H222" s="7">
        <f>MONTH(Table1[[#This Row],[OrderDate]])</f>
        <v>2</v>
      </c>
      <c r="I222" s="7" t="str">
        <f>"Q"&amp;ROUNDUP(Table1[[#This Row],[months]]/3,0)&amp;"-"&amp;Table1[[#This Row],[order_year]]</f>
        <v>Q1-2025</v>
      </c>
      <c r="J222" s="7">
        <f>Table1[[#This Row],[RequiredDate]]-Table1[[#This Row],[OrderDate]]</f>
        <v>10</v>
      </c>
      <c r="K222" s="7">
        <f>IF(Table1[[#This Row],[lead_time]]&lt;0,MEDIAN(J:J),Table1[[#This Row],[lead_time]])</f>
        <v>10</v>
      </c>
      <c r="L222" s="7">
        <f>IF(Table1[[#This Row],[adj_lead_time]]&lt;=7,1,0)</f>
        <v>0</v>
      </c>
      <c r="M222" s="9">
        <v>45726</v>
      </c>
      <c r="N222" s="9">
        <f>IF(Table1[[#This Row],[lead_time]]&lt;0,(Table1[[#This Row],[OrderDate]]+Table1[[#This Row],[adj_lead_time]]),Table1[[#This Row],[RequiredDate]])</f>
        <v>45726</v>
      </c>
      <c r="O222" t="s">
        <v>647</v>
      </c>
      <c r="P222" t="s">
        <v>652</v>
      </c>
      <c r="Q222" t="s">
        <v>666</v>
      </c>
      <c r="R222" t="s">
        <v>702</v>
      </c>
      <c r="S222" t="s">
        <v>710</v>
      </c>
      <c r="T222" t="s">
        <v>725</v>
      </c>
      <c r="U222" t="s">
        <v>731</v>
      </c>
      <c r="V222" t="s">
        <v>1363</v>
      </c>
      <c r="W222">
        <v>51.86</v>
      </c>
      <c r="X222">
        <f>Table1[[#This Row],[UnitCost]]*(1+'scenario modeling'!$B$3)</f>
        <v>57.046000000000006</v>
      </c>
      <c r="Y222">
        <v>45.98</v>
      </c>
      <c r="Z222" t="str">
        <f>IF(Table1[[#This Row],[UnitPrice]]&lt;=Quantiles!$B$2,Quantiles!$A$2,IF(Table1[[#This Row],[UnitPrice]]&lt;=Quantiles!$B$3,Quantiles!$A$3,Quantiles!$A$4))</f>
        <v>Low</v>
      </c>
      <c r="AA222">
        <v>0.17299999999999999</v>
      </c>
      <c r="AB222" s="5">
        <f>MIN(Table1[[#This Row],[DiscountPct]],'scenario modeling'!$B$2)</f>
        <v>0.1</v>
      </c>
      <c r="AC222" t="str">
        <f>IF(Table1[[#This Row],[DiscountPct]]&gt;0.3, "&gt;0.3","")</f>
        <v/>
      </c>
      <c r="AD222">
        <v>7</v>
      </c>
      <c r="AE222">
        <f>Table1[[#This Row],[Quantity]]*(1+'scenario modeling'!$B$4)</f>
        <v>8.4</v>
      </c>
      <c r="AF222">
        <f>Table1[[#This Row],[UnitCost]]*Table1[[#This Row],[Quantity]]</f>
        <v>363.02</v>
      </c>
      <c r="AG222">
        <f>SUMIF($U:U,Table1[[#This Row],[ProductCategory]],$AM:AM)</f>
        <v>1711094.3776</v>
      </c>
      <c r="AH222">
        <f>SUMIFS($AM$2:AM222,$U$2:U222,U222)</f>
        <v>726902.59754000022</v>
      </c>
      <c r="AI222" s="5">
        <f>Table1[[#This Row],[Cumulative_revenue]]/Table1[[#This Row],[Category_revenue]]</f>
        <v>0.42481736078144439</v>
      </c>
      <c r="AJ222" t="str">
        <f>IF(Table1[[#This Row],[cumulative_pct]]&lt;=0.8,"A",IF(Table1[[#This Row],[cumulative_pct]]&lt;=0.95,"B","C"))</f>
        <v>A</v>
      </c>
      <c r="AK222">
        <f>Table1[[#This Row],[adj_unit_cost]]*Table1[[#This Row],[scenario_quantity]]</f>
        <v>479.18640000000005</v>
      </c>
      <c r="AL222" s="5">
        <f>Table1[[#This Row],[UnitPrice]]*Table1[[#This Row],[scenario_quantity]]*(1-Table1[[#This Row],[cap_adjusted_discount]])</f>
        <v>347.60879999999997</v>
      </c>
      <c r="AM222" s="5">
        <f>Table1[[#This Row],[UnitPrice]]*Table1[[#This Row],[Quantity]]*(1-Table1[[#This Row],[DiscountPct]])</f>
        <v>266.17821999999995</v>
      </c>
      <c r="AN222" s="5">
        <f>Table1[[#This Row],[gross_revenue]]-Table1[[#This Row],[cost_of_goods]]</f>
        <v>-96.841780000000028</v>
      </c>
      <c r="AO222" s="5">
        <f>Table1[[#This Row],[scenario_revenue]]-Table1[[#This Row],[Scenario_unit_cost]]</f>
        <v>-131.57760000000007</v>
      </c>
      <c r="AP222" s="5">
        <f>IF(Table1[[#This Row],[gross_revenue]]=0,0,Table1[[#This Row],[gross_profit]]/Table1[[#This Row],[gross_revenue]])</f>
        <v>-0.3638230806412337</v>
      </c>
    </row>
    <row r="223" spans="1:42" x14ac:dyDescent="0.35">
      <c r="A223" t="s">
        <v>132</v>
      </c>
      <c r="B223" t="str">
        <f>_xlfn.TEXTAFTER(Table1[[#This Row],[OrderID]],"-",2)</f>
        <v>474999</v>
      </c>
      <c r="C223">
        <f>YEAR(Table1[[#This Row],[OrderDate]])</f>
        <v>2024</v>
      </c>
      <c r="D223" s="9">
        <f>_xlfn.MINIFS(F:F,P:P,Table1[[#This Row],[Country]])</f>
        <v>44948</v>
      </c>
      <c r="E223" s="7">
        <f>DATEDIF(Table1[[#This Row],[first_time_orders]],Table1[[#This Row],[OrderDate]],"m")</f>
        <v>23</v>
      </c>
      <c r="F223" s="9">
        <v>45653</v>
      </c>
      <c r="G223" s="2" t="str">
        <f>TEXT(Table1[[#This Row],[OrderDate]],"MMM-YYYY")</f>
        <v>Dec-2024</v>
      </c>
      <c r="H223" s="7">
        <f>MONTH(Table1[[#This Row],[OrderDate]])</f>
        <v>12</v>
      </c>
      <c r="I223" s="7" t="str">
        <f>"Q"&amp;ROUNDUP(Table1[[#This Row],[months]]/3,0)&amp;"-"&amp;Table1[[#This Row],[order_year]]</f>
        <v>Q4-2024</v>
      </c>
      <c r="J223" s="7">
        <f>Table1[[#This Row],[RequiredDate]]-Table1[[#This Row],[OrderDate]]</f>
        <v>6</v>
      </c>
      <c r="K223" s="7">
        <f>IF(Table1[[#This Row],[lead_time]]&lt;0,MEDIAN(J:J),Table1[[#This Row],[lead_time]])</f>
        <v>6</v>
      </c>
      <c r="L223" s="7">
        <f>IF(Table1[[#This Row],[adj_lead_time]]&lt;=7,1,0)</f>
        <v>1</v>
      </c>
      <c r="M223" s="9">
        <v>45659</v>
      </c>
      <c r="N223" s="9">
        <f>IF(Table1[[#This Row],[lead_time]]&lt;0,(Table1[[#This Row],[OrderDate]]+Table1[[#This Row],[adj_lead_time]]),Table1[[#This Row],[RequiredDate]])</f>
        <v>45659</v>
      </c>
      <c r="O223" t="s">
        <v>649</v>
      </c>
      <c r="P223" t="s">
        <v>656</v>
      </c>
      <c r="Q223" t="s">
        <v>698</v>
      </c>
      <c r="R223" t="s">
        <v>702</v>
      </c>
      <c r="S223" t="s">
        <v>711</v>
      </c>
      <c r="T223" t="s">
        <v>721</v>
      </c>
      <c r="U223" t="s">
        <v>731</v>
      </c>
      <c r="V223" t="s">
        <v>851</v>
      </c>
      <c r="W223">
        <v>1391.99</v>
      </c>
      <c r="X223">
        <f>Table1[[#This Row],[UnitCost]]*(1+'scenario modeling'!$B$3)</f>
        <v>1531.1890000000001</v>
      </c>
      <c r="Y223">
        <v>3469.7</v>
      </c>
      <c r="Z223" t="str">
        <f>IF(Table1[[#This Row],[UnitPrice]]&lt;=Quantiles!$B$2,Quantiles!$A$2,IF(Table1[[#This Row],[UnitPrice]]&lt;=Quantiles!$B$3,Quantiles!$A$3,Quantiles!$A$4))</f>
        <v>High</v>
      </c>
      <c r="AA223">
        <v>0.184</v>
      </c>
      <c r="AB223" s="5">
        <f>MIN(Table1[[#This Row],[DiscountPct]],'scenario modeling'!$B$2)</f>
        <v>0.1</v>
      </c>
      <c r="AC223" t="str">
        <f>IF(Table1[[#This Row],[DiscountPct]]&gt;0.3, "&gt;0.3","")</f>
        <v/>
      </c>
      <c r="AD223">
        <v>23</v>
      </c>
      <c r="AE223">
        <f>Table1[[#This Row],[Quantity]]*(1+'scenario modeling'!$B$4)</f>
        <v>27.599999999999998</v>
      </c>
      <c r="AF223">
        <f>Table1[[#This Row],[UnitCost]]*Table1[[#This Row],[Quantity]]</f>
        <v>32015.77</v>
      </c>
      <c r="AG223">
        <f>SUMIF($U:U,Table1[[#This Row],[ProductCategory]],$AM:AM)</f>
        <v>1711094.3776</v>
      </c>
      <c r="AH223">
        <f>SUMIFS($AM$2:AM223,$U$2:U223,U223)</f>
        <v>792021.92714000028</v>
      </c>
      <c r="AI223" s="5">
        <f>Table1[[#This Row],[Cumulative_revenue]]/Table1[[#This Row],[Category_revenue]]</f>
        <v>0.46287448401934383</v>
      </c>
      <c r="AJ223" t="str">
        <f>IF(Table1[[#This Row],[cumulative_pct]]&lt;=0.8,"A",IF(Table1[[#This Row],[cumulative_pct]]&lt;=0.95,"B","C"))</f>
        <v>A</v>
      </c>
      <c r="AK223">
        <f>Table1[[#This Row],[adj_unit_cost]]*Table1[[#This Row],[scenario_quantity]]</f>
        <v>42260.816399999996</v>
      </c>
      <c r="AL223" s="5">
        <f>Table1[[#This Row],[UnitPrice]]*Table1[[#This Row],[scenario_quantity]]*(1-Table1[[#This Row],[cap_adjusted_discount]])</f>
        <v>86187.347999999984</v>
      </c>
      <c r="AM223" s="5">
        <f>Table1[[#This Row],[UnitPrice]]*Table1[[#This Row],[Quantity]]*(1-Table1[[#This Row],[DiscountPct]])</f>
        <v>65119.329599999997</v>
      </c>
      <c r="AN223" s="5">
        <f>Table1[[#This Row],[gross_revenue]]-Table1[[#This Row],[cost_of_goods]]</f>
        <v>33103.559599999993</v>
      </c>
      <c r="AO223" s="5">
        <f>Table1[[#This Row],[scenario_revenue]]-Table1[[#This Row],[Scenario_unit_cost]]</f>
        <v>43926.531599999988</v>
      </c>
      <c r="AP223" s="5">
        <f>IF(Table1[[#This Row],[gross_revenue]]=0,0,Table1[[#This Row],[gross_profit]]/Table1[[#This Row],[gross_revenue]])</f>
        <v>0.50835227886006973</v>
      </c>
    </row>
    <row r="224" spans="1:42" x14ac:dyDescent="0.35">
      <c r="A224" t="s">
        <v>71</v>
      </c>
      <c r="B224" t="str">
        <f>_xlfn.TEXTAFTER(Table1[[#This Row],[OrderID]],"-",2)</f>
        <v>931538</v>
      </c>
      <c r="C224">
        <f>YEAR(Table1[[#This Row],[OrderDate]])</f>
        <v>2025</v>
      </c>
      <c r="D224" s="9">
        <f>_xlfn.MINIFS(F:F,P:P,Table1[[#This Row],[Country]])</f>
        <v>44955</v>
      </c>
      <c r="E224" s="7">
        <f>DATEDIF(Table1[[#This Row],[first_time_orders]],Table1[[#This Row],[OrderDate]],"m")</f>
        <v>24</v>
      </c>
      <c r="F224" s="9">
        <v>45697</v>
      </c>
      <c r="G224" s="2" t="str">
        <f>TEXT(Table1[[#This Row],[OrderDate]],"MMM-YYYY")</f>
        <v>Feb-2025</v>
      </c>
      <c r="H224" s="7">
        <f>MONTH(Table1[[#This Row],[OrderDate]])</f>
        <v>2</v>
      </c>
      <c r="I224" s="7" t="str">
        <f>"Q"&amp;ROUNDUP(Table1[[#This Row],[months]]/3,0)&amp;"-"&amp;Table1[[#This Row],[order_year]]</f>
        <v>Q1-2025</v>
      </c>
      <c r="J224" s="7">
        <f>Table1[[#This Row],[RequiredDate]]-Table1[[#This Row],[OrderDate]]</f>
        <v>20</v>
      </c>
      <c r="K224" s="7">
        <f>IF(Table1[[#This Row],[lead_time]]&lt;0,MEDIAN(J:J),Table1[[#This Row],[lead_time]])</f>
        <v>20</v>
      </c>
      <c r="L224" s="7">
        <f>IF(Table1[[#This Row],[adj_lead_time]]&lt;=7,1,0)</f>
        <v>0</v>
      </c>
      <c r="M224" s="9">
        <v>45717</v>
      </c>
      <c r="N224" s="9">
        <f>IF(Table1[[#This Row],[lead_time]]&lt;0,(Table1[[#This Row],[OrderDate]]+Table1[[#This Row],[adj_lead_time]]),Table1[[#This Row],[RequiredDate]])</f>
        <v>45717</v>
      </c>
      <c r="O224" t="s">
        <v>648</v>
      </c>
      <c r="P224" t="s">
        <v>655</v>
      </c>
      <c r="Q224" t="s">
        <v>670</v>
      </c>
      <c r="R224" t="s">
        <v>701</v>
      </c>
      <c r="S224" t="s">
        <v>710</v>
      </c>
      <c r="T224" t="s">
        <v>717</v>
      </c>
      <c r="U224" t="s">
        <v>731</v>
      </c>
      <c r="V224" t="s">
        <v>790</v>
      </c>
      <c r="W224">
        <v>1154.6400000000001</v>
      </c>
      <c r="X224">
        <f>Table1[[#This Row],[UnitCost]]*(1+'scenario modeling'!$B$3)</f>
        <v>1270.1040000000003</v>
      </c>
      <c r="Y224">
        <v>2794.13</v>
      </c>
      <c r="Z224" t="str">
        <f>IF(Table1[[#This Row],[UnitPrice]]&lt;=Quantiles!$B$2,Quantiles!$A$2,IF(Table1[[#This Row],[UnitPrice]]&lt;=Quantiles!$B$3,Quantiles!$A$3,Quantiles!$A$4))</f>
        <v>High</v>
      </c>
      <c r="AA224">
        <v>3.5000000000000003E-2</v>
      </c>
      <c r="AB224" s="5">
        <f>MIN(Table1[[#This Row],[DiscountPct]],'scenario modeling'!$B$2)</f>
        <v>3.5000000000000003E-2</v>
      </c>
      <c r="AC224" t="str">
        <f>IF(Table1[[#This Row],[DiscountPct]]&gt;0.3, "&gt;0.3","")</f>
        <v/>
      </c>
      <c r="AD224">
        <v>11</v>
      </c>
      <c r="AE224">
        <f>Table1[[#This Row],[Quantity]]*(1+'scenario modeling'!$B$4)</f>
        <v>13.2</v>
      </c>
      <c r="AF224">
        <f>Table1[[#This Row],[UnitCost]]*Table1[[#This Row],[Quantity]]</f>
        <v>12701.04</v>
      </c>
      <c r="AG224">
        <f>SUMIF($U:U,Table1[[#This Row],[ProductCategory]],$AM:AM)</f>
        <v>1711094.3776</v>
      </c>
      <c r="AH224">
        <f>SUMIFS($AM$2:AM224,$U$2:U224,U224)</f>
        <v>821681.61709000031</v>
      </c>
      <c r="AI224" s="5">
        <f>Table1[[#This Row],[Cumulative_revenue]]/Table1[[#This Row],[Category_revenue]]</f>
        <v>0.48020823856747169</v>
      </c>
      <c r="AJ224" t="str">
        <f>IF(Table1[[#This Row],[cumulative_pct]]&lt;=0.8,"A",IF(Table1[[#This Row],[cumulative_pct]]&lt;=0.95,"B","C"))</f>
        <v>A</v>
      </c>
      <c r="AK224">
        <f>Table1[[#This Row],[adj_unit_cost]]*Table1[[#This Row],[scenario_quantity]]</f>
        <v>16765.372800000001</v>
      </c>
      <c r="AL224" s="5">
        <f>Table1[[#This Row],[UnitPrice]]*Table1[[#This Row],[scenario_quantity]]*(1-Table1[[#This Row],[cap_adjusted_discount]])</f>
        <v>35591.627939999998</v>
      </c>
      <c r="AM224" s="5">
        <f>Table1[[#This Row],[UnitPrice]]*Table1[[#This Row],[Quantity]]*(1-Table1[[#This Row],[DiscountPct]])</f>
        <v>29659.68995</v>
      </c>
      <c r="AN224" s="5">
        <f>Table1[[#This Row],[gross_revenue]]-Table1[[#This Row],[cost_of_goods]]</f>
        <v>16958.649949999999</v>
      </c>
      <c r="AO224" s="5">
        <f>Table1[[#This Row],[scenario_revenue]]-Table1[[#This Row],[Scenario_unit_cost]]</f>
        <v>18826.255139999997</v>
      </c>
      <c r="AP224" s="5">
        <f>IF(Table1[[#This Row],[gross_revenue]]=0,0,Table1[[#This Row],[gross_profit]]/Table1[[#This Row],[gross_revenue]])</f>
        <v>0.57177435025749479</v>
      </c>
    </row>
    <row r="225" spans="1:42" x14ac:dyDescent="0.35">
      <c r="A225" t="s">
        <v>68</v>
      </c>
      <c r="B225" t="str">
        <f>_xlfn.TEXTAFTER(Table1[[#This Row],[OrderID]],"-",2)</f>
        <v>578007</v>
      </c>
      <c r="C225">
        <f>YEAR(Table1[[#This Row],[OrderDate]])</f>
        <v>2025</v>
      </c>
      <c r="D225" s="9">
        <f>_xlfn.MINIFS(F:F,P:P,Table1[[#This Row],[Country]])</f>
        <v>44936</v>
      </c>
      <c r="E225" s="7">
        <f>DATEDIF(Table1[[#This Row],[first_time_orders]],Table1[[#This Row],[OrderDate]],"m")</f>
        <v>24</v>
      </c>
      <c r="F225" s="9">
        <v>45678</v>
      </c>
      <c r="G225" s="2" t="str">
        <f>TEXT(Table1[[#This Row],[OrderDate]],"MMM-YYYY")</f>
        <v>Jan-2025</v>
      </c>
      <c r="H225" s="7">
        <f>MONTH(Table1[[#This Row],[OrderDate]])</f>
        <v>1</v>
      </c>
      <c r="I225" s="7" t="str">
        <f>"Q"&amp;ROUNDUP(Table1[[#This Row],[months]]/3,0)&amp;"-"&amp;Table1[[#This Row],[order_year]]</f>
        <v>Q1-2025</v>
      </c>
      <c r="J225" s="7">
        <f>Table1[[#This Row],[RequiredDate]]-Table1[[#This Row],[OrderDate]]</f>
        <v>26</v>
      </c>
      <c r="K225" s="7">
        <f>IF(Table1[[#This Row],[lead_time]]&lt;0,MEDIAN(J:J),Table1[[#This Row],[lead_time]])</f>
        <v>26</v>
      </c>
      <c r="L225" s="7">
        <f>IF(Table1[[#This Row],[adj_lead_time]]&lt;=7,1,0)</f>
        <v>0</v>
      </c>
      <c r="M225" s="9">
        <v>45704</v>
      </c>
      <c r="N225" s="9">
        <f>IF(Table1[[#This Row],[lead_time]]&lt;0,(Table1[[#This Row],[OrderDate]]+Table1[[#This Row],[adj_lead_time]]),Table1[[#This Row],[RequiredDate]])</f>
        <v>45704</v>
      </c>
      <c r="O225" t="s">
        <v>649</v>
      </c>
      <c r="P225" t="s">
        <v>657</v>
      </c>
      <c r="Q225" t="s">
        <v>679</v>
      </c>
      <c r="R225" t="s">
        <v>701</v>
      </c>
      <c r="S225" t="s">
        <v>710</v>
      </c>
      <c r="T225" t="s">
        <v>719</v>
      </c>
      <c r="U225" t="s">
        <v>731</v>
      </c>
      <c r="V225" t="s">
        <v>787</v>
      </c>
      <c r="W225">
        <v>204.11</v>
      </c>
      <c r="X225">
        <f>Table1[[#This Row],[UnitCost]]*(1+'scenario modeling'!$B$3)</f>
        <v>224.52100000000004</v>
      </c>
      <c r="Y225">
        <v>236.87</v>
      </c>
      <c r="Z225" t="str">
        <f>IF(Table1[[#This Row],[UnitPrice]]&lt;=Quantiles!$B$2,Quantiles!$A$2,IF(Table1[[#This Row],[UnitPrice]]&lt;=Quantiles!$B$3,Quantiles!$A$3,Quantiles!$A$4))</f>
        <v>Low</v>
      </c>
      <c r="AA225">
        <v>0.182</v>
      </c>
      <c r="AB225" s="5">
        <f>MIN(Table1[[#This Row],[DiscountPct]],'scenario modeling'!$B$2)</f>
        <v>0.1</v>
      </c>
      <c r="AC225" t="str">
        <f>IF(Table1[[#This Row],[DiscountPct]]&gt;0.3, "&gt;0.3","")</f>
        <v/>
      </c>
      <c r="AD225">
        <v>13</v>
      </c>
      <c r="AE225">
        <f>Table1[[#This Row],[Quantity]]*(1+'scenario modeling'!$B$4)</f>
        <v>15.6</v>
      </c>
      <c r="AF225">
        <f>Table1[[#This Row],[UnitCost]]*Table1[[#This Row],[Quantity]]</f>
        <v>2653.4300000000003</v>
      </c>
      <c r="AG225">
        <f>SUMIF($U:U,Table1[[#This Row],[ProductCategory]],$AM:AM)</f>
        <v>1711094.3776</v>
      </c>
      <c r="AH225">
        <f>SUMIFS($AM$2:AM225,$U$2:U225,U225)</f>
        <v>824200.4926700003</v>
      </c>
      <c r="AI225" s="5">
        <f>Table1[[#This Row],[Cumulative_revenue]]/Table1[[#This Row],[Category_revenue]]</f>
        <v>0.48168032310762021</v>
      </c>
      <c r="AJ225" t="str">
        <f>IF(Table1[[#This Row],[cumulative_pct]]&lt;=0.8,"A",IF(Table1[[#This Row],[cumulative_pct]]&lt;=0.95,"B","C"))</f>
        <v>A</v>
      </c>
      <c r="AK225">
        <f>Table1[[#This Row],[adj_unit_cost]]*Table1[[#This Row],[scenario_quantity]]</f>
        <v>3502.5276000000008</v>
      </c>
      <c r="AL225" s="5">
        <f>Table1[[#This Row],[UnitPrice]]*Table1[[#This Row],[scenario_quantity]]*(1-Table1[[#This Row],[cap_adjusted_discount]])</f>
        <v>3325.6548000000003</v>
      </c>
      <c r="AM225" s="5">
        <f>Table1[[#This Row],[UnitPrice]]*Table1[[#This Row],[Quantity]]*(1-Table1[[#This Row],[DiscountPct]])</f>
        <v>2518.8755800000004</v>
      </c>
      <c r="AN225" s="5">
        <f>Table1[[#This Row],[gross_revenue]]-Table1[[#This Row],[cost_of_goods]]</f>
        <v>-134.55441999999994</v>
      </c>
      <c r="AO225" s="5">
        <f>Table1[[#This Row],[scenario_revenue]]-Table1[[#This Row],[Scenario_unit_cost]]</f>
        <v>-176.87280000000055</v>
      </c>
      <c r="AP225" s="5">
        <f>IF(Table1[[#This Row],[gross_revenue]]=0,0,Table1[[#This Row],[gross_profit]]/Table1[[#This Row],[gross_revenue]])</f>
        <v>-5.3418446337075494E-2</v>
      </c>
    </row>
    <row r="226" spans="1:42" x14ac:dyDescent="0.35">
      <c r="A226" t="s">
        <v>422</v>
      </c>
      <c r="B226" t="str">
        <f>_xlfn.TEXTAFTER(Table1[[#This Row],[OrderID]],"-",2)</f>
        <v>512310</v>
      </c>
      <c r="C226">
        <f>YEAR(Table1[[#This Row],[OrderDate]])</f>
        <v>2025</v>
      </c>
      <c r="D226" s="9">
        <f>_xlfn.MINIFS(F:F,P:P,Table1[[#This Row],[Country]])</f>
        <v>44955</v>
      </c>
      <c r="E226" s="7">
        <f>DATEDIF(Table1[[#This Row],[first_time_orders]],Table1[[#This Row],[OrderDate]],"m")</f>
        <v>25</v>
      </c>
      <c r="F226" s="9">
        <v>45724</v>
      </c>
      <c r="G226" s="2" t="str">
        <f>TEXT(Table1[[#This Row],[OrderDate]],"MMM-YYYY")</f>
        <v>Mar-2025</v>
      </c>
      <c r="H226" s="7">
        <f>MONTH(Table1[[#This Row],[OrderDate]])</f>
        <v>3</v>
      </c>
      <c r="I226" s="7" t="str">
        <f>"Q"&amp;ROUNDUP(Table1[[#This Row],[months]]/3,0)&amp;"-"&amp;Table1[[#This Row],[order_year]]</f>
        <v>Q1-2025</v>
      </c>
      <c r="J226" s="7">
        <f>Table1[[#This Row],[RequiredDate]]-Table1[[#This Row],[OrderDate]]</f>
        <v>7</v>
      </c>
      <c r="K226" s="7">
        <f>IF(Table1[[#This Row],[lead_time]]&lt;0,MEDIAN(J:J),Table1[[#This Row],[lead_time]])</f>
        <v>7</v>
      </c>
      <c r="L226" s="7">
        <f>IF(Table1[[#This Row],[adj_lead_time]]&lt;=7,1,0)</f>
        <v>1</v>
      </c>
      <c r="M226" s="9">
        <v>45731</v>
      </c>
      <c r="N226" s="9">
        <f>IF(Table1[[#This Row],[lead_time]]&lt;0,(Table1[[#This Row],[OrderDate]]+Table1[[#This Row],[adj_lead_time]]),Table1[[#This Row],[RequiredDate]])</f>
        <v>45731</v>
      </c>
      <c r="O226" t="s">
        <v>647</v>
      </c>
      <c r="P226" t="s">
        <v>654</v>
      </c>
      <c r="Q226" t="s">
        <v>668</v>
      </c>
      <c r="R226" t="s">
        <v>701</v>
      </c>
      <c r="S226" t="s">
        <v>710</v>
      </c>
      <c r="T226" t="s">
        <v>723</v>
      </c>
      <c r="U226" t="s">
        <v>731</v>
      </c>
      <c r="V226" t="s">
        <v>1141</v>
      </c>
      <c r="W226">
        <v>475.66</v>
      </c>
      <c r="X226">
        <f>Table1[[#This Row],[UnitCost]]*(1+'scenario modeling'!$B$3)</f>
        <v>523.22600000000011</v>
      </c>
      <c r="Y226">
        <v>529.14</v>
      </c>
      <c r="Z226" t="str">
        <f>IF(Table1[[#This Row],[UnitPrice]]&lt;=Quantiles!$B$2,Quantiles!$A$2,IF(Table1[[#This Row],[UnitPrice]]&lt;=Quantiles!$B$3,Quantiles!$A$3,Quantiles!$A$4))</f>
        <v>Low</v>
      </c>
      <c r="AA226">
        <v>0.19600000000000001</v>
      </c>
      <c r="AB226" s="5">
        <f>MIN(Table1[[#This Row],[DiscountPct]],'scenario modeling'!$B$2)</f>
        <v>0.1</v>
      </c>
      <c r="AC226" t="str">
        <f>IF(Table1[[#This Row],[DiscountPct]]&gt;0.3, "&gt;0.3","")</f>
        <v/>
      </c>
      <c r="AD226">
        <v>11</v>
      </c>
      <c r="AE226">
        <f>Table1[[#This Row],[Quantity]]*(1+'scenario modeling'!$B$4)</f>
        <v>13.2</v>
      </c>
      <c r="AF226">
        <f>Table1[[#This Row],[UnitCost]]*Table1[[#This Row],[Quantity]]</f>
        <v>5232.26</v>
      </c>
      <c r="AG226">
        <f>SUMIF($U:U,Table1[[#This Row],[ProductCategory]],$AM:AM)</f>
        <v>1711094.3776</v>
      </c>
      <c r="AH226">
        <f>SUMIFS($AM$2:AM226,$U$2:U226,U226)</f>
        <v>828880.20683000027</v>
      </c>
      <c r="AI226" s="5">
        <f>Table1[[#This Row],[Cumulative_revenue]]/Table1[[#This Row],[Category_revenue]]</f>
        <v>0.48441524773905043</v>
      </c>
      <c r="AJ226" t="str">
        <f>IF(Table1[[#This Row],[cumulative_pct]]&lt;=0.8,"A",IF(Table1[[#This Row],[cumulative_pct]]&lt;=0.95,"B","C"))</f>
        <v>A</v>
      </c>
      <c r="AK226">
        <f>Table1[[#This Row],[adj_unit_cost]]*Table1[[#This Row],[scenario_quantity]]</f>
        <v>6906.5832000000009</v>
      </c>
      <c r="AL226" s="5">
        <f>Table1[[#This Row],[UnitPrice]]*Table1[[#This Row],[scenario_quantity]]*(1-Table1[[#This Row],[cap_adjusted_discount]])</f>
        <v>6286.1831999999995</v>
      </c>
      <c r="AM226" s="5">
        <f>Table1[[#This Row],[UnitPrice]]*Table1[[#This Row],[Quantity]]*(1-Table1[[#This Row],[DiscountPct]])</f>
        <v>4679.7141600000004</v>
      </c>
      <c r="AN226" s="5">
        <f>Table1[[#This Row],[gross_revenue]]-Table1[[#This Row],[cost_of_goods]]</f>
        <v>-552.54583999999977</v>
      </c>
      <c r="AO226" s="5">
        <f>Table1[[#This Row],[scenario_revenue]]-Table1[[#This Row],[Scenario_unit_cost]]</f>
        <v>-620.40000000000146</v>
      </c>
      <c r="AP226" s="5">
        <f>IF(Table1[[#This Row],[gross_revenue]]=0,0,Table1[[#This Row],[gross_profit]]/Table1[[#This Row],[gross_revenue]])</f>
        <v>-0.11807256193613323</v>
      </c>
    </row>
    <row r="227" spans="1:42" x14ac:dyDescent="0.35">
      <c r="A227" t="s">
        <v>117</v>
      </c>
      <c r="B227" t="str">
        <f>_xlfn.TEXTAFTER(Table1[[#This Row],[OrderID]],"-",2)</f>
        <v>662997</v>
      </c>
      <c r="C227">
        <f>YEAR(Table1[[#This Row],[OrderDate]])</f>
        <v>2025</v>
      </c>
      <c r="D227" s="9">
        <f>_xlfn.MINIFS(F:F,P:P,Table1[[#This Row],[Country]])</f>
        <v>44946</v>
      </c>
      <c r="E227" s="7">
        <f>DATEDIF(Table1[[#This Row],[first_time_orders]],Table1[[#This Row],[OrderDate]],"m")</f>
        <v>26</v>
      </c>
      <c r="F227" s="9">
        <v>45747</v>
      </c>
      <c r="G227" s="2" t="str">
        <f>TEXT(Table1[[#This Row],[OrderDate]],"MMM-YYYY")</f>
        <v>Mar-2025</v>
      </c>
      <c r="H227" s="7">
        <f>MONTH(Table1[[#This Row],[OrderDate]])</f>
        <v>3</v>
      </c>
      <c r="I227" s="7" t="str">
        <f>"Q"&amp;ROUNDUP(Table1[[#This Row],[months]]/3,0)&amp;"-"&amp;Table1[[#This Row],[order_year]]</f>
        <v>Q1-2025</v>
      </c>
      <c r="J227" s="7">
        <f>Table1[[#This Row],[RequiredDate]]-Table1[[#This Row],[OrderDate]]</f>
        <v>4</v>
      </c>
      <c r="K227" s="7">
        <f>IF(Table1[[#This Row],[lead_time]]&lt;0,MEDIAN(J:J),Table1[[#This Row],[lead_time]])</f>
        <v>4</v>
      </c>
      <c r="L227" s="7">
        <f>IF(Table1[[#This Row],[adj_lead_time]]&lt;=7,1,0)</f>
        <v>1</v>
      </c>
      <c r="M227" s="9">
        <v>45751</v>
      </c>
      <c r="N227" s="9">
        <f>IF(Table1[[#This Row],[lead_time]]&lt;0,(Table1[[#This Row],[OrderDate]]+Table1[[#This Row],[adj_lead_time]]),Table1[[#This Row],[RequiredDate]])</f>
        <v>45751</v>
      </c>
      <c r="O227" t="s">
        <v>646</v>
      </c>
      <c r="P227" t="s">
        <v>650</v>
      </c>
      <c r="Q227" t="s">
        <v>678</v>
      </c>
      <c r="R227" t="s">
        <v>701</v>
      </c>
      <c r="S227" t="s">
        <v>711</v>
      </c>
      <c r="T227" t="s">
        <v>712</v>
      </c>
      <c r="U227" t="s">
        <v>731</v>
      </c>
      <c r="V227" t="s">
        <v>836</v>
      </c>
      <c r="W227">
        <v>862.08</v>
      </c>
      <c r="X227">
        <f>Table1[[#This Row],[UnitCost]]*(1+'scenario modeling'!$B$3)</f>
        <v>948.28800000000012</v>
      </c>
      <c r="Y227">
        <v>1952.83</v>
      </c>
      <c r="Z227" t="str">
        <f>IF(Table1[[#This Row],[UnitPrice]]&lt;=Quantiles!$B$2,Quantiles!$A$2,IF(Table1[[#This Row],[UnitPrice]]&lt;=Quantiles!$B$3,Quantiles!$A$3,Quantiles!$A$4))</f>
        <v>High</v>
      </c>
      <c r="AA227">
        <v>0</v>
      </c>
      <c r="AB227" s="5">
        <f>MIN(Table1[[#This Row],[DiscountPct]],'scenario modeling'!$B$2)</f>
        <v>0</v>
      </c>
      <c r="AC227" t="str">
        <f>IF(Table1[[#This Row],[DiscountPct]]&gt;0.3, "&gt;0.3","")</f>
        <v/>
      </c>
      <c r="AD227">
        <v>7</v>
      </c>
      <c r="AE227">
        <f>Table1[[#This Row],[Quantity]]*(1+'scenario modeling'!$B$4)</f>
        <v>8.4</v>
      </c>
      <c r="AF227">
        <f>Table1[[#This Row],[UnitCost]]*Table1[[#This Row],[Quantity]]</f>
        <v>6034.56</v>
      </c>
      <c r="AG227">
        <f>SUMIF($U:U,Table1[[#This Row],[ProductCategory]],$AM:AM)</f>
        <v>1711094.3776</v>
      </c>
      <c r="AH227">
        <f>SUMIFS($AM$2:AM227,$U$2:U227,U227)</f>
        <v>842550.01683000033</v>
      </c>
      <c r="AI227" s="5">
        <f>Table1[[#This Row],[Cumulative_revenue]]/Table1[[#This Row],[Category_revenue]]</f>
        <v>0.49240417586537238</v>
      </c>
      <c r="AJ227" t="str">
        <f>IF(Table1[[#This Row],[cumulative_pct]]&lt;=0.8,"A",IF(Table1[[#This Row],[cumulative_pct]]&lt;=0.95,"B","C"))</f>
        <v>A</v>
      </c>
      <c r="AK227">
        <f>Table1[[#This Row],[adj_unit_cost]]*Table1[[#This Row],[scenario_quantity]]</f>
        <v>7965.619200000001</v>
      </c>
      <c r="AL227" s="5">
        <f>Table1[[#This Row],[UnitPrice]]*Table1[[#This Row],[scenario_quantity]]*(1-Table1[[#This Row],[cap_adjusted_discount]])</f>
        <v>16403.772000000001</v>
      </c>
      <c r="AM227" s="5">
        <f>Table1[[#This Row],[UnitPrice]]*Table1[[#This Row],[Quantity]]*(1-Table1[[#This Row],[DiscountPct]])</f>
        <v>13669.81</v>
      </c>
      <c r="AN227" s="5">
        <f>Table1[[#This Row],[gross_revenue]]-Table1[[#This Row],[cost_of_goods]]</f>
        <v>7635.2499999999991</v>
      </c>
      <c r="AO227" s="5">
        <f>Table1[[#This Row],[scenario_revenue]]-Table1[[#This Row],[Scenario_unit_cost]]</f>
        <v>8438.1527999999998</v>
      </c>
      <c r="AP227" s="5">
        <f>IF(Table1[[#This Row],[gross_revenue]]=0,0,Table1[[#This Row],[gross_profit]]/Table1[[#This Row],[gross_revenue]])</f>
        <v>0.5585483631447693</v>
      </c>
    </row>
    <row r="228" spans="1:42" x14ac:dyDescent="0.35">
      <c r="A228" t="s">
        <v>86</v>
      </c>
      <c r="B228" t="str">
        <f>_xlfn.TEXTAFTER(Table1[[#This Row],[OrderID]],"-",2)</f>
        <v>640677</v>
      </c>
      <c r="C228">
        <f>YEAR(Table1[[#This Row],[OrderDate]])</f>
        <v>2025</v>
      </c>
      <c r="D228" s="9">
        <f>_xlfn.MINIFS(F:F,P:P,Table1[[#This Row],[Country]])</f>
        <v>44955</v>
      </c>
      <c r="E228" s="7">
        <f>DATEDIF(Table1[[#This Row],[first_time_orders]],Table1[[#This Row],[OrderDate]],"m")</f>
        <v>26</v>
      </c>
      <c r="F228" s="9">
        <v>45756</v>
      </c>
      <c r="G228" s="2" t="str">
        <f>TEXT(Table1[[#This Row],[OrderDate]],"MMM-YYYY")</f>
        <v>Apr-2025</v>
      </c>
      <c r="H228" s="7">
        <f>MONTH(Table1[[#This Row],[OrderDate]])</f>
        <v>4</v>
      </c>
      <c r="I228" s="7" t="str">
        <f>"Q"&amp;ROUNDUP(Table1[[#This Row],[months]]/3,0)&amp;"-"&amp;Table1[[#This Row],[order_year]]</f>
        <v>Q2-2025</v>
      </c>
      <c r="J228" s="7">
        <f>Table1[[#This Row],[RequiredDate]]-Table1[[#This Row],[OrderDate]]</f>
        <v>27</v>
      </c>
      <c r="K228" s="7">
        <f>IF(Table1[[#This Row],[lead_time]]&lt;0,MEDIAN(J:J),Table1[[#This Row],[lead_time]])</f>
        <v>27</v>
      </c>
      <c r="L228" s="7">
        <f>IF(Table1[[#This Row],[adj_lead_time]]&lt;=7,1,0)</f>
        <v>0</v>
      </c>
      <c r="M228" s="9">
        <v>45783</v>
      </c>
      <c r="N228" s="9">
        <f>IF(Table1[[#This Row],[lead_time]]&lt;0,(Table1[[#This Row],[OrderDate]]+Table1[[#This Row],[adj_lead_time]]),Table1[[#This Row],[RequiredDate]])</f>
        <v>45783</v>
      </c>
      <c r="O228" t="s">
        <v>648</v>
      </c>
      <c r="P228" t="s">
        <v>655</v>
      </c>
      <c r="Q228" t="s">
        <v>672</v>
      </c>
      <c r="R228" t="s">
        <v>706</v>
      </c>
      <c r="S228" t="s">
        <v>709</v>
      </c>
      <c r="T228" t="s">
        <v>721</v>
      </c>
      <c r="U228" t="s">
        <v>731</v>
      </c>
      <c r="V228" t="s">
        <v>805</v>
      </c>
      <c r="W228">
        <v>264.19</v>
      </c>
      <c r="X228">
        <f>Table1[[#This Row],[UnitCost]]*(1+'scenario modeling'!$B$3)</f>
        <v>290.60900000000004</v>
      </c>
      <c r="Y228">
        <v>620.92999999999995</v>
      </c>
      <c r="Z228" t="str">
        <f>IF(Table1[[#This Row],[UnitPrice]]&lt;=Quantiles!$B$2,Quantiles!$A$2,IF(Table1[[#This Row],[UnitPrice]]&lt;=Quantiles!$B$3,Quantiles!$A$3,Quantiles!$A$4))</f>
        <v>Low</v>
      </c>
      <c r="AA228">
        <v>0.14199999999999999</v>
      </c>
      <c r="AB228" s="5">
        <f>MIN(Table1[[#This Row],[DiscountPct]],'scenario modeling'!$B$2)</f>
        <v>0.1</v>
      </c>
      <c r="AC228" t="str">
        <f>IF(Table1[[#This Row],[DiscountPct]]&gt;0.3, "&gt;0.3","")</f>
        <v/>
      </c>
      <c r="AD228">
        <v>12</v>
      </c>
      <c r="AE228">
        <f>Table1[[#This Row],[Quantity]]*(1+'scenario modeling'!$B$4)</f>
        <v>14.399999999999999</v>
      </c>
      <c r="AF228">
        <f>Table1[[#This Row],[UnitCost]]*Table1[[#This Row],[Quantity]]</f>
        <v>3170.2799999999997</v>
      </c>
      <c r="AG228">
        <f>SUMIF($U:U,Table1[[#This Row],[ProductCategory]],$AM:AM)</f>
        <v>1711094.3776</v>
      </c>
      <c r="AH228">
        <f>SUMIFS($AM$2:AM228,$U$2:U228,U228)</f>
        <v>848943.11211000034</v>
      </c>
      <c r="AI228" s="5">
        <f>Table1[[#This Row],[Cumulative_revenue]]/Table1[[#This Row],[Category_revenue]]</f>
        <v>0.49614043691776805</v>
      </c>
      <c r="AJ228" t="str">
        <f>IF(Table1[[#This Row],[cumulative_pct]]&lt;=0.8,"A",IF(Table1[[#This Row],[cumulative_pct]]&lt;=0.95,"B","C"))</f>
        <v>A</v>
      </c>
      <c r="AK228">
        <f>Table1[[#This Row],[adj_unit_cost]]*Table1[[#This Row],[scenario_quantity]]</f>
        <v>4184.7696000000005</v>
      </c>
      <c r="AL228" s="5">
        <f>Table1[[#This Row],[UnitPrice]]*Table1[[#This Row],[scenario_quantity]]*(1-Table1[[#This Row],[cap_adjusted_discount]])</f>
        <v>8047.2527999999984</v>
      </c>
      <c r="AM228" s="5">
        <f>Table1[[#This Row],[UnitPrice]]*Table1[[#This Row],[Quantity]]*(1-Table1[[#This Row],[DiscountPct]])</f>
        <v>6393.0952799999995</v>
      </c>
      <c r="AN228" s="5">
        <f>Table1[[#This Row],[gross_revenue]]-Table1[[#This Row],[cost_of_goods]]</f>
        <v>3222.8152799999998</v>
      </c>
      <c r="AO228" s="5">
        <f>Table1[[#This Row],[scenario_revenue]]-Table1[[#This Row],[Scenario_unit_cost]]</f>
        <v>3862.4831999999979</v>
      </c>
      <c r="AP228" s="5">
        <f>IF(Table1[[#This Row],[gross_revenue]]=0,0,Table1[[#This Row],[gross_profit]]/Table1[[#This Row],[gross_revenue]])</f>
        <v>0.50410875152794532</v>
      </c>
    </row>
    <row r="229" spans="1:42" x14ac:dyDescent="0.35">
      <c r="A229" t="s">
        <v>278</v>
      </c>
      <c r="B229" t="str">
        <f>_xlfn.TEXTAFTER(Table1[[#This Row],[OrderID]],"-",2)</f>
        <v>440093</v>
      </c>
      <c r="C229">
        <f>YEAR(Table1[[#This Row],[OrderDate]])</f>
        <v>2025</v>
      </c>
      <c r="D229" s="9">
        <f>_xlfn.MINIFS(F:F,P:P,Table1[[#This Row],[Country]])</f>
        <v>44941</v>
      </c>
      <c r="E229" s="7">
        <f>DATEDIF(Table1[[#This Row],[first_time_orders]],Table1[[#This Row],[OrderDate]],"m")</f>
        <v>27</v>
      </c>
      <c r="F229" s="9">
        <v>45763</v>
      </c>
      <c r="G229" s="2" t="str">
        <f>TEXT(Table1[[#This Row],[OrderDate]],"MMM-YYYY")</f>
        <v>Apr-2025</v>
      </c>
      <c r="H229" s="7">
        <f>MONTH(Table1[[#This Row],[OrderDate]])</f>
        <v>4</v>
      </c>
      <c r="I229" s="7" t="str">
        <f>"Q"&amp;ROUNDUP(Table1[[#This Row],[months]]/3,0)&amp;"-"&amp;Table1[[#This Row],[order_year]]</f>
        <v>Q2-2025</v>
      </c>
      <c r="J229" s="7">
        <f>Table1[[#This Row],[RequiredDate]]-Table1[[#This Row],[OrderDate]]</f>
        <v>10</v>
      </c>
      <c r="K229" s="7">
        <f>IF(Table1[[#This Row],[lead_time]]&lt;0,MEDIAN(J:J),Table1[[#This Row],[lead_time]])</f>
        <v>10</v>
      </c>
      <c r="L229" s="7">
        <f>IF(Table1[[#This Row],[adj_lead_time]]&lt;=7,1,0)</f>
        <v>0</v>
      </c>
      <c r="M229" s="9">
        <v>45773</v>
      </c>
      <c r="N229" s="9">
        <f>IF(Table1[[#This Row],[lead_time]]&lt;0,(Table1[[#This Row],[OrderDate]]+Table1[[#This Row],[adj_lead_time]]),Table1[[#This Row],[RequiredDate]])</f>
        <v>45773</v>
      </c>
      <c r="O229" t="s">
        <v>646</v>
      </c>
      <c r="P229" t="s">
        <v>651</v>
      </c>
      <c r="Q229" t="s">
        <v>663</v>
      </c>
      <c r="R229" t="s">
        <v>706</v>
      </c>
      <c r="S229" t="s">
        <v>709</v>
      </c>
      <c r="T229" t="s">
        <v>721</v>
      </c>
      <c r="U229" t="s">
        <v>731</v>
      </c>
      <c r="V229" t="s">
        <v>998</v>
      </c>
      <c r="W229">
        <v>1457.44</v>
      </c>
      <c r="X229">
        <f>Table1[[#This Row],[UnitCost]]*(1+'scenario modeling'!$B$3)</f>
        <v>1603.1840000000002</v>
      </c>
      <c r="Y229">
        <v>1996.81</v>
      </c>
      <c r="Z229" t="str">
        <f>IF(Table1[[#This Row],[UnitPrice]]&lt;=Quantiles!$B$2,Quantiles!$A$2,IF(Table1[[#This Row],[UnitPrice]]&lt;=Quantiles!$B$3,Quantiles!$A$3,Quantiles!$A$4))</f>
        <v>High</v>
      </c>
      <c r="AA229">
        <v>0.126</v>
      </c>
      <c r="AB229" s="5">
        <f>MIN(Table1[[#This Row],[DiscountPct]],'scenario modeling'!$B$2)</f>
        <v>0.1</v>
      </c>
      <c r="AC229" t="str">
        <f>IF(Table1[[#This Row],[DiscountPct]]&gt;0.3, "&gt;0.3","")</f>
        <v/>
      </c>
      <c r="AD229">
        <v>23</v>
      </c>
      <c r="AE229">
        <f>Table1[[#This Row],[Quantity]]*(1+'scenario modeling'!$B$4)</f>
        <v>27.599999999999998</v>
      </c>
      <c r="AF229">
        <f>Table1[[#This Row],[UnitCost]]*Table1[[#This Row],[Quantity]]</f>
        <v>33521.120000000003</v>
      </c>
      <c r="AG229">
        <f>SUMIF($U:U,Table1[[#This Row],[ProductCategory]],$AM:AM)</f>
        <v>1711094.3776</v>
      </c>
      <c r="AH229">
        <f>SUMIFS($AM$2:AM229,$U$2:U229,U229)</f>
        <v>889082.98673000035</v>
      </c>
      <c r="AI229" s="5">
        <f>Table1[[#This Row],[Cumulative_revenue]]/Table1[[#This Row],[Category_revenue]]</f>
        <v>0.51959903461142687</v>
      </c>
      <c r="AJ229" t="str">
        <f>IF(Table1[[#This Row],[cumulative_pct]]&lt;=0.8,"A",IF(Table1[[#This Row],[cumulative_pct]]&lt;=0.95,"B","C"))</f>
        <v>A</v>
      </c>
      <c r="AK229">
        <f>Table1[[#This Row],[adj_unit_cost]]*Table1[[#This Row],[scenario_quantity]]</f>
        <v>44247.878400000001</v>
      </c>
      <c r="AL229" s="5">
        <f>Table1[[#This Row],[UnitPrice]]*Table1[[#This Row],[scenario_quantity]]*(1-Table1[[#This Row],[cap_adjusted_discount]])</f>
        <v>49600.760399999992</v>
      </c>
      <c r="AM229" s="5">
        <f>Table1[[#This Row],[UnitPrice]]*Table1[[#This Row],[Quantity]]*(1-Table1[[#This Row],[DiscountPct]])</f>
        <v>40139.874619999995</v>
      </c>
      <c r="AN229" s="5">
        <f>Table1[[#This Row],[gross_revenue]]-Table1[[#This Row],[cost_of_goods]]</f>
        <v>6618.7546199999924</v>
      </c>
      <c r="AO229" s="5">
        <f>Table1[[#This Row],[scenario_revenue]]-Table1[[#This Row],[Scenario_unit_cost]]</f>
        <v>5352.8819999999905</v>
      </c>
      <c r="AP229" s="5">
        <f>IF(Table1[[#This Row],[gross_revenue]]=0,0,Table1[[#This Row],[gross_profit]]/Table1[[#This Row],[gross_revenue]])</f>
        <v>0.16489225944672353</v>
      </c>
    </row>
    <row r="230" spans="1:42" x14ac:dyDescent="0.35">
      <c r="A230" t="s">
        <v>297</v>
      </c>
      <c r="B230" t="str">
        <f>_xlfn.TEXTAFTER(Table1[[#This Row],[OrderID]],"-",2)</f>
        <v>983096</v>
      </c>
      <c r="C230">
        <f>YEAR(Table1[[#This Row],[OrderDate]])</f>
        <v>2025</v>
      </c>
      <c r="D230" s="9">
        <f>_xlfn.MINIFS(F:F,P:P,Table1[[#This Row],[Country]])</f>
        <v>44955</v>
      </c>
      <c r="E230" s="7">
        <f>DATEDIF(Table1[[#This Row],[first_time_orders]],Table1[[#This Row],[OrderDate]],"m")</f>
        <v>27</v>
      </c>
      <c r="F230" s="9">
        <v>45794</v>
      </c>
      <c r="G230" s="2" t="str">
        <f>TEXT(Table1[[#This Row],[OrderDate]],"MMM-YYYY")</f>
        <v>May-2025</v>
      </c>
      <c r="H230" s="7">
        <f>MONTH(Table1[[#This Row],[OrderDate]])</f>
        <v>5</v>
      </c>
      <c r="I230" s="7" t="str">
        <f>"Q"&amp;ROUNDUP(Table1[[#This Row],[months]]/3,0)&amp;"-"&amp;Table1[[#This Row],[order_year]]</f>
        <v>Q2-2025</v>
      </c>
      <c r="J230" s="7">
        <f>Table1[[#This Row],[RequiredDate]]-Table1[[#This Row],[OrderDate]]</f>
        <v>11</v>
      </c>
      <c r="K230" s="7">
        <f>IF(Table1[[#This Row],[lead_time]]&lt;0,MEDIAN(J:J),Table1[[#This Row],[lead_time]])</f>
        <v>11</v>
      </c>
      <c r="L230" s="7">
        <f>IF(Table1[[#This Row],[adj_lead_time]]&lt;=7,1,0)</f>
        <v>0</v>
      </c>
      <c r="M230" s="9">
        <v>45805</v>
      </c>
      <c r="N230" s="9">
        <f>IF(Table1[[#This Row],[lead_time]]&lt;0,(Table1[[#This Row],[OrderDate]]+Table1[[#This Row],[adj_lead_time]]),Table1[[#This Row],[RequiredDate]])</f>
        <v>45805</v>
      </c>
      <c r="O230" t="s">
        <v>647</v>
      </c>
      <c r="P230" t="s">
        <v>654</v>
      </c>
      <c r="Q230" t="s">
        <v>668</v>
      </c>
      <c r="R230" t="s">
        <v>701</v>
      </c>
      <c r="S230" t="s">
        <v>710</v>
      </c>
      <c r="T230" t="s">
        <v>717</v>
      </c>
      <c r="U230" t="s">
        <v>731</v>
      </c>
      <c r="V230" t="s">
        <v>1017</v>
      </c>
      <c r="W230">
        <v>623.4</v>
      </c>
      <c r="X230">
        <f>Table1[[#This Row],[UnitCost]]*(1+'scenario modeling'!$B$3)</f>
        <v>685.74</v>
      </c>
      <c r="Y230">
        <v>1100.0899999999999</v>
      </c>
      <c r="Z230" t="str">
        <f>IF(Table1[[#This Row],[UnitPrice]]&lt;=Quantiles!$B$2,Quantiles!$A$2,IF(Table1[[#This Row],[UnitPrice]]&lt;=Quantiles!$B$3,Quantiles!$A$3,Quantiles!$A$4))</f>
        <v>Medium</v>
      </c>
      <c r="AA230">
        <v>0.114</v>
      </c>
      <c r="AB230" s="5">
        <f>MIN(Table1[[#This Row],[DiscountPct]],'scenario modeling'!$B$2)</f>
        <v>0.1</v>
      </c>
      <c r="AC230" t="str">
        <f>IF(Table1[[#This Row],[DiscountPct]]&gt;0.3, "&gt;0.3","")</f>
        <v/>
      </c>
      <c r="AD230">
        <v>12</v>
      </c>
      <c r="AE230">
        <f>Table1[[#This Row],[Quantity]]*(1+'scenario modeling'!$B$4)</f>
        <v>14.399999999999999</v>
      </c>
      <c r="AF230">
        <f>Table1[[#This Row],[UnitCost]]*Table1[[#This Row],[Quantity]]</f>
        <v>7480.7999999999993</v>
      </c>
      <c r="AG230">
        <f>SUMIF($U:U,Table1[[#This Row],[ProductCategory]],$AM:AM)</f>
        <v>1711094.3776</v>
      </c>
      <c r="AH230">
        <f>SUMIFS($AM$2:AM230,$U$2:U230,U230)</f>
        <v>900779.14361000038</v>
      </c>
      <c r="AI230" s="5">
        <f>Table1[[#This Row],[Cumulative_revenue]]/Table1[[#This Row],[Category_revenue]]</f>
        <v>0.52643451781627804</v>
      </c>
      <c r="AJ230" t="str">
        <f>IF(Table1[[#This Row],[cumulative_pct]]&lt;=0.8,"A",IF(Table1[[#This Row],[cumulative_pct]]&lt;=0.95,"B","C"))</f>
        <v>A</v>
      </c>
      <c r="AK230">
        <f>Table1[[#This Row],[adj_unit_cost]]*Table1[[#This Row],[scenario_quantity]]</f>
        <v>9874.655999999999</v>
      </c>
      <c r="AL230" s="5">
        <f>Table1[[#This Row],[UnitPrice]]*Table1[[#This Row],[scenario_quantity]]*(1-Table1[[#This Row],[cap_adjusted_discount]])</f>
        <v>14257.166399999996</v>
      </c>
      <c r="AM230" s="5">
        <f>Table1[[#This Row],[UnitPrice]]*Table1[[#This Row],[Quantity]]*(1-Table1[[#This Row],[DiscountPct]])</f>
        <v>11696.156879999999</v>
      </c>
      <c r="AN230" s="5">
        <f>Table1[[#This Row],[gross_revenue]]-Table1[[#This Row],[cost_of_goods]]</f>
        <v>4215.3568799999994</v>
      </c>
      <c r="AO230" s="5">
        <f>Table1[[#This Row],[scenario_revenue]]-Table1[[#This Row],[Scenario_unit_cost]]</f>
        <v>4382.5103999999974</v>
      </c>
      <c r="AP230" s="5">
        <f>IF(Table1[[#This Row],[gross_revenue]]=0,0,Table1[[#This Row],[gross_profit]]/Table1[[#This Row],[gross_revenue]])</f>
        <v>0.36040529579490388</v>
      </c>
    </row>
    <row r="231" spans="1:42" x14ac:dyDescent="0.35">
      <c r="A231" t="s">
        <v>188</v>
      </c>
      <c r="B231" t="str">
        <f>_xlfn.TEXTAFTER(Table1[[#This Row],[OrderID]],"-",2)</f>
        <v>700847</v>
      </c>
      <c r="C231">
        <f>YEAR(Table1[[#This Row],[OrderDate]])</f>
        <v>2025</v>
      </c>
      <c r="D231" s="9">
        <f>_xlfn.MINIFS(F:F,P:P,Table1[[#This Row],[Country]])</f>
        <v>44933</v>
      </c>
      <c r="E231" s="7">
        <f>DATEDIF(Table1[[#This Row],[first_time_orders]],Table1[[#This Row],[OrderDate]],"m")</f>
        <v>28</v>
      </c>
      <c r="F231" s="9">
        <v>45798</v>
      </c>
      <c r="G231" s="2" t="str">
        <f>TEXT(Table1[[#This Row],[OrderDate]],"MMM-YYYY")</f>
        <v>May-2025</v>
      </c>
      <c r="H231" s="7">
        <f>MONTH(Table1[[#This Row],[OrderDate]])</f>
        <v>5</v>
      </c>
      <c r="I231" s="7" t="str">
        <f>"Q"&amp;ROUNDUP(Table1[[#This Row],[months]]/3,0)&amp;"-"&amp;Table1[[#This Row],[order_year]]</f>
        <v>Q2-2025</v>
      </c>
      <c r="J231" s="7">
        <f>Table1[[#This Row],[RequiredDate]]-Table1[[#This Row],[OrderDate]]</f>
        <v>-2</v>
      </c>
      <c r="K231" s="7">
        <f>IF(Table1[[#This Row],[lead_time]]&lt;0,MEDIAN(J:J),Table1[[#This Row],[lead_time]])</f>
        <v>15</v>
      </c>
      <c r="L231" s="7">
        <f>IF(Table1[[#This Row],[adj_lead_time]]&lt;=7,1,0)</f>
        <v>0</v>
      </c>
      <c r="M231" s="9">
        <v>45796</v>
      </c>
      <c r="N231" s="9">
        <f>IF(Table1[[#This Row],[lead_time]]&lt;0,(Table1[[#This Row],[OrderDate]]+Table1[[#This Row],[adj_lead_time]]),Table1[[#This Row],[RequiredDate]])</f>
        <v>45813</v>
      </c>
      <c r="O231" t="s">
        <v>646</v>
      </c>
      <c r="P231" t="s">
        <v>661</v>
      </c>
      <c r="Q231" t="s">
        <v>682</v>
      </c>
      <c r="R231" t="s">
        <v>703</v>
      </c>
      <c r="S231" t="s">
        <v>710</v>
      </c>
      <c r="T231" t="s">
        <v>719</v>
      </c>
      <c r="U231" t="s">
        <v>731</v>
      </c>
      <c r="V231" t="s">
        <v>907</v>
      </c>
      <c r="W231">
        <v>1263.8399999999999</v>
      </c>
      <c r="X231">
        <f>Table1[[#This Row],[UnitCost]]*(1+'scenario modeling'!$B$3)</f>
        <v>1390.2239999999999</v>
      </c>
      <c r="Y231">
        <v>2281.7199999999998</v>
      </c>
      <c r="Z231" t="str">
        <f>IF(Table1[[#This Row],[UnitPrice]]&lt;=Quantiles!$B$2,Quantiles!$A$2,IF(Table1[[#This Row],[UnitPrice]]&lt;=Quantiles!$B$3,Quantiles!$A$3,Quantiles!$A$4))</f>
        <v>High</v>
      </c>
      <c r="AA231">
        <v>7.8E-2</v>
      </c>
      <c r="AB231" s="5">
        <f>MIN(Table1[[#This Row],[DiscountPct]],'scenario modeling'!$B$2)</f>
        <v>7.8E-2</v>
      </c>
      <c r="AC231" t="str">
        <f>IF(Table1[[#This Row],[DiscountPct]]&gt;0.3, "&gt;0.3","")</f>
        <v/>
      </c>
      <c r="AD231">
        <v>15</v>
      </c>
      <c r="AE231">
        <f>Table1[[#This Row],[Quantity]]*(1+'scenario modeling'!$B$4)</f>
        <v>18</v>
      </c>
      <c r="AF231">
        <f>Table1[[#This Row],[UnitCost]]*Table1[[#This Row],[Quantity]]</f>
        <v>18957.599999999999</v>
      </c>
      <c r="AG231">
        <f>SUMIF($U:U,Table1[[#This Row],[ProductCategory]],$AM:AM)</f>
        <v>1711094.3776</v>
      </c>
      <c r="AH231">
        <f>SUMIFS($AM$2:AM231,$U$2:U231,U231)</f>
        <v>932335.33121000032</v>
      </c>
      <c r="AI231" s="5">
        <f>Table1[[#This Row],[Cumulative_revenue]]/Table1[[#This Row],[Category_revenue]]</f>
        <v>0.54487662598582332</v>
      </c>
      <c r="AJ231" t="str">
        <f>IF(Table1[[#This Row],[cumulative_pct]]&lt;=0.8,"A",IF(Table1[[#This Row],[cumulative_pct]]&lt;=0.95,"B","C"))</f>
        <v>A</v>
      </c>
      <c r="AK231">
        <f>Table1[[#This Row],[adj_unit_cost]]*Table1[[#This Row],[scenario_quantity]]</f>
        <v>25024.031999999999</v>
      </c>
      <c r="AL231" s="5">
        <f>Table1[[#This Row],[UnitPrice]]*Table1[[#This Row],[scenario_quantity]]*(1-Table1[[#This Row],[cap_adjusted_discount]])</f>
        <v>37867.42512</v>
      </c>
      <c r="AM231" s="5">
        <f>Table1[[#This Row],[UnitPrice]]*Table1[[#This Row],[Quantity]]*(1-Table1[[#This Row],[DiscountPct]])</f>
        <v>31556.187599999997</v>
      </c>
      <c r="AN231" s="5">
        <f>Table1[[#This Row],[gross_revenue]]-Table1[[#This Row],[cost_of_goods]]</f>
        <v>12598.587599999999</v>
      </c>
      <c r="AO231" s="5">
        <f>Table1[[#This Row],[scenario_revenue]]-Table1[[#This Row],[Scenario_unit_cost]]</f>
        <v>12843.393120000001</v>
      </c>
      <c r="AP231" s="5">
        <f>IF(Table1[[#This Row],[gross_revenue]]=0,0,Table1[[#This Row],[gross_profit]]/Table1[[#This Row],[gross_revenue]])</f>
        <v>0.39924301882398494</v>
      </c>
    </row>
    <row r="232" spans="1:42" x14ac:dyDescent="0.35">
      <c r="A232" t="s">
        <v>363</v>
      </c>
      <c r="B232" t="str">
        <f>_xlfn.TEXTAFTER(Table1[[#This Row],[OrderID]],"-",2)</f>
        <v>480172</v>
      </c>
      <c r="C232">
        <f>YEAR(Table1[[#This Row],[OrderDate]])</f>
        <v>2025</v>
      </c>
      <c r="D232" s="9">
        <f>_xlfn.MINIFS(F:F,P:P,Table1[[#This Row],[Country]])</f>
        <v>44955</v>
      </c>
      <c r="E232" s="7">
        <f>DATEDIF(Table1[[#This Row],[first_time_orders]],Table1[[#This Row],[OrderDate]],"m")</f>
        <v>28</v>
      </c>
      <c r="F232" s="9">
        <v>45825</v>
      </c>
      <c r="G232" s="2" t="str">
        <f>TEXT(Table1[[#This Row],[OrderDate]],"MMM-YYYY")</f>
        <v>Jun-2025</v>
      </c>
      <c r="H232" s="7">
        <f>MONTH(Table1[[#This Row],[OrderDate]])</f>
        <v>6</v>
      </c>
      <c r="I232" s="7" t="str">
        <f>"Q"&amp;ROUNDUP(Table1[[#This Row],[months]]/3,0)&amp;"-"&amp;Table1[[#This Row],[order_year]]</f>
        <v>Q2-2025</v>
      </c>
      <c r="J232" s="7">
        <f>Table1[[#This Row],[RequiredDate]]-Table1[[#This Row],[OrderDate]]</f>
        <v>18</v>
      </c>
      <c r="K232" s="7">
        <f>IF(Table1[[#This Row],[lead_time]]&lt;0,MEDIAN(J:J),Table1[[#This Row],[lead_time]])</f>
        <v>18</v>
      </c>
      <c r="L232" s="7">
        <f>IF(Table1[[#This Row],[adj_lead_time]]&lt;=7,1,0)</f>
        <v>0</v>
      </c>
      <c r="M232" s="9">
        <v>45843</v>
      </c>
      <c r="N232" s="9">
        <f>IF(Table1[[#This Row],[lead_time]]&lt;0,(Table1[[#This Row],[OrderDate]]+Table1[[#This Row],[adj_lead_time]]),Table1[[#This Row],[RequiredDate]])</f>
        <v>45843</v>
      </c>
      <c r="O232" t="s">
        <v>647</v>
      </c>
      <c r="P232" t="s">
        <v>654</v>
      </c>
      <c r="Q232" t="s">
        <v>680</v>
      </c>
      <c r="R232" t="s">
        <v>704</v>
      </c>
      <c r="S232" t="s">
        <v>709</v>
      </c>
      <c r="T232" t="s">
        <v>716</v>
      </c>
      <c r="U232" t="s">
        <v>731</v>
      </c>
      <c r="V232" t="s">
        <v>1083</v>
      </c>
      <c r="W232">
        <v>982.93</v>
      </c>
      <c r="X232">
        <f>Table1[[#This Row],[UnitCost]]*(1+'scenario modeling'!$B$3)</f>
        <v>1081.223</v>
      </c>
      <c r="Y232">
        <v>2299.3000000000002</v>
      </c>
      <c r="Z232" t="str">
        <f>IF(Table1[[#This Row],[UnitPrice]]&lt;=Quantiles!$B$2,Quantiles!$A$2,IF(Table1[[#This Row],[UnitPrice]]&lt;=Quantiles!$B$3,Quantiles!$A$3,Quantiles!$A$4))</f>
        <v>High</v>
      </c>
      <c r="AA232">
        <v>0.113</v>
      </c>
      <c r="AB232" s="5">
        <f>MIN(Table1[[#This Row],[DiscountPct]],'scenario modeling'!$B$2)</f>
        <v>0.1</v>
      </c>
      <c r="AC232" t="str">
        <f>IF(Table1[[#This Row],[DiscountPct]]&gt;0.3, "&gt;0.3","")</f>
        <v/>
      </c>
      <c r="AD232">
        <v>6</v>
      </c>
      <c r="AE232">
        <f>Table1[[#This Row],[Quantity]]*(1+'scenario modeling'!$B$4)</f>
        <v>7.1999999999999993</v>
      </c>
      <c r="AF232">
        <f>Table1[[#This Row],[UnitCost]]*Table1[[#This Row],[Quantity]]</f>
        <v>5897.58</v>
      </c>
      <c r="AG232">
        <f>SUMIF($U:U,Table1[[#This Row],[ProductCategory]],$AM:AM)</f>
        <v>1711094.3776</v>
      </c>
      <c r="AH232">
        <f>SUMIFS($AM$2:AM232,$U$2:U232,U232)</f>
        <v>944572.20581000031</v>
      </c>
      <c r="AI232" s="5">
        <f>Table1[[#This Row],[Cumulative_revenue]]/Table1[[#This Row],[Category_revenue]]</f>
        <v>0.55202811614334668</v>
      </c>
      <c r="AJ232" t="str">
        <f>IF(Table1[[#This Row],[cumulative_pct]]&lt;=0.8,"A",IF(Table1[[#This Row],[cumulative_pct]]&lt;=0.95,"B","C"))</f>
        <v>A</v>
      </c>
      <c r="AK232">
        <f>Table1[[#This Row],[adj_unit_cost]]*Table1[[#This Row],[scenario_quantity]]</f>
        <v>7784.8055999999988</v>
      </c>
      <c r="AL232" s="5">
        <f>Table1[[#This Row],[UnitPrice]]*Table1[[#This Row],[scenario_quantity]]*(1-Table1[[#This Row],[cap_adjusted_discount]])</f>
        <v>14899.464</v>
      </c>
      <c r="AM232" s="5">
        <f>Table1[[#This Row],[UnitPrice]]*Table1[[#This Row],[Quantity]]*(1-Table1[[#This Row],[DiscountPct]])</f>
        <v>12236.874600000001</v>
      </c>
      <c r="AN232" s="5">
        <f>Table1[[#This Row],[gross_revenue]]-Table1[[#This Row],[cost_of_goods]]</f>
        <v>6339.2946000000011</v>
      </c>
      <c r="AO232" s="5">
        <f>Table1[[#This Row],[scenario_revenue]]-Table1[[#This Row],[Scenario_unit_cost]]</f>
        <v>7114.6584000000012</v>
      </c>
      <c r="AP232" s="5">
        <f>IF(Table1[[#This Row],[gross_revenue]]=0,0,Table1[[#This Row],[gross_profit]]/Table1[[#This Row],[gross_revenue]])</f>
        <v>0.51804850562087157</v>
      </c>
    </row>
    <row r="233" spans="1:42" x14ac:dyDescent="0.35">
      <c r="A233" t="s">
        <v>256</v>
      </c>
      <c r="B233" t="str">
        <f>_xlfn.TEXTAFTER(Table1[[#This Row],[OrderID]],"-",2)</f>
        <v>646342</v>
      </c>
      <c r="C233">
        <f>YEAR(Table1[[#This Row],[OrderDate]])</f>
        <v>2025</v>
      </c>
      <c r="D233" s="9">
        <f>_xlfn.MINIFS(F:F,P:P,Table1[[#This Row],[Country]])</f>
        <v>44988</v>
      </c>
      <c r="E233" s="7">
        <f>DATEDIF(Table1[[#This Row],[first_time_orders]],Table1[[#This Row],[OrderDate]],"m")</f>
        <v>28</v>
      </c>
      <c r="F233" s="9">
        <v>45871</v>
      </c>
      <c r="G233" s="2" t="str">
        <f>TEXT(Table1[[#This Row],[OrderDate]],"MMM-YYYY")</f>
        <v>Aug-2025</v>
      </c>
      <c r="H233" s="7">
        <f>MONTH(Table1[[#This Row],[OrderDate]])</f>
        <v>8</v>
      </c>
      <c r="I233" s="7" t="str">
        <f>"Q"&amp;ROUNDUP(Table1[[#This Row],[months]]/3,0)&amp;"-"&amp;Table1[[#This Row],[order_year]]</f>
        <v>Q3-2025</v>
      </c>
      <c r="J233" s="7">
        <f>Table1[[#This Row],[RequiredDate]]-Table1[[#This Row],[OrderDate]]</f>
        <v>6</v>
      </c>
      <c r="K233" s="7">
        <f>IF(Table1[[#This Row],[lead_time]]&lt;0,MEDIAN(J:J),Table1[[#This Row],[lead_time]])</f>
        <v>6</v>
      </c>
      <c r="L233" s="7">
        <f>IF(Table1[[#This Row],[adj_lead_time]]&lt;=7,1,0)</f>
        <v>1</v>
      </c>
      <c r="M233" s="9">
        <v>45877</v>
      </c>
      <c r="N233" s="9">
        <f>IF(Table1[[#This Row],[lead_time]]&lt;0,(Table1[[#This Row],[OrderDate]]+Table1[[#This Row],[adj_lead_time]]),Table1[[#This Row],[RequiredDate]])</f>
        <v>45877</v>
      </c>
      <c r="O233" t="s">
        <v>647</v>
      </c>
      <c r="P233" t="s">
        <v>652</v>
      </c>
      <c r="Q233" t="s">
        <v>666</v>
      </c>
      <c r="R233" t="s">
        <v>704</v>
      </c>
      <c r="S233" t="s">
        <v>711</v>
      </c>
      <c r="T233" t="s">
        <v>725</v>
      </c>
      <c r="U233" t="s">
        <v>731</v>
      </c>
      <c r="V233" t="s">
        <v>976</v>
      </c>
      <c r="W233">
        <v>1225.94</v>
      </c>
      <c r="X233">
        <f>Table1[[#This Row],[UnitCost]]*(1+'scenario modeling'!$B$3)</f>
        <v>1348.5340000000001</v>
      </c>
      <c r="Y233">
        <v>1793.08</v>
      </c>
      <c r="Z233" t="str">
        <f>IF(Table1[[#This Row],[UnitPrice]]&lt;=Quantiles!$B$2,Quantiles!$A$2,IF(Table1[[#This Row],[UnitPrice]]&lt;=Quantiles!$B$3,Quantiles!$A$3,Quantiles!$A$4))</f>
        <v>High</v>
      </c>
      <c r="AA233">
        <v>0.13600000000000001</v>
      </c>
      <c r="AB233" s="5">
        <f>MIN(Table1[[#This Row],[DiscountPct]],'scenario modeling'!$B$2)</f>
        <v>0.1</v>
      </c>
      <c r="AC233" t="str">
        <f>IF(Table1[[#This Row],[DiscountPct]]&gt;0.3, "&gt;0.3","")</f>
        <v/>
      </c>
      <c r="AD233">
        <v>22</v>
      </c>
      <c r="AE233">
        <f>Table1[[#This Row],[Quantity]]*(1+'scenario modeling'!$B$4)</f>
        <v>26.4</v>
      </c>
      <c r="AF233">
        <f>Table1[[#This Row],[UnitCost]]*Table1[[#This Row],[Quantity]]</f>
        <v>26970.68</v>
      </c>
      <c r="AG233">
        <f>SUMIF($U:U,Table1[[#This Row],[ProductCategory]],$AM:AM)</f>
        <v>1711094.3776</v>
      </c>
      <c r="AH233">
        <f>SUMIFS($AM$2:AM233,$U$2:U233,U233)</f>
        <v>978655.07045000035</v>
      </c>
      <c r="AI233" s="5">
        <f>Table1[[#This Row],[Cumulative_revenue]]/Table1[[#This Row],[Category_revenue]]</f>
        <v>0.57194686819243301</v>
      </c>
      <c r="AJ233" t="str">
        <f>IF(Table1[[#This Row],[cumulative_pct]]&lt;=0.8,"A",IF(Table1[[#This Row],[cumulative_pct]]&lt;=0.95,"B","C"))</f>
        <v>A</v>
      </c>
      <c r="AK233">
        <f>Table1[[#This Row],[adj_unit_cost]]*Table1[[#This Row],[scenario_quantity]]</f>
        <v>35601.297599999998</v>
      </c>
      <c r="AL233" s="5">
        <f>Table1[[#This Row],[UnitPrice]]*Table1[[#This Row],[scenario_quantity]]*(1-Table1[[#This Row],[cap_adjusted_discount]])</f>
        <v>42603.580799999996</v>
      </c>
      <c r="AM233" s="5">
        <f>Table1[[#This Row],[UnitPrice]]*Table1[[#This Row],[Quantity]]*(1-Table1[[#This Row],[DiscountPct]])</f>
        <v>34082.864639999993</v>
      </c>
      <c r="AN233" s="5">
        <f>Table1[[#This Row],[gross_revenue]]-Table1[[#This Row],[cost_of_goods]]</f>
        <v>7112.1846399999922</v>
      </c>
      <c r="AO233" s="5">
        <f>Table1[[#This Row],[scenario_revenue]]-Table1[[#This Row],[Scenario_unit_cost]]</f>
        <v>7002.283199999998</v>
      </c>
      <c r="AP233" s="5">
        <f>IF(Table1[[#This Row],[gross_revenue]]=0,0,Table1[[#This Row],[gross_profit]]/Table1[[#This Row],[gross_revenue]])</f>
        <v>0.20867332353434462</v>
      </c>
    </row>
    <row r="234" spans="1:42" x14ac:dyDescent="0.35">
      <c r="A234" t="s">
        <v>309</v>
      </c>
      <c r="B234" t="str">
        <f>_xlfn.TEXTAFTER(Table1[[#This Row],[OrderID]],"-",2)</f>
        <v>398335</v>
      </c>
      <c r="C234">
        <f>YEAR(Table1[[#This Row],[OrderDate]])</f>
        <v>2025</v>
      </c>
      <c r="D234" s="9">
        <f>_xlfn.MINIFS(F:F,P:P,Table1[[#This Row],[Country]])</f>
        <v>44948</v>
      </c>
      <c r="E234" s="7">
        <f>DATEDIF(Table1[[#This Row],[first_time_orders]],Table1[[#This Row],[OrderDate]],"m")</f>
        <v>28</v>
      </c>
      <c r="F234" s="9">
        <v>45809</v>
      </c>
      <c r="G234" s="2" t="str">
        <f>TEXT(Table1[[#This Row],[OrderDate]],"MMM-YYYY")</f>
        <v>Jun-2025</v>
      </c>
      <c r="H234" s="7">
        <f>MONTH(Table1[[#This Row],[OrderDate]])</f>
        <v>6</v>
      </c>
      <c r="I234" s="7" t="str">
        <f>"Q"&amp;ROUNDUP(Table1[[#This Row],[months]]/3,0)&amp;"-"&amp;Table1[[#This Row],[order_year]]</f>
        <v>Q2-2025</v>
      </c>
      <c r="J234" s="7">
        <f>Table1[[#This Row],[RequiredDate]]-Table1[[#This Row],[OrderDate]]</f>
        <v>26</v>
      </c>
      <c r="K234" s="7">
        <f>IF(Table1[[#This Row],[lead_time]]&lt;0,MEDIAN(J:J),Table1[[#This Row],[lead_time]])</f>
        <v>26</v>
      </c>
      <c r="L234" s="7">
        <f>IF(Table1[[#This Row],[adj_lead_time]]&lt;=7,1,0)</f>
        <v>0</v>
      </c>
      <c r="M234" s="9">
        <v>45835</v>
      </c>
      <c r="N234" s="9">
        <f>IF(Table1[[#This Row],[lead_time]]&lt;0,(Table1[[#This Row],[OrderDate]]+Table1[[#This Row],[adj_lead_time]]),Table1[[#This Row],[RequiredDate]])</f>
        <v>45835</v>
      </c>
      <c r="O234" t="s">
        <v>649</v>
      </c>
      <c r="P234" t="s">
        <v>656</v>
      </c>
      <c r="Q234" t="s">
        <v>684</v>
      </c>
      <c r="R234" t="s">
        <v>704</v>
      </c>
      <c r="S234" t="s">
        <v>710</v>
      </c>
      <c r="T234" t="s">
        <v>718</v>
      </c>
      <c r="U234" t="s">
        <v>731</v>
      </c>
      <c r="V234" t="s">
        <v>1029</v>
      </c>
      <c r="W234">
        <v>1362.31</v>
      </c>
      <c r="X234">
        <f>Table1[[#This Row],[UnitCost]]*(1+'scenario modeling'!$B$3)</f>
        <v>1498.5410000000002</v>
      </c>
      <c r="Y234">
        <v>3294.57</v>
      </c>
      <c r="Z234" t="str">
        <f>IF(Table1[[#This Row],[UnitPrice]]&lt;=Quantiles!$B$2,Quantiles!$A$2,IF(Table1[[#This Row],[UnitPrice]]&lt;=Quantiles!$B$3,Quantiles!$A$3,Quantiles!$A$4))</f>
        <v>High</v>
      </c>
      <c r="AA234">
        <v>0.113</v>
      </c>
      <c r="AB234" s="5">
        <f>MIN(Table1[[#This Row],[DiscountPct]],'scenario modeling'!$B$2)</f>
        <v>0.1</v>
      </c>
      <c r="AC234" t="str">
        <f>IF(Table1[[#This Row],[DiscountPct]]&gt;0.3, "&gt;0.3","")</f>
        <v/>
      </c>
      <c r="AD234">
        <v>7</v>
      </c>
      <c r="AE234">
        <f>Table1[[#This Row],[Quantity]]*(1+'scenario modeling'!$B$4)</f>
        <v>8.4</v>
      </c>
      <c r="AF234">
        <f>Table1[[#This Row],[UnitCost]]*Table1[[#This Row],[Quantity]]</f>
        <v>9536.17</v>
      </c>
      <c r="AG234">
        <f>SUMIF($U:U,Table1[[#This Row],[ProductCategory]],$AM:AM)</f>
        <v>1711094.3776</v>
      </c>
      <c r="AH234">
        <f>SUMIFS($AM$2:AM234,$U$2:U234,U234)</f>
        <v>999111.05558000039</v>
      </c>
      <c r="AI234" s="5">
        <f>Table1[[#This Row],[Cumulative_revenue]]/Table1[[#This Row],[Category_revenue]]</f>
        <v>0.58390178160795825</v>
      </c>
      <c r="AJ234" t="str">
        <f>IF(Table1[[#This Row],[cumulative_pct]]&lt;=0.8,"A",IF(Table1[[#This Row],[cumulative_pct]]&lt;=0.95,"B","C"))</f>
        <v>A</v>
      </c>
      <c r="AK234">
        <f>Table1[[#This Row],[adj_unit_cost]]*Table1[[#This Row],[scenario_quantity]]</f>
        <v>12587.744400000001</v>
      </c>
      <c r="AL234" s="5">
        <f>Table1[[#This Row],[UnitPrice]]*Table1[[#This Row],[scenario_quantity]]*(1-Table1[[#This Row],[cap_adjusted_discount]])</f>
        <v>24906.949200000003</v>
      </c>
      <c r="AM234" s="5">
        <f>Table1[[#This Row],[UnitPrice]]*Table1[[#This Row],[Quantity]]*(1-Table1[[#This Row],[DiscountPct]])</f>
        <v>20455.985130000001</v>
      </c>
      <c r="AN234" s="5">
        <f>Table1[[#This Row],[gross_revenue]]-Table1[[#This Row],[cost_of_goods]]</f>
        <v>10919.815130000001</v>
      </c>
      <c r="AO234" s="5">
        <f>Table1[[#This Row],[scenario_revenue]]-Table1[[#This Row],[Scenario_unit_cost]]</f>
        <v>12319.204800000001</v>
      </c>
      <c r="AP234" s="5">
        <f>IF(Table1[[#This Row],[gross_revenue]]=0,0,Table1[[#This Row],[gross_profit]]/Table1[[#This Row],[gross_revenue]])</f>
        <v>0.5338200561157721</v>
      </c>
    </row>
    <row r="235" spans="1:42" x14ac:dyDescent="0.35">
      <c r="A235" t="s">
        <v>34</v>
      </c>
      <c r="B235" t="str">
        <f>_xlfn.TEXTAFTER(Table1[[#This Row],[OrderID]],"-",2)</f>
        <v>745263</v>
      </c>
      <c r="C235">
        <f>YEAR(Table1[[#This Row],[OrderDate]])</f>
        <v>2025</v>
      </c>
      <c r="D235" s="9">
        <f>_xlfn.MINIFS(F:F,P:P,Table1[[#This Row],[Country]])</f>
        <v>44945</v>
      </c>
      <c r="E235" s="7">
        <f>DATEDIF(Table1[[#This Row],[first_time_orders]],Table1[[#This Row],[OrderDate]],"m")</f>
        <v>28</v>
      </c>
      <c r="F235" s="9">
        <v>45798</v>
      </c>
      <c r="G235" s="2" t="str">
        <f>TEXT(Table1[[#This Row],[OrderDate]],"MMM-YYYY")</f>
        <v>May-2025</v>
      </c>
      <c r="H235" s="7">
        <f>MONTH(Table1[[#This Row],[OrderDate]])</f>
        <v>5</v>
      </c>
      <c r="I235" s="7" t="str">
        <f>"Q"&amp;ROUNDUP(Table1[[#This Row],[months]]/3,0)&amp;"-"&amp;Table1[[#This Row],[order_year]]</f>
        <v>Q2-2025</v>
      </c>
      <c r="J235" s="7">
        <f>Table1[[#This Row],[RequiredDate]]-Table1[[#This Row],[OrderDate]]</f>
        <v>-2</v>
      </c>
      <c r="K235" s="7">
        <f>IF(Table1[[#This Row],[lead_time]]&lt;0,MEDIAN(J:J),Table1[[#This Row],[lead_time]])</f>
        <v>15</v>
      </c>
      <c r="L235" s="7">
        <f>IF(Table1[[#This Row],[adj_lead_time]]&lt;=7,1,0)</f>
        <v>0</v>
      </c>
      <c r="M235" s="9">
        <v>45796</v>
      </c>
      <c r="N235" s="9">
        <f>IF(Table1[[#This Row],[lead_time]]&lt;0,(Table1[[#This Row],[OrderDate]]+Table1[[#This Row],[adj_lead_time]]),Table1[[#This Row],[RequiredDate]])</f>
        <v>45813</v>
      </c>
      <c r="O235" t="s">
        <v>649</v>
      </c>
      <c r="P235" t="s">
        <v>658</v>
      </c>
      <c r="Q235" t="s">
        <v>674</v>
      </c>
      <c r="R235" t="s">
        <v>706</v>
      </c>
      <c r="S235" t="s">
        <v>708</v>
      </c>
      <c r="T235" t="s">
        <v>724</v>
      </c>
      <c r="U235" t="s">
        <v>731</v>
      </c>
      <c r="V235" t="s">
        <v>753</v>
      </c>
      <c r="W235">
        <v>1015.16</v>
      </c>
      <c r="X235">
        <f>Table1[[#This Row],[UnitCost]]*(1+'scenario modeling'!$B$3)</f>
        <v>1116.6760000000002</v>
      </c>
      <c r="Y235">
        <v>2148.14</v>
      </c>
      <c r="Z235" t="str">
        <f>IF(Table1[[#This Row],[UnitPrice]]&lt;=Quantiles!$B$2,Quantiles!$A$2,IF(Table1[[#This Row],[UnitPrice]]&lt;=Quantiles!$B$3,Quantiles!$A$3,Quantiles!$A$4))</f>
        <v>High</v>
      </c>
      <c r="AA235">
        <v>3.7999999999999999E-2</v>
      </c>
      <c r="AB235" s="5">
        <f>MIN(Table1[[#This Row],[DiscountPct]],'scenario modeling'!$B$2)</f>
        <v>3.7999999999999999E-2</v>
      </c>
      <c r="AC235" t="str">
        <f>IF(Table1[[#This Row],[DiscountPct]]&gt;0.3, "&gt;0.3","")</f>
        <v/>
      </c>
      <c r="AD235">
        <v>19</v>
      </c>
      <c r="AE235">
        <f>Table1[[#This Row],[Quantity]]*(1+'scenario modeling'!$B$4)</f>
        <v>22.8</v>
      </c>
      <c r="AF235">
        <f>Table1[[#This Row],[UnitCost]]*Table1[[#This Row],[Quantity]]</f>
        <v>19288.04</v>
      </c>
      <c r="AG235">
        <f>SUMIF($U:U,Table1[[#This Row],[ProductCategory]],$AM:AM)</f>
        <v>1711094.3776</v>
      </c>
      <c r="AH235">
        <f>SUMIFS($AM$2:AM235,$U$2:U235,U235)</f>
        <v>1038374.7585000003</v>
      </c>
      <c r="AI235" s="5">
        <f>Table1[[#This Row],[Cumulative_revenue]]/Table1[[#This Row],[Category_revenue]]</f>
        <v>0.60684832589797666</v>
      </c>
      <c r="AJ235" t="str">
        <f>IF(Table1[[#This Row],[cumulative_pct]]&lt;=0.8,"A",IF(Table1[[#This Row],[cumulative_pct]]&lt;=0.95,"B","C"))</f>
        <v>A</v>
      </c>
      <c r="AK235">
        <f>Table1[[#This Row],[adj_unit_cost]]*Table1[[#This Row],[scenario_quantity]]</f>
        <v>25460.212800000005</v>
      </c>
      <c r="AL235" s="5">
        <f>Table1[[#This Row],[UnitPrice]]*Table1[[#This Row],[scenario_quantity]]*(1-Table1[[#This Row],[cap_adjusted_discount]])</f>
        <v>47116.443503999995</v>
      </c>
      <c r="AM235" s="5">
        <f>Table1[[#This Row],[UnitPrice]]*Table1[[#This Row],[Quantity]]*(1-Table1[[#This Row],[DiscountPct]])</f>
        <v>39263.702919999996</v>
      </c>
      <c r="AN235" s="5">
        <f>Table1[[#This Row],[gross_revenue]]-Table1[[#This Row],[cost_of_goods]]</f>
        <v>19975.662919999995</v>
      </c>
      <c r="AO235" s="5">
        <f>Table1[[#This Row],[scenario_revenue]]-Table1[[#This Row],[Scenario_unit_cost]]</f>
        <v>21656.230703999991</v>
      </c>
      <c r="AP235" s="5">
        <f>IF(Table1[[#This Row],[gross_revenue]]=0,0,Table1[[#This Row],[gross_profit]]/Table1[[#This Row],[gross_revenue]])</f>
        <v>0.50875647059322227</v>
      </c>
    </row>
    <row r="236" spans="1:42" x14ac:dyDescent="0.35">
      <c r="A236" t="s">
        <v>436</v>
      </c>
      <c r="B236" t="str">
        <f>_xlfn.TEXTAFTER(Table1[[#This Row],[OrderID]],"-",2)</f>
        <v>650841</v>
      </c>
      <c r="C236">
        <f>YEAR(Table1[[#This Row],[OrderDate]])</f>
        <v>2025</v>
      </c>
      <c r="D236" s="9">
        <f>_xlfn.MINIFS(F:F,P:P,Table1[[#This Row],[Country]])</f>
        <v>44941</v>
      </c>
      <c r="E236" s="7">
        <f>DATEDIF(Table1[[#This Row],[first_time_orders]],Table1[[#This Row],[OrderDate]],"m")</f>
        <v>29</v>
      </c>
      <c r="F236" s="9">
        <v>45841</v>
      </c>
      <c r="G236" s="2" t="str">
        <f>TEXT(Table1[[#This Row],[OrderDate]],"MMM-YYYY")</f>
        <v>Jul-2025</v>
      </c>
      <c r="H236" s="7">
        <f>MONTH(Table1[[#This Row],[OrderDate]])</f>
        <v>7</v>
      </c>
      <c r="I236" s="7" t="str">
        <f>"Q"&amp;ROUNDUP(Table1[[#This Row],[months]]/3,0)&amp;"-"&amp;Table1[[#This Row],[order_year]]</f>
        <v>Q3-2025</v>
      </c>
      <c r="J236" s="7">
        <f>Table1[[#This Row],[RequiredDate]]-Table1[[#This Row],[OrderDate]]</f>
        <v>3</v>
      </c>
      <c r="K236" s="7">
        <f>IF(Table1[[#This Row],[lead_time]]&lt;0,MEDIAN(J:J),Table1[[#This Row],[lead_time]])</f>
        <v>3</v>
      </c>
      <c r="L236" s="7">
        <f>IF(Table1[[#This Row],[adj_lead_time]]&lt;=7,1,0)</f>
        <v>1</v>
      </c>
      <c r="M236" s="9">
        <v>45844</v>
      </c>
      <c r="N236" s="9">
        <f>IF(Table1[[#This Row],[lead_time]]&lt;0,(Table1[[#This Row],[OrderDate]]+Table1[[#This Row],[adj_lead_time]]),Table1[[#This Row],[RequiredDate]])</f>
        <v>45844</v>
      </c>
      <c r="O236" t="s">
        <v>646</v>
      </c>
      <c r="P236" t="s">
        <v>651</v>
      </c>
      <c r="Q236" t="s">
        <v>665</v>
      </c>
      <c r="R236" t="s">
        <v>704</v>
      </c>
      <c r="S236" t="s">
        <v>708</v>
      </c>
      <c r="T236" t="s">
        <v>720</v>
      </c>
      <c r="U236" t="s">
        <v>731</v>
      </c>
      <c r="V236" t="s">
        <v>1155</v>
      </c>
      <c r="W236">
        <v>1313.3</v>
      </c>
      <c r="X236">
        <f>Table1[[#This Row],[UnitCost]]*(1+'scenario modeling'!$B$3)</f>
        <v>1444.63</v>
      </c>
      <c r="Y236">
        <v>2884.34</v>
      </c>
      <c r="Z236" t="str">
        <f>IF(Table1[[#This Row],[UnitPrice]]&lt;=Quantiles!$B$2,Quantiles!$A$2,IF(Table1[[#This Row],[UnitPrice]]&lt;=Quantiles!$B$3,Quantiles!$A$3,Quantiles!$A$4))</f>
        <v>High</v>
      </c>
      <c r="AA236">
        <v>0.157</v>
      </c>
      <c r="AB236" s="5">
        <f>MIN(Table1[[#This Row],[DiscountPct]],'scenario modeling'!$B$2)</f>
        <v>0.1</v>
      </c>
      <c r="AC236" t="str">
        <f>IF(Table1[[#This Row],[DiscountPct]]&gt;0.3, "&gt;0.3","")</f>
        <v/>
      </c>
      <c r="AD236">
        <v>42</v>
      </c>
      <c r="AE236">
        <f>Table1[[#This Row],[Quantity]]*(1+'scenario modeling'!$B$4)</f>
        <v>50.4</v>
      </c>
      <c r="AF236">
        <f>Table1[[#This Row],[UnitCost]]*Table1[[#This Row],[Quantity]]</f>
        <v>55158.6</v>
      </c>
      <c r="AG236">
        <f>SUMIF($U:U,Table1[[#This Row],[ProductCategory]],$AM:AM)</f>
        <v>1711094.3776</v>
      </c>
      <c r="AH236">
        <f>SUMIFS($AM$2:AM236,$U$2:U236,U236)</f>
        <v>1140497.7005400003</v>
      </c>
      <c r="AI236" s="5">
        <f>Table1[[#This Row],[Cumulative_revenue]]/Table1[[#This Row],[Category_revenue]]</f>
        <v>0.66653114841022099</v>
      </c>
      <c r="AJ236" t="str">
        <f>IF(Table1[[#This Row],[cumulative_pct]]&lt;=0.8,"A",IF(Table1[[#This Row],[cumulative_pct]]&lt;=0.95,"B","C"))</f>
        <v>A</v>
      </c>
      <c r="AK236">
        <f>Table1[[#This Row],[adj_unit_cost]]*Table1[[#This Row],[scenario_quantity]]</f>
        <v>72809.351999999999</v>
      </c>
      <c r="AL236" s="5">
        <f>Table1[[#This Row],[UnitPrice]]*Table1[[#This Row],[scenario_quantity]]*(1-Table1[[#This Row],[cap_adjusted_discount]])</f>
        <v>130833.6624</v>
      </c>
      <c r="AM236" s="5">
        <f>Table1[[#This Row],[UnitPrice]]*Table1[[#This Row],[Quantity]]*(1-Table1[[#This Row],[DiscountPct]])</f>
        <v>102122.94203999999</v>
      </c>
      <c r="AN236" s="5">
        <f>Table1[[#This Row],[gross_revenue]]-Table1[[#This Row],[cost_of_goods]]</f>
        <v>46964.342039999996</v>
      </c>
      <c r="AO236" s="5">
        <f>Table1[[#This Row],[scenario_revenue]]-Table1[[#This Row],[Scenario_unit_cost]]</f>
        <v>58024.310400000002</v>
      </c>
      <c r="AP236" s="5">
        <f>IF(Table1[[#This Row],[gross_revenue]]=0,0,Table1[[#This Row],[gross_profit]]/Table1[[#This Row],[gross_revenue]])</f>
        <v>0.45988042551305253</v>
      </c>
    </row>
    <row r="237" spans="1:42" x14ac:dyDescent="0.35">
      <c r="A237" t="s">
        <v>581</v>
      </c>
      <c r="B237" t="str">
        <f>_xlfn.TEXTAFTER(Table1[[#This Row],[OrderID]],"-",2)</f>
        <v>929414</v>
      </c>
      <c r="C237">
        <f>YEAR(Table1[[#This Row],[OrderDate]])</f>
        <v>2025</v>
      </c>
      <c r="D237" s="9">
        <f>_xlfn.MINIFS(F:F,P:P,Table1[[#This Row],[Country]])</f>
        <v>44941</v>
      </c>
      <c r="E237" s="7">
        <f>DATEDIF(Table1[[#This Row],[first_time_orders]],Table1[[#This Row],[OrderDate]],"m")</f>
        <v>29</v>
      </c>
      <c r="F237" s="9">
        <v>45834</v>
      </c>
      <c r="G237" s="2" t="str">
        <f>TEXT(Table1[[#This Row],[OrderDate]],"MMM-YYYY")</f>
        <v>Jun-2025</v>
      </c>
      <c r="H237" s="7">
        <f>MONTH(Table1[[#This Row],[OrderDate]])</f>
        <v>6</v>
      </c>
      <c r="I237" s="7" t="str">
        <f>"Q"&amp;ROUNDUP(Table1[[#This Row],[months]]/3,0)&amp;"-"&amp;Table1[[#This Row],[order_year]]</f>
        <v>Q2-2025</v>
      </c>
      <c r="J237" s="7">
        <f>Table1[[#This Row],[RequiredDate]]-Table1[[#This Row],[OrderDate]]</f>
        <v>15</v>
      </c>
      <c r="K237" s="7">
        <f>IF(Table1[[#This Row],[lead_time]]&lt;0,MEDIAN(J:J),Table1[[#This Row],[lead_time]])</f>
        <v>15</v>
      </c>
      <c r="L237" s="7">
        <f>IF(Table1[[#This Row],[adj_lead_time]]&lt;=7,1,0)</f>
        <v>0</v>
      </c>
      <c r="M237" s="9">
        <v>45849</v>
      </c>
      <c r="N237" s="9">
        <f>IF(Table1[[#This Row],[lead_time]]&lt;0,(Table1[[#This Row],[OrderDate]]+Table1[[#This Row],[adj_lead_time]]),Table1[[#This Row],[RequiredDate]])</f>
        <v>45849</v>
      </c>
      <c r="O237" t="s">
        <v>646</v>
      </c>
      <c r="P237" t="s">
        <v>651</v>
      </c>
      <c r="Q237" t="s">
        <v>663</v>
      </c>
      <c r="R237" t="s">
        <v>705</v>
      </c>
      <c r="S237" t="s">
        <v>708</v>
      </c>
      <c r="T237" t="s">
        <v>720</v>
      </c>
      <c r="U237" t="s">
        <v>731</v>
      </c>
      <c r="V237" t="s">
        <v>1299</v>
      </c>
      <c r="W237">
        <v>1170.1500000000001</v>
      </c>
      <c r="X237">
        <f>Table1[[#This Row],[UnitCost]]*(1+'scenario modeling'!$B$3)</f>
        <v>1287.1650000000002</v>
      </c>
      <c r="Y237">
        <v>2115.19</v>
      </c>
      <c r="Z237" t="str">
        <f>IF(Table1[[#This Row],[UnitPrice]]&lt;=Quantiles!$B$2,Quantiles!$A$2,IF(Table1[[#This Row],[UnitPrice]]&lt;=Quantiles!$B$3,Quantiles!$A$3,Quantiles!$A$4))</f>
        <v>High</v>
      </c>
      <c r="AA237">
        <v>9.1999999999999998E-2</v>
      </c>
      <c r="AB237" s="5">
        <f>MIN(Table1[[#This Row],[DiscountPct]],'scenario modeling'!$B$2)</f>
        <v>9.1999999999999998E-2</v>
      </c>
      <c r="AC237" t="str">
        <f>IF(Table1[[#This Row],[DiscountPct]]&gt;0.3, "&gt;0.3","")</f>
        <v/>
      </c>
      <c r="AD237">
        <v>23</v>
      </c>
      <c r="AE237">
        <f>Table1[[#This Row],[Quantity]]*(1+'scenario modeling'!$B$4)</f>
        <v>27.599999999999998</v>
      </c>
      <c r="AF237">
        <f>Table1[[#This Row],[UnitCost]]*Table1[[#This Row],[Quantity]]</f>
        <v>26913.45</v>
      </c>
      <c r="AG237">
        <f>SUMIF($U:U,Table1[[#This Row],[ProductCategory]],$AM:AM)</f>
        <v>1711094.3776</v>
      </c>
      <c r="AH237">
        <f>SUMIFS($AM$2:AM237,$U$2:U237,U237)</f>
        <v>1184671.3285000003</v>
      </c>
      <c r="AI237" s="5">
        <f>Table1[[#This Row],[Cumulative_revenue]]/Table1[[#This Row],[Category_revenue]]</f>
        <v>0.6923471574733554</v>
      </c>
      <c r="AJ237" t="str">
        <f>IF(Table1[[#This Row],[cumulative_pct]]&lt;=0.8,"A",IF(Table1[[#This Row],[cumulative_pct]]&lt;=0.95,"B","C"))</f>
        <v>A</v>
      </c>
      <c r="AK237">
        <f>Table1[[#This Row],[adj_unit_cost]]*Table1[[#This Row],[scenario_quantity]]</f>
        <v>35525.754000000001</v>
      </c>
      <c r="AL237" s="5">
        <f>Table1[[#This Row],[UnitPrice]]*Table1[[#This Row],[scenario_quantity]]*(1-Table1[[#This Row],[cap_adjusted_discount]])</f>
        <v>53008.353552</v>
      </c>
      <c r="AM237" s="5">
        <f>Table1[[#This Row],[UnitPrice]]*Table1[[#This Row],[Quantity]]*(1-Table1[[#This Row],[DiscountPct]])</f>
        <v>44173.627960000005</v>
      </c>
      <c r="AN237" s="5">
        <f>Table1[[#This Row],[gross_revenue]]-Table1[[#This Row],[cost_of_goods]]</f>
        <v>17260.177960000005</v>
      </c>
      <c r="AO237" s="5">
        <f>Table1[[#This Row],[scenario_revenue]]-Table1[[#This Row],[Scenario_unit_cost]]</f>
        <v>17482.599552</v>
      </c>
      <c r="AP237" s="5">
        <f>IF(Table1[[#This Row],[gross_revenue]]=0,0,Table1[[#This Row],[gross_profit]]/Table1[[#This Row],[gross_revenue]])</f>
        <v>0.39073489674946776</v>
      </c>
    </row>
    <row r="238" spans="1:42" x14ac:dyDescent="0.35">
      <c r="A238" t="s">
        <v>548</v>
      </c>
      <c r="B238" t="str">
        <f>_xlfn.TEXTAFTER(Table1[[#This Row],[OrderID]],"-",2)</f>
        <v>312803</v>
      </c>
      <c r="C238">
        <f>YEAR(Table1[[#This Row],[OrderDate]])</f>
        <v>2025</v>
      </c>
      <c r="D238" s="9">
        <f>_xlfn.MINIFS(F:F,P:P,Table1[[#This Row],[Country]])</f>
        <v>44933</v>
      </c>
      <c r="E238" s="7">
        <f>DATEDIF(Table1[[#This Row],[first_time_orders]],Table1[[#This Row],[OrderDate]],"m")</f>
        <v>29</v>
      </c>
      <c r="F238" s="9">
        <v>45832</v>
      </c>
      <c r="G238" s="2" t="str">
        <f>TEXT(Table1[[#This Row],[OrderDate]],"MMM-YYYY")</f>
        <v>Jun-2025</v>
      </c>
      <c r="H238" s="7">
        <f>MONTH(Table1[[#This Row],[OrderDate]])</f>
        <v>6</v>
      </c>
      <c r="I238" s="7" t="str">
        <f>"Q"&amp;ROUNDUP(Table1[[#This Row],[months]]/3,0)&amp;"-"&amp;Table1[[#This Row],[order_year]]</f>
        <v>Q2-2025</v>
      </c>
      <c r="J238" s="7">
        <f>Table1[[#This Row],[RequiredDate]]-Table1[[#This Row],[OrderDate]]</f>
        <v>20</v>
      </c>
      <c r="K238" s="7">
        <f>IF(Table1[[#This Row],[lead_time]]&lt;0,MEDIAN(J:J),Table1[[#This Row],[lead_time]])</f>
        <v>20</v>
      </c>
      <c r="L238" s="7">
        <f>IF(Table1[[#This Row],[adj_lead_time]]&lt;=7,1,0)</f>
        <v>0</v>
      </c>
      <c r="M238" s="9">
        <v>45852</v>
      </c>
      <c r="N238" s="9">
        <f>IF(Table1[[#This Row],[lead_time]]&lt;0,(Table1[[#This Row],[OrderDate]]+Table1[[#This Row],[adj_lead_time]]),Table1[[#This Row],[RequiredDate]])</f>
        <v>45852</v>
      </c>
      <c r="O238" t="s">
        <v>646</v>
      </c>
      <c r="P238" t="s">
        <v>661</v>
      </c>
      <c r="Q238" t="s">
        <v>682</v>
      </c>
      <c r="R238" t="s">
        <v>706</v>
      </c>
      <c r="S238" t="s">
        <v>709</v>
      </c>
      <c r="T238" t="s">
        <v>713</v>
      </c>
      <c r="U238" t="s">
        <v>731</v>
      </c>
      <c r="V238" t="s">
        <v>1267</v>
      </c>
      <c r="W238">
        <v>1151.06</v>
      </c>
      <c r="X238">
        <f>Table1[[#This Row],[UnitCost]]*(1+'scenario modeling'!$B$3)</f>
        <v>1266.1659999999999</v>
      </c>
      <c r="Y238">
        <v>2821.36</v>
      </c>
      <c r="Z238" t="str">
        <f>IF(Table1[[#This Row],[UnitPrice]]&lt;=Quantiles!$B$2,Quantiles!$A$2,IF(Table1[[#This Row],[UnitPrice]]&lt;=Quantiles!$B$3,Quantiles!$A$3,Quantiles!$A$4))</f>
        <v>High</v>
      </c>
      <c r="AA238">
        <v>0.248</v>
      </c>
      <c r="AB238" s="5">
        <f>MIN(Table1[[#This Row],[DiscountPct]],'scenario modeling'!$B$2)</f>
        <v>0.1</v>
      </c>
      <c r="AC238" t="str">
        <f>IF(Table1[[#This Row],[DiscountPct]]&gt;0.3, "&gt;0.3","")</f>
        <v/>
      </c>
      <c r="AD238">
        <v>20</v>
      </c>
      <c r="AE238">
        <f>Table1[[#This Row],[Quantity]]*(1+'scenario modeling'!$B$4)</f>
        <v>24</v>
      </c>
      <c r="AF238">
        <f>Table1[[#This Row],[UnitCost]]*Table1[[#This Row],[Quantity]]</f>
        <v>23021.199999999997</v>
      </c>
      <c r="AG238">
        <f>SUMIF($U:U,Table1[[#This Row],[ProductCategory]],$AM:AM)</f>
        <v>1711094.3776</v>
      </c>
      <c r="AH238">
        <f>SUMIFS($AM$2:AM238,$U$2:U238,U238)</f>
        <v>1227104.5829000003</v>
      </c>
      <c r="AI238" s="5">
        <f>Table1[[#This Row],[Cumulative_revenue]]/Table1[[#This Row],[Category_revenue]]</f>
        <v>0.71714605515865859</v>
      </c>
      <c r="AJ238" t="str">
        <f>IF(Table1[[#This Row],[cumulative_pct]]&lt;=0.8,"A",IF(Table1[[#This Row],[cumulative_pct]]&lt;=0.95,"B","C"))</f>
        <v>A</v>
      </c>
      <c r="AK238">
        <f>Table1[[#This Row],[adj_unit_cost]]*Table1[[#This Row],[scenario_quantity]]</f>
        <v>30387.983999999997</v>
      </c>
      <c r="AL238" s="5">
        <f>Table1[[#This Row],[UnitPrice]]*Table1[[#This Row],[scenario_quantity]]*(1-Table1[[#This Row],[cap_adjusted_discount]])</f>
        <v>60941.376000000004</v>
      </c>
      <c r="AM238" s="5">
        <f>Table1[[#This Row],[UnitPrice]]*Table1[[#This Row],[Quantity]]*(1-Table1[[#This Row],[DiscountPct]])</f>
        <v>42433.254400000005</v>
      </c>
      <c r="AN238" s="5">
        <f>Table1[[#This Row],[gross_revenue]]-Table1[[#This Row],[cost_of_goods]]</f>
        <v>19412.054400000008</v>
      </c>
      <c r="AO238" s="5">
        <f>Table1[[#This Row],[scenario_revenue]]-Table1[[#This Row],[Scenario_unit_cost]]</f>
        <v>30553.392000000007</v>
      </c>
      <c r="AP238" s="5">
        <f>IF(Table1[[#This Row],[gross_revenue]]=0,0,Table1[[#This Row],[gross_profit]]/Table1[[#This Row],[gross_revenue]])</f>
        <v>0.45747267501594235</v>
      </c>
    </row>
    <row r="239" spans="1:42" x14ac:dyDescent="0.35">
      <c r="A239" t="s">
        <v>30</v>
      </c>
      <c r="B239" t="str">
        <f>_xlfn.TEXTAFTER(Table1[[#This Row],[OrderID]],"-",2)</f>
        <v>937291</v>
      </c>
      <c r="C239">
        <f>YEAR(Table1[[#This Row],[OrderDate]])</f>
        <v>2023</v>
      </c>
      <c r="D239" s="9">
        <f>_xlfn.MINIFS(F:F,P:P,Table1[[#This Row],[Country]])</f>
        <v>44946</v>
      </c>
      <c r="E239" s="7">
        <f>DATEDIF(Table1[[#This Row],[first_time_orders]],Table1[[#This Row],[OrderDate]],"m")</f>
        <v>3</v>
      </c>
      <c r="F239" s="9">
        <v>45039</v>
      </c>
      <c r="G239" s="2" t="str">
        <f>TEXT(Table1[[#This Row],[OrderDate]],"MMM-YYYY")</f>
        <v>Apr-2023</v>
      </c>
      <c r="H239" s="7">
        <f>MONTH(Table1[[#This Row],[OrderDate]])</f>
        <v>4</v>
      </c>
      <c r="I239" s="7" t="str">
        <f>"Q"&amp;ROUNDUP(Table1[[#This Row],[months]]/3,0)&amp;"-"&amp;Table1[[#This Row],[order_year]]</f>
        <v>Q2-2023</v>
      </c>
      <c r="J239" s="7">
        <f>Table1[[#This Row],[RequiredDate]]-Table1[[#This Row],[OrderDate]]</f>
        <v>-1</v>
      </c>
      <c r="K239" s="7">
        <f>IF(Table1[[#This Row],[lead_time]]&lt;0,MEDIAN(J:J),Table1[[#This Row],[lead_time]])</f>
        <v>15</v>
      </c>
      <c r="L239" s="7">
        <f>IF(Table1[[#This Row],[adj_lead_time]]&lt;=7,1,0)</f>
        <v>0</v>
      </c>
      <c r="M239" s="9">
        <v>45038</v>
      </c>
      <c r="N239" s="9">
        <f>IF(Table1[[#This Row],[lead_time]]&lt;0,(Table1[[#This Row],[OrderDate]]+Table1[[#This Row],[adj_lead_time]]),Table1[[#This Row],[RequiredDate]])</f>
        <v>45054</v>
      </c>
      <c r="O239" t="s">
        <v>646</v>
      </c>
      <c r="P239" t="s">
        <v>650</v>
      </c>
      <c r="Q239" t="s">
        <v>664</v>
      </c>
      <c r="R239" t="s">
        <v>705</v>
      </c>
      <c r="S239" t="s">
        <v>711</v>
      </c>
      <c r="T239" t="s">
        <v>718</v>
      </c>
      <c r="U239" t="s">
        <v>731</v>
      </c>
      <c r="V239" t="s">
        <v>749</v>
      </c>
      <c r="W239">
        <v>756.51</v>
      </c>
      <c r="X239">
        <f>Table1[[#This Row],[UnitCost]]*(1+'scenario modeling'!$B$3)</f>
        <v>832.16100000000006</v>
      </c>
      <c r="Y239">
        <v>850.8</v>
      </c>
      <c r="Z239" t="str">
        <f>IF(Table1[[#This Row],[UnitPrice]]&lt;=Quantiles!$B$2,Quantiles!$A$2,IF(Table1[[#This Row],[UnitPrice]]&lt;=Quantiles!$B$3,Quantiles!$A$3,Quantiles!$A$4))</f>
        <v>Medium</v>
      </c>
      <c r="AA239">
        <v>7.3999999999999996E-2</v>
      </c>
      <c r="AB239" s="5">
        <f>MIN(Table1[[#This Row],[DiscountPct]],'scenario modeling'!$B$2)</f>
        <v>7.3999999999999996E-2</v>
      </c>
      <c r="AC239" t="str">
        <f>IF(Table1[[#This Row],[DiscountPct]]&gt;0.3, "&gt;0.3","")</f>
        <v/>
      </c>
      <c r="AD239">
        <v>9</v>
      </c>
      <c r="AE239">
        <f>Table1[[#This Row],[Quantity]]*(1+'scenario modeling'!$B$4)</f>
        <v>10.799999999999999</v>
      </c>
      <c r="AF239">
        <f>Table1[[#This Row],[UnitCost]]*Table1[[#This Row],[Quantity]]</f>
        <v>6808.59</v>
      </c>
      <c r="AG239">
        <f>SUMIF($U:U,Table1[[#This Row],[ProductCategory]],$AM:AM)</f>
        <v>1711094.3776</v>
      </c>
      <c r="AH239">
        <f>SUMIFS($AM$2:AM239,$U$2:U239,U239)</f>
        <v>1234195.1501000002</v>
      </c>
      <c r="AI239" s="5">
        <f>Table1[[#This Row],[Cumulative_revenue]]/Table1[[#This Row],[Category_revenue]]</f>
        <v>0.72128993365701777</v>
      </c>
      <c r="AJ239" t="str">
        <f>IF(Table1[[#This Row],[cumulative_pct]]&lt;=0.8,"A",IF(Table1[[#This Row],[cumulative_pct]]&lt;=0.95,"B","C"))</f>
        <v>A</v>
      </c>
      <c r="AK239">
        <f>Table1[[#This Row],[adj_unit_cost]]*Table1[[#This Row],[scenario_quantity]]</f>
        <v>8987.3387999999995</v>
      </c>
      <c r="AL239" s="5">
        <f>Table1[[#This Row],[UnitPrice]]*Table1[[#This Row],[scenario_quantity]]*(1-Table1[[#This Row],[cap_adjusted_discount]])</f>
        <v>8508.6806400000005</v>
      </c>
      <c r="AM239" s="5">
        <f>Table1[[#This Row],[UnitPrice]]*Table1[[#This Row],[Quantity]]*(1-Table1[[#This Row],[DiscountPct]])</f>
        <v>7090.5672000000004</v>
      </c>
      <c r="AN239" s="5">
        <f>Table1[[#This Row],[gross_revenue]]-Table1[[#This Row],[cost_of_goods]]</f>
        <v>281.97720000000027</v>
      </c>
      <c r="AO239" s="5">
        <f>Table1[[#This Row],[scenario_revenue]]-Table1[[#This Row],[Scenario_unit_cost]]</f>
        <v>-478.65815999999904</v>
      </c>
      <c r="AP239" s="5">
        <f>IF(Table1[[#This Row],[gross_revenue]]=0,0,Table1[[#This Row],[gross_profit]]/Table1[[#This Row],[gross_revenue]])</f>
        <v>3.9767932810791252E-2</v>
      </c>
    </row>
    <row r="240" spans="1:42" x14ac:dyDescent="0.35">
      <c r="A240" t="s">
        <v>181</v>
      </c>
      <c r="B240" t="str">
        <f>_xlfn.TEXTAFTER(Table1[[#This Row],[OrderID]],"-",2)</f>
        <v>157993</v>
      </c>
      <c r="C240">
        <f>YEAR(Table1[[#This Row],[OrderDate]])</f>
        <v>2023</v>
      </c>
      <c r="D240" s="9">
        <f>_xlfn.MINIFS(F:F,P:P,Table1[[#This Row],[Country]])</f>
        <v>44938</v>
      </c>
      <c r="E240" s="7">
        <f>DATEDIF(Table1[[#This Row],[first_time_orders]],Table1[[#This Row],[OrderDate]],"m")</f>
        <v>3</v>
      </c>
      <c r="F240" s="9">
        <v>45034</v>
      </c>
      <c r="G240" s="2" t="str">
        <f>TEXT(Table1[[#This Row],[OrderDate]],"MMM-YYYY")</f>
        <v>Apr-2023</v>
      </c>
      <c r="H240" s="7">
        <f>MONTH(Table1[[#This Row],[OrderDate]])</f>
        <v>4</v>
      </c>
      <c r="I240" s="7" t="str">
        <f>"Q"&amp;ROUNDUP(Table1[[#This Row],[months]]/3,0)&amp;"-"&amp;Table1[[#This Row],[order_year]]</f>
        <v>Q2-2023</v>
      </c>
      <c r="J240" s="7">
        <f>Table1[[#This Row],[RequiredDate]]-Table1[[#This Row],[OrderDate]]</f>
        <v>30</v>
      </c>
      <c r="K240" s="7">
        <f>IF(Table1[[#This Row],[lead_time]]&lt;0,MEDIAN(J:J),Table1[[#This Row],[lead_time]])</f>
        <v>30</v>
      </c>
      <c r="L240" s="7">
        <f>IF(Table1[[#This Row],[adj_lead_time]]&lt;=7,1,0)</f>
        <v>0</v>
      </c>
      <c r="M240" s="9">
        <v>45064</v>
      </c>
      <c r="N240" s="9">
        <f>IF(Table1[[#This Row],[lead_time]]&lt;0,(Table1[[#This Row],[OrderDate]]+Table1[[#This Row],[adj_lead_time]]),Table1[[#This Row],[RequiredDate]])</f>
        <v>45064</v>
      </c>
      <c r="O240" t="s">
        <v>647</v>
      </c>
      <c r="P240" t="s">
        <v>659</v>
      </c>
      <c r="Q240" t="s">
        <v>676</v>
      </c>
      <c r="R240" t="s">
        <v>703</v>
      </c>
      <c r="S240" t="s">
        <v>707</v>
      </c>
      <c r="T240" t="s">
        <v>722</v>
      </c>
      <c r="U240" t="s">
        <v>731</v>
      </c>
      <c r="V240" t="s">
        <v>900</v>
      </c>
      <c r="W240">
        <v>329.03</v>
      </c>
      <c r="X240">
        <f>Table1[[#This Row],[UnitCost]]*(1+'scenario modeling'!$B$3)</f>
        <v>361.93299999999999</v>
      </c>
      <c r="Y240">
        <v>391.15</v>
      </c>
      <c r="Z240" t="str">
        <f>IF(Table1[[#This Row],[UnitPrice]]&lt;=Quantiles!$B$2,Quantiles!$A$2,IF(Table1[[#This Row],[UnitPrice]]&lt;=Quantiles!$B$3,Quantiles!$A$3,Quantiles!$A$4))</f>
        <v>Low</v>
      </c>
      <c r="AA240">
        <v>0.19700000000000001</v>
      </c>
      <c r="AB240" s="5">
        <f>MIN(Table1[[#This Row],[DiscountPct]],'scenario modeling'!$B$2)</f>
        <v>0.1</v>
      </c>
      <c r="AC240" t="str">
        <f>IF(Table1[[#This Row],[DiscountPct]]&gt;0.3, "&gt;0.3","")</f>
        <v/>
      </c>
      <c r="AD240">
        <v>46</v>
      </c>
      <c r="AE240">
        <f>Table1[[#This Row],[Quantity]]*(1+'scenario modeling'!$B$4)</f>
        <v>55.199999999999996</v>
      </c>
      <c r="AF240">
        <f>Table1[[#This Row],[UnitCost]]*Table1[[#This Row],[Quantity]]</f>
        <v>15135.38</v>
      </c>
      <c r="AG240">
        <f>SUMIF($U:U,Table1[[#This Row],[ProductCategory]],$AM:AM)</f>
        <v>1711094.3776</v>
      </c>
      <c r="AH240">
        <f>SUMIFS($AM$2:AM240,$U$2:U240,U240)</f>
        <v>1248643.4488000001</v>
      </c>
      <c r="AI240" s="5">
        <f>Table1[[#This Row],[Cumulative_revenue]]/Table1[[#This Row],[Category_revenue]]</f>
        <v>0.7297338271611653</v>
      </c>
      <c r="AJ240" t="str">
        <f>IF(Table1[[#This Row],[cumulative_pct]]&lt;=0.8,"A",IF(Table1[[#This Row],[cumulative_pct]]&lt;=0.95,"B","C"))</f>
        <v>A</v>
      </c>
      <c r="AK240">
        <f>Table1[[#This Row],[adj_unit_cost]]*Table1[[#This Row],[scenario_quantity]]</f>
        <v>19978.701599999997</v>
      </c>
      <c r="AL240" s="5">
        <f>Table1[[#This Row],[UnitPrice]]*Table1[[#This Row],[scenario_quantity]]*(1-Table1[[#This Row],[cap_adjusted_discount]])</f>
        <v>19432.331999999999</v>
      </c>
      <c r="AM240" s="5">
        <f>Table1[[#This Row],[UnitPrice]]*Table1[[#This Row],[Quantity]]*(1-Table1[[#This Row],[DiscountPct]])</f>
        <v>14448.298699999998</v>
      </c>
      <c r="AN240" s="5">
        <f>Table1[[#This Row],[gross_revenue]]-Table1[[#This Row],[cost_of_goods]]</f>
        <v>-687.08130000000165</v>
      </c>
      <c r="AO240" s="5">
        <f>Table1[[#This Row],[scenario_revenue]]-Table1[[#This Row],[Scenario_unit_cost]]</f>
        <v>-546.36959999999817</v>
      </c>
      <c r="AP240" s="5">
        <f>IF(Table1[[#This Row],[gross_revenue]]=0,0,Table1[[#This Row],[gross_profit]]/Table1[[#This Row],[gross_revenue]])</f>
        <v>-4.7554477815440081E-2</v>
      </c>
    </row>
    <row r="241" spans="1:42" x14ac:dyDescent="0.35">
      <c r="A241" t="s">
        <v>399</v>
      </c>
      <c r="B241" t="str">
        <f>_xlfn.TEXTAFTER(Table1[[#This Row],[OrderID]],"-",2)</f>
        <v>676553</v>
      </c>
      <c r="C241">
        <f>YEAR(Table1[[#This Row],[OrderDate]])</f>
        <v>2023</v>
      </c>
      <c r="D241" s="9">
        <f>_xlfn.MINIFS(F:F,P:P,Table1[[#This Row],[Country]])</f>
        <v>44955</v>
      </c>
      <c r="E241" s="7">
        <f>DATEDIF(Table1[[#This Row],[first_time_orders]],Table1[[#This Row],[OrderDate]],"m")</f>
        <v>3</v>
      </c>
      <c r="F241" s="9">
        <v>45066</v>
      </c>
      <c r="G241" s="2" t="str">
        <f>TEXT(Table1[[#This Row],[OrderDate]],"MMM-YYYY")</f>
        <v>May-2023</v>
      </c>
      <c r="H241" s="7">
        <f>MONTH(Table1[[#This Row],[OrderDate]])</f>
        <v>5</v>
      </c>
      <c r="I241" s="7" t="str">
        <f>"Q"&amp;ROUNDUP(Table1[[#This Row],[months]]/3,0)&amp;"-"&amp;Table1[[#This Row],[order_year]]</f>
        <v>Q2-2023</v>
      </c>
      <c r="J241" s="7">
        <f>Table1[[#This Row],[RequiredDate]]-Table1[[#This Row],[OrderDate]]</f>
        <v>30</v>
      </c>
      <c r="K241" s="7">
        <f>IF(Table1[[#This Row],[lead_time]]&lt;0,MEDIAN(J:J),Table1[[#This Row],[lead_time]])</f>
        <v>30</v>
      </c>
      <c r="L241" s="7">
        <f>IF(Table1[[#This Row],[adj_lead_time]]&lt;=7,1,0)</f>
        <v>0</v>
      </c>
      <c r="M241" s="9">
        <v>45096</v>
      </c>
      <c r="N241" s="9">
        <f>IF(Table1[[#This Row],[lead_time]]&lt;0,(Table1[[#This Row],[OrderDate]]+Table1[[#This Row],[adj_lead_time]]),Table1[[#This Row],[RequiredDate]])</f>
        <v>45096</v>
      </c>
      <c r="O241" t="s">
        <v>647</v>
      </c>
      <c r="P241" t="s">
        <v>654</v>
      </c>
      <c r="Q241" t="s">
        <v>680</v>
      </c>
      <c r="R241" t="s">
        <v>703</v>
      </c>
      <c r="S241" t="s">
        <v>709</v>
      </c>
      <c r="T241" t="s">
        <v>722</v>
      </c>
      <c r="U241" t="s">
        <v>731</v>
      </c>
      <c r="V241" t="s">
        <v>1118</v>
      </c>
      <c r="W241">
        <v>1161.2</v>
      </c>
      <c r="X241">
        <f>Table1[[#This Row],[UnitCost]]*(1+'scenario modeling'!$B$3)</f>
        <v>1277.3200000000002</v>
      </c>
      <c r="Y241">
        <v>878.73</v>
      </c>
      <c r="Z241" t="str">
        <f>IF(Table1[[#This Row],[UnitPrice]]&lt;=Quantiles!$B$2,Quantiles!$A$2,IF(Table1[[#This Row],[UnitPrice]]&lt;=Quantiles!$B$3,Quantiles!$A$3,Quantiles!$A$4))</f>
        <v>Medium</v>
      </c>
      <c r="AA241">
        <v>0.19</v>
      </c>
      <c r="AB241" s="5">
        <f>MIN(Table1[[#This Row],[DiscountPct]],'scenario modeling'!$B$2)</f>
        <v>0.1</v>
      </c>
      <c r="AC241" t="str">
        <f>IF(Table1[[#This Row],[DiscountPct]]&gt;0.3, "&gt;0.3","")</f>
        <v/>
      </c>
      <c r="AD241">
        <v>31</v>
      </c>
      <c r="AE241">
        <f>Table1[[#This Row],[Quantity]]*(1+'scenario modeling'!$B$4)</f>
        <v>37.199999999999996</v>
      </c>
      <c r="AF241">
        <f>Table1[[#This Row],[UnitCost]]*Table1[[#This Row],[Quantity]]</f>
        <v>35997.200000000004</v>
      </c>
      <c r="AG241">
        <f>SUMIF($U:U,Table1[[#This Row],[ProductCategory]],$AM:AM)</f>
        <v>1711094.3776</v>
      </c>
      <c r="AH241">
        <f>SUMIFS($AM$2:AM241,$U$2:U241,U241)</f>
        <v>1270708.3591000002</v>
      </c>
      <c r="AI241" s="5">
        <f>Table1[[#This Row],[Cumulative_revenue]]/Table1[[#This Row],[Category_revenue]]</f>
        <v>0.7426290307155996</v>
      </c>
      <c r="AJ241" t="str">
        <f>IF(Table1[[#This Row],[cumulative_pct]]&lt;=0.8,"A",IF(Table1[[#This Row],[cumulative_pct]]&lt;=0.95,"B","C"))</f>
        <v>A</v>
      </c>
      <c r="AK241">
        <f>Table1[[#This Row],[adj_unit_cost]]*Table1[[#This Row],[scenario_quantity]]</f>
        <v>47516.304000000004</v>
      </c>
      <c r="AL241" s="5">
        <f>Table1[[#This Row],[UnitPrice]]*Table1[[#This Row],[scenario_quantity]]*(1-Table1[[#This Row],[cap_adjusted_discount]])</f>
        <v>29419.880399999998</v>
      </c>
      <c r="AM241" s="5">
        <f>Table1[[#This Row],[UnitPrice]]*Table1[[#This Row],[Quantity]]*(1-Table1[[#This Row],[DiscountPct]])</f>
        <v>22064.910300000003</v>
      </c>
      <c r="AN241" s="5">
        <f>Table1[[#This Row],[gross_revenue]]-Table1[[#This Row],[cost_of_goods]]</f>
        <v>-13932.289700000001</v>
      </c>
      <c r="AO241" s="5">
        <f>Table1[[#This Row],[scenario_revenue]]-Table1[[#This Row],[Scenario_unit_cost]]</f>
        <v>-18096.423600000006</v>
      </c>
      <c r="AP241" s="5">
        <f>IF(Table1[[#This Row],[gross_revenue]]=0,0,Table1[[#This Row],[gross_profit]]/Table1[[#This Row],[gross_revenue]])</f>
        <v>-0.63142290227212028</v>
      </c>
    </row>
    <row r="242" spans="1:42" x14ac:dyDescent="0.35">
      <c r="A242" t="s">
        <v>535</v>
      </c>
      <c r="B242" t="str">
        <f>_xlfn.TEXTAFTER(Table1[[#This Row],[OrderID]],"-",2)</f>
        <v>472050</v>
      </c>
      <c r="C242">
        <f>YEAR(Table1[[#This Row],[OrderDate]])</f>
        <v>2023</v>
      </c>
      <c r="D242" s="9">
        <f>_xlfn.MINIFS(F:F,P:P,Table1[[#This Row],[Country]])</f>
        <v>44955</v>
      </c>
      <c r="E242" s="7">
        <f>DATEDIF(Table1[[#This Row],[first_time_orders]],Table1[[#This Row],[OrderDate]],"m")</f>
        <v>3</v>
      </c>
      <c r="F242" s="9">
        <v>45056</v>
      </c>
      <c r="G242" s="2" t="str">
        <f>TEXT(Table1[[#This Row],[OrderDate]],"MMM-YYYY")</f>
        <v>May-2023</v>
      </c>
      <c r="H242" s="7">
        <f>MONTH(Table1[[#This Row],[OrderDate]])</f>
        <v>5</v>
      </c>
      <c r="I242" s="7" t="str">
        <f>"Q"&amp;ROUNDUP(Table1[[#This Row],[months]]/3,0)&amp;"-"&amp;Table1[[#This Row],[order_year]]</f>
        <v>Q2-2023</v>
      </c>
      <c r="J242" s="7">
        <f>Table1[[#This Row],[RequiredDate]]-Table1[[#This Row],[OrderDate]]</f>
        <v>17</v>
      </c>
      <c r="K242" s="7">
        <f>IF(Table1[[#This Row],[lead_time]]&lt;0,MEDIAN(J:J),Table1[[#This Row],[lead_time]])</f>
        <v>17</v>
      </c>
      <c r="L242" s="7">
        <f>IF(Table1[[#This Row],[adj_lead_time]]&lt;=7,1,0)</f>
        <v>0</v>
      </c>
      <c r="M242" s="9">
        <v>45073</v>
      </c>
      <c r="N242" s="9">
        <f>IF(Table1[[#This Row],[lead_time]]&lt;0,(Table1[[#This Row],[OrderDate]]+Table1[[#This Row],[adj_lead_time]]),Table1[[#This Row],[RequiredDate]])</f>
        <v>45073</v>
      </c>
      <c r="O242" t="s">
        <v>647</v>
      </c>
      <c r="P242" t="s">
        <v>654</v>
      </c>
      <c r="Q242" t="s">
        <v>691</v>
      </c>
      <c r="R242" t="s">
        <v>704</v>
      </c>
      <c r="S242" t="s">
        <v>707</v>
      </c>
      <c r="T242" t="s">
        <v>724</v>
      </c>
      <c r="U242" t="s">
        <v>731</v>
      </c>
      <c r="V242" t="s">
        <v>1254</v>
      </c>
      <c r="W242">
        <v>1286.1600000000001</v>
      </c>
      <c r="X242">
        <f>Table1[[#This Row],[UnitCost]]*(1+'scenario modeling'!$B$3)</f>
        <v>1414.7760000000003</v>
      </c>
      <c r="Y242">
        <v>3101.11</v>
      </c>
      <c r="Z242" t="str">
        <f>IF(Table1[[#This Row],[UnitPrice]]&lt;=Quantiles!$B$2,Quantiles!$A$2,IF(Table1[[#This Row],[UnitPrice]]&lt;=Quantiles!$B$3,Quantiles!$A$3,Quantiles!$A$4))</f>
        <v>High</v>
      </c>
      <c r="AA242">
        <v>0.1</v>
      </c>
      <c r="AB242" s="5">
        <f>MIN(Table1[[#This Row],[DiscountPct]],'scenario modeling'!$B$2)</f>
        <v>0.1</v>
      </c>
      <c r="AC242" t="str">
        <f>IF(Table1[[#This Row],[DiscountPct]]&gt;0.3, "&gt;0.3","")</f>
        <v/>
      </c>
      <c r="AD242">
        <v>23</v>
      </c>
      <c r="AE242">
        <f>Table1[[#This Row],[Quantity]]*(1+'scenario modeling'!$B$4)</f>
        <v>27.599999999999998</v>
      </c>
      <c r="AF242">
        <f>Table1[[#This Row],[UnitCost]]*Table1[[#This Row],[Quantity]]</f>
        <v>29581.68</v>
      </c>
      <c r="AG242">
        <f>SUMIF($U:U,Table1[[#This Row],[ProductCategory]],$AM:AM)</f>
        <v>1711094.3776</v>
      </c>
      <c r="AH242">
        <f>SUMIFS($AM$2:AM242,$U$2:U242,U242)</f>
        <v>1334901.3361000002</v>
      </c>
      <c r="AI242" s="5">
        <f>Table1[[#This Row],[Cumulative_revenue]]/Table1[[#This Row],[Category_revenue]]</f>
        <v>0.78014477376306246</v>
      </c>
      <c r="AJ242" t="str">
        <f>IF(Table1[[#This Row],[cumulative_pct]]&lt;=0.8,"A",IF(Table1[[#This Row],[cumulative_pct]]&lt;=0.95,"B","C"))</f>
        <v>A</v>
      </c>
      <c r="AK242">
        <f>Table1[[#This Row],[adj_unit_cost]]*Table1[[#This Row],[scenario_quantity]]</f>
        <v>39047.817600000002</v>
      </c>
      <c r="AL242" s="5">
        <f>Table1[[#This Row],[UnitPrice]]*Table1[[#This Row],[scenario_quantity]]*(1-Table1[[#This Row],[cap_adjusted_discount]])</f>
        <v>77031.572400000005</v>
      </c>
      <c r="AM242" s="5">
        <f>Table1[[#This Row],[UnitPrice]]*Table1[[#This Row],[Quantity]]*(1-Table1[[#This Row],[DiscountPct]])</f>
        <v>64192.976999999999</v>
      </c>
      <c r="AN242" s="5">
        <f>Table1[[#This Row],[gross_revenue]]-Table1[[#This Row],[cost_of_goods]]</f>
        <v>34611.296999999999</v>
      </c>
      <c r="AO242" s="5">
        <f>Table1[[#This Row],[scenario_revenue]]-Table1[[#This Row],[Scenario_unit_cost]]</f>
        <v>37983.754800000002</v>
      </c>
      <c r="AP242" s="5">
        <f>IF(Table1[[#This Row],[gross_revenue]]=0,0,Table1[[#This Row],[gross_profit]]/Table1[[#This Row],[gross_revenue]])</f>
        <v>0.53917575749758417</v>
      </c>
    </row>
    <row r="243" spans="1:42" x14ac:dyDescent="0.35">
      <c r="A243" t="s">
        <v>522</v>
      </c>
      <c r="B243" t="str">
        <f>_xlfn.TEXTAFTER(Table1[[#This Row],[OrderID]],"-",2)</f>
        <v>867166</v>
      </c>
      <c r="C243">
        <f>YEAR(Table1[[#This Row],[OrderDate]])</f>
        <v>2023</v>
      </c>
      <c r="D243" s="9">
        <f>_xlfn.MINIFS(F:F,P:P,Table1[[#This Row],[Country]])</f>
        <v>44936</v>
      </c>
      <c r="E243" s="7">
        <f>DATEDIF(Table1[[#This Row],[first_time_orders]],Table1[[#This Row],[OrderDate]],"m")</f>
        <v>3</v>
      </c>
      <c r="F243" s="9">
        <v>45029</v>
      </c>
      <c r="G243" s="2" t="str">
        <f>TEXT(Table1[[#This Row],[OrderDate]],"MMM-YYYY")</f>
        <v>Apr-2023</v>
      </c>
      <c r="H243" s="7">
        <f>MONTH(Table1[[#This Row],[OrderDate]])</f>
        <v>4</v>
      </c>
      <c r="I243" s="7" t="str">
        <f>"Q"&amp;ROUNDUP(Table1[[#This Row],[months]]/3,0)&amp;"-"&amp;Table1[[#This Row],[order_year]]</f>
        <v>Q2-2023</v>
      </c>
      <c r="J243" s="7">
        <f>Table1[[#This Row],[RequiredDate]]-Table1[[#This Row],[OrderDate]]</f>
        <v>7</v>
      </c>
      <c r="K243" s="7">
        <f>IF(Table1[[#This Row],[lead_time]]&lt;0,MEDIAN(J:J),Table1[[#This Row],[lead_time]])</f>
        <v>7</v>
      </c>
      <c r="L243" s="7">
        <f>IF(Table1[[#This Row],[adj_lead_time]]&lt;=7,1,0)</f>
        <v>1</v>
      </c>
      <c r="M243" s="9">
        <v>45036</v>
      </c>
      <c r="N243" s="9">
        <f>IF(Table1[[#This Row],[lead_time]]&lt;0,(Table1[[#This Row],[OrderDate]]+Table1[[#This Row],[adj_lead_time]]),Table1[[#This Row],[RequiredDate]])</f>
        <v>45036</v>
      </c>
      <c r="O243" t="s">
        <v>649</v>
      </c>
      <c r="P243" t="s">
        <v>657</v>
      </c>
      <c r="Q243" t="s">
        <v>679</v>
      </c>
      <c r="R243" t="s">
        <v>705</v>
      </c>
      <c r="S243" t="s">
        <v>708</v>
      </c>
      <c r="T243" t="s">
        <v>720</v>
      </c>
      <c r="U243" t="s">
        <v>731</v>
      </c>
      <c r="V243" t="s">
        <v>1241</v>
      </c>
      <c r="W243">
        <v>227.02</v>
      </c>
      <c r="X243">
        <f>Table1[[#This Row],[UnitCost]]*(1+'scenario modeling'!$B$3)</f>
        <v>249.72200000000004</v>
      </c>
      <c r="Y243">
        <v>434.72</v>
      </c>
      <c r="Z243" t="str">
        <f>IF(Table1[[#This Row],[UnitPrice]]&lt;=Quantiles!$B$2,Quantiles!$A$2,IF(Table1[[#This Row],[UnitPrice]]&lt;=Quantiles!$B$3,Quantiles!$A$3,Quantiles!$A$4))</f>
        <v>Low</v>
      </c>
      <c r="AA243">
        <v>9.8000000000000004E-2</v>
      </c>
      <c r="AB243" s="5">
        <f>MIN(Table1[[#This Row],[DiscountPct]],'scenario modeling'!$B$2)</f>
        <v>9.8000000000000004E-2</v>
      </c>
      <c r="AC243" t="str">
        <f>IF(Table1[[#This Row],[DiscountPct]]&gt;0.3, "&gt;0.3","")</f>
        <v/>
      </c>
      <c r="AD243">
        <v>10</v>
      </c>
      <c r="AE243">
        <f>Table1[[#This Row],[Quantity]]*(1+'scenario modeling'!$B$4)</f>
        <v>12</v>
      </c>
      <c r="AF243">
        <f>Table1[[#This Row],[UnitCost]]*Table1[[#This Row],[Quantity]]</f>
        <v>2270.2000000000003</v>
      </c>
      <c r="AG243">
        <f>SUMIF($U:U,Table1[[#This Row],[ProductCategory]],$AM:AM)</f>
        <v>1711094.3776</v>
      </c>
      <c r="AH243">
        <f>SUMIFS($AM$2:AM243,$U$2:U243,U243)</f>
        <v>1338822.5105000001</v>
      </c>
      <c r="AI243" s="5">
        <f>Table1[[#This Row],[Cumulative_revenue]]/Table1[[#This Row],[Category_revenue]]</f>
        <v>0.78243639160210876</v>
      </c>
      <c r="AJ243" t="str">
        <f>IF(Table1[[#This Row],[cumulative_pct]]&lt;=0.8,"A",IF(Table1[[#This Row],[cumulative_pct]]&lt;=0.95,"B","C"))</f>
        <v>A</v>
      </c>
      <c r="AK243">
        <f>Table1[[#This Row],[adj_unit_cost]]*Table1[[#This Row],[scenario_quantity]]</f>
        <v>2996.6640000000007</v>
      </c>
      <c r="AL243" s="5">
        <f>Table1[[#This Row],[UnitPrice]]*Table1[[#This Row],[scenario_quantity]]*(1-Table1[[#This Row],[cap_adjusted_discount]])</f>
        <v>4705.4092800000008</v>
      </c>
      <c r="AM243" s="5">
        <f>Table1[[#This Row],[UnitPrice]]*Table1[[#This Row],[Quantity]]*(1-Table1[[#This Row],[DiscountPct]])</f>
        <v>3921.1744000000008</v>
      </c>
      <c r="AN243" s="5">
        <f>Table1[[#This Row],[gross_revenue]]-Table1[[#This Row],[cost_of_goods]]</f>
        <v>1650.9744000000005</v>
      </c>
      <c r="AO243" s="5">
        <f>Table1[[#This Row],[scenario_revenue]]-Table1[[#This Row],[Scenario_unit_cost]]</f>
        <v>1708.7452800000001</v>
      </c>
      <c r="AP243" s="5">
        <f>IF(Table1[[#This Row],[gross_revenue]]=0,0,Table1[[#This Row],[gross_profit]]/Table1[[#This Row],[gross_revenue]])</f>
        <v>0.42104079838938052</v>
      </c>
    </row>
    <row r="244" spans="1:42" x14ac:dyDescent="0.35">
      <c r="A244" t="s">
        <v>238</v>
      </c>
      <c r="B244" t="str">
        <f>_xlfn.TEXTAFTER(Table1[[#This Row],[OrderID]],"-",2)</f>
        <v>501220</v>
      </c>
      <c r="C244">
        <f>YEAR(Table1[[#This Row],[OrderDate]])</f>
        <v>2023</v>
      </c>
      <c r="D244" s="9">
        <f>_xlfn.MINIFS(F:F,P:P,Table1[[#This Row],[Country]])</f>
        <v>44945</v>
      </c>
      <c r="E244" s="7">
        <f>DATEDIF(Table1[[#This Row],[first_time_orders]],Table1[[#This Row],[OrderDate]],"m")</f>
        <v>3</v>
      </c>
      <c r="F244" s="9">
        <v>45035</v>
      </c>
      <c r="G244" s="2" t="str">
        <f>TEXT(Table1[[#This Row],[OrderDate]],"MMM-YYYY")</f>
        <v>Apr-2023</v>
      </c>
      <c r="H244" s="7">
        <f>MONTH(Table1[[#This Row],[OrderDate]])</f>
        <v>4</v>
      </c>
      <c r="I244" s="7" t="str">
        <f>"Q"&amp;ROUNDUP(Table1[[#This Row],[months]]/3,0)&amp;"-"&amp;Table1[[#This Row],[order_year]]</f>
        <v>Q2-2023</v>
      </c>
      <c r="J244" s="7">
        <f>Table1[[#This Row],[RequiredDate]]-Table1[[#This Row],[OrderDate]]</f>
        <v>18</v>
      </c>
      <c r="K244" s="7">
        <f>IF(Table1[[#This Row],[lead_time]]&lt;0,MEDIAN(J:J),Table1[[#This Row],[lead_time]])</f>
        <v>18</v>
      </c>
      <c r="L244" s="7">
        <f>IF(Table1[[#This Row],[adj_lead_time]]&lt;=7,1,0)</f>
        <v>0</v>
      </c>
      <c r="M244" s="9">
        <v>45053</v>
      </c>
      <c r="N244" s="9">
        <f>IF(Table1[[#This Row],[lead_time]]&lt;0,(Table1[[#This Row],[OrderDate]]+Table1[[#This Row],[adj_lead_time]]),Table1[[#This Row],[RequiredDate]])</f>
        <v>45053</v>
      </c>
      <c r="O244" t="s">
        <v>649</v>
      </c>
      <c r="P244" t="s">
        <v>658</v>
      </c>
      <c r="Q244" t="s">
        <v>674</v>
      </c>
      <c r="R244" t="s">
        <v>706</v>
      </c>
      <c r="S244" t="s">
        <v>707</v>
      </c>
      <c r="T244" t="s">
        <v>725</v>
      </c>
      <c r="U244" t="s">
        <v>731</v>
      </c>
      <c r="V244" t="s">
        <v>958</v>
      </c>
      <c r="W244">
        <v>1089.1500000000001</v>
      </c>
      <c r="X244">
        <f>Table1[[#This Row],[UnitCost]]*(1+'scenario modeling'!$B$3)</f>
        <v>1198.0650000000003</v>
      </c>
      <c r="Y244">
        <v>1088.2</v>
      </c>
      <c r="Z244" t="str">
        <f>IF(Table1[[#This Row],[UnitPrice]]&lt;=Quantiles!$B$2,Quantiles!$A$2,IF(Table1[[#This Row],[UnitPrice]]&lt;=Quantiles!$B$3,Quantiles!$A$3,Quantiles!$A$4))</f>
        <v>Medium</v>
      </c>
      <c r="AA244">
        <v>5.0999999999999997E-2</v>
      </c>
      <c r="AB244" s="5">
        <f>MIN(Table1[[#This Row],[DiscountPct]],'scenario modeling'!$B$2)</f>
        <v>5.0999999999999997E-2</v>
      </c>
      <c r="AC244" t="str">
        <f>IF(Table1[[#This Row],[DiscountPct]]&gt;0.3, "&gt;0.3","")</f>
        <v/>
      </c>
      <c r="AD244">
        <v>15</v>
      </c>
      <c r="AE244">
        <f>Table1[[#This Row],[Quantity]]*(1+'scenario modeling'!$B$4)</f>
        <v>18</v>
      </c>
      <c r="AF244">
        <f>Table1[[#This Row],[UnitCost]]*Table1[[#This Row],[Quantity]]</f>
        <v>16337.250000000002</v>
      </c>
      <c r="AG244">
        <f>SUMIF($U:U,Table1[[#This Row],[ProductCategory]],$AM:AM)</f>
        <v>1711094.3776</v>
      </c>
      <c r="AH244">
        <f>SUMIFS($AM$2:AM244,$U$2:U244,U244)</f>
        <v>1354313.0375000001</v>
      </c>
      <c r="AI244" s="5">
        <f>Table1[[#This Row],[Cumulative_revenue]]/Table1[[#This Row],[Category_revenue]]</f>
        <v>0.79148938552388592</v>
      </c>
      <c r="AJ244" t="str">
        <f>IF(Table1[[#This Row],[cumulative_pct]]&lt;=0.8,"A",IF(Table1[[#This Row],[cumulative_pct]]&lt;=0.95,"B","C"))</f>
        <v>A</v>
      </c>
      <c r="AK244">
        <f>Table1[[#This Row],[adj_unit_cost]]*Table1[[#This Row],[scenario_quantity]]</f>
        <v>21565.170000000006</v>
      </c>
      <c r="AL244" s="5">
        <f>Table1[[#This Row],[UnitPrice]]*Table1[[#This Row],[scenario_quantity]]*(1-Table1[[#This Row],[cap_adjusted_discount]])</f>
        <v>18588.632400000002</v>
      </c>
      <c r="AM244" s="5">
        <f>Table1[[#This Row],[UnitPrice]]*Table1[[#This Row],[Quantity]]*(1-Table1[[#This Row],[DiscountPct]])</f>
        <v>15490.527</v>
      </c>
      <c r="AN244" s="5">
        <f>Table1[[#This Row],[gross_revenue]]-Table1[[#This Row],[cost_of_goods]]</f>
        <v>-846.72300000000178</v>
      </c>
      <c r="AO244" s="5">
        <f>Table1[[#This Row],[scenario_revenue]]-Table1[[#This Row],[Scenario_unit_cost]]</f>
        <v>-2976.5376000000033</v>
      </c>
      <c r="AP244" s="5">
        <f>IF(Table1[[#This Row],[gross_revenue]]=0,0,Table1[[#This Row],[gross_profit]]/Table1[[#This Row],[gross_revenue]])</f>
        <v>-5.4660696824582002E-2</v>
      </c>
    </row>
    <row r="245" spans="1:42" x14ac:dyDescent="0.35">
      <c r="A245" t="s">
        <v>134</v>
      </c>
      <c r="B245" t="str">
        <f>_xlfn.TEXTAFTER(Table1[[#This Row],[OrderID]],"-",2)</f>
        <v>956101</v>
      </c>
      <c r="C245">
        <f>YEAR(Table1[[#This Row],[OrderDate]])</f>
        <v>2025</v>
      </c>
      <c r="D245" s="9">
        <f>_xlfn.MINIFS(F:F,P:P,Table1[[#This Row],[Country]])</f>
        <v>44928</v>
      </c>
      <c r="E245" s="7">
        <f>DATEDIF(Table1[[#This Row],[first_time_orders]],Table1[[#This Row],[OrderDate]],"m")</f>
        <v>30</v>
      </c>
      <c r="F245" s="9">
        <v>45847</v>
      </c>
      <c r="G245" s="2" t="str">
        <f>TEXT(Table1[[#This Row],[OrderDate]],"MMM-YYYY")</f>
        <v>Jul-2025</v>
      </c>
      <c r="H245" s="7">
        <f>MONTH(Table1[[#This Row],[OrderDate]])</f>
        <v>7</v>
      </c>
      <c r="I245" s="7" t="str">
        <f>"Q"&amp;ROUNDUP(Table1[[#This Row],[months]]/3,0)&amp;"-"&amp;Table1[[#This Row],[order_year]]</f>
        <v>Q3-2025</v>
      </c>
      <c r="J245" s="7">
        <f>Table1[[#This Row],[RequiredDate]]-Table1[[#This Row],[OrderDate]]</f>
        <v>9</v>
      </c>
      <c r="K245" s="7">
        <f>IF(Table1[[#This Row],[lead_time]]&lt;0,MEDIAN(J:J),Table1[[#This Row],[lead_time]])</f>
        <v>9</v>
      </c>
      <c r="L245" s="7">
        <f>IF(Table1[[#This Row],[adj_lead_time]]&lt;=7,1,0)</f>
        <v>0</v>
      </c>
      <c r="M245" s="9">
        <v>45856</v>
      </c>
      <c r="N245" s="9">
        <f>IF(Table1[[#This Row],[lead_time]]&lt;0,(Table1[[#This Row],[OrderDate]]+Table1[[#This Row],[adj_lead_time]]),Table1[[#This Row],[RequiredDate]])</f>
        <v>45856</v>
      </c>
      <c r="O245" t="s">
        <v>648</v>
      </c>
      <c r="P245" t="s">
        <v>653</v>
      </c>
      <c r="Q245" t="s">
        <v>688</v>
      </c>
      <c r="R245" t="s">
        <v>702</v>
      </c>
      <c r="S245" t="s">
        <v>710</v>
      </c>
      <c r="T245" t="s">
        <v>714</v>
      </c>
      <c r="U245" t="s">
        <v>731</v>
      </c>
      <c r="V245" t="s">
        <v>853</v>
      </c>
      <c r="W245">
        <v>57.96</v>
      </c>
      <c r="X245">
        <f>Table1[[#This Row],[UnitCost]]*(1+'scenario modeling'!$B$3)</f>
        <v>63.756000000000007</v>
      </c>
      <c r="Y245">
        <v>88.51</v>
      </c>
      <c r="Z245" t="str">
        <f>IF(Table1[[#This Row],[UnitPrice]]&lt;=Quantiles!$B$2,Quantiles!$A$2,IF(Table1[[#This Row],[UnitPrice]]&lt;=Quantiles!$B$3,Quantiles!$A$3,Quantiles!$A$4))</f>
        <v>Low</v>
      </c>
      <c r="AA245">
        <v>4.2999999999999997E-2</v>
      </c>
      <c r="AB245" s="5">
        <f>MIN(Table1[[#This Row],[DiscountPct]],'scenario modeling'!$B$2)</f>
        <v>4.2999999999999997E-2</v>
      </c>
      <c r="AC245" t="str">
        <f>IF(Table1[[#This Row],[DiscountPct]]&gt;0.3, "&gt;0.3","")</f>
        <v/>
      </c>
      <c r="AD245">
        <v>7</v>
      </c>
      <c r="AE245">
        <f>Table1[[#This Row],[Quantity]]*(1+'scenario modeling'!$B$4)</f>
        <v>8.4</v>
      </c>
      <c r="AF245">
        <f>Table1[[#This Row],[UnitCost]]*Table1[[#This Row],[Quantity]]</f>
        <v>405.72</v>
      </c>
      <c r="AG245">
        <f>SUMIF($U:U,Table1[[#This Row],[ProductCategory]],$AM:AM)</f>
        <v>1711094.3776</v>
      </c>
      <c r="AH245">
        <f>SUMIFS($AM$2:AM245,$U$2:U245,U245)</f>
        <v>1354905.9659900002</v>
      </c>
      <c r="AI245" s="5">
        <f>Table1[[#This Row],[Cumulative_revenue]]/Table1[[#This Row],[Category_revenue]]</f>
        <v>0.79183590556261796</v>
      </c>
      <c r="AJ245" t="str">
        <f>IF(Table1[[#This Row],[cumulative_pct]]&lt;=0.8,"A",IF(Table1[[#This Row],[cumulative_pct]]&lt;=0.95,"B","C"))</f>
        <v>A</v>
      </c>
      <c r="AK245">
        <f>Table1[[#This Row],[adj_unit_cost]]*Table1[[#This Row],[scenario_quantity]]</f>
        <v>535.55040000000008</v>
      </c>
      <c r="AL245" s="5">
        <f>Table1[[#This Row],[UnitPrice]]*Table1[[#This Row],[scenario_quantity]]*(1-Table1[[#This Row],[cap_adjusted_discount]])</f>
        <v>711.51418799999999</v>
      </c>
      <c r="AM245" s="5">
        <f>Table1[[#This Row],[UnitPrice]]*Table1[[#This Row],[Quantity]]*(1-Table1[[#This Row],[DiscountPct]])</f>
        <v>592.92849000000001</v>
      </c>
      <c r="AN245" s="5">
        <f>Table1[[#This Row],[gross_revenue]]-Table1[[#This Row],[cost_of_goods]]</f>
        <v>187.20848999999998</v>
      </c>
      <c r="AO245" s="5">
        <f>Table1[[#This Row],[scenario_revenue]]-Table1[[#This Row],[Scenario_unit_cost]]</f>
        <v>175.96378799999991</v>
      </c>
      <c r="AP245" s="5">
        <f>IF(Table1[[#This Row],[gross_revenue]]=0,0,Table1[[#This Row],[gross_profit]]/Table1[[#This Row],[gross_revenue]])</f>
        <v>0.3157353595877978</v>
      </c>
    </row>
    <row r="246" spans="1:42" x14ac:dyDescent="0.35">
      <c r="A246" t="s">
        <v>529</v>
      </c>
      <c r="B246" t="str">
        <f>_xlfn.TEXTAFTER(Table1[[#This Row],[OrderID]],"-",2)</f>
        <v>635337</v>
      </c>
      <c r="C246">
        <f>YEAR(Table1[[#This Row],[OrderDate]])</f>
        <v>2025</v>
      </c>
      <c r="D246" s="9">
        <f>_xlfn.MINIFS(F:F,P:P,Table1[[#This Row],[Country]])</f>
        <v>44955</v>
      </c>
      <c r="E246" s="7">
        <f>DATEDIF(Table1[[#This Row],[first_time_orders]],Table1[[#This Row],[OrderDate]],"m")</f>
        <v>30</v>
      </c>
      <c r="F246" s="9">
        <v>45874</v>
      </c>
      <c r="G246" s="2" t="str">
        <f>TEXT(Table1[[#This Row],[OrderDate]],"MMM-YYYY")</f>
        <v>Aug-2025</v>
      </c>
      <c r="H246" s="7">
        <f>MONTH(Table1[[#This Row],[OrderDate]])</f>
        <v>8</v>
      </c>
      <c r="I246" s="7" t="str">
        <f>"Q"&amp;ROUNDUP(Table1[[#This Row],[months]]/3,0)&amp;"-"&amp;Table1[[#This Row],[order_year]]</f>
        <v>Q3-2025</v>
      </c>
      <c r="J246" s="7">
        <f>Table1[[#This Row],[RequiredDate]]-Table1[[#This Row],[OrderDate]]</f>
        <v>23</v>
      </c>
      <c r="K246" s="7">
        <f>IF(Table1[[#This Row],[lead_time]]&lt;0,MEDIAN(J:J),Table1[[#This Row],[lead_time]])</f>
        <v>23</v>
      </c>
      <c r="L246" s="7">
        <f>IF(Table1[[#This Row],[adj_lead_time]]&lt;=7,1,0)</f>
        <v>0</v>
      </c>
      <c r="M246" s="9">
        <v>45897</v>
      </c>
      <c r="N246" s="9">
        <f>IF(Table1[[#This Row],[lead_time]]&lt;0,(Table1[[#This Row],[OrderDate]]+Table1[[#This Row],[adj_lead_time]]),Table1[[#This Row],[RequiredDate]])</f>
        <v>45897</v>
      </c>
      <c r="O246" t="s">
        <v>647</v>
      </c>
      <c r="P246" t="s">
        <v>654</v>
      </c>
      <c r="Q246" t="s">
        <v>691</v>
      </c>
      <c r="R246" t="s">
        <v>703</v>
      </c>
      <c r="S246" t="s">
        <v>710</v>
      </c>
      <c r="T246" t="s">
        <v>725</v>
      </c>
      <c r="U246" t="s">
        <v>731</v>
      </c>
      <c r="V246" t="s">
        <v>1248</v>
      </c>
      <c r="W246">
        <v>638.54</v>
      </c>
      <c r="X246">
        <f>Table1[[#This Row],[UnitCost]]*(1+'scenario modeling'!$B$3)</f>
        <v>702.39400000000001</v>
      </c>
      <c r="Y246">
        <v>987.24</v>
      </c>
      <c r="Z246" t="str">
        <f>IF(Table1[[#This Row],[UnitPrice]]&lt;=Quantiles!$B$2,Quantiles!$A$2,IF(Table1[[#This Row],[UnitPrice]]&lt;=Quantiles!$B$3,Quantiles!$A$3,Quantiles!$A$4))</f>
        <v>Medium</v>
      </c>
      <c r="AA246">
        <v>0</v>
      </c>
      <c r="AB246" s="5">
        <f>MIN(Table1[[#This Row],[DiscountPct]],'scenario modeling'!$B$2)</f>
        <v>0</v>
      </c>
      <c r="AC246" t="str">
        <f>IF(Table1[[#This Row],[DiscountPct]]&gt;0.3, "&gt;0.3","")</f>
        <v/>
      </c>
      <c r="AD246">
        <v>11</v>
      </c>
      <c r="AE246">
        <f>Table1[[#This Row],[Quantity]]*(1+'scenario modeling'!$B$4)</f>
        <v>13.2</v>
      </c>
      <c r="AF246">
        <f>Table1[[#This Row],[UnitCost]]*Table1[[#This Row],[Quantity]]</f>
        <v>7023.94</v>
      </c>
      <c r="AG246">
        <f>SUMIF($U:U,Table1[[#This Row],[ProductCategory]],$AM:AM)</f>
        <v>1711094.3776</v>
      </c>
      <c r="AH246">
        <f>SUMIFS($AM$2:AM246,$U$2:U246,U246)</f>
        <v>1365765.6059900001</v>
      </c>
      <c r="AI246" s="5">
        <f>Table1[[#This Row],[Cumulative_revenue]]/Table1[[#This Row],[Category_revenue]]</f>
        <v>0.79818251048527089</v>
      </c>
      <c r="AJ246" t="str">
        <f>IF(Table1[[#This Row],[cumulative_pct]]&lt;=0.8,"A",IF(Table1[[#This Row],[cumulative_pct]]&lt;=0.95,"B","C"))</f>
        <v>A</v>
      </c>
      <c r="AK246">
        <f>Table1[[#This Row],[adj_unit_cost]]*Table1[[#This Row],[scenario_quantity]]</f>
        <v>9271.6008000000002</v>
      </c>
      <c r="AL246" s="5">
        <f>Table1[[#This Row],[UnitPrice]]*Table1[[#This Row],[scenario_quantity]]*(1-Table1[[#This Row],[cap_adjusted_discount]])</f>
        <v>13031.567999999999</v>
      </c>
      <c r="AM246" s="5">
        <f>Table1[[#This Row],[UnitPrice]]*Table1[[#This Row],[Quantity]]*(1-Table1[[#This Row],[DiscountPct]])</f>
        <v>10859.64</v>
      </c>
      <c r="AN246" s="5">
        <f>Table1[[#This Row],[gross_revenue]]-Table1[[#This Row],[cost_of_goods]]</f>
        <v>3835.7</v>
      </c>
      <c r="AO246" s="5">
        <f>Table1[[#This Row],[scenario_revenue]]-Table1[[#This Row],[Scenario_unit_cost]]</f>
        <v>3759.9671999999991</v>
      </c>
      <c r="AP246" s="5">
        <f>IF(Table1[[#This Row],[gross_revenue]]=0,0,Table1[[#This Row],[gross_profit]]/Table1[[#This Row],[gross_revenue]])</f>
        <v>0.35320692030306716</v>
      </c>
    </row>
    <row r="247" spans="1:42" x14ac:dyDescent="0.35">
      <c r="A247" t="s">
        <v>161</v>
      </c>
      <c r="B247" t="str">
        <f>_xlfn.TEXTAFTER(Table1[[#This Row],[OrderID]],"-",2)</f>
        <v>244832</v>
      </c>
      <c r="C247">
        <f>YEAR(Table1[[#This Row],[OrderDate]])</f>
        <v>2025</v>
      </c>
      <c r="D247" s="9">
        <f>_xlfn.MINIFS(F:F,P:P,Table1[[#This Row],[Country]])</f>
        <v>44946</v>
      </c>
      <c r="E247" s="7">
        <f>DATEDIF(Table1[[#This Row],[first_time_orders]],Table1[[#This Row],[OrderDate]],"m")</f>
        <v>31</v>
      </c>
      <c r="F247" s="9">
        <v>45911</v>
      </c>
      <c r="G247" s="2" t="str">
        <f>TEXT(Table1[[#This Row],[OrderDate]],"MMM-YYYY")</f>
        <v>Sept-2025</v>
      </c>
      <c r="H247" s="7">
        <f>MONTH(Table1[[#This Row],[OrderDate]])</f>
        <v>9</v>
      </c>
      <c r="I247" s="7" t="str">
        <f>"Q"&amp;ROUNDUP(Table1[[#This Row],[months]]/3,0)&amp;"-"&amp;Table1[[#This Row],[order_year]]</f>
        <v>Q3-2025</v>
      </c>
      <c r="J247" s="7">
        <f>Table1[[#This Row],[RequiredDate]]-Table1[[#This Row],[OrderDate]]</f>
        <v>17</v>
      </c>
      <c r="K247" s="7">
        <f>IF(Table1[[#This Row],[lead_time]]&lt;0,MEDIAN(J:J),Table1[[#This Row],[lead_time]])</f>
        <v>17</v>
      </c>
      <c r="L247" s="7">
        <f>IF(Table1[[#This Row],[adj_lead_time]]&lt;=7,1,0)</f>
        <v>0</v>
      </c>
      <c r="M247" s="9">
        <v>45928</v>
      </c>
      <c r="N247" s="9">
        <f>IF(Table1[[#This Row],[lead_time]]&lt;0,(Table1[[#This Row],[OrderDate]]+Table1[[#This Row],[adj_lead_time]]),Table1[[#This Row],[RequiredDate]])</f>
        <v>45928</v>
      </c>
      <c r="O247" t="s">
        <v>646</v>
      </c>
      <c r="P247" t="s">
        <v>650</v>
      </c>
      <c r="Q247" t="s">
        <v>664</v>
      </c>
      <c r="R247" t="s">
        <v>703</v>
      </c>
      <c r="S247" t="s">
        <v>710</v>
      </c>
      <c r="T247" t="s">
        <v>713</v>
      </c>
      <c r="U247" t="s">
        <v>731</v>
      </c>
      <c r="V247" t="s">
        <v>880</v>
      </c>
      <c r="W247">
        <v>891.46</v>
      </c>
      <c r="X247">
        <f>Table1[[#This Row],[UnitCost]]*(1+'scenario modeling'!$B$3)</f>
        <v>980.60600000000011</v>
      </c>
      <c r="Y247">
        <v>728.61</v>
      </c>
      <c r="Z247" t="str">
        <f>IF(Table1[[#This Row],[UnitPrice]]&lt;=Quantiles!$B$2,Quantiles!$A$2,IF(Table1[[#This Row],[UnitPrice]]&lt;=Quantiles!$B$3,Quantiles!$A$3,Quantiles!$A$4))</f>
        <v>Low</v>
      </c>
      <c r="AA247">
        <v>0.185</v>
      </c>
      <c r="AB247" s="5">
        <f>MIN(Table1[[#This Row],[DiscountPct]],'scenario modeling'!$B$2)</f>
        <v>0.1</v>
      </c>
      <c r="AC247" t="str">
        <f>IF(Table1[[#This Row],[DiscountPct]]&gt;0.3, "&gt;0.3","")</f>
        <v/>
      </c>
      <c r="AD247">
        <v>6</v>
      </c>
      <c r="AE247">
        <f>Table1[[#This Row],[Quantity]]*(1+'scenario modeling'!$B$4)</f>
        <v>7.1999999999999993</v>
      </c>
      <c r="AF247">
        <f>Table1[[#This Row],[UnitCost]]*Table1[[#This Row],[Quantity]]</f>
        <v>5348.76</v>
      </c>
      <c r="AG247">
        <f>SUMIF($U:U,Table1[[#This Row],[ProductCategory]],$AM:AM)</f>
        <v>1711094.3776</v>
      </c>
      <c r="AH247">
        <f>SUMIFS($AM$2:AM247,$U$2:U247,U247)</f>
        <v>1369328.5088900002</v>
      </c>
      <c r="AI247" s="5">
        <f>Table1[[#This Row],[Cumulative_revenue]]/Table1[[#This Row],[Category_revenue]]</f>
        <v>0.80026474682865567</v>
      </c>
      <c r="AJ247" t="str">
        <f>IF(Table1[[#This Row],[cumulative_pct]]&lt;=0.8,"A",IF(Table1[[#This Row],[cumulative_pct]]&lt;=0.95,"B","C"))</f>
        <v>B</v>
      </c>
      <c r="AK247">
        <f>Table1[[#This Row],[adj_unit_cost]]*Table1[[#This Row],[scenario_quantity]]</f>
        <v>7060.3631999999998</v>
      </c>
      <c r="AL247" s="5">
        <f>Table1[[#This Row],[UnitPrice]]*Table1[[#This Row],[scenario_quantity]]*(1-Table1[[#This Row],[cap_adjusted_discount]])</f>
        <v>4721.3927999999996</v>
      </c>
      <c r="AM247" s="5">
        <f>Table1[[#This Row],[UnitPrice]]*Table1[[#This Row],[Quantity]]*(1-Table1[[#This Row],[DiscountPct]])</f>
        <v>3562.9028999999996</v>
      </c>
      <c r="AN247" s="5">
        <f>Table1[[#This Row],[gross_revenue]]-Table1[[#This Row],[cost_of_goods]]</f>
        <v>-1785.8571000000006</v>
      </c>
      <c r="AO247" s="5">
        <f>Table1[[#This Row],[scenario_revenue]]-Table1[[#This Row],[Scenario_unit_cost]]</f>
        <v>-2338.9704000000002</v>
      </c>
      <c r="AP247" s="5">
        <f>IF(Table1[[#This Row],[gross_revenue]]=0,0,Table1[[#This Row],[gross_profit]]/Table1[[#This Row],[gross_revenue]])</f>
        <v>-0.50123653383874167</v>
      </c>
    </row>
    <row r="248" spans="1:42" x14ac:dyDescent="0.35">
      <c r="A248" t="s">
        <v>440</v>
      </c>
      <c r="B248" t="str">
        <f>_xlfn.TEXTAFTER(Table1[[#This Row],[OrderID]],"-",2)</f>
        <v>803803</v>
      </c>
      <c r="C248">
        <f>YEAR(Table1[[#This Row],[OrderDate]])</f>
        <v>2025</v>
      </c>
      <c r="D248" s="9">
        <f>_xlfn.MINIFS(F:F,P:P,Table1[[#This Row],[Country]])</f>
        <v>44941</v>
      </c>
      <c r="E248" s="7">
        <f>DATEDIF(Table1[[#This Row],[first_time_orders]],Table1[[#This Row],[OrderDate]],"m")</f>
        <v>31</v>
      </c>
      <c r="F248" s="9">
        <v>45897</v>
      </c>
      <c r="G248" s="2" t="str">
        <f>TEXT(Table1[[#This Row],[OrderDate]],"MMM-YYYY")</f>
        <v>Aug-2025</v>
      </c>
      <c r="H248" s="7">
        <f>MONTH(Table1[[#This Row],[OrderDate]])</f>
        <v>8</v>
      </c>
      <c r="I248" s="7" t="str">
        <f>"Q"&amp;ROUNDUP(Table1[[#This Row],[months]]/3,0)&amp;"-"&amp;Table1[[#This Row],[order_year]]</f>
        <v>Q3-2025</v>
      </c>
      <c r="J248" s="7">
        <f>Table1[[#This Row],[RequiredDate]]-Table1[[#This Row],[OrderDate]]</f>
        <v>8</v>
      </c>
      <c r="K248" s="7">
        <f>IF(Table1[[#This Row],[lead_time]]&lt;0,MEDIAN(J:J),Table1[[#This Row],[lead_time]])</f>
        <v>8</v>
      </c>
      <c r="L248" s="7">
        <f>IF(Table1[[#This Row],[adj_lead_time]]&lt;=7,1,0)</f>
        <v>0</v>
      </c>
      <c r="M248" s="9">
        <v>45905</v>
      </c>
      <c r="N248" s="9">
        <f>IF(Table1[[#This Row],[lead_time]]&lt;0,(Table1[[#This Row],[OrderDate]]+Table1[[#This Row],[adj_lead_time]]),Table1[[#This Row],[RequiredDate]])</f>
        <v>45905</v>
      </c>
      <c r="O248" t="s">
        <v>646</v>
      </c>
      <c r="P248" t="s">
        <v>651</v>
      </c>
      <c r="Q248" t="s">
        <v>663</v>
      </c>
      <c r="R248" t="s">
        <v>705</v>
      </c>
      <c r="S248" t="s">
        <v>709</v>
      </c>
      <c r="T248" t="s">
        <v>718</v>
      </c>
      <c r="U248" t="s">
        <v>731</v>
      </c>
      <c r="V248" t="s">
        <v>1159</v>
      </c>
      <c r="W248">
        <v>1271.0999999999999</v>
      </c>
      <c r="X248">
        <f>Table1[[#This Row],[UnitCost]]*(1+'scenario modeling'!$B$3)</f>
        <v>1398.21</v>
      </c>
      <c r="Y248">
        <v>1932.42</v>
      </c>
      <c r="Z248" t="str">
        <f>IF(Table1[[#This Row],[UnitPrice]]&lt;=Quantiles!$B$2,Quantiles!$A$2,IF(Table1[[#This Row],[UnitPrice]]&lt;=Quantiles!$B$3,Quantiles!$A$3,Quantiles!$A$4))</f>
        <v>High</v>
      </c>
      <c r="AA248">
        <v>0.25</v>
      </c>
      <c r="AB248" s="5">
        <f>MIN(Table1[[#This Row],[DiscountPct]],'scenario modeling'!$B$2)</f>
        <v>0.1</v>
      </c>
      <c r="AC248" t="str">
        <f>IF(Table1[[#This Row],[DiscountPct]]&gt;0.3, "&gt;0.3","")</f>
        <v/>
      </c>
      <c r="AD248">
        <v>21</v>
      </c>
      <c r="AE248">
        <f>Table1[[#This Row],[Quantity]]*(1+'scenario modeling'!$B$4)</f>
        <v>25.2</v>
      </c>
      <c r="AF248">
        <f>Table1[[#This Row],[UnitCost]]*Table1[[#This Row],[Quantity]]</f>
        <v>26693.1</v>
      </c>
      <c r="AG248">
        <f>SUMIF($U:U,Table1[[#This Row],[ProductCategory]],$AM:AM)</f>
        <v>1711094.3776</v>
      </c>
      <c r="AH248">
        <f>SUMIFS($AM$2:AM248,$U$2:U248,U248)</f>
        <v>1399764.1238900002</v>
      </c>
      <c r="AI248" s="5">
        <f>Table1[[#This Row],[Cumulative_revenue]]/Table1[[#This Row],[Category_revenue]]</f>
        <v>0.81805196850294426</v>
      </c>
      <c r="AJ248" t="str">
        <f>IF(Table1[[#This Row],[cumulative_pct]]&lt;=0.8,"A",IF(Table1[[#This Row],[cumulative_pct]]&lt;=0.95,"B","C"))</f>
        <v>B</v>
      </c>
      <c r="AK248">
        <f>Table1[[#This Row],[adj_unit_cost]]*Table1[[#This Row],[scenario_quantity]]</f>
        <v>35234.892</v>
      </c>
      <c r="AL248" s="5">
        <f>Table1[[#This Row],[UnitPrice]]*Table1[[#This Row],[scenario_quantity]]*(1-Table1[[#This Row],[cap_adjusted_discount]])</f>
        <v>43827.285600000003</v>
      </c>
      <c r="AM248" s="5">
        <f>Table1[[#This Row],[UnitPrice]]*Table1[[#This Row],[Quantity]]*(1-Table1[[#This Row],[DiscountPct]])</f>
        <v>30435.614999999998</v>
      </c>
      <c r="AN248" s="5">
        <f>Table1[[#This Row],[gross_revenue]]-Table1[[#This Row],[cost_of_goods]]</f>
        <v>3742.5149999999994</v>
      </c>
      <c r="AO248" s="5">
        <f>Table1[[#This Row],[scenario_revenue]]-Table1[[#This Row],[Scenario_unit_cost]]</f>
        <v>8592.3936000000031</v>
      </c>
      <c r="AP248" s="5">
        <f>IF(Table1[[#This Row],[gross_revenue]]=0,0,Table1[[#This Row],[gross_profit]]/Table1[[#This Row],[gross_revenue]])</f>
        <v>0.12296498690760807</v>
      </c>
    </row>
    <row r="249" spans="1:42" x14ac:dyDescent="0.35">
      <c r="A249" t="s">
        <v>496</v>
      </c>
      <c r="B249" t="str">
        <f>_xlfn.TEXTAFTER(Table1[[#This Row],[OrderID]],"-",2)</f>
        <v>417336</v>
      </c>
      <c r="C249">
        <f>YEAR(Table1[[#This Row],[OrderDate]])</f>
        <v>2025</v>
      </c>
      <c r="D249" s="9">
        <f>_xlfn.MINIFS(F:F,P:P,Table1[[#This Row],[Country]])</f>
        <v>44936</v>
      </c>
      <c r="E249" s="7">
        <f>DATEDIF(Table1[[#This Row],[first_time_orders]],Table1[[#This Row],[OrderDate]],"m")</f>
        <v>31</v>
      </c>
      <c r="F249" s="9">
        <v>45899</v>
      </c>
      <c r="G249" s="2" t="str">
        <f>TEXT(Table1[[#This Row],[OrderDate]],"MMM-YYYY")</f>
        <v>Aug-2025</v>
      </c>
      <c r="H249" s="7">
        <f>MONTH(Table1[[#This Row],[OrderDate]])</f>
        <v>8</v>
      </c>
      <c r="I249" s="7" t="str">
        <f>"Q"&amp;ROUNDUP(Table1[[#This Row],[months]]/3,0)&amp;"-"&amp;Table1[[#This Row],[order_year]]</f>
        <v>Q3-2025</v>
      </c>
      <c r="J249" s="7">
        <f>Table1[[#This Row],[RequiredDate]]-Table1[[#This Row],[OrderDate]]</f>
        <v>4</v>
      </c>
      <c r="K249" s="7">
        <f>IF(Table1[[#This Row],[lead_time]]&lt;0,MEDIAN(J:J),Table1[[#This Row],[lead_time]])</f>
        <v>4</v>
      </c>
      <c r="L249" s="7">
        <f>IF(Table1[[#This Row],[adj_lead_time]]&lt;=7,1,0)</f>
        <v>1</v>
      </c>
      <c r="M249" s="9">
        <v>45903</v>
      </c>
      <c r="N249" s="9">
        <f>IF(Table1[[#This Row],[lead_time]]&lt;0,(Table1[[#This Row],[OrderDate]]+Table1[[#This Row],[adj_lead_time]]),Table1[[#This Row],[RequiredDate]])</f>
        <v>45903</v>
      </c>
      <c r="O249" t="s">
        <v>649</v>
      </c>
      <c r="P249" t="s">
        <v>657</v>
      </c>
      <c r="Q249" t="s">
        <v>673</v>
      </c>
      <c r="R249" t="s">
        <v>705</v>
      </c>
      <c r="S249" t="s">
        <v>709</v>
      </c>
      <c r="T249" t="s">
        <v>713</v>
      </c>
      <c r="U249" t="s">
        <v>731</v>
      </c>
      <c r="V249" t="s">
        <v>1215</v>
      </c>
      <c r="W249">
        <v>1286.56</v>
      </c>
      <c r="X249">
        <f>Table1[[#This Row],[UnitCost]]*(1+'scenario modeling'!$B$3)</f>
        <v>1415.2160000000001</v>
      </c>
      <c r="Y249">
        <v>2777.35</v>
      </c>
      <c r="Z249" t="str">
        <f>IF(Table1[[#This Row],[UnitPrice]]&lt;=Quantiles!$B$2,Quantiles!$A$2,IF(Table1[[#This Row],[UnitPrice]]&lt;=Quantiles!$B$3,Quantiles!$A$3,Quantiles!$A$4))</f>
        <v>High</v>
      </c>
      <c r="AA249">
        <v>0.13200000000000001</v>
      </c>
      <c r="AB249" s="5">
        <f>MIN(Table1[[#This Row],[DiscountPct]],'scenario modeling'!$B$2)</f>
        <v>0.1</v>
      </c>
      <c r="AC249" t="str">
        <f>IF(Table1[[#This Row],[DiscountPct]]&gt;0.3, "&gt;0.3","")</f>
        <v/>
      </c>
      <c r="AD249">
        <v>15</v>
      </c>
      <c r="AE249">
        <f>Table1[[#This Row],[Quantity]]*(1+'scenario modeling'!$B$4)</f>
        <v>18</v>
      </c>
      <c r="AF249">
        <f>Table1[[#This Row],[UnitCost]]*Table1[[#This Row],[Quantity]]</f>
        <v>19298.399999999998</v>
      </c>
      <c r="AG249">
        <f>SUMIF($U:U,Table1[[#This Row],[ProductCategory]],$AM:AM)</f>
        <v>1711094.3776</v>
      </c>
      <c r="AH249">
        <f>SUMIFS($AM$2:AM249,$U$2:U249,U249)</f>
        <v>1435925.2208900002</v>
      </c>
      <c r="AI249" s="5">
        <f>Table1[[#This Row],[Cumulative_revenue]]/Table1[[#This Row],[Category_revenue]]</f>
        <v>0.83918528380885971</v>
      </c>
      <c r="AJ249" t="str">
        <f>IF(Table1[[#This Row],[cumulative_pct]]&lt;=0.8,"A",IF(Table1[[#This Row],[cumulative_pct]]&lt;=0.95,"B","C"))</f>
        <v>B</v>
      </c>
      <c r="AK249">
        <f>Table1[[#This Row],[adj_unit_cost]]*Table1[[#This Row],[scenario_quantity]]</f>
        <v>25473.888000000003</v>
      </c>
      <c r="AL249" s="5">
        <f>Table1[[#This Row],[UnitPrice]]*Table1[[#This Row],[scenario_quantity]]*(1-Table1[[#This Row],[cap_adjusted_discount]])</f>
        <v>44993.07</v>
      </c>
      <c r="AM249" s="5">
        <f>Table1[[#This Row],[UnitPrice]]*Table1[[#This Row],[Quantity]]*(1-Table1[[#This Row],[DiscountPct]])</f>
        <v>36161.097000000002</v>
      </c>
      <c r="AN249" s="5">
        <f>Table1[[#This Row],[gross_revenue]]-Table1[[#This Row],[cost_of_goods]]</f>
        <v>16862.697000000004</v>
      </c>
      <c r="AO249" s="5">
        <f>Table1[[#This Row],[scenario_revenue]]-Table1[[#This Row],[Scenario_unit_cost]]</f>
        <v>19519.181999999997</v>
      </c>
      <c r="AP249" s="5">
        <f>IF(Table1[[#This Row],[gross_revenue]]=0,0,Table1[[#This Row],[gross_profit]]/Table1[[#This Row],[gross_revenue]])</f>
        <v>0.46632150014696744</v>
      </c>
    </row>
    <row r="250" spans="1:42" x14ac:dyDescent="0.35">
      <c r="A250" t="s">
        <v>555</v>
      </c>
      <c r="B250" t="str">
        <f>_xlfn.TEXTAFTER(Table1[[#This Row],[OrderID]],"-",2)</f>
        <v>286720</v>
      </c>
      <c r="C250">
        <f>YEAR(Table1[[#This Row],[OrderDate]])</f>
        <v>2023</v>
      </c>
      <c r="D250" s="9">
        <f>_xlfn.MINIFS(F:F,P:P,Table1[[#This Row],[Country]])</f>
        <v>44946</v>
      </c>
      <c r="E250" s="7">
        <f>DATEDIF(Table1[[#This Row],[first_time_orders]],Table1[[#This Row],[OrderDate]],"m")</f>
        <v>5</v>
      </c>
      <c r="F250" s="9">
        <v>45115</v>
      </c>
      <c r="G250" s="2" t="str">
        <f>TEXT(Table1[[#This Row],[OrderDate]],"MMM-YYYY")</f>
        <v>Jul-2023</v>
      </c>
      <c r="H250" s="7">
        <f>MONTH(Table1[[#This Row],[OrderDate]])</f>
        <v>7</v>
      </c>
      <c r="I250" s="7" t="str">
        <f>"Q"&amp;ROUNDUP(Table1[[#This Row],[months]]/3,0)&amp;"-"&amp;Table1[[#This Row],[order_year]]</f>
        <v>Q3-2023</v>
      </c>
      <c r="J250" s="7">
        <f>Table1[[#This Row],[RequiredDate]]-Table1[[#This Row],[OrderDate]]</f>
        <v>1</v>
      </c>
      <c r="K250" s="7">
        <f>IF(Table1[[#This Row],[lead_time]]&lt;0,MEDIAN(J:J),Table1[[#This Row],[lead_time]])</f>
        <v>1</v>
      </c>
      <c r="L250" s="7">
        <f>IF(Table1[[#This Row],[adj_lead_time]]&lt;=7,1,0)</f>
        <v>1</v>
      </c>
      <c r="M250" s="9">
        <v>45116</v>
      </c>
      <c r="N250" s="9">
        <f>IF(Table1[[#This Row],[lead_time]]&lt;0,(Table1[[#This Row],[OrderDate]]+Table1[[#This Row],[adj_lead_time]]),Table1[[#This Row],[RequiredDate]])</f>
        <v>45116</v>
      </c>
      <c r="O250" t="s">
        <v>646</v>
      </c>
      <c r="P250" t="s">
        <v>650</v>
      </c>
      <c r="Q250" t="s">
        <v>664</v>
      </c>
      <c r="R250" t="s">
        <v>704</v>
      </c>
      <c r="S250" t="s">
        <v>708</v>
      </c>
      <c r="T250" t="s">
        <v>726</v>
      </c>
      <c r="U250" t="s">
        <v>731</v>
      </c>
      <c r="V250" t="s">
        <v>1273</v>
      </c>
      <c r="W250">
        <v>1258.72</v>
      </c>
      <c r="X250">
        <f>Table1[[#This Row],[UnitCost]]*(1+'scenario modeling'!$B$3)</f>
        <v>1384.5920000000001</v>
      </c>
      <c r="Y250">
        <v>2797.41</v>
      </c>
      <c r="Z250" t="str">
        <f>IF(Table1[[#This Row],[UnitPrice]]&lt;=Quantiles!$B$2,Quantiles!$A$2,IF(Table1[[#This Row],[UnitPrice]]&lt;=Quantiles!$B$3,Quantiles!$A$3,Quantiles!$A$4))</f>
        <v>High</v>
      </c>
      <c r="AA250">
        <v>0</v>
      </c>
      <c r="AB250" s="5">
        <f>MIN(Table1[[#This Row],[DiscountPct]],'scenario modeling'!$B$2)</f>
        <v>0</v>
      </c>
      <c r="AC250" t="str">
        <f>IF(Table1[[#This Row],[DiscountPct]]&gt;0.3, "&gt;0.3","")</f>
        <v/>
      </c>
      <c r="AD250">
        <v>7</v>
      </c>
      <c r="AE250">
        <f>Table1[[#This Row],[Quantity]]*(1+'scenario modeling'!$B$4)</f>
        <v>8.4</v>
      </c>
      <c r="AF250">
        <f>Table1[[#This Row],[UnitCost]]*Table1[[#This Row],[Quantity]]</f>
        <v>8811.0400000000009</v>
      </c>
      <c r="AG250">
        <f>SUMIF($U:U,Table1[[#This Row],[ProductCategory]],$AM:AM)</f>
        <v>1711094.3776</v>
      </c>
      <c r="AH250">
        <f>SUMIFS($AM$2:AM250,$U$2:U250,U250)</f>
        <v>1455507.0908900003</v>
      </c>
      <c r="AI250" s="5">
        <f>Table1[[#This Row],[Cumulative_revenue]]/Table1[[#This Row],[Category_revenue]]</f>
        <v>0.85062934572405691</v>
      </c>
      <c r="AJ250" t="str">
        <f>IF(Table1[[#This Row],[cumulative_pct]]&lt;=0.8,"A",IF(Table1[[#This Row],[cumulative_pct]]&lt;=0.95,"B","C"))</f>
        <v>B</v>
      </c>
      <c r="AK250">
        <f>Table1[[#This Row],[adj_unit_cost]]*Table1[[#This Row],[scenario_quantity]]</f>
        <v>11630.572800000002</v>
      </c>
      <c r="AL250" s="5">
        <f>Table1[[#This Row],[UnitPrice]]*Table1[[#This Row],[scenario_quantity]]*(1-Table1[[#This Row],[cap_adjusted_discount]])</f>
        <v>23498.243999999999</v>
      </c>
      <c r="AM250" s="5">
        <f>Table1[[#This Row],[UnitPrice]]*Table1[[#This Row],[Quantity]]*(1-Table1[[#This Row],[DiscountPct]])</f>
        <v>19581.87</v>
      </c>
      <c r="AN250" s="5">
        <f>Table1[[#This Row],[gross_revenue]]-Table1[[#This Row],[cost_of_goods]]</f>
        <v>10770.829999999998</v>
      </c>
      <c r="AO250" s="5">
        <f>Table1[[#This Row],[scenario_revenue]]-Table1[[#This Row],[Scenario_unit_cost]]</f>
        <v>11867.671199999997</v>
      </c>
      <c r="AP250" s="5">
        <f>IF(Table1[[#This Row],[gross_revenue]]=0,0,Table1[[#This Row],[gross_profit]]/Table1[[#This Row],[gross_revenue]])</f>
        <v>0.55004093071805704</v>
      </c>
    </row>
    <row r="251" spans="1:42" x14ac:dyDescent="0.35">
      <c r="A251" t="s">
        <v>376</v>
      </c>
      <c r="B251" t="str">
        <f>_xlfn.TEXTAFTER(Table1[[#This Row],[OrderID]],"-",2)</f>
        <v>159821</v>
      </c>
      <c r="C251">
        <f>YEAR(Table1[[#This Row],[OrderDate]])</f>
        <v>2023</v>
      </c>
      <c r="D251" s="9">
        <f>_xlfn.MINIFS(F:F,P:P,Table1[[#This Row],[Country]])</f>
        <v>44941</v>
      </c>
      <c r="E251" s="7">
        <f>DATEDIF(Table1[[#This Row],[first_time_orders]],Table1[[#This Row],[OrderDate]],"m")</f>
        <v>5</v>
      </c>
      <c r="F251" s="9">
        <v>45108</v>
      </c>
      <c r="G251" s="2" t="str">
        <f>TEXT(Table1[[#This Row],[OrderDate]],"MMM-YYYY")</f>
        <v>Jul-2023</v>
      </c>
      <c r="H251" s="7">
        <f>MONTH(Table1[[#This Row],[OrderDate]])</f>
        <v>7</v>
      </c>
      <c r="I251" s="7" t="str">
        <f>"Q"&amp;ROUNDUP(Table1[[#This Row],[months]]/3,0)&amp;"-"&amp;Table1[[#This Row],[order_year]]</f>
        <v>Q3-2023</v>
      </c>
      <c r="J251" s="7">
        <f>Table1[[#This Row],[RequiredDate]]-Table1[[#This Row],[OrderDate]]</f>
        <v>7</v>
      </c>
      <c r="K251" s="7">
        <f>IF(Table1[[#This Row],[lead_time]]&lt;0,MEDIAN(J:J),Table1[[#This Row],[lead_time]])</f>
        <v>7</v>
      </c>
      <c r="L251" s="7">
        <f>IF(Table1[[#This Row],[adj_lead_time]]&lt;=7,1,0)</f>
        <v>1</v>
      </c>
      <c r="M251" s="9">
        <v>45115</v>
      </c>
      <c r="N251" s="9">
        <f>IF(Table1[[#This Row],[lead_time]]&lt;0,(Table1[[#This Row],[OrderDate]]+Table1[[#This Row],[adj_lead_time]]),Table1[[#This Row],[RequiredDate]])</f>
        <v>45115</v>
      </c>
      <c r="O251" t="s">
        <v>646</v>
      </c>
      <c r="P251" t="s">
        <v>651</v>
      </c>
      <c r="Q251" t="s">
        <v>663</v>
      </c>
      <c r="R251" t="s">
        <v>701</v>
      </c>
      <c r="S251" t="s">
        <v>707</v>
      </c>
      <c r="T251" t="s">
        <v>720</v>
      </c>
      <c r="U251" t="s">
        <v>731</v>
      </c>
      <c r="V251" t="s">
        <v>1096</v>
      </c>
      <c r="W251">
        <v>834.26</v>
      </c>
      <c r="X251">
        <f>Table1[[#This Row],[UnitCost]]*(1+'scenario modeling'!$B$3)</f>
        <v>917.68600000000004</v>
      </c>
      <c r="Y251">
        <v>1780.56</v>
      </c>
      <c r="Z251" t="str">
        <f>IF(Table1[[#This Row],[UnitPrice]]&lt;=Quantiles!$B$2,Quantiles!$A$2,IF(Table1[[#This Row],[UnitPrice]]&lt;=Quantiles!$B$3,Quantiles!$A$3,Quantiles!$A$4))</f>
        <v>High</v>
      </c>
      <c r="AA251">
        <v>1.4E-2</v>
      </c>
      <c r="AB251" s="5">
        <f>MIN(Table1[[#This Row],[DiscountPct]],'scenario modeling'!$B$2)</f>
        <v>1.4E-2</v>
      </c>
      <c r="AC251" t="str">
        <f>IF(Table1[[#This Row],[DiscountPct]]&gt;0.3, "&gt;0.3","")</f>
        <v/>
      </c>
      <c r="AD251">
        <v>47</v>
      </c>
      <c r="AE251">
        <f>Table1[[#This Row],[Quantity]]*(1+'scenario modeling'!$B$4)</f>
        <v>56.4</v>
      </c>
      <c r="AF251">
        <f>Table1[[#This Row],[UnitCost]]*Table1[[#This Row],[Quantity]]</f>
        <v>39210.22</v>
      </c>
      <c r="AG251">
        <f>SUMIF($U:U,Table1[[#This Row],[ProductCategory]],$AM:AM)</f>
        <v>1711094.3776</v>
      </c>
      <c r="AH251">
        <f>SUMIFS($AM$2:AM251,$U$2:U251,U251)</f>
        <v>1538021.8024100002</v>
      </c>
      <c r="AI251" s="5">
        <f>Table1[[#This Row],[Cumulative_revenue]]/Table1[[#This Row],[Category_revenue]]</f>
        <v>0.89885270067174594</v>
      </c>
      <c r="AJ251" t="str">
        <f>IF(Table1[[#This Row],[cumulative_pct]]&lt;=0.8,"A",IF(Table1[[#This Row],[cumulative_pct]]&lt;=0.95,"B","C"))</f>
        <v>B</v>
      </c>
      <c r="AK251">
        <f>Table1[[#This Row],[adj_unit_cost]]*Table1[[#This Row],[scenario_quantity]]</f>
        <v>51757.490400000002</v>
      </c>
      <c r="AL251" s="5">
        <f>Table1[[#This Row],[UnitPrice]]*Table1[[#This Row],[scenario_quantity]]*(1-Table1[[#This Row],[cap_adjusted_discount]])</f>
        <v>99017.653823999994</v>
      </c>
      <c r="AM251" s="5">
        <f>Table1[[#This Row],[UnitPrice]]*Table1[[#This Row],[Quantity]]*(1-Table1[[#This Row],[DiscountPct]])</f>
        <v>82514.711519999997</v>
      </c>
      <c r="AN251" s="5">
        <f>Table1[[#This Row],[gross_revenue]]-Table1[[#This Row],[cost_of_goods]]</f>
        <v>43304.491519999996</v>
      </c>
      <c r="AO251" s="5">
        <f>Table1[[#This Row],[scenario_revenue]]-Table1[[#This Row],[Scenario_unit_cost]]</f>
        <v>47260.163423999991</v>
      </c>
      <c r="AP251" s="5">
        <f>IF(Table1[[#This Row],[gross_revenue]]=0,0,Table1[[#This Row],[gross_profit]]/Table1[[#This Row],[gross_revenue]])</f>
        <v>0.5248093427497933</v>
      </c>
    </row>
    <row r="252" spans="1:42" x14ac:dyDescent="0.35">
      <c r="A252" t="s">
        <v>166</v>
      </c>
      <c r="B252" t="str">
        <f>_xlfn.TEXTAFTER(Table1[[#This Row],[OrderID]],"-",2)</f>
        <v>497686</v>
      </c>
      <c r="C252">
        <f>YEAR(Table1[[#This Row],[OrderDate]])</f>
        <v>2023</v>
      </c>
      <c r="D252" s="9">
        <f>_xlfn.MINIFS(F:F,P:P,Table1[[#This Row],[Country]])</f>
        <v>44933</v>
      </c>
      <c r="E252" s="7">
        <f>DATEDIF(Table1[[#This Row],[first_time_orders]],Table1[[#This Row],[OrderDate]],"m")</f>
        <v>5</v>
      </c>
      <c r="F252" s="9">
        <v>45110</v>
      </c>
      <c r="G252" s="2" t="str">
        <f>TEXT(Table1[[#This Row],[OrderDate]],"MMM-YYYY")</f>
        <v>Jul-2023</v>
      </c>
      <c r="H252" s="7">
        <f>MONTH(Table1[[#This Row],[OrderDate]])</f>
        <v>7</v>
      </c>
      <c r="I252" s="7" t="str">
        <f>"Q"&amp;ROUNDUP(Table1[[#This Row],[months]]/3,0)&amp;"-"&amp;Table1[[#This Row],[order_year]]</f>
        <v>Q3-2023</v>
      </c>
      <c r="J252" s="7">
        <f>Table1[[#This Row],[RequiredDate]]-Table1[[#This Row],[OrderDate]]</f>
        <v>20</v>
      </c>
      <c r="K252" s="7">
        <f>IF(Table1[[#This Row],[lead_time]]&lt;0,MEDIAN(J:J),Table1[[#This Row],[lead_time]])</f>
        <v>20</v>
      </c>
      <c r="L252" s="7">
        <f>IF(Table1[[#This Row],[adj_lead_time]]&lt;=7,1,0)</f>
        <v>0</v>
      </c>
      <c r="M252" s="9">
        <v>45130</v>
      </c>
      <c r="N252" s="9">
        <f>IF(Table1[[#This Row],[lead_time]]&lt;0,(Table1[[#This Row],[OrderDate]]+Table1[[#This Row],[adj_lead_time]]),Table1[[#This Row],[RequiredDate]])</f>
        <v>45130</v>
      </c>
      <c r="O252" t="s">
        <v>646</v>
      </c>
      <c r="P252" t="s">
        <v>661</v>
      </c>
      <c r="Q252" t="s">
        <v>682</v>
      </c>
      <c r="R252" t="s">
        <v>705</v>
      </c>
      <c r="S252" t="s">
        <v>710</v>
      </c>
      <c r="T252" t="s">
        <v>721</v>
      </c>
      <c r="U252" t="s">
        <v>731</v>
      </c>
      <c r="V252" t="s">
        <v>885</v>
      </c>
      <c r="W252">
        <v>1001.96</v>
      </c>
      <c r="X252">
        <f>Table1[[#This Row],[UnitCost]]*(1+'scenario modeling'!$B$3)</f>
        <v>1102.1560000000002</v>
      </c>
      <c r="Y252">
        <v>1254.95</v>
      </c>
      <c r="Z252" t="str">
        <f>IF(Table1[[#This Row],[UnitPrice]]&lt;=Quantiles!$B$2,Quantiles!$A$2,IF(Table1[[#This Row],[UnitPrice]]&lt;=Quantiles!$B$3,Quantiles!$A$3,Quantiles!$A$4))</f>
        <v>Medium</v>
      </c>
      <c r="AA252">
        <v>4.4999999999999998E-2</v>
      </c>
      <c r="AB252" s="5">
        <f>MIN(Table1[[#This Row],[DiscountPct]],'scenario modeling'!$B$2)</f>
        <v>4.4999999999999998E-2</v>
      </c>
      <c r="AC252" t="str">
        <f>IF(Table1[[#This Row],[DiscountPct]]&gt;0.3, "&gt;0.3","")</f>
        <v/>
      </c>
      <c r="AD252">
        <v>18</v>
      </c>
      <c r="AE252">
        <f>Table1[[#This Row],[Quantity]]*(1+'scenario modeling'!$B$4)</f>
        <v>21.599999999999998</v>
      </c>
      <c r="AF252">
        <f>Table1[[#This Row],[UnitCost]]*Table1[[#This Row],[Quantity]]</f>
        <v>18035.28</v>
      </c>
      <c r="AG252">
        <f>SUMIF($U:U,Table1[[#This Row],[ProductCategory]],$AM:AM)</f>
        <v>1711094.3776</v>
      </c>
      <c r="AH252">
        <f>SUMIFS($AM$2:AM252,$U$2:U252,U252)</f>
        <v>1559594.3929100002</v>
      </c>
      <c r="AI252" s="5">
        <f>Table1[[#This Row],[Cumulative_revenue]]/Table1[[#This Row],[Category_revenue]]</f>
        <v>0.91146018204881518</v>
      </c>
      <c r="AJ252" t="str">
        <f>IF(Table1[[#This Row],[cumulative_pct]]&lt;=0.8,"A",IF(Table1[[#This Row],[cumulative_pct]]&lt;=0.95,"B","C"))</f>
        <v>B</v>
      </c>
      <c r="AK252">
        <f>Table1[[#This Row],[adj_unit_cost]]*Table1[[#This Row],[scenario_quantity]]</f>
        <v>23806.569600000003</v>
      </c>
      <c r="AL252" s="5">
        <f>Table1[[#This Row],[UnitPrice]]*Table1[[#This Row],[scenario_quantity]]*(1-Table1[[#This Row],[cap_adjusted_discount]])</f>
        <v>25887.108599999996</v>
      </c>
      <c r="AM252" s="5">
        <f>Table1[[#This Row],[UnitPrice]]*Table1[[#This Row],[Quantity]]*(1-Table1[[#This Row],[DiscountPct]])</f>
        <v>21572.590500000002</v>
      </c>
      <c r="AN252" s="5">
        <f>Table1[[#This Row],[gross_revenue]]-Table1[[#This Row],[cost_of_goods]]</f>
        <v>3537.3105000000032</v>
      </c>
      <c r="AO252" s="5">
        <f>Table1[[#This Row],[scenario_revenue]]-Table1[[#This Row],[Scenario_unit_cost]]</f>
        <v>2080.5389999999934</v>
      </c>
      <c r="AP252" s="5">
        <f>IF(Table1[[#This Row],[gross_revenue]]=0,0,Table1[[#This Row],[gross_profit]]/Table1[[#This Row],[gross_revenue]])</f>
        <v>0.16397244920585699</v>
      </c>
    </row>
    <row r="253" spans="1:42" x14ac:dyDescent="0.35">
      <c r="A253" t="s">
        <v>558</v>
      </c>
      <c r="B253" t="str">
        <f>_xlfn.TEXTAFTER(Table1[[#This Row],[OrderID]],"-",2)</f>
        <v>453699</v>
      </c>
      <c r="C253">
        <f>YEAR(Table1[[#This Row],[OrderDate]])</f>
        <v>2023</v>
      </c>
      <c r="D253" s="9">
        <f>_xlfn.MINIFS(F:F,P:P,Table1[[#This Row],[Country]])</f>
        <v>44948</v>
      </c>
      <c r="E253" s="7">
        <f>DATEDIF(Table1[[#This Row],[first_time_orders]],Table1[[#This Row],[OrderDate]],"m")</f>
        <v>5</v>
      </c>
      <c r="F253" s="9">
        <v>45108</v>
      </c>
      <c r="G253" s="2" t="str">
        <f>TEXT(Table1[[#This Row],[OrderDate]],"MMM-YYYY")</f>
        <v>Jul-2023</v>
      </c>
      <c r="H253" s="7">
        <f>MONTH(Table1[[#This Row],[OrderDate]])</f>
        <v>7</v>
      </c>
      <c r="I253" s="7" t="str">
        <f>"Q"&amp;ROUNDUP(Table1[[#This Row],[months]]/3,0)&amp;"-"&amp;Table1[[#This Row],[order_year]]</f>
        <v>Q3-2023</v>
      </c>
      <c r="J253" s="7">
        <f>Table1[[#This Row],[RequiredDate]]-Table1[[#This Row],[OrderDate]]</f>
        <v>7</v>
      </c>
      <c r="K253" s="7">
        <f>IF(Table1[[#This Row],[lead_time]]&lt;0,MEDIAN(J:J),Table1[[#This Row],[lead_time]])</f>
        <v>7</v>
      </c>
      <c r="L253" s="7">
        <f>IF(Table1[[#This Row],[adj_lead_time]]&lt;=7,1,0)</f>
        <v>1</v>
      </c>
      <c r="M253" s="9">
        <v>45115</v>
      </c>
      <c r="N253" s="9">
        <f>IF(Table1[[#This Row],[lead_time]]&lt;0,(Table1[[#This Row],[OrderDate]]+Table1[[#This Row],[adj_lead_time]]),Table1[[#This Row],[RequiredDate]])</f>
        <v>45115</v>
      </c>
      <c r="O253" t="s">
        <v>649</v>
      </c>
      <c r="P253" t="s">
        <v>656</v>
      </c>
      <c r="Q253" t="s">
        <v>698</v>
      </c>
      <c r="R253" t="s">
        <v>705</v>
      </c>
      <c r="S253" t="s">
        <v>710</v>
      </c>
      <c r="T253" t="s">
        <v>725</v>
      </c>
      <c r="U253" t="s">
        <v>731</v>
      </c>
      <c r="V253" t="s">
        <v>1276</v>
      </c>
      <c r="W253">
        <v>460.21</v>
      </c>
      <c r="X253">
        <f>Table1[[#This Row],[UnitCost]]*(1+'scenario modeling'!$B$3)</f>
        <v>506.23099999999999</v>
      </c>
      <c r="Y253">
        <v>1139.1500000000001</v>
      </c>
      <c r="Z253" t="str">
        <f>IF(Table1[[#This Row],[UnitPrice]]&lt;=Quantiles!$B$2,Quantiles!$A$2,IF(Table1[[#This Row],[UnitPrice]]&lt;=Quantiles!$B$3,Quantiles!$A$3,Quantiles!$A$4))</f>
        <v>Medium</v>
      </c>
      <c r="AA253">
        <v>0.115</v>
      </c>
      <c r="AB253" s="5">
        <f>MIN(Table1[[#This Row],[DiscountPct]],'scenario modeling'!$B$2)</f>
        <v>0.1</v>
      </c>
      <c r="AC253" t="str">
        <f>IF(Table1[[#This Row],[DiscountPct]]&gt;0.3, "&gt;0.3","")</f>
        <v/>
      </c>
      <c r="AD253">
        <v>14</v>
      </c>
      <c r="AE253">
        <f>Table1[[#This Row],[Quantity]]*(1+'scenario modeling'!$B$4)</f>
        <v>16.8</v>
      </c>
      <c r="AF253">
        <f>Table1[[#This Row],[UnitCost]]*Table1[[#This Row],[Quantity]]</f>
        <v>6442.94</v>
      </c>
      <c r="AG253">
        <f>SUMIF($U:U,Table1[[#This Row],[ProductCategory]],$AM:AM)</f>
        <v>1711094.3776</v>
      </c>
      <c r="AH253">
        <f>SUMIFS($AM$2:AM253,$U$2:U253,U253)</f>
        <v>1573708.4614100002</v>
      </c>
      <c r="AI253" s="5">
        <f>Table1[[#This Row],[Cumulative_revenue]]/Table1[[#This Row],[Category_revenue]]</f>
        <v>0.91970874430509275</v>
      </c>
      <c r="AJ253" t="str">
        <f>IF(Table1[[#This Row],[cumulative_pct]]&lt;=0.8,"A",IF(Table1[[#This Row],[cumulative_pct]]&lt;=0.95,"B","C"))</f>
        <v>B</v>
      </c>
      <c r="AK253">
        <f>Table1[[#This Row],[adj_unit_cost]]*Table1[[#This Row],[scenario_quantity]]</f>
        <v>8504.6808000000001</v>
      </c>
      <c r="AL253" s="5">
        <f>Table1[[#This Row],[UnitPrice]]*Table1[[#This Row],[scenario_quantity]]*(1-Table1[[#This Row],[cap_adjusted_discount]])</f>
        <v>17223.948</v>
      </c>
      <c r="AM253" s="5">
        <f>Table1[[#This Row],[UnitPrice]]*Table1[[#This Row],[Quantity]]*(1-Table1[[#This Row],[DiscountPct]])</f>
        <v>14114.068500000001</v>
      </c>
      <c r="AN253" s="5">
        <f>Table1[[#This Row],[gross_revenue]]-Table1[[#This Row],[cost_of_goods]]</f>
        <v>7671.1285000000016</v>
      </c>
      <c r="AO253" s="5">
        <f>Table1[[#This Row],[scenario_revenue]]-Table1[[#This Row],[Scenario_unit_cost]]</f>
        <v>8719.2672000000002</v>
      </c>
      <c r="AP253" s="5">
        <f>IF(Table1[[#This Row],[gross_revenue]]=0,0,Table1[[#This Row],[gross_profit]]/Table1[[#This Row],[gross_revenue]])</f>
        <v>0.54350937151821255</v>
      </c>
    </row>
    <row r="254" spans="1:42" x14ac:dyDescent="0.35">
      <c r="A254" t="s">
        <v>492</v>
      </c>
      <c r="B254" t="str">
        <f>_xlfn.TEXTAFTER(Table1[[#This Row],[OrderID]],"-",2)</f>
        <v>569862</v>
      </c>
      <c r="C254">
        <f>YEAR(Table1[[#This Row],[OrderDate]])</f>
        <v>2023</v>
      </c>
      <c r="D254" s="9">
        <f>_xlfn.MINIFS(F:F,P:P,Table1[[#This Row],[Country]])</f>
        <v>44945</v>
      </c>
      <c r="E254" s="7">
        <f>DATEDIF(Table1[[#This Row],[first_time_orders]],Table1[[#This Row],[OrderDate]],"m")</f>
        <v>5</v>
      </c>
      <c r="F254" s="9">
        <v>45123</v>
      </c>
      <c r="G254" s="2" t="str">
        <f>TEXT(Table1[[#This Row],[OrderDate]],"MMM-YYYY")</f>
        <v>Jul-2023</v>
      </c>
      <c r="H254" s="7">
        <f>MONTH(Table1[[#This Row],[OrderDate]])</f>
        <v>7</v>
      </c>
      <c r="I254" s="7" t="str">
        <f>"Q"&amp;ROUNDUP(Table1[[#This Row],[months]]/3,0)&amp;"-"&amp;Table1[[#This Row],[order_year]]</f>
        <v>Q3-2023</v>
      </c>
      <c r="J254" s="7">
        <f>Table1[[#This Row],[RequiredDate]]-Table1[[#This Row],[OrderDate]]</f>
        <v>28</v>
      </c>
      <c r="K254" s="7">
        <f>IF(Table1[[#This Row],[lead_time]]&lt;0,MEDIAN(J:J),Table1[[#This Row],[lead_time]])</f>
        <v>28</v>
      </c>
      <c r="L254" s="7">
        <f>IF(Table1[[#This Row],[adj_lead_time]]&lt;=7,1,0)</f>
        <v>0</v>
      </c>
      <c r="M254" s="9">
        <v>45151</v>
      </c>
      <c r="N254" s="9">
        <f>IF(Table1[[#This Row],[lead_time]]&lt;0,(Table1[[#This Row],[OrderDate]]+Table1[[#This Row],[adj_lead_time]]),Table1[[#This Row],[RequiredDate]])</f>
        <v>45151</v>
      </c>
      <c r="O254" t="s">
        <v>649</v>
      </c>
      <c r="P254" t="s">
        <v>658</v>
      </c>
      <c r="Q254" t="s">
        <v>693</v>
      </c>
      <c r="R254" t="s">
        <v>703</v>
      </c>
      <c r="S254" t="s">
        <v>708</v>
      </c>
      <c r="T254" t="s">
        <v>713</v>
      </c>
      <c r="U254" t="s">
        <v>731</v>
      </c>
      <c r="V254" t="s">
        <v>1211</v>
      </c>
      <c r="W254">
        <v>1039.03</v>
      </c>
      <c r="X254">
        <f>Table1[[#This Row],[UnitCost]]*(1+'scenario modeling'!$B$3)</f>
        <v>1142.933</v>
      </c>
      <c r="Y254">
        <v>2545.81</v>
      </c>
      <c r="Z254" t="str">
        <f>IF(Table1[[#This Row],[UnitPrice]]&lt;=Quantiles!$B$2,Quantiles!$A$2,IF(Table1[[#This Row],[UnitPrice]]&lt;=Quantiles!$B$3,Quantiles!$A$3,Quantiles!$A$4))</f>
        <v>High</v>
      </c>
      <c r="AA254">
        <v>0.216</v>
      </c>
      <c r="AB254" s="5">
        <f>MIN(Table1[[#This Row],[DiscountPct]],'scenario modeling'!$B$2)</f>
        <v>0.1</v>
      </c>
      <c r="AC254" t="str">
        <f>IF(Table1[[#This Row],[DiscountPct]]&gt;0.3, "&gt;0.3","")</f>
        <v/>
      </c>
      <c r="AD254">
        <v>21</v>
      </c>
      <c r="AE254">
        <f>Table1[[#This Row],[Quantity]]*(1+'scenario modeling'!$B$4)</f>
        <v>25.2</v>
      </c>
      <c r="AF254">
        <f>Table1[[#This Row],[UnitCost]]*Table1[[#This Row],[Quantity]]</f>
        <v>21819.63</v>
      </c>
      <c r="AG254">
        <f>SUMIF($U:U,Table1[[#This Row],[ProductCategory]],$AM:AM)</f>
        <v>1711094.3776</v>
      </c>
      <c r="AH254">
        <f>SUMIFS($AM$2:AM254,$U$2:U254,U254)</f>
        <v>1615622.6772500002</v>
      </c>
      <c r="AI254" s="5">
        <f>Table1[[#This Row],[Cumulative_revenue]]/Table1[[#This Row],[Category_revenue]]</f>
        <v>0.94420430480058648</v>
      </c>
      <c r="AJ254" t="str">
        <f>IF(Table1[[#This Row],[cumulative_pct]]&lt;=0.8,"A",IF(Table1[[#This Row],[cumulative_pct]]&lt;=0.95,"B","C"))</f>
        <v>B</v>
      </c>
      <c r="AK254">
        <f>Table1[[#This Row],[adj_unit_cost]]*Table1[[#This Row],[scenario_quantity]]</f>
        <v>28801.911599999999</v>
      </c>
      <c r="AL254" s="5">
        <f>Table1[[#This Row],[UnitPrice]]*Table1[[#This Row],[scenario_quantity]]*(1-Table1[[#This Row],[cap_adjusted_discount]])</f>
        <v>57738.970799999996</v>
      </c>
      <c r="AM254" s="5">
        <f>Table1[[#This Row],[UnitPrice]]*Table1[[#This Row],[Quantity]]*(1-Table1[[#This Row],[DiscountPct]])</f>
        <v>41914.215840000004</v>
      </c>
      <c r="AN254" s="5">
        <f>Table1[[#This Row],[gross_revenue]]-Table1[[#This Row],[cost_of_goods]]</f>
        <v>20094.585840000003</v>
      </c>
      <c r="AO254" s="5">
        <f>Table1[[#This Row],[scenario_revenue]]-Table1[[#This Row],[Scenario_unit_cost]]</f>
        <v>28937.059199999996</v>
      </c>
      <c r="AP254" s="5">
        <f>IF(Table1[[#This Row],[gross_revenue]]=0,0,Table1[[#This Row],[gross_profit]]/Table1[[#This Row],[gross_revenue]])</f>
        <v>0.47942172929364774</v>
      </c>
    </row>
    <row r="255" spans="1:42" x14ac:dyDescent="0.35">
      <c r="A255" t="s">
        <v>619</v>
      </c>
      <c r="B255" t="str">
        <f>_xlfn.TEXTAFTER(Table1[[#This Row],[OrderID]],"-",2)</f>
        <v>552115</v>
      </c>
      <c r="C255">
        <f>YEAR(Table1[[#This Row],[OrderDate]])</f>
        <v>2023</v>
      </c>
      <c r="D255" s="9">
        <f>_xlfn.MINIFS(F:F,P:P,Table1[[#This Row],[Country]])</f>
        <v>44955</v>
      </c>
      <c r="E255" s="7">
        <f>DATEDIF(Table1[[#This Row],[first_time_orders]],Table1[[#This Row],[OrderDate]],"m")</f>
        <v>7</v>
      </c>
      <c r="F255" s="9">
        <v>45186</v>
      </c>
      <c r="G255" s="2" t="str">
        <f>TEXT(Table1[[#This Row],[OrderDate]],"MMM-YYYY")</f>
        <v>Sept-2023</v>
      </c>
      <c r="H255" s="7">
        <f>MONTH(Table1[[#This Row],[OrderDate]])</f>
        <v>9</v>
      </c>
      <c r="I255" s="7" t="str">
        <f>"Q"&amp;ROUNDUP(Table1[[#This Row],[months]]/3,0)&amp;"-"&amp;Table1[[#This Row],[order_year]]</f>
        <v>Q3-2023</v>
      </c>
      <c r="J255" s="7">
        <f>Table1[[#This Row],[RequiredDate]]-Table1[[#This Row],[OrderDate]]</f>
        <v>15</v>
      </c>
      <c r="K255" s="7">
        <f>IF(Table1[[#This Row],[lead_time]]&lt;0,MEDIAN(J:J),Table1[[#This Row],[lead_time]])</f>
        <v>15</v>
      </c>
      <c r="L255" s="7">
        <f>IF(Table1[[#This Row],[adj_lead_time]]&lt;=7,1,0)</f>
        <v>0</v>
      </c>
      <c r="M255" s="9">
        <v>45201</v>
      </c>
      <c r="N255" s="9">
        <f>IF(Table1[[#This Row],[lead_time]]&lt;0,(Table1[[#This Row],[OrderDate]]+Table1[[#This Row],[adj_lead_time]]),Table1[[#This Row],[RequiredDate]])</f>
        <v>45201</v>
      </c>
      <c r="O255" t="s">
        <v>648</v>
      </c>
      <c r="P255" t="s">
        <v>655</v>
      </c>
      <c r="Q255" t="s">
        <v>692</v>
      </c>
      <c r="R255" t="s">
        <v>705</v>
      </c>
      <c r="S255" t="s">
        <v>707</v>
      </c>
      <c r="T255" t="s">
        <v>717</v>
      </c>
      <c r="U255" t="s">
        <v>731</v>
      </c>
      <c r="V255" t="s">
        <v>1337</v>
      </c>
      <c r="W255">
        <v>689.33</v>
      </c>
      <c r="X255">
        <f>Table1[[#This Row],[UnitCost]]*(1+'scenario modeling'!$B$3)</f>
        <v>758.26300000000015</v>
      </c>
      <c r="Y255">
        <v>668.27</v>
      </c>
      <c r="Z255" t="str">
        <f>IF(Table1[[#This Row],[UnitPrice]]&lt;=Quantiles!$B$2,Quantiles!$A$2,IF(Table1[[#This Row],[UnitPrice]]&lt;=Quantiles!$B$3,Quantiles!$A$3,Quantiles!$A$4))</f>
        <v>Low</v>
      </c>
      <c r="AA255">
        <v>0.186</v>
      </c>
      <c r="AB255" s="5">
        <f>MIN(Table1[[#This Row],[DiscountPct]],'scenario modeling'!$B$2)</f>
        <v>0.1</v>
      </c>
      <c r="AC255" t="str">
        <f>IF(Table1[[#This Row],[DiscountPct]]&gt;0.3, "&gt;0.3","")</f>
        <v/>
      </c>
      <c r="AD255">
        <v>13</v>
      </c>
      <c r="AE255">
        <f>Table1[[#This Row],[Quantity]]*(1+'scenario modeling'!$B$4)</f>
        <v>15.6</v>
      </c>
      <c r="AF255">
        <f>Table1[[#This Row],[UnitCost]]*Table1[[#This Row],[Quantity]]</f>
        <v>8961.2900000000009</v>
      </c>
      <c r="AG255">
        <f>SUMIF($U:U,Table1[[#This Row],[ProductCategory]],$AM:AM)</f>
        <v>1711094.3776</v>
      </c>
      <c r="AH255">
        <f>SUMIFS($AM$2:AM255,$U$2:U255,U255)</f>
        <v>1622694.3103900002</v>
      </c>
      <c r="AI255" s="5">
        <f>Table1[[#This Row],[Cumulative_revenue]]/Table1[[#This Row],[Category_revenue]]</f>
        <v>0.94833711783099262</v>
      </c>
      <c r="AJ255" t="str">
        <f>IF(Table1[[#This Row],[cumulative_pct]]&lt;=0.8,"A",IF(Table1[[#This Row],[cumulative_pct]]&lt;=0.95,"B","C"))</f>
        <v>B</v>
      </c>
      <c r="AK255">
        <f>Table1[[#This Row],[adj_unit_cost]]*Table1[[#This Row],[scenario_quantity]]</f>
        <v>11828.902800000002</v>
      </c>
      <c r="AL255" s="5">
        <f>Table1[[#This Row],[UnitPrice]]*Table1[[#This Row],[scenario_quantity]]*(1-Table1[[#This Row],[cap_adjusted_discount]])</f>
        <v>9382.5108</v>
      </c>
      <c r="AM255" s="5">
        <f>Table1[[#This Row],[UnitPrice]]*Table1[[#This Row],[Quantity]]*(1-Table1[[#This Row],[DiscountPct]])</f>
        <v>7071.6331400000008</v>
      </c>
      <c r="AN255" s="5">
        <f>Table1[[#This Row],[gross_revenue]]-Table1[[#This Row],[cost_of_goods]]</f>
        <v>-1889.6568600000001</v>
      </c>
      <c r="AO255" s="5">
        <f>Table1[[#This Row],[scenario_revenue]]-Table1[[#This Row],[Scenario_unit_cost]]</f>
        <v>-2446.3920000000016</v>
      </c>
      <c r="AP255" s="5">
        <f>IF(Table1[[#This Row],[gross_revenue]]=0,0,Table1[[#This Row],[gross_profit]]/Table1[[#This Row],[gross_revenue]])</f>
        <v>-0.26721647214861033</v>
      </c>
    </row>
    <row r="256" spans="1:42" x14ac:dyDescent="0.35">
      <c r="A256" t="s">
        <v>382</v>
      </c>
      <c r="B256" t="str">
        <f>_xlfn.TEXTAFTER(Table1[[#This Row],[OrderID]],"-",2)</f>
        <v>132101</v>
      </c>
      <c r="C256">
        <f>YEAR(Table1[[#This Row],[OrderDate]])</f>
        <v>2023</v>
      </c>
      <c r="D256" s="9">
        <f>_xlfn.MINIFS(F:F,P:P,Table1[[#This Row],[Country]])</f>
        <v>44939</v>
      </c>
      <c r="E256" s="7">
        <f>DATEDIF(Table1[[#This Row],[first_time_orders]],Table1[[#This Row],[OrderDate]],"m")</f>
        <v>8</v>
      </c>
      <c r="F256" s="9">
        <v>45194</v>
      </c>
      <c r="G256" s="2" t="str">
        <f>TEXT(Table1[[#This Row],[OrderDate]],"MMM-YYYY")</f>
        <v>Sept-2023</v>
      </c>
      <c r="H256" s="7">
        <f>MONTH(Table1[[#This Row],[OrderDate]])</f>
        <v>9</v>
      </c>
      <c r="I256" s="7" t="str">
        <f>"Q"&amp;ROUNDUP(Table1[[#This Row],[months]]/3,0)&amp;"-"&amp;Table1[[#This Row],[order_year]]</f>
        <v>Q3-2023</v>
      </c>
      <c r="J256" s="7">
        <f>Table1[[#This Row],[RequiredDate]]-Table1[[#This Row],[OrderDate]]</f>
        <v>14</v>
      </c>
      <c r="K256" s="7">
        <f>IF(Table1[[#This Row],[lead_time]]&lt;0,MEDIAN(J:J),Table1[[#This Row],[lead_time]])</f>
        <v>14</v>
      </c>
      <c r="L256" s="7">
        <f>IF(Table1[[#This Row],[adj_lead_time]]&lt;=7,1,0)</f>
        <v>0</v>
      </c>
      <c r="M256" s="9">
        <v>45208</v>
      </c>
      <c r="N256" s="9">
        <f>IF(Table1[[#This Row],[lead_time]]&lt;0,(Table1[[#This Row],[OrderDate]]+Table1[[#This Row],[adj_lead_time]]),Table1[[#This Row],[RequiredDate]])</f>
        <v>45208</v>
      </c>
      <c r="O256" t="s">
        <v>648</v>
      </c>
      <c r="P256" t="s">
        <v>660</v>
      </c>
      <c r="Q256" t="s">
        <v>700</v>
      </c>
      <c r="R256" t="s">
        <v>705</v>
      </c>
      <c r="S256" t="s">
        <v>709</v>
      </c>
      <c r="T256" t="s">
        <v>713</v>
      </c>
      <c r="U256" t="s">
        <v>731</v>
      </c>
      <c r="V256" t="s">
        <v>1102</v>
      </c>
      <c r="W256">
        <v>1279.56</v>
      </c>
      <c r="X256">
        <f>Table1[[#This Row],[UnitCost]]*(1+'scenario modeling'!$B$3)</f>
        <v>1407.5160000000001</v>
      </c>
      <c r="Y256">
        <v>3083.8</v>
      </c>
      <c r="Z256" t="str">
        <f>IF(Table1[[#This Row],[UnitPrice]]&lt;=Quantiles!$B$2,Quantiles!$A$2,IF(Table1[[#This Row],[UnitPrice]]&lt;=Quantiles!$B$3,Quantiles!$A$3,Quantiles!$A$4))</f>
        <v>High</v>
      </c>
      <c r="AA256">
        <v>0.106</v>
      </c>
      <c r="AB256" s="5">
        <f>MIN(Table1[[#This Row],[DiscountPct]],'scenario modeling'!$B$2)</f>
        <v>0.1</v>
      </c>
      <c r="AC256" t="str">
        <f>IF(Table1[[#This Row],[DiscountPct]]&gt;0.3, "&gt;0.3","")</f>
        <v/>
      </c>
      <c r="AD256">
        <v>5</v>
      </c>
      <c r="AE256">
        <f>Table1[[#This Row],[Quantity]]*(1+'scenario modeling'!$B$4)</f>
        <v>6</v>
      </c>
      <c r="AF256">
        <f>Table1[[#This Row],[UnitCost]]*Table1[[#This Row],[Quantity]]</f>
        <v>6397.7999999999993</v>
      </c>
      <c r="AG256">
        <f>SUMIF($U:U,Table1[[#This Row],[ProductCategory]],$AM:AM)</f>
        <v>1711094.3776</v>
      </c>
      <c r="AH256">
        <f>SUMIFS($AM$2:AM256,$U$2:U256,U256)</f>
        <v>1636478.8963900001</v>
      </c>
      <c r="AI256" s="5">
        <f>Table1[[#This Row],[Cumulative_revenue]]/Table1[[#This Row],[Category_revenue]]</f>
        <v>0.95639312349640448</v>
      </c>
      <c r="AJ256" t="str">
        <f>IF(Table1[[#This Row],[cumulative_pct]]&lt;=0.8,"A",IF(Table1[[#This Row],[cumulative_pct]]&lt;=0.95,"B","C"))</f>
        <v>C</v>
      </c>
      <c r="AK256">
        <f>Table1[[#This Row],[adj_unit_cost]]*Table1[[#This Row],[scenario_quantity]]</f>
        <v>8445.0960000000014</v>
      </c>
      <c r="AL256" s="5">
        <f>Table1[[#This Row],[UnitPrice]]*Table1[[#This Row],[scenario_quantity]]*(1-Table1[[#This Row],[cap_adjusted_discount]])</f>
        <v>16652.520000000004</v>
      </c>
      <c r="AM256" s="5">
        <f>Table1[[#This Row],[UnitPrice]]*Table1[[#This Row],[Quantity]]*(1-Table1[[#This Row],[DiscountPct]])</f>
        <v>13784.586000000001</v>
      </c>
      <c r="AN256" s="5">
        <f>Table1[[#This Row],[gross_revenue]]-Table1[[#This Row],[cost_of_goods]]</f>
        <v>7386.7860000000019</v>
      </c>
      <c r="AO256" s="5">
        <f>Table1[[#This Row],[scenario_revenue]]-Table1[[#This Row],[Scenario_unit_cost]]</f>
        <v>8207.4240000000027</v>
      </c>
      <c r="AP256" s="5">
        <f>IF(Table1[[#This Row],[gross_revenue]]=0,0,Table1[[#This Row],[gross_profit]]/Table1[[#This Row],[gross_revenue]])</f>
        <v>0.53587289455047848</v>
      </c>
    </row>
    <row r="257" spans="1:42" x14ac:dyDescent="0.35">
      <c r="A257" t="s">
        <v>402</v>
      </c>
      <c r="B257" t="str">
        <f>_xlfn.TEXTAFTER(Table1[[#This Row],[OrderID]],"-",2)</f>
        <v>619385</v>
      </c>
      <c r="C257">
        <f>YEAR(Table1[[#This Row],[OrderDate]])</f>
        <v>2023</v>
      </c>
      <c r="D257" s="9">
        <f>_xlfn.MINIFS(F:F,P:P,Table1[[#This Row],[Country]])</f>
        <v>44938</v>
      </c>
      <c r="E257" s="7">
        <f>DATEDIF(Table1[[#This Row],[first_time_orders]],Table1[[#This Row],[OrderDate]],"m")</f>
        <v>8</v>
      </c>
      <c r="F257" s="9">
        <v>45199</v>
      </c>
      <c r="G257" s="2" t="str">
        <f>TEXT(Table1[[#This Row],[OrderDate]],"MMM-YYYY")</f>
        <v>Sept-2023</v>
      </c>
      <c r="H257" s="7">
        <f>MONTH(Table1[[#This Row],[OrderDate]])</f>
        <v>9</v>
      </c>
      <c r="I257" s="7" t="str">
        <f>"Q"&amp;ROUNDUP(Table1[[#This Row],[months]]/3,0)&amp;"-"&amp;Table1[[#This Row],[order_year]]</f>
        <v>Q3-2023</v>
      </c>
      <c r="J257" s="7">
        <f>Table1[[#This Row],[RequiredDate]]-Table1[[#This Row],[OrderDate]]</f>
        <v>3</v>
      </c>
      <c r="K257" s="7">
        <f>IF(Table1[[#This Row],[lead_time]]&lt;0,MEDIAN(J:J),Table1[[#This Row],[lead_time]])</f>
        <v>3</v>
      </c>
      <c r="L257" s="7">
        <f>IF(Table1[[#This Row],[adj_lead_time]]&lt;=7,1,0)</f>
        <v>1</v>
      </c>
      <c r="M257" s="9">
        <v>45202</v>
      </c>
      <c r="N257" s="9">
        <f>IF(Table1[[#This Row],[lead_time]]&lt;0,(Table1[[#This Row],[OrderDate]]+Table1[[#This Row],[adj_lead_time]]),Table1[[#This Row],[RequiredDate]])</f>
        <v>45202</v>
      </c>
      <c r="O257" t="s">
        <v>647</v>
      </c>
      <c r="P257" t="s">
        <v>659</v>
      </c>
      <c r="Q257" t="s">
        <v>699</v>
      </c>
      <c r="R257" t="s">
        <v>703</v>
      </c>
      <c r="S257" t="s">
        <v>707</v>
      </c>
      <c r="T257" t="s">
        <v>713</v>
      </c>
      <c r="U257" t="s">
        <v>731</v>
      </c>
      <c r="V257" t="s">
        <v>1121</v>
      </c>
      <c r="W257">
        <v>1019.36</v>
      </c>
      <c r="X257">
        <f>Table1[[#This Row],[UnitCost]]*(1+'scenario modeling'!$B$3)</f>
        <v>1121.296</v>
      </c>
      <c r="Y257">
        <v>972.91</v>
      </c>
      <c r="Z257" t="str">
        <f>IF(Table1[[#This Row],[UnitPrice]]&lt;=Quantiles!$B$2,Quantiles!$A$2,IF(Table1[[#This Row],[UnitPrice]]&lt;=Quantiles!$B$3,Quantiles!$A$3,Quantiles!$A$4))</f>
        <v>Medium</v>
      </c>
      <c r="AA257">
        <v>0.14699999999999999</v>
      </c>
      <c r="AB257" s="5">
        <f>MIN(Table1[[#This Row],[DiscountPct]],'scenario modeling'!$B$2)</f>
        <v>0.1</v>
      </c>
      <c r="AC257" t="str">
        <f>IF(Table1[[#This Row],[DiscountPct]]&gt;0.3, "&gt;0.3","")</f>
        <v/>
      </c>
      <c r="AD257">
        <v>17</v>
      </c>
      <c r="AE257">
        <f>Table1[[#This Row],[Quantity]]*(1+'scenario modeling'!$B$4)</f>
        <v>20.399999999999999</v>
      </c>
      <c r="AF257">
        <f>Table1[[#This Row],[UnitCost]]*Table1[[#This Row],[Quantity]]</f>
        <v>17329.12</v>
      </c>
      <c r="AG257">
        <f>SUMIF($U:U,Table1[[#This Row],[ProductCategory]],$AM:AM)</f>
        <v>1711094.3776</v>
      </c>
      <c r="AH257">
        <f>SUMIFS($AM$2:AM257,$U$2:U257,U257)</f>
        <v>1650587.0643000002</v>
      </c>
      <c r="AI257" s="5">
        <f>Table1[[#This Row],[Cumulative_revenue]]/Table1[[#This Row],[Category_revenue]]</f>
        <v>0.96463823732220544</v>
      </c>
      <c r="AJ257" t="str">
        <f>IF(Table1[[#This Row],[cumulative_pct]]&lt;=0.8,"A",IF(Table1[[#This Row],[cumulative_pct]]&lt;=0.95,"B","C"))</f>
        <v>C</v>
      </c>
      <c r="AK257">
        <f>Table1[[#This Row],[adj_unit_cost]]*Table1[[#This Row],[scenario_quantity]]</f>
        <v>22874.438399999999</v>
      </c>
      <c r="AL257" s="5">
        <f>Table1[[#This Row],[UnitPrice]]*Table1[[#This Row],[scenario_quantity]]*(1-Table1[[#This Row],[cap_adjusted_discount]])</f>
        <v>17862.6276</v>
      </c>
      <c r="AM257" s="5">
        <f>Table1[[#This Row],[UnitPrice]]*Table1[[#This Row],[Quantity]]*(1-Table1[[#This Row],[DiscountPct]])</f>
        <v>14108.16791</v>
      </c>
      <c r="AN257" s="5">
        <f>Table1[[#This Row],[gross_revenue]]-Table1[[#This Row],[cost_of_goods]]</f>
        <v>-3220.9520899999989</v>
      </c>
      <c r="AO257" s="5">
        <f>Table1[[#This Row],[scenario_revenue]]-Table1[[#This Row],[Scenario_unit_cost]]</f>
        <v>-5011.8107999999993</v>
      </c>
      <c r="AP257" s="5">
        <f>IF(Table1[[#This Row],[gross_revenue]]=0,0,Table1[[#This Row],[gross_profit]]/Table1[[#This Row],[gross_revenue]])</f>
        <v>-0.22830406545678819</v>
      </c>
    </row>
    <row r="258" spans="1:42" x14ac:dyDescent="0.35">
      <c r="A258" t="s">
        <v>359</v>
      </c>
      <c r="B258" t="str">
        <f>_xlfn.TEXTAFTER(Table1[[#This Row],[OrderID]],"-",2)</f>
        <v>573146</v>
      </c>
      <c r="C258">
        <f>YEAR(Table1[[#This Row],[OrderDate]])</f>
        <v>2023</v>
      </c>
      <c r="D258" s="9">
        <f>_xlfn.MINIFS(F:F,P:P,Table1[[#This Row],[Country]])</f>
        <v>44988</v>
      </c>
      <c r="E258" s="7">
        <f>DATEDIF(Table1[[#This Row],[first_time_orders]],Table1[[#This Row],[OrderDate]],"m")</f>
        <v>8</v>
      </c>
      <c r="F258" s="9">
        <v>45261</v>
      </c>
      <c r="G258" s="2" t="str">
        <f>TEXT(Table1[[#This Row],[OrderDate]],"MMM-YYYY")</f>
        <v>Dec-2023</v>
      </c>
      <c r="H258" s="7">
        <f>MONTH(Table1[[#This Row],[OrderDate]])</f>
        <v>12</v>
      </c>
      <c r="I258" s="7" t="str">
        <f>"Q"&amp;ROUNDUP(Table1[[#This Row],[months]]/3,0)&amp;"-"&amp;Table1[[#This Row],[order_year]]</f>
        <v>Q4-2023</v>
      </c>
      <c r="J258" s="7">
        <f>Table1[[#This Row],[RequiredDate]]-Table1[[#This Row],[OrderDate]]</f>
        <v>17</v>
      </c>
      <c r="K258" s="7">
        <f>IF(Table1[[#This Row],[lead_time]]&lt;0,MEDIAN(J:J),Table1[[#This Row],[lead_time]])</f>
        <v>17</v>
      </c>
      <c r="L258" s="7">
        <f>IF(Table1[[#This Row],[adj_lead_time]]&lt;=7,1,0)</f>
        <v>0</v>
      </c>
      <c r="M258" s="9">
        <v>45278</v>
      </c>
      <c r="N258" s="9">
        <f>IF(Table1[[#This Row],[lead_time]]&lt;0,(Table1[[#This Row],[OrderDate]]+Table1[[#This Row],[adj_lead_time]]),Table1[[#This Row],[RequiredDate]])</f>
        <v>45278</v>
      </c>
      <c r="O258" t="s">
        <v>647</v>
      </c>
      <c r="P258" t="s">
        <v>652</v>
      </c>
      <c r="Q258" t="s">
        <v>694</v>
      </c>
      <c r="R258" t="s">
        <v>705</v>
      </c>
      <c r="S258" t="s">
        <v>711</v>
      </c>
      <c r="T258" t="s">
        <v>725</v>
      </c>
      <c r="U258" t="s">
        <v>731</v>
      </c>
      <c r="V258" t="s">
        <v>1079</v>
      </c>
      <c r="W258">
        <v>1495.79</v>
      </c>
      <c r="X258">
        <f>Table1[[#This Row],[UnitCost]]*(1+'scenario modeling'!$B$3)</f>
        <v>1645.3690000000001</v>
      </c>
      <c r="Y258">
        <v>2783.12</v>
      </c>
      <c r="Z258" t="str">
        <f>IF(Table1[[#This Row],[UnitPrice]]&lt;=Quantiles!$B$2,Quantiles!$A$2,IF(Table1[[#This Row],[UnitPrice]]&lt;=Quantiles!$B$3,Quantiles!$A$3,Quantiles!$A$4))</f>
        <v>High</v>
      </c>
      <c r="AA258">
        <v>0.02</v>
      </c>
      <c r="AB258" s="5">
        <f>MIN(Table1[[#This Row],[DiscountPct]],'scenario modeling'!$B$2)</f>
        <v>0.02</v>
      </c>
      <c r="AC258" t="str">
        <f>IF(Table1[[#This Row],[DiscountPct]]&gt;0.3, "&gt;0.3","")</f>
        <v/>
      </c>
      <c r="AD258">
        <v>5</v>
      </c>
      <c r="AE258">
        <f>Table1[[#This Row],[Quantity]]*(1+'scenario modeling'!$B$4)</f>
        <v>6</v>
      </c>
      <c r="AF258">
        <f>Table1[[#This Row],[UnitCost]]*Table1[[#This Row],[Quantity]]</f>
        <v>7478.95</v>
      </c>
      <c r="AG258">
        <f>SUMIF($U:U,Table1[[#This Row],[ProductCategory]],$AM:AM)</f>
        <v>1711094.3776</v>
      </c>
      <c r="AH258">
        <f>SUMIFS($AM$2:AM258,$U$2:U258,U258)</f>
        <v>1664224.3523000001</v>
      </c>
      <c r="AI258" s="5">
        <f>Table1[[#This Row],[Cumulative_revenue]]/Table1[[#This Row],[Category_revenue]]</f>
        <v>0.97260815889901975</v>
      </c>
      <c r="AJ258" t="str">
        <f>IF(Table1[[#This Row],[cumulative_pct]]&lt;=0.8,"A",IF(Table1[[#This Row],[cumulative_pct]]&lt;=0.95,"B","C"))</f>
        <v>C</v>
      </c>
      <c r="AK258">
        <f>Table1[[#This Row],[adj_unit_cost]]*Table1[[#This Row],[scenario_quantity]]</f>
        <v>9872.2139999999999</v>
      </c>
      <c r="AL258" s="5">
        <f>Table1[[#This Row],[UnitPrice]]*Table1[[#This Row],[scenario_quantity]]*(1-Table1[[#This Row],[cap_adjusted_discount]])</f>
        <v>16364.7456</v>
      </c>
      <c r="AM258" s="5">
        <f>Table1[[#This Row],[UnitPrice]]*Table1[[#This Row],[Quantity]]*(1-Table1[[#This Row],[DiscountPct]])</f>
        <v>13637.287999999999</v>
      </c>
      <c r="AN258" s="5">
        <f>Table1[[#This Row],[gross_revenue]]-Table1[[#This Row],[cost_of_goods]]</f>
        <v>6158.3379999999988</v>
      </c>
      <c r="AO258" s="5">
        <f>Table1[[#This Row],[scenario_revenue]]-Table1[[#This Row],[Scenario_unit_cost]]</f>
        <v>6492.5316000000003</v>
      </c>
      <c r="AP258" s="5">
        <f>IF(Table1[[#This Row],[gross_revenue]]=0,0,Table1[[#This Row],[gross_profit]]/Table1[[#This Row],[gross_revenue]])</f>
        <v>0.45158084217331185</v>
      </c>
    </row>
    <row r="259" spans="1:42" x14ac:dyDescent="0.35">
      <c r="A259" t="s">
        <v>403</v>
      </c>
      <c r="B259" t="str">
        <f>_xlfn.TEXTAFTER(Table1[[#This Row],[OrderID]],"-",2)</f>
        <v>835226</v>
      </c>
      <c r="C259">
        <f>YEAR(Table1[[#This Row],[OrderDate]])</f>
        <v>2023</v>
      </c>
      <c r="D259" s="9">
        <f>_xlfn.MINIFS(F:F,P:P,Table1[[#This Row],[Country]])</f>
        <v>44933</v>
      </c>
      <c r="E259" s="7">
        <f>DATEDIF(Table1[[#This Row],[first_time_orders]],Table1[[#This Row],[OrderDate]],"m")</f>
        <v>9</v>
      </c>
      <c r="F259" s="9">
        <v>45225</v>
      </c>
      <c r="G259" s="2" t="str">
        <f>TEXT(Table1[[#This Row],[OrderDate]],"MMM-YYYY")</f>
        <v>Oct-2023</v>
      </c>
      <c r="H259" s="7">
        <f>MONTH(Table1[[#This Row],[OrderDate]])</f>
        <v>10</v>
      </c>
      <c r="I259" s="7" t="str">
        <f>"Q"&amp;ROUNDUP(Table1[[#This Row],[months]]/3,0)&amp;"-"&amp;Table1[[#This Row],[order_year]]</f>
        <v>Q4-2023</v>
      </c>
      <c r="J259" s="7">
        <f>Table1[[#This Row],[RequiredDate]]-Table1[[#This Row],[OrderDate]]</f>
        <v>10</v>
      </c>
      <c r="K259" s="7">
        <f>IF(Table1[[#This Row],[lead_time]]&lt;0,MEDIAN(J:J),Table1[[#This Row],[lead_time]])</f>
        <v>10</v>
      </c>
      <c r="L259" s="7">
        <f>IF(Table1[[#This Row],[adj_lead_time]]&lt;=7,1,0)</f>
        <v>0</v>
      </c>
      <c r="M259" s="9">
        <v>45235</v>
      </c>
      <c r="N259" s="9">
        <f>IF(Table1[[#This Row],[lead_time]]&lt;0,(Table1[[#This Row],[OrderDate]]+Table1[[#This Row],[adj_lead_time]]),Table1[[#This Row],[RequiredDate]])</f>
        <v>45235</v>
      </c>
      <c r="O259" t="s">
        <v>646</v>
      </c>
      <c r="P259" t="s">
        <v>661</v>
      </c>
      <c r="Q259" t="s">
        <v>695</v>
      </c>
      <c r="R259" t="s">
        <v>703</v>
      </c>
      <c r="S259" t="s">
        <v>708</v>
      </c>
      <c r="T259" t="s">
        <v>714</v>
      </c>
      <c r="U259" t="s">
        <v>731</v>
      </c>
      <c r="V259" t="s">
        <v>1122</v>
      </c>
      <c r="W259">
        <v>20.38</v>
      </c>
      <c r="X259">
        <f>Table1[[#This Row],[UnitCost]]*(1+'scenario modeling'!$B$3)</f>
        <v>22.417999999999999</v>
      </c>
      <c r="Y259">
        <v>42.56</v>
      </c>
      <c r="Z259" t="str">
        <f>IF(Table1[[#This Row],[UnitPrice]]&lt;=Quantiles!$B$2,Quantiles!$A$2,IF(Table1[[#This Row],[UnitPrice]]&lt;=Quantiles!$B$3,Quantiles!$A$3,Quantiles!$A$4))</f>
        <v>Low</v>
      </c>
      <c r="AA259">
        <v>7.1999999999999995E-2</v>
      </c>
      <c r="AB259" s="5">
        <f>MIN(Table1[[#This Row],[DiscountPct]],'scenario modeling'!$B$2)</f>
        <v>7.1999999999999995E-2</v>
      </c>
      <c r="AC259" t="str">
        <f>IF(Table1[[#This Row],[DiscountPct]]&gt;0.3, "&gt;0.3","")</f>
        <v/>
      </c>
      <c r="AD259">
        <v>11</v>
      </c>
      <c r="AE259">
        <f>Table1[[#This Row],[Quantity]]*(1+'scenario modeling'!$B$4)</f>
        <v>13.2</v>
      </c>
      <c r="AF259">
        <f>Table1[[#This Row],[UnitCost]]*Table1[[#This Row],[Quantity]]</f>
        <v>224.17999999999998</v>
      </c>
      <c r="AG259">
        <f>SUMIF($U:U,Table1[[#This Row],[ProductCategory]],$AM:AM)</f>
        <v>1711094.3776</v>
      </c>
      <c r="AH259">
        <f>SUMIFS($AM$2:AM259,$U$2:U259,U259)</f>
        <v>1664658.8047800001</v>
      </c>
      <c r="AI259" s="5">
        <f>Table1[[#This Row],[Cumulative_revenue]]/Table1[[#This Row],[Category_revenue]]</f>
        <v>0.97286206218202242</v>
      </c>
      <c r="AJ259" t="str">
        <f>IF(Table1[[#This Row],[cumulative_pct]]&lt;=0.8,"A",IF(Table1[[#This Row],[cumulative_pct]]&lt;=0.95,"B","C"))</f>
        <v>C</v>
      </c>
      <c r="AK259">
        <f>Table1[[#This Row],[adj_unit_cost]]*Table1[[#This Row],[scenario_quantity]]</f>
        <v>295.91759999999999</v>
      </c>
      <c r="AL259" s="5">
        <f>Table1[[#This Row],[UnitPrice]]*Table1[[#This Row],[scenario_quantity]]*(1-Table1[[#This Row],[cap_adjusted_discount]])</f>
        <v>521.34297600000002</v>
      </c>
      <c r="AM259" s="5">
        <f>Table1[[#This Row],[UnitPrice]]*Table1[[#This Row],[Quantity]]*(1-Table1[[#This Row],[DiscountPct]])</f>
        <v>434.45248000000004</v>
      </c>
      <c r="AN259" s="5">
        <f>Table1[[#This Row],[gross_revenue]]-Table1[[#This Row],[cost_of_goods]]</f>
        <v>210.27248000000006</v>
      </c>
      <c r="AO259" s="5">
        <f>Table1[[#This Row],[scenario_revenue]]-Table1[[#This Row],[Scenario_unit_cost]]</f>
        <v>225.42537600000003</v>
      </c>
      <c r="AP259" s="5">
        <f>IF(Table1[[#This Row],[gross_revenue]]=0,0,Table1[[#This Row],[gross_profit]]/Table1[[#This Row],[gross_revenue]])</f>
        <v>0.48399419885921713</v>
      </c>
    </row>
    <row r="260" spans="1:42" x14ac:dyDescent="0.35">
      <c r="A260" t="s">
        <v>343</v>
      </c>
      <c r="B260" t="str">
        <f>_xlfn.TEXTAFTER(Table1[[#This Row],[OrderID]],"-",2)</f>
        <v>163610</v>
      </c>
      <c r="C260">
        <f>YEAR(Table1[[#This Row],[OrderDate]])</f>
        <v>2023</v>
      </c>
      <c r="D260" s="9">
        <f>_xlfn.MINIFS(F:F,P:P,Table1[[#This Row],[Country]])</f>
        <v>44928</v>
      </c>
      <c r="E260" s="7">
        <f>DATEDIF(Table1[[#This Row],[first_time_orders]],Table1[[#This Row],[OrderDate]],"m")</f>
        <v>9</v>
      </c>
      <c r="F260" s="9">
        <v>45221</v>
      </c>
      <c r="G260" s="2" t="str">
        <f>TEXT(Table1[[#This Row],[OrderDate]],"MMM-YYYY")</f>
        <v>Oct-2023</v>
      </c>
      <c r="H260" s="7">
        <f>MONTH(Table1[[#This Row],[OrderDate]])</f>
        <v>10</v>
      </c>
      <c r="I260" s="7" t="str">
        <f>"Q"&amp;ROUNDUP(Table1[[#This Row],[months]]/3,0)&amp;"-"&amp;Table1[[#This Row],[order_year]]</f>
        <v>Q4-2023</v>
      </c>
      <c r="J260" s="7">
        <f>Table1[[#This Row],[RequiredDate]]-Table1[[#This Row],[OrderDate]]</f>
        <v>25</v>
      </c>
      <c r="K260" s="7">
        <f>IF(Table1[[#This Row],[lead_time]]&lt;0,MEDIAN(J:J),Table1[[#This Row],[lead_time]])</f>
        <v>25</v>
      </c>
      <c r="L260" s="7">
        <f>IF(Table1[[#This Row],[adj_lead_time]]&lt;=7,1,0)</f>
        <v>0</v>
      </c>
      <c r="M260" s="9">
        <v>45246</v>
      </c>
      <c r="N260" s="9">
        <f>IF(Table1[[#This Row],[lead_time]]&lt;0,(Table1[[#This Row],[OrderDate]]+Table1[[#This Row],[adj_lead_time]]),Table1[[#This Row],[RequiredDate]])</f>
        <v>45246</v>
      </c>
      <c r="O260" t="s">
        <v>648</v>
      </c>
      <c r="P260" t="s">
        <v>653</v>
      </c>
      <c r="Q260" t="s">
        <v>667</v>
      </c>
      <c r="R260" t="s">
        <v>705</v>
      </c>
      <c r="S260" t="s">
        <v>709</v>
      </c>
      <c r="T260" t="s">
        <v>714</v>
      </c>
      <c r="U260" t="s">
        <v>731</v>
      </c>
      <c r="V260" t="s">
        <v>1063</v>
      </c>
      <c r="W260">
        <v>1373.31</v>
      </c>
      <c r="X260">
        <f>Table1[[#This Row],[UnitCost]]*(1+'scenario modeling'!$B$3)</f>
        <v>1510.6410000000001</v>
      </c>
      <c r="Y260">
        <v>3154.14</v>
      </c>
      <c r="Z260" t="str">
        <f>IF(Table1[[#This Row],[UnitPrice]]&lt;=Quantiles!$B$2,Quantiles!$A$2,IF(Table1[[#This Row],[UnitPrice]]&lt;=Quantiles!$B$3,Quantiles!$A$3,Quantiles!$A$4))</f>
        <v>High</v>
      </c>
      <c r="AA260">
        <v>0.2</v>
      </c>
      <c r="AB260" s="5">
        <f>MIN(Table1[[#This Row],[DiscountPct]],'scenario modeling'!$B$2)</f>
        <v>0.1</v>
      </c>
      <c r="AC260" t="str">
        <f>IF(Table1[[#This Row],[DiscountPct]]&gt;0.3, "&gt;0.3","")</f>
        <v/>
      </c>
      <c r="AD260">
        <v>11</v>
      </c>
      <c r="AE260">
        <f>Table1[[#This Row],[Quantity]]*(1+'scenario modeling'!$B$4)</f>
        <v>13.2</v>
      </c>
      <c r="AF260">
        <f>Table1[[#This Row],[UnitCost]]*Table1[[#This Row],[Quantity]]</f>
        <v>15106.41</v>
      </c>
      <c r="AG260">
        <f>SUMIF($U:U,Table1[[#This Row],[ProductCategory]],$AM:AM)</f>
        <v>1711094.3776</v>
      </c>
      <c r="AH260">
        <f>SUMIFS($AM$2:AM260,$U$2:U260,U260)</f>
        <v>1692415.2367800002</v>
      </c>
      <c r="AI260" s="5">
        <f>Table1[[#This Row],[Cumulative_revenue]]/Table1[[#This Row],[Category_revenue]]</f>
        <v>0.98908351224542068</v>
      </c>
      <c r="AJ260" t="str">
        <f>IF(Table1[[#This Row],[cumulative_pct]]&lt;=0.8,"A",IF(Table1[[#This Row],[cumulative_pct]]&lt;=0.95,"B","C"))</f>
        <v>C</v>
      </c>
      <c r="AK260">
        <f>Table1[[#This Row],[adj_unit_cost]]*Table1[[#This Row],[scenario_quantity]]</f>
        <v>19940.461200000002</v>
      </c>
      <c r="AL260" s="5">
        <f>Table1[[#This Row],[UnitPrice]]*Table1[[#This Row],[scenario_quantity]]*(1-Table1[[#This Row],[cap_adjusted_discount]])</f>
        <v>37471.183199999992</v>
      </c>
      <c r="AM260" s="5">
        <f>Table1[[#This Row],[UnitPrice]]*Table1[[#This Row],[Quantity]]*(1-Table1[[#This Row],[DiscountPct]])</f>
        <v>27756.432000000001</v>
      </c>
      <c r="AN260" s="5">
        <f>Table1[[#This Row],[gross_revenue]]-Table1[[#This Row],[cost_of_goods]]</f>
        <v>12650.022000000001</v>
      </c>
      <c r="AO260" s="5">
        <f>Table1[[#This Row],[scenario_revenue]]-Table1[[#This Row],[Scenario_unit_cost]]</f>
        <v>17530.721999999991</v>
      </c>
      <c r="AP260" s="5">
        <f>IF(Table1[[#This Row],[gross_revenue]]=0,0,Table1[[#This Row],[gross_profit]]/Table1[[#This Row],[gross_revenue]])</f>
        <v>0.45575101295440279</v>
      </c>
    </row>
    <row r="261" spans="1:42" x14ac:dyDescent="0.35">
      <c r="A261" t="s">
        <v>293</v>
      </c>
      <c r="B261" t="str">
        <f>_xlfn.TEXTAFTER(Table1[[#This Row],[OrderID]],"-",2)</f>
        <v>211715</v>
      </c>
      <c r="C261">
        <f>YEAR(Table1[[#This Row],[OrderDate]])</f>
        <v>2023</v>
      </c>
      <c r="D261" s="9">
        <f>_xlfn.MINIFS(F:F,P:P,Table1[[#This Row],[Country]])</f>
        <v>44955</v>
      </c>
      <c r="E261" s="7">
        <f>DATEDIF(Table1[[#This Row],[first_time_orders]],Table1[[#This Row],[OrderDate]],"m")</f>
        <v>9</v>
      </c>
      <c r="F261" s="9">
        <v>45229</v>
      </c>
      <c r="G261" s="2" t="str">
        <f>TEXT(Table1[[#This Row],[OrderDate]],"MMM-YYYY")</f>
        <v>Oct-2023</v>
      </c>
      <c r="H261" s="7">
        <f>MONTH(Table1[[#This Row],[OrderDate]])</f>
        <v>10</v>
      </c>
      <c r="I261" s="7" t="str">
        <f>"Q"&amp;ROUNDUP(Table1[[#This Row],[months]]/3,0)&amp;"-"&amp;Table1[[#This Row],[order_year]]</f>
        <v>Q4-2023</v>
      </c>
      <c r="J261" s="7">
        <f>Table1[[#This Row],[RequiredDate]]-Table1[[#This Row],[OrderDate]]</f>
        <v>15</v>
      </c>
      <c r="K261" s="7">
        <f>IF(Table1[[#This Row],[lead_time]]&lt;0,MEDIAN(J:J),Table1[[#This Row],[lead_time]])</f>
        <v>15</v>
      </c>
      <c r="L261" s="7">
        <f>IF(Table1[[#This Row],[adj_lead_time]]&lt;=7,1,0)</f>
        <v>0</v>
      </c>
      <c r="M261" s="9">
        <v>45244</v>
      </c>
      <c r="N261" s="9">
        <f>IF(Table1[[#This Row],[lead_time]]&lt;0,(Table1[[#This Row],[OrderDate]]+Table1[[#This Row],[adj_lead_time]]),Table1[[#This Row],[RequiredDate]])</f>
        <v>45244</v>
      </c>
      <c r="O261" t="s">
        <v>647</v>
      </c>
      <c r="P261" t="s">
        <v>654</v>
      </c>
      <c r="Q261" t="s">
        <v>668</v>
      </c>
      <c r="R261" t="s">
        <v>701</v>
      </c>
      <c r="S261" t="s">
        <v>708</v>
      </c>
      <c r="T261" t="s">
        <v>721</v>
      </c>
      <c r="U261" t="s">
        <v>731</v>
      </c>
      <c r="V261" t="s">
        <v>1013</v>
      </c>
      <c r="W261">
        <v>953.46</v>
      </c>
      <c r="X261">
        <f>Table1[[#This Row],[UnitCost]]*(1+'scenario modeling'!$B$3)</f>
        <v>1048.806</v>
      </c>
      <c r="Y261">
        <v>2066.75</v>
      </c>
      <c r="Z261" t="str">
        <f>IF(Table1[[#This Row],[UnitPrice]]&lt;=Quantiles!$B$2,Quantiles!$A$2,IF(Table1[[#This Row],[UnitPrice]]&lt;=Quantiles!$B$3,Quantiles!$A$3,Quantiles!$A$4))</f>
        <v>High</v>
      </c>
      <c r="AA261">
        <v>0.13800000000000001</v>
      </c>
      <c r="AB261" s="5">
        <f>MIN(Table1[[#This Row],[DiscountPct]],'scenario modeling'!$B$2)</f>
        <v>0.1</v>
      </c>
      <c r="AC261" t="str">
        <f>IF(Table1[[#This Row],[DiscountPct]]&gt;0.3, "&gt;0.3","")</f>
        <v/>
      </c>
      <c r="AD261">
        <v>5</v>
      </c>
      <c r="AE261">
        <f>Table1[[#This Row],[Quantity]]*(1+'scenario modeling'!$B$4)</f>
        <v>6</v>
      </c>
      <c r="AF261">
        <f>Table1[[#This Row],[UnitCost]]*Table1[[#This Row],[Quantity]]</f>
        <v>4767.3</v>
      </c>
      <c r="AG261">
        <f>SUMIF($U:U,Table1[[#This Row],[ProductCategory]],$AM:AM)</f>
        <v>1711094.3776</v>
      </c>
      <c r="AH261">
        <f>SUMIFS($AM$2:AM261,$U$2:U261,U261)</f>
        <v>1701322.92928</v>
      </c>
      <c r="AI261" s="5">
        <f>Table1[[#This Row],[Cumulative_revenue]]/Table1[[#This Row],[Category_revenue]]</f>
        <v>0.9942893574732532</v>
      </c>
      <c r="AJ261" t="str">
        <f>IF(Table1[[#This Row],[cumulative_pct]]&lt;=0.8,"A",IF(Table1[[#This Row],[cumulative_pct]]&lt;=0.95,"B","C"))</f>
        <v>C</v>
      </c>
      <c r="AK261">
        <f>Table1[[#This Row],[adj_unit_cost]]*Table1[[#This Row],[scenario_quantity]]</f>
        <v>6292.8360000000002</v>
      </c>
      <c r="AL261" s="5">
        <f>Table1[[#This Row],[UnitPrice]]*Table1[[#This Row],[scenario_quantity]]*(1-Table1[[#This Row],[cap_adjusted_discount]])</f>
        <v>11160.45</v>
      </c>
      <c r="AM261" s="5">
        <f>Table1[[#This Row],[UnitPrice]]*Table1[[#This Row],[Quantity]]*(1-Table1[[#This Row],[DiscountPct]])</f>
        <v>8907.6924999999992</v>
      </c>
      <c r="AN261" s="5">
        <f>Table1[[#This Row],[gross_revenue]]-Table1[[#This Row],[cost_of_goods]]</f>
        <v>4140.392499999999</v>
      </c>
      <c r="AO261" s="5">
        <f>Table1[[#This Row],[scenario_revenue]]-Table1[[#This Row],[Scenario_unit_cost]]</f>
        <v>4867.6140000000005</v>
      </c>
      <c r="AP261" s="5">
        <f>IF(Table1[[#This Row],[gross_revenue]]=0,0,Table1[[#This Row],[gross_profit]]/Table1[[#This Row],[gross_revenue]])</f>
        <v>0.46481089238318446</v>
      </c>
    </row>
    <row r="262" spans="1:42" x14ac:dyDescent="0.35">
      <c r="A262" t="s">
        <v>460</v>
      </c>
      <c r="B262" t="str">
        <f>_xlfn.TEXTAFTER(Table1[[#This Row],[OrderID]],"-",2)</f>
        <v>580751</v>
      </c>
      <c r="C262">
        <f>YEAR(Table1[[#This Row],[OrderDate]])</f>
        <v>2023</v>
      </c>
      <c r="D262" s="9">
        <f>_xlfn.MINIFS(F:F,P:P,Table1[[#This Row],[Country]])</f>
        <v>44988</v>
      </c>
      <c r="E262" s="7">
        <f>DATEDIF(Table1[[#This Row],[first_time_orders]],Table1[[#This Row],[OrderDate]],"m")</f>
        <v>9</v>
      </c>
      <c r="F262" s="9">
        <v>45284</v>
      </c>
      <c r="G262" s="2" t="str">
        <f>TEXT(Table1[[#This Row],[OrderDate]],"MMM-YYYY")</f>
        <v>Dec-2023</v>
      </c>
      <c r="H262" s="7">
        <f>MONTH(Table1[[#This Row],[OrderDate]])</f>
        <v>12</v>
      </c>
      <c r="I262" s="7" t="str">
        <f>"Q"&amp;ROUNDUP(Table1[[#This Row],[months]]/3,0)&amp;"-"&amp;Table1[[#This Row],[order_year]]</f>
        <v>Q4-2023</v>
      </c>
      <c r="J262" s="7">
        <f>Table1[[#This Row],[RequiredDate]]-Table1[[#This Row],[OrderDate]]</f>
        <v>20</v>
      </c>
      <c r="K262" s="7">
        <f>IF(Table1[[#This Row],[lead_time]]&lt;0,MEDIAN(J:J),Table1[[#This Row],[lead_time]])</f>
        <v>20</v>
      </c>
      <c r="L262" s="7">
        <f>IF(Table1[[#This Row],[adj_lead_time]]&lt;=7,1,0)</f>
        <v>0</v>
      </c>
      <c r="M262" s="9">
        <v>45304</v>
      </c>
      <c r="N262" s="9">
        <f>IF(Table1[[#This Row],[lead_time]]&lt;0,(Table1[[#This Row],[OrderDate]]+Table1[[#This Row],[adj_lead_time]]),Table1[[#This Row],[RequiredDate]])</f>
        <v>45304</v>
      </c>
      <c r="O262" t="s">
        <v>647</v>
      </c>
      <c r="P262" t="s">
        <v>652</v>
      </c>
      <c r="Q262" t="s">
        <v>694</v>
      </c>
      <c r="R262" t="s">
        <v>702</v>
      </c>
      <c r="S262" t="s">
        <v>711</v>
      </c>
      <c r="T262" t="s">
        <v>717</v>
      </c>
      <c r="U262" t="s">
        <v>731</v>
      </c>
      <c r="V262" t="s">
        <v>1179</v>
      </c>
      <c r="W262">
        <v>625.37</v>
      </c>
      <c r="X262">
        <f>Table1[[#This Row],[UnitCost]]*(1+'scenario modeling'!$B$3)</f>
        <v>687.90700000000004</v>
      </c>
      <c r="Y262">
        <v>1319.04</v>
      </c>
      <c r="Z262" t="str">
        <f>IF(Table1[[#This Row],[UnitPrice]]&lt;=Quantiles!$B$2,Quantiles!$A$2,IF(Table1[[#This Row],[UnitPrice]]&lt;=Quantiles!$B$3,Quantiles!$A$3,Quantiles!$A$4))</f>
        <v>Medium</v>
      </c>
      <c r="AA262">
        <v>7.3999999999999996E-2</v>
      </c>
      <c r="AB262" s="5">
        <f>MIN(Table1[[#This Row],[DiscountPct]],'scenario modeling'!$B$2)</f>
        <v>7.3999999999999996E-2</v>
      </c>
      <c r="AC262" t="str">
        <f>IF(Table1[[#This Row],[DiscountPct]]&gt;0.3, "&gt;0.3","")</f>
        <v/>
      </c>
      <c r="AD262">
        <v>8</v>
      </c>
      <c r="AE262">
        <f>Table1[[#This Row],[Quantity]]*(1+'scenario modeling'!$B$4)</f>
        <v>9.6</v>
      </c>
      <c r="AF262">
        <f>Table1[[#This Row],[UnitCost]]*Table1[[#This Row],[Quantity]]</f>
        <v>5002.96</v>
      </c>
      <c r="AG262">
        <f>SUMIF($U:U,Table1[[#This Row],[ProductCategory]],$AM:AM)</f>
        <v>1711094.3776</v>
      </c>
      <c r="AH262">
        <f>SUMIFS($AM$2:AM262,$U$2:U262,U262)</f>
        <v>1711094.3776</v>
      </c>
      <c r="AI262" s="5">
        <f>Table1[[#This Row],[Cumulative_revenue]]/Table1[[#This Row],[Category_revenue]]</f>
        <v>1</v>
      </c>
      <c r="AJ262" t="str">
        <f>IF(Table1[[#This Row],[cumulative_pct]]&lt;=0.8,"A",IF(Table1[[#This Row],[cumulative_pct]]&lt;=0.95,"B","C"))</f>
        <v>C</v>
      </c>
      <c r="AK262">
        <f>Table1[[#This Row],[adj_unit_cost]]*Table1[[#This Row],[scenario_quantity]]</f>
        <v>6603.9072000000006</v>
      </c>
      <c r="AL262" s="5">
        <f>Table1[[#This Row],[UnitPrice]]*Table1[[#This Row],[scenario_quantity]]*(1-Table1[[#This Row],[cap_adjusted_discount]])</f>
        <v>11725.737983999999</v>
      </c>
      <c r="AM262" s="5">
        <f>Table1[[#This Row],[UnitPrice]]*Table1[[#This Row],[Quantity]]*(1-Table1[[#This Row],[DiscountPct]])</f>
        <v>9771.4483199999995</v>
      </c>
      <c r="AN262" s="5">
        <f>Table1[[#This Row],[gross_revenue]]-Table1[[#This Row],[cost_of_goods]]</f>
        <v>4768.4883199999995</v>
      </c>
      <c r="AO262" s="5">
        <f>Table1[[#This Row],[scenario_revenue]]-Table1[[#This Row],[Scenario_unit_cost]]</f>
        <v>5121.8307839999989</v>
      </c>
      <c r="AP262" s="5">
        <f>IF(Table1[[#This Row],[gross_revenue]]=0,0,Table1[[#This Row],[gross_profit]]/Table1[[#This Row],[gross_revenue]])</f>
        <v>0.48800220436513547</v>
      </c>
    </row>
    <row r="263" spans="1:42" x14ac:dyDescent="0.35">
      <c r="A263" t="s">
        <v>596</v>
      </c>
      <c r="B263" t="str">
        <f>_xlfn.TEXTAFTER(Table1[[#This Row],[OrderID]],"-",2)</f>
        <v>856322</v>
      </c>
      <c r="C263">
        <f>YEAR(Table1[[#This Row],[OrderDate]])</f>
        <v>2023</v>
      </c>
      <c r="D263" s="9">
        <f>_xlfn.MINIFS(F:F,P:P,Table1[[#This Row],[Country]])</f>
        <v>44955</v>
      </c>
      <c r="E263" s="7">
        <f>DATEDIF(Table1[[#This Row],[first_time_orders]],Table1[[#This Row],[OrderDate]],"m")</f>
        <v>0</v>
      </c>
      <c r="F263" s="9">
        <v>44955</v>
      </c>
      <c r="G263" s="2" t="str">
        <f>TEXT(Table1[[#This Row],[OrderDate]],"MMM-YYYY")</f>
        <v>Jan-2023</v>
      </c>
      <c r="H263" s="7">
        <f>MONTH(Table1[[#This Row],[OrderDate]])</f>
        <v>1</v>
      </c>
      <c r="I263" s="7" t="str">
        <f>"Q"&amp;ROUNDUP(Table1[[#This Row],[months]]/3,0)&amp;"-"&amp;Table1[[#This Row],[order_year]]</f>
        <v>Q1-2023</v>
      </c>
      <c r="J263" s="7">
        <f>Table1[[#This Row],[RequiredDate]]-Table1[[#This Row],[OrderDate]]</f>
        <v>8</v>
      </c>
      <c r="K263" s="7">
        <f>IF(Table1[[#This Row],[lead_time]]&lt;0,MEDIAN(J:J),Table1[[#This Row],[lead_time]])</f>
        <v>8</v>
      </c>
      <c r="L263" s="7">
        <f>IF(Table1[[#This Row],[adj_lead_time]]&lt;=7,1,0)</f>
        <v>0</v>
      </c>
      <c r="M263" s="9">
        <v>44963</v>
      </c>
      <c r="N263" s="9">
        <f>IF(Table1[[#This Row],[lead_time]]&lt;0,(Table1[[#This Row],[OrderDate]]+Table1[[#This Row],[adj_lead_time]]),Table1[[#This Row],[RequiredDate]])</f>
        <v>44963</v>
      </c>
      <c r="O263" t="s">
        <v>648</v>
      </c>
      <c r="P263" t="s">
        <v>655</v>
      </c>
      <c r="Q263" t="s">
        <v>672</v>
      </c>
      <c r="R263" t="s">
        <v>701</v>
      </c>
      <c r="S263" t="s">
        <v>709</v>
      </c>
      <c r="T263" t="s">
        <v>726</v>
      </c>
      <c r="U263" t="s">
        <v>732</v>
      </c>
      <c r="V263" t="s">
        <v>1314</v>
      </c>
      <c r="W263">
        <v>41.84</v>
      </c>
      <c r="X263">
        <f>Table1[[#This Row],[UnitCost]]*(1+'scenario modeling'!$B$3)</f>
        <v>46.024000000000008</v>
      </c>
      <c r="Y263">
        <v>86.2</v>
      </c>
      <c r="Z263" t="str">
        <f>IF(Table1[[#This Row],[UnitPrice]]&lt;=Quantiles!$B$2,Quantiles!$A$2,IF(Table1[[#This Row],[UnitPrice]]&lt;=Quantiles!$B$3,Quantiles!$A$3,Quantiles!$A$4))</f>
        <v>Low</v>
      </c>
      <c r="AA263">
        <v>0.22600000000000001</v>
      </c>
      <c r="AB263" s="5">
        <f>MIN(Table1[[#This Row],[DiscountPct]],'scenario modeling'!$B$2)</f>
        <v>0.1</v>
      </c>
      <c r="AC263" t="str">
        <f>IF(Table1[[#This Row],[DiscountPct]]&gt;0.3, "&gt;0.3","")</f>
        <v/>
      </c>
      <c r="AD263">
        <v>27</v>
      </c>
      <c r="AE263">
        <f>Table1[[#This Row],[Quantity]]*(1+'scenario modeling'!$B$4)</f>
        <v>32.4</v>
      </c>
      <c r="AF263">
        <f>Table1[[#This Row],[UnitCost]]*Table1[[#This Row],[Quantity]]</f>
        <v>1129.68</v>
      </c>
      <c r="AG263">
        <f>SUMIF($U:U,Table1[[#This Row],[ProductCategory]],$AM:AM)</f>
        <v>1549460.0077899997</v>
      </c>
      <c r="AH263">
        <f>SUMIFS($AM$2:AM263,$U$2:U263,U263)</f>
        <v>1801.4076000000002</v>
      </c>
      <c r="AI263" s="5">
        <f>Table1[[#This Row],[Cumulative_revenue]]/Table1[[#This Row],[Category_revenue]]</f>
        <v>1.1626034818216148E-3</v>
      </c>
      <c r="AJ263" t="str">
        <f>IF(Table1[[#This Row],[cumulative_pct]]&lt;=0.8,"A",IF(Table1[[#This Row],[cumulative_pct]]&lt;=0.95,"B","C"))</f>
        <v>A</v>
      </c>
      <c r="AK263">
        <f>Table1[[#This Row],[adj_unit_cost]]*Table1[[#This Row],[scenario_quantity]]</f>
        <v>1491.1776000000002</v>
      </c>
      <c r="AL263" s="5">
        <f>Table1[[#This Row],[UnitPrice]]*Table1[[#This Row],[scenario_quantity]]*(1-Table1[[#This Row],[cap_adjusted_discount]])</f>
        <v>2513.5920000000001</v>
      </c>
      <c r="AM263" s="5">
        <f>Table1[[#This Row],[UnitPrice]]*Table1[[#This Row],[Quantity]]*(1-Table1[[#This Row],[DiscountPct]])</f>
        <v>1801.4076000000002</v>
      </c>
      <c r="AN263" s="5">
        <f>Table1[[#This Row],[gross_revenue]]-Table1[[#This Row],[cost_of_goods]]</f>
        <v>671.72760000000017</v>
      </c>
      <c r="AO263" s="5">
        <f>Table1[[#This Row],[scenario_revenue]]-Table1[[#This Row],[Scenario_unit_cost]]</f>
        <v>1022.4143999999999</v>
      </c>
      <c r="AP263" s="5">
        <f>IF(Table1[[#This Row],[gross_revenue]]=0,0,Table1[[#This Row],[gross_profit]]/Table1[[#This Row],[gross_revenue]])</f>
        <v>0.37289039970742882</v>
      </c>
    </row>
    <row r="264" spans="1:42" x14ac:dyDescent="0.35">
      <c r="A264" t="s">
        <v>175</v>
      </c>
      <c r="B264" t="str">
        <f>_xlfn.TEXTAFTER(Table1[[#This Row],[OrderID]],"-",2)</f>
        <v>848013</v>
      </c>
      <c r="C264">
        <f>YEAR(Table1[[#This Row],[OrderDate]])</f>
        <v>2023</v>
      </c>
      <c r="D264" s="9">
        <f>_xlfn.MINIFS(F:F,P:P,Table1[[#This Row],[Country]])</f>
        <v>44955</v>
      </c>
      <c r="E264" s="7">
        <f>DATEDIF(Table1[[#This Row],[first_time_orders]],Table1[[#This Row],[OrderDate]],"m")</f>
        <v>0</v>
      </c>
      <c r="F264" s="9">
        <v>44977</v>
      </c>
      <c r="G264" s="2" t="str">
        <f>TEXT(Table1[[#This Row],[OrderDate]],"MMM-YYYY")</f>
        <v>Feb-2023</v>
      </c>
      <c r="H264" s="7">
        <f>MONTH(Table1[[#This Row],[OrderDate]])</f>
        <v>2</v>
      </c>
      <c r="I264" s="7" t="str">
        <f>"Q"&amp;ROUNDUP(Table1[[#This Row],[months]]/3,0)&amp;"-"&amp;Table1[[#This Row],[order_year]]</f>
        <v>Q1-2023</v>
      </c>
      <c r="J264" s="7">
        <f>Table1[[#This Row],[RequiredDate]]-Table1[[#This Row],[OrderDate]]</f>
        <v>12</v>
      </c>
      <c r="K264" s="7">
        <f>IF(Table1[[#This Row],[lead_time]]&lt;0,MEDIAN(J:J),Table1[[#This Row],[lead_time]])</f>
        <v>12</v>
      </c>
      <c r="L264" s="7">
        <f>IF(Table1[[#This Row],[adj_lead_time]]&lt;=7,1,0)</f>
        <v>0</v>
      </c>
      <c r="M264" s="9">
        <v>44989</v>
      </c>
      <c r="N264" s="9">
        <f>IF(Table1[[#This Row],[lead_time]]&lt;0,(Table1[[#This Row],[OrderDate]]+Table1[[#This Row],[adj_lead_time]]),Table1[[#This Row],[RequiredDate]])</f>
        <v>44989</v>
      </c>
      <c r="O264" t="s">
        <v>647</v>
      </c>
      <c r="P264" t="s">
        <v>654</v>
      </c>
      <c r="Q264" t="s">
        <v>680</v>
      </c>
      <c r="R264" t="s">
        <v>704</v>
      </c>
      <c r="S264" t="s">
        <v>710</v>
      </c>
      <c r="T264" t="s">
        <v>724</v>
      </c>
      <c r="U264" t="s">
        <v>732</v>
      </c>
      <c r="V264" t="s">
        <v>894</v>
      </c>
      <c r="W264">
        <v>299.75</v>
      </c>
      <c r="X264">
        <f>Table1[[#This Row],[UnitCost]]*(1+'scenario modeling'!$B$3)</f>
        <v>329.72500000000002</v>
      </c>
      <c r="Y264">
        <v>523.01</v>
      </c>
      <c r="Z264" t="str">
        <f>IF(Table1[[#This Row],[UnitPrice]]&lt;=Quantiles!$B$2,Quantiles!$A$2,IF(Table1[[#This Row],[UnitPrice]]&lt;=Quantiles!$B$3,Quantiles!$A$3,Quantiles!$A$4))</f>
        <v>Low</v>
      </c>
      <c r="AA264">
        <v>0.157</v>
      </c>
      <c r="AB264" s="5">
        <f>MIN(Table1[[#This Row],[DiscountPct]],'scenario modeling'!$B$2)</f>
        <v>0.1</v>
      </c>
      <c r="AC264" t="str">
        <f>IF(Table1[[#This Row],[DiscountPct]]&gt;0.3, "&gt;0.3","")</f>
        <v/>
      </c>
      <c r="AD264">
        <v>50</v>
      </c>
      <c r="AE264">
        <f>Table1[[#This Row],[Quantity]]*(1+'scenario modeling'!$B$4)</f>
        <v>60</v>
      </c>
      <c r="AF264">
        <f>Table1[[#This Row],[UnitCost]]*Table1[[#This Row],[Quantity]]</f>
        <v>14987.5</v>
      </c>
      <c r="AG264">
        <f>SUMIF($U:U,Table1[[#This Row],[ProductCategory]],$AM:AM)</f>
        <v>1549460.0077899997</v>
      </c>
      <c r="AH264">
        <f>SUMIFS($AM$2:AM264,$U$2:U264,U264)</f>
        <v>23846.279099999996</v>
      </c>
      <c r="AI264" s="5">
        <f>Table1[[#This Row],[Cumulative_revenue]]/Table1[[#This Row],[Category_revenue]]</f>
        <v>1.5390057813761859E-2</v>
      </c>
      <c r="AJ264" t="str">
        <f>IF(Table1[[#This Row],[cumulative_pct]]&lt;=0.8,"A",IF(Table1[[#This Row],[cumulative_pct]]&lt;=0.95,"B","C"))</f>
        <v>A</v>
      </c>
      <c r="AK264">
        <f>Table1[[#This Row],[adj_unit_cost]]*Table1[[#This Row],[scenario_quantity]]</f>
        <v>19783.5</v>
      </c>
      <c r="AL264" s="5">
        <f>Table1[[#This Row],[UnitPrice]]*Table1[[#This Row],[scenario_quantity]]*(1-Table1[[#This Row],[cap_adjusted_discount]])</f>
        <v>28242.54</v>
      </c>
      <c r="AM264" s="5">
        <f>Table1[[#This Row],[UnitPrice]]*Table1[[#This Row],[Quantity]]*(1-Table1[[#This Row],[DiscountPct]])</f>
        <v>22044.871499999997</v>
      </c>
      <c r="AN264" s="5">
        <f>Table1[[#This Row],[gross_revenue]]-Table1[[#This Row],[cost_of_goods]]</f>
        <v>7057.3714999999975</v>
      </c>
      <c r="AO264" s="5">
        <f>Table1[[#This Row],[scenario_revenue]]-Table1[[#This Row],[Scenario_unit_cost]]</f>
        <v>8459.0400000000009</v>
      </c>
      <c r="AP264" s="5">
        <f>IF(Table1[[#This Row],[gross_revenue]]=0,0,Table1[[#This Row],[gross_profit]]/Table1[[#This Row],[gross_revenue]])</f>
        <v>0.32013665854210122</v>
      </c>
    </row>
    <row r="265" spans="1:42" x14ac:dyDescent="0.35">
      <c r="A265" t="s">
        <v>178</v>
      </c>
      <c r="B265" t="str">
        <f>_xlfn.TEXTAFTER(Table1[[#This Row],[OrderID]],"-",2)</f>
        <v>240507</v>
      </c>
      <c r="C265">
        <f>YEAR(Table1[[#This Row],[OrderDate]])</f>
        <v>2023</v>
      </c>
      <c r="D265" s="9">
        <f>_xlfn.MINIFS(F:F,P:P,Table1[[#This Row],[Country]])</f>
        <v>44988</v>
      </c>
      <c r="E265" s="7">
        <f>DATEDIF(Table1[[#This Row],[first_time_orders]],Table1[[#This Row],[OrderDate]],"m")</f>
        <v>0</v>
      </c>
      <c r="F265" s="9">
        <v>45010</v>
      </c>
      <c r="G265" s="2" t="str">
        <f>TEXT(Table1[[#This Row],[OrderDate]],"MMM-YYYY")</f>
        <v>Mar-2023</v>
      </c>
      <c r="H265" s="7">
        <f>MONTH(Table1[[#This Row],[OrderDate]])</f>
        <v>3</v>
      </c>
      <c r="I265" s="7" t="str">
        <f>"Q"&amp;ROUNDUP(Table1[[#This Row],[months]]/3,0)&amp;"-"&amp;Table1[[#This Row],[order_year]]</f>
        <v>Q1-2023</v>
      </c>
      <c r="J265" s="7">
        <f>Table1[[#This Row],[RequiredDate]]-Table1[[#This Row],[OrderDate]]</f>
        <v>1</v>
      </c>
      <c r="K265" s="7">
        <f>IF(Table1[[#This Row],[lead_time]]&lt;0,MEDIAN(J:J),Table1[[#This Row],[lead_time]])</f>
        <v>1</v>
      </c>
      <c r="L265" s="7">
        <f>IF(Table1[[#This Row],[adj_lead_time]]&lt;=7,1,0)</f>
        <v>1</v>
      </c>
      <c r="M265" s="9">
        <v>45011</v>
      </c>
      <c r="N265" s="9">
        <f>IF(Table1[[#This Row],[lead_time]]&lt;0,(Table1[[#This Row],[OrderDate]]+Table1[[#This Row],[adj_lead_time]]),Table1[[#This Row],[RequiredDate]])</f>
        <v>45011</v>
      </c>
      <c r="O265" t="s">
        <v>647</v>
      </c>
      <c r="P265" t="s">
        <v>652</v>
      </c>
      <c r="Q265" t="s">
        <v>666</v>
      </c>
      <c r="R265" t="s">
        <v>705</v>
      </c>
      <c r="S265" t="s">
        <v>710</v>
      </c>
      <c r="T265" t="s">
        <v>714</v>
      </c>
      <c r="U265" t="s">
        <v>732</v>
      </c>
      <c r="V265" t="s">
        <v>897</v>
      </c>
      <c r="W265">
        <v>135.12</v>
      </c>
      <c r="X265">
        <f>Table1[[#This Row],[UnitCost]]*(1+'scenario modeling'!$B$3)</f>
        <v>148.63200000000001</v>
      </c>
      <c r="Y265">
        <v>301.7</v>
      </c>
      <c r="Z265" t="str">
        <f>IF(Table1[[#This Row],[UnitPrice]]&lt;=Quantiles!$B$2,Quantiles!$A$2,IF(Table1[[#This Row],[UnitPrice]]&lt;=Quantiles!$B$3,Quantiles!$A$3,Quantiles!$A$4))</f>
        <v>Low</v>
      </c>
      <c r="AA265">
        <v>0.14000000000000001</v>
      </c>
      <c r="AB265" s="5">
        <f>MIN(Table1[[#This Row],[DiscountPct]],'scenario modeling'!$B$2)</f>
        <v>0.1</v>
      </c>
      <c r="AC265" t="str">
        <f>IF(Table1[[#This Row],[DiscountPct]]&gt;0.3, "&gt;0.3","")</f>
        <v/>
      </c>
      <c r="AD265">
        <v>47</v>
      </c>
      <c r="AE265">
        <f>Table1[[#This Row],[Quantity]]*(1+'scenario modeling'!$B$4)</f>
        <v>56.4</v>
      </c>
      <c r="AF265">
        <f>Table1[[#This Row],[UnitCost]]*Table1[[#This Row],[Quantity]]</f>
        <v>6350.64</v>
      </c>
      <c r="AG265">
        <f>SUMIF($U:U,Table1[[#This Row],[ProductCategory]],$AM:AM)</f>
        <v>1549460.0077899997</v>
      </c>
      <c r="AH265">
        <f>SUMIFS($AM$2:AM265,$U$2:U265,U265)</f>
        <v>36040.993099999992</v>
      </c>
      <c r="AI265" s="5">
        <f>Table1[[#This Row],[Cumulative_revenue]]/Table1[[#This Row],[Category_revenue]]</f>
        <v>2.3260357104282665E-2</v>
      </c>
      <c r="AJ265" t="str">
        <f>IF(Table1[[#This Row],[cumulative_pct]]&lt;=0.8,"A",IF(Table1[[#This Row],[cumulative_pct]]&lt;=0.95,"B","C"))</f>
        <v>A</v>
      </c>
      <c r="AK265">
        <f>Table1[[#This Row],[adj_unit_cost]]*Table1[[#This Row],[scenario_quantity]]</f>
        <v>8382.8448000000008</v>
      </c>
      <c r="AL265" s="5">
        <f>Table1[[#This Row],[UnitPrice]]*Table1[[#This Row],[scenario_quantity]]*(1-Table1[[#This Row],[cap_adjusted_discount]])</f>
        <v>15314.291999999998</v>
      </c>
      <c r="AM265" s="5">
        <f>Table1[[#This Row],[UnitPrice]]*Table1[[#This Row],[Quantity]]*(1-Table1[[#This Row],[DiscountPct]])</f>
        <v>12194.714</v>
      </c>
      <c r="AN265" s="5">
        <f>Table1[[#This Row],[gross_revenue]]-Table1[[#This Row],[cost_of_goods]]</f>
        <v>5844.0739999999996</v>
      </c>
      <c r="AO265" s="5">
        <f>Table1[[#This Row],[scenario_revenue]]-Table1[[#This Row],[Scenario_unit_cost]]</f>
        <v>6931.4471999999969</v>
      </c>
      <c r="AP265" s="5">
        <f>IF(Table1[[#This Row],[gross_revenue]]=0,0,Table1[[#This Row],[gross_profit]]/Table1[[#This Row],[gross_revenue]])</f>
        <v>0.47923009920527859</v>
      </c>
    </row>
    <row r="266" spans="1:42" x14ac:dyDescent="0.35">
      <c r="A266" t="s">
        <v>180</v>
      </c>
      <c r="B266" t="str">
        <f>_xlfn.TEXTAFTER(Table1[[#This Row],[OrderID]],"-",2)</f>
        <v>884625</v>
      </c>
      <c r="C266">
        <f>YEAR(Table1[[#This Row],[OrderDate]])</f>
        <v>2023</v>
      </c>
      <c r="D266" s="9">
        <f>_xlfn.MINIFS(F:F,P:P,Table1[[#This Row],[Country]])</f>
        <v>44948</v>
      </c>
      <c r="E266" s="7">
        <f>DATEDIF(Table1[[#This Row],[first_time_orders]],Table1[[#This Row],[OrderDate]],"m")</f>
        <v>0</v>
      </c>
      <c r="F266" s="9">
        <v>44976</v>
      </c>
      <c r="G266" s="2" t="str">
        <f>TEXT(Table1[[#This Row],[OrderDate]],"MMM-YYYY")</f>
        <v>Feb-2023</v>
      </c>
      <c r="H266" s="7">
        <f>MONTH(Table1[[#This Row],[OrderDate]])</f>
        <v>2</v>
      </c>
      <c r="I266" s="7" t="str">
        <f>"Q"&amp;ROUNDUP(Table1[[#This Row],[months]]/3,0)&amp;"-"&amp;Table1[[#This Row],[order_year]]</f>
        <v>Q1-2023</v>
      </c>
      <c r="J266" s="7">
        <f>Table1[[#This Row],[RequiredDate]]-Table1[[#This Row],[OrderDate]]</f>
        <v>21</v>
      </c>
      <c r="K266" s="7">
        <f>IF(Table1[[#This Row],[lead_time]]&lt;0,MEDIAN(J:J),Table1[[#This Row],[lead_time]])</f>
        <v>21</v>
      </c>
      <c r="L266" s="7">
        <f>IF(Table1[[#This Row],[adj_lead_time]]&lt;=7,1,0)</f>
        <v>0</v>
      </c>
      <c r="M266" s="9">
        <v>44997</v>
      </c>
      <c r="N266" s="9">
        <f>IF(Table1[[#This Row],[lead_time]]&lt;0,(Table1[[#This Row],[OrderDate]]+Table1[[#This Row],[adj_lead_time]]),Table1[[#This Row],[RequiredDate]])</f>
        <v>44997</v>
      </c>
      <c r="O266" t="s">
        <v>649</v>
      </c>
      <c r="P266" t="s">
        <v>656</v>
      </c>
      <c r="Q266" t="s">
        <v>671</v>
      </c>
      <c r="R266" t="s">
        <v>705</v>
      </c>
      <c r="S266" t="s">
        <v>711</v>
      </c>
      <c r="T266" t="s">
        <v>716</v>
      </c>
      <c r="U266" t="s">
        <v>732</v>
      </c>
      <c r="V266" t="s">
        <v>899</v>
      </c>
      <c r="W266">
        <v>1234.81</v>
      </c>
      <c r="X266">
        <f>Table1[[#This Row],[UnitCost]]*(1+'scenario modeling'!$B$3)</f>
        <v>1358.2909999999999</v>
      </c>
      <c r="Y266">
        <v>2055.2399999999998</v>
      </c>
      <c r="Z266" t="str">
        <f>IF(Table1[[#This Row],[UnitPrice]]&lt;=Quantiles!$B$2,Quantiles!$A$2,IF(Table1[[#This Row],[UnitPrice]]&lt;=Quantiles!$B$3,Quantiles!$A$3,Quantiles!$A$4))</f>
        <v>High</v>
      </c>
      <c r="AA266">
        <v>5.2999999999999999E-2</v>
      </c>
      <c r="AB266" s="5">
        <f>MIN(Table1[[#This Row],[DiscountPct]],'scenario modeling'!$B$2)</f>
        <v>5.2999999999999999E-2</v>
      </c>
      <c r="AC266" t="str">
        <f>IF(Table1[[#This Row],[DiscountPct]]&gt;0.3, "&gt;0.3","")</f>
        <v/>
      </c>
      <c r="AD266">
        <v>44</v>
      </c>
      <c r="AE266">
        <f>Table1[[#This Row],[Quantity]]*(1+'scenario modeling'!$B$4)</f>
        <v>52.8</v>
      </c>
      <c r="AF266">
        <f>Table1[[#This Row],[UnitCost]]*Table1[[#This Row],[Quantity]]</f>
        <v>54331.64</v>
      </c>
      <c r="AG266">
        <f>SUMIF($U:U,Table1[[#This Row],[ProductCategory]],$AM:AM)</f>
        <v>1549460.0077899997</v>
      </c>
      <c r="AH266">
        <f>SUMIFS($AM$2:AM266,$U$2:U266,U266)</f>
        <v>121678.73341999999</v>
      </c>
      <c r="AI266" s="5">
        <f>Table1[[#This Row],[Cumulative_revenue]]/Table1[[#This Row],[Category_revenue]]</f>
        <v>7.8529767020931895E-2</v>
      </c>
      <c r="AJ266" t="str">
        <f>IF(Table1[[#This Row],[cumulative_pct]]&lt;=0.8,"A",IF(Table1[[#This Row],[cumulative_pct]]&lt;=0.95,"B","C"))</f>
        <v>A</v>
      </c>
      <c r="AK266">
        <f>Table1[[#This Row],[adj_unit_cost]]*Table1[[#This Row],[scenario_quantity]]</f>
        <v>71717.76479999999</v>
      </c>
      <c r="AL266" s="5">
        <f>Table1[[#This Row],[UnitPrice]]*Table1[[#This Row],[scenario_quantity]]*(1-Table1[[#This Row],[cap_adjusted_discount]])</f>
        <v>102765.28838399997</v>
      </c>
      <c r="AM266" s="5">
        <f>Table1[[#This Row],[UnitPrice]]*Table1[[#This Row],[Quantity]]*(1-Table1[[#This Row],[DiscountPct]])</f>
        <v>85637.740319999997</v>
      </c>
      <c r="AN266" s="5">
        <f>Table1[[#This Row],[gross_revenue]]-Table1[[#This Row],[cost_of_goods]]</f>
        <v>31306.100319999998</v>
      </c>
      <c r="AO266" s="5">
        <f>Table1[[#This Row],[scenario_revenue]]-Table1[[#This Row],[Scenario_unit_cost]]</f>
        <v>31047.52358399998</v>
      </c>
      <c r="AP266" s="5">
        <f>IF(Table1[[#This Row],[gross_revenue]]=0,0,Table1[[#This Row],[gross_profit]]/Table1[[#This Row],[gross_revenue]])</f>
        <v>0.36556429680441616</v>
      </c>
    </row>
    <row r="267" spans="1:42" x14ac:dyDescent="0.35">
      <c r="A267" t="s">
        <v>231</v>
      </c>
      <c r="B267" t="str">
        <f>_xlfn.TEXTAFTER(Table1[[#This Row],[OrderID]],"-",2)</f>
        <v>613317</v>
      </c>
      <c r="C267">
        <f>YEAR(Table1[[#This Row],[OrderDate]])</f>
        <v>2023</v>
      </c>
      <c r="D267" s="9">
        <f>_xlfn.MINIFS(F:F,P:P,Table1[[#This Row],[Country]])</f>
        <v>44948</v>
      </c>
      <c r="E267" s="7">
        <f>DATEDIF(Table1[[#This Row],[first_time_orders]],Table1[[#This Row],[OrderDate]],"m")</f>
        <v>0</v>
      </c>
      <c r="F267" s="9">
        <v>44948</v>
      </c>
      <c r="G267" s="2" t="str">
        <f>TEXT(Table1[[#This Row],[OrderDate]],"MMM-YYYY")</f>
        <v>Jan-2023</v>
      </c>
      <c r="H267" s="7">
        <f>MONTH(Table1[[#This Row],[OrderDate]])</f>
        <v>1</v>
      </c>
      <c r="I267" s="7" t="str">
        <f>"Q"&amp;ROUNDUP(Table1[[#This Row],[months]]/3,0)&amp;"-"&amp;Table1[[#This Row],[order_year]]</f>
        <v>Q1-2023</v>
      </c>
      <c r="J267" s="7">
        <f>Table1[[#This Row],[RequiredDate]]-Table1[[#This Row],[OrderDate]]</f>
        <v>-1</v>
      </c>
      <c r="K267" s="7">
        <f>IF(Table1[[#This Row],[lead_time]]&lt;0,MEDIAN(J:J),Table1[[#This Row],[lead_time]])</f>
        <v>15</v>
      </c>
      <c r="L267" s="7">
        <f>IF(Table1[[#This Row],[adj_lead_time]]&lt;=7,1,0)</f>
        <v>0</v>
      </c>
      <c r="M267" s="9">
        <v>44947</v>
      </c>
      <c r="N267" s="9">
        <f>IF(Table1[[#This Row],[lead_time]]&lt;0,(Table1[[#This Row],[OrderDate]]+Table1[[#This Row],[adj_lead_time]]),Table1[[#This Row],[RequiredDate]])</f>
        <v>44963</v>
      </c>
      <c r="O267" t="s">
        <v>649</v>
      </c>
      <c r="P267" t="s">
        <v>656</v>
      </c>
      <c r="Q267" t="s">
        <v>684</v>
      </c>
      <c r="R267" t="s">
        <v>701</v>
      </c>
      <c r="S267" t="s">
        <v>711</v>
      </c>
      <c r="T267" t="s">
        <v>721</v>
      </c>
      <c r="U267" t="s">
        <v>732</v>
      </c>
      <c r="V267" t="s">
        <v>951</v>
      </c>
      <c r="W267">
        <v>150.86000000000001</v>
      </c>
      <c r="X267">
        <f>Table1[[#This Row],[UnitCost]]*(1+'scenario modeling'!$B$3)</f>
        <v>165.94600000000003</v>
      </c>
      <c r="Y267">
        <v>346.96</v>
      </c>
      <c r="Z267" t="str">
        <f>IF(Table1[[#This Row],[UnitPrice]]&lt;=Quantiles!$B$2,Quantiles!$A$2,IF(Table1[[#This Row],[UnitPrice]]&lt;=Quantiles!$B$3,Quantiles!$A$3,Quantiles!$A$4))</f>
        <v>Low</v>
      </c>
      <c r="AA267">
        <v>0.19600000000000001</v>
      </c>
      <c r="AB267" s="5">
        <f>MIN(Table1[[#This Row],[DiscountPct]],'scenario modeling'!$B$2)</f>
        <v>0.1</v>
      </c>
      <c r="AC267" t="str">
        <f>IF(Table1[[#This Row],[DiscountPct]]&gt;0.3, "&gt;0.3","")</f>
        <v/>
      </c>
      <c r="AD267">
        <v>8</v>
      </c>
      <c r="AE267">
        <f>Table1[[#This Row],[Quantity]]*(1+'scenario modeling'!$B$4)</f>
        <v>9.6</v>
      </c>
      <c r="AF267">
        <f>Table1[[#This Row],[UnitCost]]*Table1[[#This Row],[Quantity]]</f>
        <v>1206.8800000000001</v>
      </c>
      <c r="AG267">
        <f>SUMIF($U:U,Table1[[#This Row],[ProductCategory]],$AM:AM)</f>
        <v>1549460.0077899997</v>
      </c>
      <c r="AH267">
        <f>SUMIFS($AM$2:AM267,$U$2:U267,U267)</f>
        <v>123910.38013999999</v>
      </c>
      <c r="AI267" s="5">
        <f>Table1[[#This Row],[Cumulative_revenue]]/Table1[[#This Row],[Category_revenue]]</f>
        <v>7.9970040863935429E-2</v>
      </c>
      <c r="AJ267" t="str">
        <f>IF(Table1[[#This Row],[cumulative_pct]]&lt;=0.8,"A",IF(Table1[[#This Row],[cumulative_pct]]&lt;=0.95,"B","C"))</f>
        <v>A</v>
      </c>
      <c r="AK267">
        <f>Table1[[#This Row],[adj_unit_cost]]*Table1[[#This Row],[scenario_quantity]]</f>
        <v>1593.0816000000002</v>
      </c>
      <c r="AL267" s="5">
        <f>Table1[[#This Row],[UnitPrice]]*Table1[[#This Row],[scenario_quantity]]*(1-Table1[[#This Row],[cap_adjusted_discount]])</f>
        <v>2997.7343999999998</v>
      </c>
      <c r="AM267" s="5">
        <f>Table1[[#This Row],[UnitPrice]]*Table1[[#This Row],[Quantity]]*(1-Table1[[#This Row],[DiscountPct]])</f>
        <v>2231.6467200000002</v>
      </c>
      <c r="AN267" s="5">
        <f>Table1[[#This Row],[gross_revenue]]-Table1[[#This Row],[cost_of_goods]]</f>
        <v>1024.7667200000001</v>
      </c>
      <c r="AO267" s="5">
        <f>Table1[[#This Row],[scenario_revenue]]-Table1[[#This Row],[Scenario_unit_cost]]</f>
        <v>1404.6527999999996</v>
      </c>
      <c r="AP267" s="5">
        <f>IF(Table1[[#This Row],[gross_revenue]]=0,0,Table1[[#This Row],[gross_profit]]/Table1[[#This Row],[gross_revenue]])</f>
        <v>0.45919755614365343</v>
      </c>
    </row>
    <row r="268" spans="1:42" x14ac:dyDescent="0.35">
      <c r="A268" t="s">
        <v>130</v>
      </c>
      <c r="B268" t="str">
        <f>_xlfn.TEXTAFTER(Table1[[#This Row],[OrderID]],"-",2)</f>
        <v>869884</v>
      </c>
      <c r="C268">
        <f>YEAR(Table1[[#This Row],[OrderDate]])</f>
        <v>2023</v>
      </c>
      <c r="D268" s="9">
        <f>_xlfn.MINIFS(F:F,P:P,Table1[[#This Row],[Country]])</f>
        <v>44955</v>
      </c>
      <c r="E268" s="7">
        <f>DATEDIF(Table1[[#This Row],[first_time_orders]],Table1[[#This Row],[OrderDate]],"m")</f>
        <v>1</v>
      </c>
      <c r="F268" s="9">
        <v>44987</v>
      </c>
      <c r="G268" s="2" t="str">
        <f>TEXT(Table1[[#This Row],[OrderDate]],"MMM-YYYY")</f>
        <v>Mar-2023</v>
      </c>
      <c r="H268" s="7">
        <f>MONTH(Table1[[#This Row],[OrderDate]])</f>
        <v>3</v>
      </c>
      <c r="I268" s="7" t="str">
        <f>"Q"&amp;ROUNDUP(Table1[[#This Row],[months]]/3,0)&amp;"-"&amp;Table1[[#This Row],[order_year]]</f>
        <v>Q1-2023</v>
      </c>
      <c r="J268" s="7">
        <f>Table1[[#This Row],[RequiredDate]]-Table1[[#This Row],[OrderDate]]</f>
        <v>3</v>
      </c>
      <c r="K268" s="7">
        <f>IF(Table1[[#This Row],[lead_time]]&lt;0,MEDIAN(J:J),Table1[[#This Row],[lead_time]])</f>
        <v>3</v>
      </c>
      <c r="L268" s="7">
        <f>IF(Table1[[#This Row],[adj_lead_time]]&lt;=7,1,0)</f>
        <v>1</v>
      </c>
      <c r="M268" s="9">
        <v>44990</v>
      </c>
      <c r="N268" s="9">
        <f>IF(Table1[[#This Row],[lead_time]]&lt;0,(Table1[[#This Row],[OrderDate]]+Table1[[#This Row],[adj_lead_time]]),Table1[[#This Row],[RequiredDate]])</f>
        <v>44990</v>
      </c>
      <c r="O268" t="s">
        <v>648</v>
      </c>
      <c r="P268" t="s">
        <v>655</v>
      </c>
      <c r="Q268" t="s">
        <v>672</v>
      </c>
      <c r="R268" t="s">
        <v>706</v>
      </c>
      <c r="S268" t="s">
        <v>711</v>
      </c>
      <c r="T268" t="s">
        <v>715</v>
      </c>
      <c r="U268" t="s">
        <v>732</v>
      </c>
      <c r="V268" t="s">
        <v>849</v>
      </c>
      <c r="W268">
        <v>1473.58</v>
      </c>
      <c r="X268">
        <f>Table1[[#This Row],[UnitCost]]*(1+'scenario modeling'!$B$3)</f>
        <v>1620.9380000000001</v>
      </c>
      <c r="Y268">
        <v>3436.52</v>
      </c>
      <c r="Z268" t="str">
        <f>IF(Table1[[#This Row],[UnitPrice]]&lt;=Quantiles!$B$2,Quantiles!$A$2,IF(Table1[[#This Row],[UnitPrice]]&lt;=Quantiles!$B$3,Quantiles!$A$3,Quantiles!$A$4))</f>
        <v>High</v>
      </c>
      <c r="AA268">
        <v>0.108</v>
      </c>
      <c r="AB268" s="5">
        <f>MIN(Table1[[#This Row],[DiscountPct]],'scenario modeling'!$B$2)</f>
        <v>0.1</v>
      </c>
      <c r="AC268" t="str">
        <f>IF(Table1[[#This Row],[DiscountPct]]&gt;0.3, "&gt;0.3","")</f>
        <v/>
      </c>
      <c r="AD268">
        <v>8</v>
      </c>
      <c r="AE268">
        <f>Table1[[#This Row],[Quantity]]*(1+'scenario modeling'!$B$4)</f>
        <v>9.6</v>
      </c>
      <c r="AF268">
        <f>Table1[[#This Row],[UnitCost]]*Table1[[#This Row],[Quantity]]</f>
        <v>11788.64</v>
      </c>
      <c r="AG268">
        <f>SUMIF($U:U,Table1[[#This Row],[ProductCategory]],$AM:AM)</f>
        <v>1549460.0077899997</v>
      </c>
      <c r="AH268">
        <f>SUMIFS($AM$2:AM268,$U$2:U268,U268)</f>
        <v>148433.38686</v>
      </c>
      <c r="AI268" s="5">
        <f>Table1[[#This Row],[Cumulative_revenue]]/Table1[[#This Row],[Category_revenue]]</f>
        <v>9.5796849298299125E-2</v>
      </c>
      <c r="AJ268" t="str">
        <f>IF(Table1[[#This Row],[cumulative_pct]]&lt;=0.8,"A",IF(Table1[[#This Row],[cumulative_pct]]&lt;=0.95,"B","C"))</f>
        <v>A</v>
      </c>
      <c r="AK268">
        <f>Table1[[#This Row],[adj_unit_cost]]*Table1[[#This Row],[scenario_quantity]]</f>
        <v>15561.004800000001</v>
      </c>
      <c r="AL268" s="5">
        <f>Table1[[#This Row],[UnitPrice]]*Table1[[#This Row],[scenario_quantity]]*(1-Table1[[#This Row],[cap_adjusted_discount]])</f>
        <v>29691.532799999997</v>
      </c>
      <c r="AM268" s="5">
        <f>Table1[[#This Row],[UnitPrice]]*Table1[[#This Row],[Quantity]]*(1-Table1[[#This Row],[DiscountPct]])</f>
        <v>24523.006720000001</v>
      </c>
      <c r="AN268" s="5">
        <f>Table1[[#This Row],[gross_revenue]]-Table1[[#This Row],[cost_of_goods]]</f>
        <v>12734.366720000002</v>
      </c>
      <c r="AO268" s="5">
        <f>Table1[[#This Row],[scenario_revenue]]-Table1[[#This Row],[Scenario_unit_cost]]</f>
        <v>14130.527999999997</v>
      </c>
      <c r="AP268" s="5">
        <f>IF(Table1[[#This Row],[gross_revenue]]=0,0,Table1[[#This Row],[gross_profit]]/Table1[[#This Row],[gross_revenue]])</f>
        <v>0.51928243813652564</v>
      </c>
    </row>
    <row r="269" spans="1:42" x14ac:dyDescent="0.35">
      <c r="A269" t="s">
        <v>419</v>
      </c>
      <c r="B269" t="str">
        <f>_xlfn.TEXTAFTER(Table1[[#This Row],[OrderID]],"-",2)</f>
        <v>854471</v>
      </c>
      <c r="C269">
        <f>YEAR(Table1[[#This Row],[OrderDate]])</f>
        <v>2023</v>
      </c>
      <c r="D269" s="9">
        <f>_xlfn.MINIFS(F:F,P:P,Table1[[#This Row],[Country]])</f>
        <v>44938</v>
      </c>
      <c r="E269" s="7">
        <f>DATEDIF(Table1[[#This Row],[first_time_orders]],Table1[[#This Row],[OrderDate]],"m")</f>
        <v>1</v>
      </c>
      <c r="F269" s="9">
        <v>44991</v>
      </c>
      <c r="G269" s="2" t="str">
        <f>TEXT(Table1[[#This Row],[OrderDate]],"MMM-YYYY")</f>
        <v>Mar-2023</v>
      </c>
      <c r="H269" s="7">
        <f>MONTH(Table1[[#This Row],[OrderDate]])</f>
        <v>3</v>
      </c>
      <c r="I269" s="7" t="str">
        <f>"Q"&amp;ROUNDUP(Table1[[#This Row],[months]]/3,0)&amp;"-"&amp;Table1[[#This Row],[order_year]]</f>
        <v>Q1-2023</v>
      </c>
      <c r="J269" s="7">
        <f>Table1[[#This Row],[RequiredDate]]-Table1[[#This Row],[OrderDate]]</f>
        <v>29</v>
      </c>
      <c r="K269" s="7">
        <f>IF(Table1[[#This Row],[lead_time]]&lt;0,MEDIAN(J:J),Table1[[#This Row],[lead_time]])</f>
        <v>29</v>
      </c>
      <c r="L269" s="7">
        <f>IF(Table1[[#This Row],[adj_lead_time]]&lt;=7,1,0)</f>
        <v>0</v>
      </c>
      <c r="M269" s="9">
        <v>45020</v>
      </c>
      <c r="N269" s="9">
        <f>IF(Table1[[#This Row],[lead_time]]&lt;0,(Table1[[#This Row],[OrderDate]]+Table1[[#This Row],[adj_lead_time]]),Table1[[#This Row],[RequiredDate]])</f>
        <v>45020</v>
      </c>
      <c r="O269" t="s">
        <v>647</v>
      </c>
      <c r="P269" t="s">
        <v>659</v>
      </c>
      <c r="Q269" t="s">
        <v>699</v>
      </c>
      <c r="R269" t="s">
        <v>705</v>
      </c>
      <c r="S269" t="s">
        <v>711</v>
      </c>
      <c r="T269" t="s">
        <v>712</v>
      </c>
      <c r="U269" t="s">
        <v>732</v>
      </c>
      <c r="V269" t="s">
        <v>1138</v>
      </c>
      <c r="W269">
        <v>1126.29</v>
      </c>
      <c r="X269">
        <f>Table1[[#This Row],[UnitCost]]*(1+'scenario modeling'!$B$3)</f>
        <v>1238.9190000000001</v>
      </c>
      <c r="Y269">
        <v>2050.87</v>
      </c>
      <c r="Z269" t="str">
        <f>IF(Table1[[#This Row],[UnitPrice]]&lt;=Quantiles!$B$2,Quantiles!$A$2,IF(Table1[[#This Row],[UnitPrice]]&lt;=Quantiles!$B$3,Quantiles!$A$3,Quantiles!$A$4))</f>
        <v>High</v>
      </c>
      <c r="AA269">
        <v>6.4000000000000001E-2</v>
      </c>
      <c r="AB269" s="5">
        <f>MIN(Table1[[#This Row],[DiscountPct]],'scenario modeling'!$B$2)</f>
        <v>6.4000000000000001E-2</v>
      </c>
      <c r="AC269" t="str">
        <f>IF(Table1[[#This Row],[DiscountPct]]&gt;0.3, "&gt;0.3","")</f>
        <v/>
      </c>
      <c r="AD269">
        <v>7</v>
      </c>
      <c r="AE269">
        <f>Table1[[#This Row],[Quantity]]*(1+'scenario modeling'!$B$4)</f>
        <v>8.4</v>
      </c>
      <c r="AF269">
        <f>Table1[[#This Row],[UnitCost]]*Table1[[#This Row],[Quantity]]</f>
        <v>7884.03</v>
      </c>
      <c r="AG269">
        <f>SUMIF($U:U,Table1[[#This Row],[ProductCategory]],$AM:AM)</f>
        <v>1549460.0077899997</v>
      </c>
      <c r="AH269">
        <f>SUMIFS($AM$2:AM269,$U$2:U269,U269)</f>
        <v>161870.68710000001</v>
      </c>
      <c r="AI269" s="5">
        <f>Table1[[#This Row],[Cumulative_revenue]]/Table1[[#This Row],[Category_revenue]]</f>
        <v>0.10446909651503478</v>
      </c>
      <c r="AJ269" t="str">
        <f>IF(Table1[[#This Row],[cumulative_pct]]&lt;=0.8,"A",IF(Table1[[#This Row],[cumulative_pct]]&lt;=0.95,"B","C"))</f>
        <v>A</v>
      </c>
      <c r="AK269">
        <f>Table1[[#This Row],[adj_unit_cost]]*Table1[[#This Row],[scenario_quantity]]</f>
        <v>10406.919600000001</v>
      </c>
      <c r="AL269" s="5">
        <f>Table1[[#This Row],[UnitPrice]]*Table1[[#This Row],[scenario_quantity]]*(1-Table1[[#This Row],[cap_adjusted_discount]])</f>
        <v>16124.760287999999</v>
      </c>
      <c r="AM269" s="5">
        <f>Table1[[#This Row],[UnitPrice]]*Table1[[#This Row],[Quantity]]*(1-Table1[[#This Row],[DiscountPct]])</f>
        <v>13437.300239999999</v>
      </c>
      <c r="AN269" s="5">
        <f>Table1[[#This Row],[gross_revenue]]-Table1[[#This Row],[cost_of_goods]]</f>
        <v>5553.2702399999989</v>
      </c>
      <c r="AO269" s="5">
        <f>Table1[[#This Row],[scenario_revenue]]-Table1[[#This Row],[Scenario_unit_cost]]</f>
        <v>5717.8406879999984</v>
      </c>
      <c r="AP269" s="5">
        <f>IF(Table1[[#This Row],[gross_revenue]]=0,0,Table1[[#This Row],[gross_profit]]/Table1[[#This Row],[gross_revenue]])</f>
        <v>0.41327276616690373</v>
      </c>
    </row>
    <row r="270" spans="1:42" x14ac:dyDescent="0.35">
      <c r="A270" t="s">
        <v>230</v>
      </c>
      <c r="B270" t="str">
        <f>_xlfn.TEXTAFTER(Table1[[#This Row],[OrderID]],"-",2)</f>
        <v>431328</v>
      </c>
      <c r="C270">
        <f>YEAR(Table1[[#This Row],[OrderDate]])</f>
        <v>2023</v>
      </c>
      <c r="D270" s="9">
        <f>_xlfn.MINIFS(F:F,P:P,Table1[[#This Row],[Country]])</f>
        <v>44955</v>
      </c>
      <c r="E270" s="7">
        <f>DATEDIF(Table1[[#This Row],[first_time_orders]],Table1[[#This Row],[OrderDate]],"m")</f>
        <v>10</v>
      </c>
      <c r="F270" s="9">
        <v>45280</v>
      </c>
      <c r="G270" s="2" t="str">
        <f>TEXT(Table1[[#This Row],[OrderDate]],"MMM-YYYY")</f>
        <v>Dec-2023</v>
      </c>
      <c r="H270" s="7">
        <f>MONTH(Table1[[#This Row],[OrderDate]])</f>
        <v>12</v>
      </c>
      <c r="I270" s="7" t="str">
        <f>"Q"&amp;ROUNDUP(Table1[[#This Row],[months]]/3,0)&amp;"-"&amp;Table1[[#This Row],[order_year]]</f>
        <v>Q4-2023</v>
      </c>
      <c r="J270" s="7">
        <f>Table1[[#This Row],[RequiredDate]]-Table1[[#This Row],[OrderDate]]</f>
        <v>25</v>
      </c>
      <c r="K270" s="7">
        <f>IF(Table1[[#This Row],[lead_time]]&lt;0,MEDIAN(J:J),Table1[[#This Row],[lead_time]])</f>
        <v>25</v>
      </c>
      <c r="L270" s="7">
        <f>IF(Table1[[#This Row],[adj_lead_time]]&lt;=7,1,0)</f>
        <v>0</v>
      </c>
      <c r="M270" s="9">
        <v>45305</v>
      </c>
      <c r="N270" s="9">
        <f>IF(Table1[[#This Row],[lead_time]]&lt;0,(Table1[[#This Row],[OrderDate]]+Table1[[#This Row],[adj_lead_time]]),Table1[[#This Row],[RequiredDate]])</f>
        <v>45305</v>
      </c>
      <c r="O270" t="s">
        <v>647</v>
      </c>
      <c r="P270" t="s">
        <v>654</v>
      </c>
      <c r="Q270" t="s">
        <v>691</v>
      </c>
      <c r="R270" t="s">
        <v>703</v>
      </c>
      <c r="S270" t="s">
        <v>709</v>
      </c>
      <c r="T270" t="s">
        <v>716</v>
      </c>
      <c r="U270" t="s">
        <v>732</v>
      </c>
      <c r="V270" t="s">
        <v>950</v>
      </c>
      <c r="W270">
        <v>1085.6099999999999</v>
      </c>
      <c r="X270">
        <f>Table1[[#This Row],[UnitCost]]*(1+'scenario modeling'!$B$3)</f>
        <v>1194.171</v>
      </c>
      <c r="Y270">
        <v>1246.4100000000001</v>
      </c>
      <c r="Z270" t="str">
        <f>IF(Table1[[#This Row],[UnitPrice]]&lt;=Quantiles!$B$2,Quantiles!$A$2,IF(Table1[[#This Row],[UnitPrice]]&lt;=Quantiles!$B$3,Quantiles!$A$3,Quantiles!$A$4))</f>
        <v>Medium</v>
      </c>
      <c r="AA270">
        <v>0.113</v>
      </c>
      <c r="AB270" s="5">
        <f>MIN(Table1[[#This Row],[DiscountPct]],'scenario modeling'!$B$2)</f>
        <v>0.1</v>
      </c>
      <c r="AC270" t="str">
        <f>IF(Table1[[#This Row],[DiscountPct]]&gt;0.3, "&gt;0.3","")</f>
        <v/>
      </c>
      <c r="AD270">
        <v>7</v>
      </c>
      <c r="AE270">
        <f>Table1[[#This Row],[Quantity]]*(1+'scenario modeling'!$B$4)</f>
        <v>8.4</v>
      </c>
      <c r="AF270">
        <f>Table1[[#This Row],[UnitCost]]*Table1[[#This Row],[Quantity]]</f>
        <v>7599.2699999999995</v>
      </c>
      <c r="AG270">
        <f>SUMIF($U:U,Table1[[#This Row],[ProductCategory]],$AM:AM)</f>
        <v>1549460.0077899997</v>
      </c>
      <c r="AH270">
        <f>SUMIFS($AM$2:AM270,$U$2:U270,U270)</f>
        <v>169609.64679</v>
      </c>
      <c r="AI270" s="5">
        <f>Table1[[#This Row],[Cumulative_revenue]]/Table1[[#This Row],[Category_revenue]]</f>
        <v>0.1094637137694924</v>
      </c>
      <c r="AJ270" t="str">
        <f>IF(Table1[[#This Row],[cumulative_pct]]&lt;=0.8,"A",IF(Table1[[#This Row],[cumulative_pct]]&lt;=0.95,"B","C"))</f>
        <v>A</v>
      </c>
      <c r="AK270">
        <f>Table1[[#This Row],[adj_unit_cost]]*Table1[[#This Row],[scenario_quantity]]</f>
        <v>10031.036400000001</v>
      </c>
      <c r="AL270" s="5">
        <f>Table1[[#This Row],[UnitPrice]]*Table1[[#This Row],[scenario_quantity]]*(1-Table1[[#This Row],[cap_adjusted_discount]])</f>
        <v>9422.8596000000016</v>
      </c>
      <c r="AM270" s="5">
        <f>Table1[[#This Row],[UnitPrice]]*Table1[[#This Row],[Quantity]]*(1-Table1[[#This Row],[DiscountPct]])</f>
        <v>7738.9596900000006</v>
      </c>
      <c r="AN270" s="5">
        <f>Table1[[#This Row],[gross_revenue]]-Table1[[#This Row],[cost_of_goods]]</f>
        <v>139.68969000000106</v>
      </c>
      <c r="AO270" s="5">
        <f>Table1[[#This Row],[scenario_revenue]]-Table1[[#This Row],[Scenario_unit_cost]]</f>
        <v>-608.17679999999928</v>
      </c>
      <c r="AP270" s="5">
        <f>IF(Table1[[#This Row],[gross_revenue]]=0,0,Table1[[#This Row],[gross_profit]]/Table1[[#This Row],[gross_revenue]])</f>
        <v>1.8050189637310417E-2</v>
      </c>
    </row>
    <row r="271" spans="1:42" x14ac:dyDescent="0.35">
      <c r="A271" t="s">
        <v>136</v>
      </c>
      <c r="B271" t="str">
        <f>_xlfn.TEXTAFTER(Table1[[#This Row],[OrderID]],"-",2)</f>
        <v>576840</v>
      </c>
      <c r="C271">
        <f>YEAR(Table1[[#This Row],[OrderDate]])</f>
        <v>2023</v>
      </c>
      <c r="D271" s="9">
        <f>_xlfn.MINIFS(F:F,P:P,Table1[[#This Row],[Country]])</f>
        <v>44936</v>
      </c>
      <c r="E271" s="7">
        <f>DATEDIF(Table1[[#This Row],[first_time_orders]],Table1[[#This Row],[OrderDate]],"m")</f>
        <v>10</v>
      </c>
      <c r="F271" s="9">
        <v>45249</v>
      </c>
      <c r="G271" s="2" t="str">
        <f>TEXT(Table1[[#This Row],[OrderDate]],"MMM-YYYY")</f>
        <v>Nov-2023</v>
      </c>
      <c r="H271" s="7">
        <f>MONTH(Table1[[#This Row],[OrderDate]])</f>
        <v>11</v>
      </c>
      <c r="I271" s="7" t="str">
        <f>"Q"&amp;ROUNDUP(Table1[[#This Row],[months]]/3,0)&amp;"-"&amp;Table1[[#This Row],[order_year]]</f>
        <v>Q4-2023</v>
      </c>
      <c r="J271" s="7">
        <f>Table1[[#This Row],[RequiredDate]]-Table1[[#This Row],[OrderDate]]</f>
        <v>24</v>
      </c>
      <c r="K271" s="7">
        <f>IF(Table1[[#This Row],[lead_time]]&lt;0,MEDIAN(J:J),Table1[[#This Row],[lead_time]])</f>
        <v>24</v>
      </c>
      <c r="L271" s="7">
        <f>IF(Table1[[#This Row],[adj_lead_time]]&lt;=7,1,0)</f>
        <v>0</v>
      </c>
      <c r="M271" s="9">
        <v>45273</v>
      </c>
      <c r="N271" s="9">
        <f>IF(Table1[[#This Row],[lead_time]]&lt;0,(Table1[[#This Row],[OrderDate]]+Table1[[#This Row],[adj_lead_time]]),Table1[[#This Row],[RequiredDate]])</f>
        <v>45273</v>
      </c>
      <c r="O271" t="s">
        <v>649</v>
      </c>
      <c r="P271" t="s">
        <v>657</v>
      </c>
      <c r="Q271" t="s">
        <v>679</v>
      </c>
      <c r="R271" t="s">
        <v>703</v>
      </c>
      <c r="S271" t="s">
        <v>711</v>
      </c>
      <c r="T271" t="s">
        <v>722</v>
      </c>
      <c r="U271" t="s">
        <v>732</v>
      </c>
      <c r="V271" t="s">
        <v>855</v>
      </c>
      <c r="W271">
        <v>1297.42</v>
      </c>
      <c r="X271">
        <f>Table1[[#This Row],[UnitCost]]*(1+'scenario modeling'!$B$3)</f>
        <v>1427.1620000000003</v>
      </c>
      <c r="Y271">
        <v>2742.97</v>
      </c>
      <c r="Z271" t="str">
        <f>IF(Table1[[#This Row],[UnitPrice]]&lt;=Quantiles!$B$2,Quantiles!$A$2,IF(Table1[[#This Row],[UnitPrice]]&lt;=Quantiles!$B$3,Quantiles!$A$3,Quantiles!$A$4))</f>
        <v>High</v>
      </c>
      <c r="AA271">
        <v>6.9000000000000006E-2</v>
      </c>
      <c r="AB271" s="5">
        <f>MIN(Table1[[#This Row],[DiscountPct]],'scenario modeling'!$B$2)</f>
        <v>6.9000000000000006E-2</v>
      </c>
      <c r="AC271" t="str">
        <f>IF(Table1[[#This Row],[DiscountPct]]&gt;0.3, "&gt;0.3","")</f>
        <v/>
      </c>
      <c r="AD271">
        <v>9</v>
      </c>
      <c r="AE271">
        <f>Table1[[#This Row],[Quantity]]*(1+'scenario modeling'!$B$4)</f>
        <v>10.799999999999999</v>
      </c>
      <c r="AF271">
        <f>Table1[[#This Row],[UnitCost]]*Table1[[#This Row],[Quantity]]</f>
        <v>11676.78</v>
      </c>
      <c r="AG271">
        <f>SUMIF($U:U,Table1[[#This Row],[ProductCategory]],$AM:AM)</f>
        <v>1549460.0077899997</v>
      </c>
      <c r="AH271">
        <f>SUMIFS($AM$2:AM271,$U$2:U271,U271)</f>
        <v>192592.99242</v>
      </c>
      <c r="AI271" s="5">
        <f>Table1[[#This Row],[Cumulative_revenue]]/Table1[[#This Row],[Category_revenue]]</f>
        <v>0.1242968462894993</v>
      </c>
      <c r="AJ271" t="str">
        <f>IF(Table1[[#This Row],[cumulative_pct]]&lt;=0.8,"A",IF(Table1[[#This Row],[cumulative_pct]]&lt;=0.95,"B","C"))</f>
        <v>A</v>
      </c>
      <c r="AK271">
        <f>Table1[[#This Row],[adj_unit_cost]]*Table1[[#This Row],[scenario_quantity]]</f>
        <v>15413.349600000001</v>
      </c>
      <c r="AL271" s="5">
        <f>Table1[[#This Row],[UnitPrice]]*Table1[[#This Row],[scenario_quantity]]*(1-Table1[[#This Row],[cap_adjusted_discount]])</f>
        <v>27580.014755999997</v>
      </c>
      <c r="AM271" s="5">
        <f>Table1[[#This Row],[UnitPrice]]*Table1[[#This Row],[Quantity]]*(1-Table1[[#This Row],[DiscountPct]])</f>
        <v>22983.34563</v>
      </c>
      <c r="AN271" s="5">
        <f>Table1[[#This Row],[gross_revenue]]-Table1[[#This Row],[cost_of_goods]]</f>
        <v>11306.565629999999</v>
      </c>
      <c r="AO271" s="5">
        <f>Table1[[#This Row],[scenario_revenue]]-Table1[[#This Row],[Scenario_unit_cost]]</f>
        <v>12166.665155999995</v>
      </c>
      <c r="AP271" s="5">
        <f>IF(Table1[[#This Row],[gross_revenue]]=0,0,Table1[[#This Row],[gross_profit]]/Table1[[#This Row],[gross_revenue]])</f>
        <v>0.49194602961727291</v>
      </c>
    </row>
    <row r="272" spans="1:42" x14ac:dyDescent="0.35">
      <c r="A272" t="s">
        <v>365</v>
      </c>
      <c r="B272" t="str">
        <f>_xlfn.TEXTAFTER(Table1[[#This Row],[OrderID]],"-",2)</f>
        <v>212701</v>
      </c>
      <c r="C272">
        <f>YEAR(Table1[[#This Row],[OrderDate]])</f>
        <v>2023</v>
      </c>
      <c r="D272" s="9">
        <f>_xlfn.MINIFS(F:F,P:P,Table1[[#This Row],[Country]])</f>
        <v>44948</v>
      </c>
      <c r="E272" s="7">
        <f>DATEDIF(Table1[[#This Row],[first_time_orders]],Table1[[#This Row],[OrderDate]],"m")</f>
        <v>10</v>
      </c>
      <c r="F272" s="9">
        <v>45262</v>
      </c>
      <c r="G272" s="2" t="str">
        <f>TEXT(Table1[[#This Row],[OrderDate]],"MMM-YYYY")</f>
        <v>Dec-2023</v>
      </c>
      <c r="H272" s="7">
        <f>MONTH(Table1[[#This Row],[OrderDate]])</f>
        <v>12</v>
      </c>
      <c r="I272" s="7" t="str">
        <f>"Q"&amp;ROUNDUP(Table1[[#This Row],[months]]/3,0)&amp;"-"&amp;Table1[[#This Row],[order_year]]</f>
        <v>Q4-2023</v>
      </c>
      <c r="J272" s="7">
        <f>Table1[[#This Row],[RequiredDate]]-Table1[[#This Row],[OrderDate]]</f>
        <v>14</v>
      </c>
      <c r="K272" s="7">
        <f>IF(Table1[[#This Row],[lead_time]]&lt;0,MEDIAN(J:J),Table1[[#This Row],[lead_time]])</f>
        <v>14</v>
      </c>
      <c r="L272" s="7">
        <f>IF(Table1[[#This Row],[adj_lead_time]]&lt;=7,1,0)</f>
        <v>0</v>
      </c>
      <c r="M272" s="9">
        <v>45276</v>
      </c>
      <c r="N272" s="9">
        <f>IF(Table1[[#This Row],[lead_time]]&lt;0,(Table1[[#This Row],[OrderDate]]+Table1[[#This Row],[adj_lead_time]]),Table1[[#This Row],[RequiredDate]])</f>
        <v>45276</v>
      </c>
      <c r="O272" t="s">
        <v>649</v>
      </c>
      <c r="P272" t="s">
        <v>656</v>
      </c>
      <c r="Q272" t="s">
        <v>698</v>
      </c>
      <c r="R272" t="s">
        <v>702</v>
      </c>
      <c r="S272" t="s">
        <v>711</v>
      </c>
      <c r="T272" t="s">
        <v>725</v>
      </c>
      <c r="U272" t="s">
        <v>732</v>
      </c>
      <c r="V272" t="s">
        <v>1085</v>
      </c>
      <c r="W272">
        <v>879.08</v>
      </c>
      <c r="X272">
        <f>Table1[[#This Row],[UnitCost]]*(1+'scenario modeling'!$B$3)</f>
        <v>966.98800000000017</v>
      </c>
      <c r="Y272">
        <v>1093.3900000000001</v>
      </c>
      <c r="Z272" t="str">
        <f>IF(Table1[[#This Row],[UnitPrice]]&lt;=Quantiles!$B$2,Quantiles!$A$2,IF(Table1[[#This Row],[UnitPrice]]&lt;=Quantiles!$B$3,Quantiles!$A$3,Quantiles!$A$4))</f>
        <v>Medium</v>
      </c>
      <c r="AA272">
        <v>0.113</v>
      </c>
      <c r="AB272" s="5">
        <f>MIN(Table1[[#This Row],[DiscountPct]],'scenario modeling'!$B$2)</f>
        <v>0.1</v>
      </c>
      <c r="AC272" t="str">
        <f>IF(Table1[[#This Row],[DiscountPct]]&gt;0.3, "&gt;0.3","")</f>
        <v/>
      </c>
      <c r="AD272">
        <v>17</v>
      </c>
      <c r="AE272">
        <f>Table1[[#This Row],[Quantity]]*(1+'scenario modeling'!$B$4)</f>
        <v>20.399999999999999</v>
      </c>
      <c r="AF272">
        <f>Table1[[#This Row],[UnitCost]]*Table1[[#This Row],[Quantity]]</f>
        <v>14944.36</v>
      </c>
      <c r="AG272">
        <f>SUMIF($U:U,Table1[[#This Row],[ProductCategory]],$AM:AM)</f>
        <v>1549460.0077899997</v>
      </c>
      <c r="AH272">
        <f>SUMIFS($AM$2:AM272,$U$2:U272,U272)</f>
        <v>209080.22023000001</v>
      </c>
      <c r="AI272" s="5">
        <f>Table1[[#This Row],[Cumulative_revenue]]/Table1[[#This Row],[Category_revenue]]</f>
        <v>0.13493747446132015</v>
      </c>
      <c r="AJ272" t="str">
        <f>IF(Table1[[#This Row],[cumulative_pct]]&lt;=0.8,"A",IF(Table1[[#This Row],[cumulative_pct]]&lt;=0.95,"B","C"))</f>
        <v>A</v>
      </c>
      <c r="AK272">
        <f>Table1[[#This Row],[adj_unit_cost]]*Table1[[#This Row],[scenario_quantity]]</f>
        <v>19726.555200000003</v>
      </c>
      <c r="AL272" s="5">
        <f>Table1[[#This Row],[UnitPrice]]*Table1[[#This Row],[scenario_quantity]]*(1-Table1[[#This Row],[cap_adjusted_discount]])</f>
        <v>20074.6404</v>
      </c>
      <c r="AM272" s="5">
        <f>Table1[[#This Row],[UnitPrice]]*Table1[[#This Row],[Quantity]]*(1-Table1[[#This Row],[DiscountPct]])</f>
        <v>16487.22781</v>
      </c>
      <c r="AN272" s="5">
        <f>Table1[[#This Row],[gross_revenue]]-Table1[[#This Row],[cost_of_goods]]</f>
        <v>1542.8678099999997</v>
      </c>
      <c r="AO272" s="5">
        <f>Table1[[#This Row],[scenario_revenue]]-Table1[[#This Row],[Scenario_unit_cost]]</f>
        <v>348.08519999999771</v>
      </c>
      <c r="AP272" s="5">
        <f>IF(Table1[[#This Row],[gross_revenue]]=0,0,Table1[[#This Row],[gross_profit]]/Table1[[#This Row],[gross_revenue]])</f>
        <v>9.3579577341935186E-2</v>
      </c>
    </row>
    <row r="273" spans="1:42" x14ac:dyDescent="0.35">
      <c r="A273" t="s">
        <v>588</v>
      </c>
      <c r="B273" t="str">
        <f>_xlfn.TEXTAFTER(Table1[[#This Row],[OrderID]],"-",2)</f>
        <v>126505</v>
      </c>
      <c r="C273">
        <f>YEAR(Table1[[#This Row],[OrderDate]])</f>
        <v>2023</v>
      </c>
      <c r="D273" s="9">
        <f>_xlfn.MINIFS(F:F,P:P,Table1[[#This Row],[Country]])</f>
        <v>44928</v>
      </c>
      <c r="E273" s="7">
        <f>DATEDIF(Table1[[#This Row],[first_time_orders]],Table1[[#This Row],[OrderDate]],"m")</f>
        <v>11</v>
      </c>
      <c r="F273" s="9">
        <v>45279</v>
      </c>
      <c r="G273" s="2" t="str">
        <f>TEXT(Table1[[#This Row],[OrderDate]],"MMM-YYYY")</f>
        <v>Dec-2023</v>
      </c>
      <c r="H273" s="7">
        <f>MONTH(Table1[[#This Row],[OrderDate]])</f>
        <v>12</v>
      </c>
      <c r="I273" s="7" t="str">
        <f>"Q"&amp;ROUNDUP(Table1[[#This Row],[months]]/3,0)&amp;"-"&amp;Table1[[#This Row],[order_year]]</f>
        <v>Q4-2023</v>
      </c>
      <c r="J273" s="7">
        <f>Table1[[#This Row],[RequiredDate]]-Table1[[#This Row],[OrderDate]]</f>
        <v>13</v>
      </c>
      <c r="K273" s="7">
        <f>IF(Table1[[#This Row],[lead_time]]&lt;0,MEDIAN(J:J),Table1[[#This Row],[lead_time]])</f>
        <v>13</v>
      </c>
      <c r="L273" s="7">
        <f>IF(Table1[[#This Row],[adj_lead_time]]&lt;=7,1,0)</f>
        <v>0</v>
      </c>
      <c r="M273" s="9">
        <v>45292</v>
      </c>
      <c r="N273" s="9">
        <f>IF(Table1[[#This Row],[lead_time]]&lt;0,(Table1[[#This Row],[OrderDate]]+Table1[[#This Row],[adj_lead_time]]),Table1[[#This Row],[RequiredDate]])</f>
        <v>45292</v>
      </c>
      <c r="O273" t="s">
        <v>648</v>
      </c>
      <c r="P273" t="s">
        <v>653</v>
      </c>
      <c r="Q273" t="s">
        <v>667</v>
      </c>
      <c r="R273" t="s">
        <v>706</v>
      </c>
      <c r="S273" t="s">
        <v>707</v>
      </c>
      <c r="T273" t="s">
        <v>723</v>
      </c>
      <c r="U273" t="s">
        <v>732</v>
      </c>
      <c r="V273" t="s">
        <v>1306</v>
      </c>
      <c r="W273">
        <v>856.1</v>
      </c>
      <c r="X273">
        <f>Table1[[#This Row],[UnitCost]]*(1+'scenario modeling'!$B$3)</f>
        <v>941.71000000000015</v>
      </c>
      <c r="Y273">
        <v>901.48</v>
      </c>
      <c r="Z273" t="str">
        <f>IF(Table1[[#This Row],[UnitPrice]]&lt;=Quantiles!$B$2,Quantiles!$A$2,IF(Table1[[#This Row],[UnitPrice]]&lt;=Quantiles!$B$3,Quantiles!$A$3,Quantiles!$A$4))</f>
        <v>Medium</v>
      </c>
      <c r="AA273">
        <v>5.6000000000000001E-2</v>
      </c>
      <c r="AB273" s="5">
        <f>MIN(Table1[[#This Row],[DiscountPct]],'scenario modeling'!$B$2)</f>
        <v>5.6000000000000001E-2</v>
      </c>
      <c r="AC273" t="str">
        <f>IF(Table1[[#This Row],[DiscountPct]]&gt;0.3, "&gt;0.3","")</f>
        <v/>
      </c>
      <c r="AD273">
        <v>17</v>
      </c>
      <c r="AE273">
        <f>Table1[[#This Row],[Quantity]]*(1+'scenario modeling'!$B$4)</f>
        <v>20.399999999999999</v>
      </c>
      <c r="AF273">
        <f>Table1[[#This Row],[UnitCost]]*Table1[[#This Row],[Quantity]]</f>
        <v>14553.7</v>
      </c>
      <c r="AG273">
        <f>SUMIF($U:U,Table1[[#This Row],[ProductCategory]],$AM:AM)</f>
        <v>1549460.0077899997</v>
      </c>
      <c r="AH273">
        <f>SUMIFS($AM$2:AM273,$U$2:U273,U273)</f>
        <v>223547.17126999999</v>
      </c>
      <c r="AI273" s="5">
        <f>Table1[[#This Row],[Cumulative_revenue]]/Table1[[#This Row],[Category_revenue]]</f>
        <v>0.1442742440244367</v>
      </c>
      <c r="AJ273" t="str">
        <f>IF(Table1[[#This Row],[cumulative_pct]]&lt;=0.8,"A",IF(Table1[[#This Row],[cumulative_pct]]&lt;=0.95,"B","C"))</f>
        <v>A</v>
      </c>
      <c r="AK273">
        <f>Table1[[#This Row],[adj_unit_cost]]*Table1[[#This Row],[scenario_quantity]]</f>
        <v>19210.884000000002</v>
      </c>
      <c r="AL273" s="5">
        <f>Table1[[#This Row],[UnitPrice]]*Table1[[#This Row],[scenario_quantity]]*(1-Table1[[#This Row],[cap_adjusted_discount]])</f>
        <v>17360.341247999997</v>
      </c>
      <c r="AM273" s="5">
        <f>Table1[[#This Row],[UnitPrice]]*Table1[[#This Row],[Quantity]]*(1-Table1[[#This Row],[DiscountPct]])</f>
        <v>14466.95104</v>
      </c>
      <c r="AN273" s="5">
        <f>Table1[[#This Row],[gross_revenue]]-Table1[[#This Row],[cost_of_goods]]</f>
        <v>-86.748960000000807</v>
      </c>
      <c r="AO273" s="5">
        <f>Table1[[#This Row],[scenario_revenue]]-Table1[[#This Row],[Scenario_unit_cost]]</f>
        <v>-1850.5427520000048</v>
      </c>
      <c r="AP273" s="5">
        <f>IF(Table1[[#This Row],[gross_revenue]]=0,0,Table1[[#This Row],[gross_profit]]/Table1[[#This Row],[gross_revenue]])</f>
        <v>-5.9963540182134192E-3</v>
      </c>
    </row>
    <row r="274" spans="1:42" x14ac:dyDescent="0.35">
      <c r="A274" t="s">
        <v>103</v>
      </c>
      <c r="B274" t="str">
        <f>_xlfn.TEXTAFTER(Table1[[#This Row],[OrderID]],"-",2)</f>
        <v>604471</v>
      </c>
      <c r="C274">
        <f>YEAR(Table1[[#This Row],[OrderDate]])</f>
        <v>2024</v>
      </c>
      <c r="D274" s="9">
        <f>_xlfn.MINIFS(F:F,P:P,Table1[[#This Row],[Country]])</f>
        <v>44955</v>
      </c>
      <c r="E274" s="7">
        <f>DATEDIF(Table1[[#This Row],[first_time_orders]],Table1[[#This Row],[OrderDate]],"m")</f>
        <v>11</v>
      </c>
      <c r="F274" s="9">
        <v>45312</v>
      </c>
      <c r="G274" s="2" t="str">
        <f>TEXT(Table1[[#This Row],[OrderDate]],"MMM-YYYY")</f>
        <v>Jan-2024</v>
      </c>
      <c r="H274" s="7">
        <f>MONTH(Table1[[#This Row],[OrderDate]])</f>
        <v>1</v>
      </c>
      <c r="I274" s="7" t="str">
        <f>"Q"&amp;ROUNDUP(Table1[[#This Row],[months]]/3,0)&amp;"-"&amp;Table1[[#This Row],[order_year]]</f>
        <v>Q1-2024</v>
      </c>
      <c r="J274" s="7">
        <f>Table1[[#This Row],[RequiredDate]]-Table1[[#This Row],[OrderDate]]</f>
        <v>4</v>
      </c>
      <c r="K274" s="7">
        <f>IF(Table1[[#This Row],[lead_time]]&lt;0,MEDIAN(J:J),Table1[[#This Row],[lead_time]])</f>
        <v>4</v>
      </c>
      <c r="L274" s="7">
        <f>IF(Table1[[#This Row],[adj_lead_time]]&lt;=7,1,0)</f>
        <v>1</v>
      </c>
      <c r="M274" s="9">
        <v>45316</v>
      </c>
      <c r="N274" s="9">
        <f>IF(Table1[[#This Row],[lead_time]]&lt;0,(Table1[[#This Row],[OrderDate]]+Table1[[#This Row],[adj_lead_time]]),Table1[[#This Row],[RequiredDate]])</f>
        <v>45316</v>
      </c>
      <c r="O274" t="s">
        <v>647</v>
      </c>
      <c r="P274" t="s">
        <v>654</v>
      </c>
      <c r="Q274" t="s">
        <v>680</v>
      </c>
      <c r="R274" t="s">
        <v>704</v>
      </c>
      <c r="S274" t="s">
        <v>711</v>
      </c>
      <c r="T274" t="s">
        <v>712</v>
      </c>
      <c r="U274" t="s">
        <v>732</v>
      </c>
      <c r="V274" t="s">
        <v>822</v>
      </c>
      <c r="W274">
        <v>523.70000000000005</v>
      </c>
      <c r="X274">
        <f>Table1[[#This Row],[UnitCost]]*(1+'scenario modeling'!$B$3)</f>
        <v>576.07000000000005</v>
      </c>
      <c r="Y274">
        <v>1109.92</v>
      </c>
      <c r="Z274" t="str">
        <f>IF(Table1[[#This Row],[UnitPrice]]&lt;=Quantiles!$B$2,Quantiles!$A$2,IF(Table1[[#This Row],[UnitPrice]]&lt;=Quantiles!$B$3,Quantiles!$A$3,Quantiles!$A$4))</f>
        <v>Medium</v>
      </c>
      <c r="AA274">
        <v>0.03</v>
      </c>
      <c r="AB274" s="5">
        <f>MIN(Table1[[#This Row],[DiscountPct]],'scenario modeling'!$B$2)</f>
        <v>0.03</v>
      </c>
      <c r="AC274" t="str">
        <f>IF(Table1[[#This Row],[DiscountPct]]&gt;0.3, "&gt;0.3","")</f>
        <v/>
      </c>
      <c r="AD274">
        <v>11</v>
      </c>
      <c r="AE274">
        <f>Table1[[#This Row],[Quantity]]*(1+'scenario modeling'!$B$4)</f>
        <v>13.2</v>
      </c>
      <c r="AF274">
        <f>Table1[[#This Row],[UnitCost]]*Table1[[#This Row],[Quantity]]</f>
        <v>5760.7000000000007</v>
      </c>
      <c r="AG274">
        <f>SUMIF($U:U,Table1[[#This Row],[ProductCategory]],$AM:AM)</f>
        <v>1549460.0077899997</v>
      </c>
      <c r="AH274">
        <f>SUMIFS($AM$2:AM274,$U$2:U274,U274)</f>
        <v>235390.01767</v>
      </c>
      <c r="AI274" s="5">
        <f>Table1[[#This Row],[Cumulative_revenue]]/Table1[[#This Row],[Category_revenue]]</f>
        <v>0.15191745284587088</v>
      </c>
      <c r="AJ274" t="str">
        <f>IF(Table1[[#This Row],[cumulative_pct]]&lt;=0.8,"A",IF(Table1[[#This Row],[cumulative_pct]]&lt;=0.95,"B","C"))</f>
        <v>A</v>
      </c>
      <c r="AK274">
        <f>Table1[[#This Row],[adj_unit_cost]]*Table1[[#This Row],[scenario_quantity]]</f>
        <v>7604.1239999999998</v>
      </c>
      <c r="AL274" s="5">
        <f>Table1[[#This Row],[UnitPrice]]*Table1[[#This Row],[scenario_quantity]]*(1-Table1[[#This Row],[cap_adjusted_discount]])</f>
        <v>14211.415679999998</v>
      </c>
      <c r="AM274" s="5">
        <f>Table1[[#This Row],[UnitPrice]]*Table1[[#This Row],[Quantity]]*(1-Table1[[#This Row],[DiscountPct]])</f>
        <v>11842.8464</v>
      </c>
      <c r="AN274" s="5">
        <f>Table1[[#This Row],[gross_revenue]]-Table1[[#This Row],[cost_of_goods]]</f>
        <v>6082.1463999999996</v>
      </c>
      <c r="AO274" s="5">
        <f>Table1[[#This Row],[scenario_revenue]]-Table1[[#This Row],[Scenario_unit_cost]]</f>
        <v>6607.2916799999985</v>
      </c>
      <c r="AP274" s="5">
        <f>IF(Table1[[#This Row],[gross_revenue]]=0,0,Table1[[#This Row],[gross_profit]]/Table1[[#This Row],[gross_revenue]])</f>
        <v>0.51357133197302973</v>
      </c>
    </row>
    <row r="275" spans="1:42" x14ac:dyDescent="0.35">
      <c r="A275" t="s">
        <v>433</v>
      </c>
      <c r="B275" t="str">
        <f>_xlfn.TEXTAFTER(Table1[[#This Row],[OrderID]],"-",2)</f>
        <v>749242</v>
      </c>
      <c r="C275">
        <f>YEAR(Table1[[#This Row],[OrderDate]])</f>
        <v>2024</v>
      </c>
      <c r="D275" s="9">
        <f>_xlfn.MINIFS(F:F,P:P,Table1[[#This Row],[Country]])</f>
        <v>44948</v>
      </c>
      <c r="E275" s="7">
        <f>DATEDIF(Table1[[#This Row],[first_time_orders]],Table1[[#This Row],[OrderDate]],"m")</f>
        <v>11</v>
      </c>
      <c r="F275" s="9">
        <v>45307</v>
      </c>
      <c r="G275" s="2" t="str">
        <f>TEXT(Table1[[#This Row],[OrderDate]],"MMM-YYYY")</f>
        <v>Jan-2024</v>
      </c>
      <c r="H275" s="7">
        <f>MONTH(Table1[[#This Row],[OrderDate]])</f>
        <v>1</v>
      </c>
      <c r="I275" s="7" t="str">
        <f>"Q"&amp;ROUNDUP(Table1[[#This Row],[months]]/3,0)&amp;"-"&amp;Table1[[#This Row],[order_year]]</f>
        <v>Q1-2024</v>
      </c>
      <c r="J275" s="7">
        <f>Table1[[#This Row],[RequiredDate]]-Table1[[#This Row],[OrderDate]]</f>
        <v>26</v>
      </c>
      <c r="K275" s="7">
        <f>IF(Table1[[#This Row],[lead_time]]&lt;0,MEDIAN(J:J),Table1[[#This Row],[lead_time]])</f>
        <v>26</v>
      </c>
      <c r="L275" s="7">
        <f>IF(Table1[[#This Row],[adj_lead_time]]&lt;=7,1,0)</f>
        <v>0</v>
      </c>
      <c r="M275" s="9">
        <v>45333</v>
      </c>
      <c r="N275" s="9">
        <f>IF(Table1[[#This Row],[lead_time]]&lt;0,(Table1[[#This Row],[OrderDate]]+Table1[[#This Row],[adj_lead_time]]),Table1[[#This Row],[RequiredDate]])</f>
        <v>45333</v>
      </c>
      <c r="O275" t="s">
        <v>649</v>
      </c>
      <c r="P275" t="s">
        <v>656</v>
      </c>
      <c r="Q275" t="s">
        <v>698</v>
      </c>
      <c r="R275" t="s">
        <v>703</v>
      </c>
      <c r="S275" t="s">
        <v>710</v>
      </c>
      <c r="T275" t="s">
        <v>718</v>
      </c>
      <c r="U275" t="s">
        <v>732</v>
      </c>
      <c r="V275" t="s">
        <v>1152</v>
      </c>
      <c r="W275">
        <v>504.93</v>
      </c>
      <c r="X275">
        <f>Table1[[#This Row],[UnitCost]]*(1+'scenario modeling'!$B$3)</f>
        <v>555.423</v>
      </c>
      <c r="Y275">
        <v>819.06</v>
      </c>
      <c r="Z275" t="str">
        <f>IF(Table1[[#This Row],[UnitPrice]]&lt;=Quantiles!$B$2,Quantiles!$A$2,IF(Table1[[#This Row],[UnitPrice]]&lt;=Quantiles!$B$3,Quantiles!$A$3,Quantiles!$A$4))</f>
        <v>Medium</v>
      </c>
      <c r="AA275">
        <v>0.22600000000000001</v>
      </c>
      <c r="AB275" s="5">
        <f>MIN(Table1[[#This Row],[DiscountPct]],'scenario modeling'!$B$2)</f>
        <v>0.1</v>
      </c>
      <c r="AC275" t="str">
        <f>IF(Table1[[#This Row],[DiscountPct]]&gt;0.3, "&gt;0.3","")</f>
        <v/>
      </c>
      <c r="AD275">
        <v>15</v>
      </c>
      <c r="AE275">
        <f>Table1[[#This Row],[Quantity]]*(1+'scenario modeling'!$B$4)</f>
        <v>18</v>
      </c>
      <c r="AF275">
        <f>Table1[[#This Row],[UnitCost]]*Table1[[#This Row],[Quantity]]</f>
        <v>7573.95</v>
      </c>
      <c r="AG275">
        <f>SUMIF($U:U,Table1[[#This Row],[ProductCategory]],$AM:AM)</f>
        <v>1549460.0077899997</v>
      </c>
      <c r="AH275">
        <f>SUMIFS($AM$2:AM275,$U$2:U275,U275)</f>
        <v>244899.30426999999</v>
      </c>
      <c r="AI275" s="5">
        <f>Table1[[#This Row],[Cumulative_revenue]]/Table1[[#This Row],[Category_revenue]]</f>
        <v>0.15805461453587352</v>
      </c>
      <c r="AJ275" t="str">
        <f>IF(Table1[[#This Row],[cumulative_pct]]&lt;=0.8,"A",IF(Table1[[#This Row],[cumulative_pct]]&lt;=0.95,"B","C"))</f>
        <v>A</v>
      </c>
      <c r="AK275">
        <f>Table1[[#This Row],[adj_unit_cost]]*Table1[[#This Row],[scenario_quantity]]</f>
        <v>9997.6139999999996</v>
      </c>
      <c r="AL275" s="5">
        <f>Table1[[#This Row],[UnitPrice]]*Table1[[#This Row],[scenario_quantity]]*(1-Table1[[#This Row],[cap_adjusted_discount]])</f>
        <v>13268.771999999999</v>
      </c>
      <c r="AM275" s="5">
        <f>Table1[[#This Row],[UnitPrice]]*Table1[[#This Row],[Quantity]]*(1-Table1[[#This Row],[DiscountPct]])</f>
        <v>9509.2865999999995</v>
      </c>
      <c r="AN275" s="5">
        <f>Table1[[#This Row],[gross_revenue]]-Table1[[#This Row],[cost_of_goods]]</f>
        <v>1935.3365999999996</v>
      </c>
      <c r="AO275" s="5">
        <f>Table1[[#This Row],[scenario_revenue]]-Table1[[#This Row],[Scenario_unit_cost]]</f>
        <v>3271.1579999999994</v>
      </c>
      <c r="AP275" s="5">
        <f>IF(Table1[[#This Row],[gross_revenue]]=0,0,Table1[[#This Row],[gross_profit]]/Table1[[#This Row],[gross_revenue]])</f>
        <v>0.20352069312959814</v>
      </c>
    </row>
    <row r="276" spans="1:42" x14ac:dyDescent="0.35">
      <c r="A276" t="s">
        <v>487</v>
      </c>
      <c r="B276" t="str">
        <f>_xlfn.TEXTAFTER(Table1[[#This Row],[OrderID]],"-",2)</f>
        <v>647571</v>
      </c>
      <c r="C276">
        <f>YEAR(Table1[[#This Row],[OrderDate]])</f>
        <v>2024</v>
      </c>
      <c r="D276" s="9">
        <f>_xlfn.MINIFS(F:F,P:P,Table1[[#This Row],[Country]])</f>
        <v>44946</v>
      </c>
      <c r="E276" s="7">
        <f>DATEDIF(Table1[[#This Row],[first_time_orders]],Table1[[#This Row],[OrderDate]],"m")</f>
        <v>12</v>
      </c>
      <c r="F276" s="9">
        <v>45328</v>
      </c>
      <c r="G276" s="2" t="str">
        <f>TEXT(Table1[[#This Row],[OrderDate]],"MMM-YYYY")</f>
        <v>Feb-2024</v>
      </c>
      <c r="H276" s="7">
        <f>MONTH(Table1[[#This Row],[OrderDate]])</f>
        <v>2</v>
      </c>
      <c r="I276" s="7" t="str">
        <f>"Q"&amp;ROUNDUP(Table1[[#This Row],[months]]/3,0)&amp;"-"&amp;Table1[[#This Row],[order_year]]</f>
        <v>Q1-2024</v>
      </c>
      <c r="J276" s="7">
        <f>Table1[[#This Row],[RequiredDate]]-Table1[[#This Row],[OrderDate]]</f>
        <v>22</v>
      </c>
      <c r="K276" s="7">
        <f>IF(Table1[[#This Row],[lead_time]]&lt;0,MEDIAN(J:J),Table1[[#This Row],[lead_time]])</f>
        <v>22</v>
      </c>
      <c r="L276" s="7">
        <f>IF(Table1[[#This Row],[adj_lead_time]]&lt;=7,1,0)</f>
        <v>0</v>
      </c>
      <c r="M276" s="9">
        <v>45350</v>
      </c>
      <c r="N276" s="9">
        <f>IF(Table1[[#This Row],[lead_time]]&lt;0,(Table1[[#This Row],[OrderDate]]+Table1[[#This Row],[adj_lead_time]]),Table1[[#This Row],[RequiredDate]])</f>
        <v>45350</v>
      </c>
      <c r="O276" t="s">
        <v>646</v>
      </c>
      <c r="P276" t="s">
        <v>650</v>
      </c>
      <c r="Q276" t="s">
        <v>662</v>
      </c>
      <c r="R276" t="s">
        <v>703</v>
      </c>
      <c r="S276" t="s">
        <v>708</v>
      </c>
      <c r="T276" t="s">
        <v>723</v>
      </c>
      <c r="U276" t="s">
        <v>732</v>
      </c>
      <c r="V276" t="s">
        <v>1206</v>
      </c>
      <c r="W276">
        <v>834.93</v>
      </c>
      <c r="X276">
        <f>Table1[[#This Row],[UnitCost]]*(1+'scenario modeling'!$B$3)</f>
        <v>918.423</v>
      </c>
      <c r="Y276">
        <v>1588.53</v>
      </c>
      <c r="Z276" t="str">
        <f>IF(Table1[[#This Row],[UnitPrice]]&lt;=Quantiles!$B$2,Quantiles!$A$2,IF(Table1[[#This Row],[UnitPrice]]&lt;=Quantiles!$B$3,Quantiles!$A$3,Quantiles!$A$4))</f>
        <v>Medium</v>
      </c>
      <c r="AA276">
        <v>0.126</v>
      </c>
      <c r="AB276" s="5">
        <f>MIN(Table1[[#This Row],[DiscountPct]],'scenario modeling'!$B$2)</f>
        <v>0.1</v>
      </c>
      <c r="AC276" t="str">
        <f>IF(Table1[[#This Row],[DiscountPct]]&gt;0.3, "&gt;0.3","")</f>
        <v/>
      </c>
      <c r="AD276">
        <v>6</v>
      </c>
      <c r="AE276">
        <f>Table1[[#This Row],[Quantity]]*(1+'scenario modeling'!$B$4)</f>
        <v>7.1999999999999993</v>
      </c>
      <c r="AF276">
        <f>Table1[[#This Row],[UnitCost]]*Table1[[#This Row],[Quantity]]</f>
        <v>5009.58</v>
      </c>
      <c r="AG276">
        <f>SUMIF($U:U,Table1[[#This Row],[ProductCategory]],$AM:AM)</f>
        <v>1549460.0077899997</v>
      </c>
      <c r="AH276">
        <f>SUMIFS($AM$2:AM276,$U$2:U276,U276)</f>
        <v>253229.55559</v>
      </c>
      <c r="AI276" s="5">
        <f>Table1[[#This Row],[Cumulative_revenue]]/Table1[[#This Row],[Category_revenue]]</f>
        <v>0.16343084320787485</v>
      </c>
      <c r="AJ276" t="str">
        <f>IF(Table1[[#This Row],[cumulative_pct]]&lt;=0.8,"A",IF(Table1[[#This Row],[cumulative_pct]]&lt;=0.95,"B","C"))</f>
        <v>A</v>
      </c>
      <c r="AK276">
        <f>Table1[[#This Row],[adj_unit_cost]]*Table1[[#This Row],[scenario_quantity]]</f>
        <v>6612.6455999999989</v>
      </c>
      <c r="AL276" s="5">
        <f>Table1[[#This Row],[UnitPrice]]*Table1[[#This Row],[scenario_quantity]]*(1-Table1[[#This Row],[cap_adjusted_discount]])</f>
        <v>10293.6744</v>
      </c>
      <c r="AM276" s="5">
        <f>Table1[[#This Row],[UnitPrice]]*Table1[[#This Row],[Quantity]]*(1-Table1[[#This Row],[DiscountPct]])</f>
        <v>8330.2513199999994</v>
      </c>
      <c r="AN276" s="5">
        <f>Table1[[#This Row],[gross_revenue]]-Table1[[#This Row],[cost_of_goods]]</f>
        <v>3320.6713199999995</v>
      </c>
      <c r="AO276" s="5">
        <f>Table1[[#This Row],[scenario_revenue]]-Table1[[#This Row],[Scenario_unit_cost]]</f>
        <v>3681.028800000001</v>
      </c>
      <c r="AP276" s="5">
        <f>IF(Table1[[#This Row],[gross_revenue]]=0,0,Table1[[#This Row],[gross_profit]]/Table1[[#This Row],[gross_revenue]])</f>
        <v>0.39862798761274343</v>
      </c>
    </row>
    <row r="277" spans="1:42" x14ac:dyDescent="0.35">
      <c r="A277" t="s">
        <v>560</v>
      </c>
      <c r="B277" t="str">
        <f>_xlfn.TEXTAFTER(Table1[[#This Row],[OrderID]],"-",2)</f>
        <v>419248</v>
      </c>
      <c r="C277">
        <f>YEAR(Table1[[#This Row],[OrderDate]])</f>
        <v>2024</v>
      </c>
      <c r="D277" s="9">
        <f>_xlfn.MINIFS(F:F,P:P,Table1[[#This Row],[Country]])</f>
        <v>44933</v>
      </c>
      <c r="E277" s="7">
        <f>DATEDIF(Table1[[#This Row],[first_time_orders]],Table1[[#This Row],[OrderDate]],"m")</f>
        <v>13</v>
      </c>
      <c r="F277" s="9">
        <v>45355</v>
      </c>
      <c r="G277" s="2" t="str">
        <f>TEXT(Table1[[#This Row],[OrderDate]],"MMM-YYYY")</f>
        <v>Mar-2024</v>
      </c>
      <c r="H277" s="7">
        <f>MONTH(Table1[[#This Row],[OrderDate]])</f>
        <v>3</v>
      </c>
      <c r="I277" s="7" t="str">
        <f>"Q"&amp;ROUNDUP(Table1[[#This Row],[months]]/3,0)&amp;"-"&amp;Table1[[#This Row],[order_year]]</f>
        <v>Q1-2024</v>
      </c>
      <c r="J277" s="7">
        <f>Table1[[#This Row],[RequiredDate]]-Table1[[#This Row],[OrderDate]]</f>
        <v>12</v>
      </c>
      <c r="K277" s="7">
        <f>IF(Table1[[#This Row],[lead_time]]&lt;0,MEDIAN(J:J),Table1[[#This Row],[lead_time]])</f>
        <v>12</v>
      </c>
      <c r="L277" s="7">
        <f>IF(Table1[[#This Row],[adj_lead_time]]&lt;=7,1,0)</f>
        <v>0</v>
      </c>
      <c r="M277" s="9">
        <v>45367</v>
      </c>
      <c r="N277" s="9">
        <f>IF(Table1[[#This Row],[lead_time]]&lt;0,(Table1[[#This Row],[OrderDate]]+Table1[[#This Row],[adj_lead_time]]),Table1[[#This Row],[RequiredDate]])</f>
        <v>45367</v>
      </c>
      <c r="O277" t="s">
        <v>646</v>
      </c>
      <c r="P277" t="s">
        <v>661</v>
      </c>
      <c r="Q277" t="s">
        <v>682</v>
      </c>
      <c r="R277" t="s">
        <v>706</v>
      </c>
      <c r="S277" t="s">
        <v>710</v>
      </c>
      <c r="T277" t="s">
        <v>724</v>
      </c>
      <c r="U277" t="s">
        <v>732</v>
      </c>
      <c r="V277" t="s">
        <v>1278</v>
      </c>
      <c r="W277">
        <v>441.08</v>
      </c>
      <c r="X277">
        <f>Table1[[#This Row],[UnitCost]]*(1+'scenario modeling'!$B$3)</f>
        <v>485.18800000000005</v>
      </c>
      <c r="Y277">
        <v>1054.29</v>
      </c>
      <c r="Z277" t="str">
        <f>IF(Table1[[#This Row],[UnitPrice]]&lt;=Quantiles!$B$2,Quantiles!$A$2,IF(Table1[[#This Row],[UnitPrice]]&lt;=Quantiles!$B$3,Quantiles!$A$3,Quantiles!$A$4))</f>
        <v>Medium</v>
      </c>
      <c r="AA277">
        <v>0.23699999999999999</v>
      </c>
      <c r="AB277" s="5">
        <f>MIN(Table1[[#This Row],[DiscountPct]],'scenario modeling'!$B$2)</f>
        <v>0.1</v>
      </c>
      <c r="AC277" t="str">
        <f>IF(Table1[[#This Row],[DiscountPct]]&gt;0.3, "&gt;0.3","")</f>
        <v/>
      </c>
      <c r="AD277">
        <v>6</v>
      </c>
      <c r="AE277">
        <f>Table1[[#This Row],[Quantity]]*(1+'scenario modeling'!$B$4)</f>
        <v>7.1999999999999993</v>
      </c>
      <c r="AF277">
        <f>Table1[[#This Row],[UnitCost]]*Table1[[#This Row],[Quantity]]</f>
        <v>2646.48</v>
      </c>
      <c r="AG277">
        <f>SUMIF($U:U,Table1[[#This Row],[ProductCategory]],$AM:AM)</f>
        <v>1549460.0077899997</v>
      </c>
      <c r="AH277">
        <f>SUMIFS($AM$2:AM277,$U$2:U277,U277)</f>
        <v>258056.09521</v>
      </c>
      <c r="AI277" s="5">
        <f>Table1[[#This Row],[Cumulative_revenue]]/Table1[[#This Row],[Category_revenue]]</f>
        <v>0.16654582494069423</v>
      </c>
      <c r="AJ277" t="str">
        <f>IF(Table1[[#This Row],[cumulative_pct]]&lt;=0.8,"A",IF(Table1[[#This Row],[cumulative_pct]]&lt;=0.95,"B","C"))</f>
        <v>A</v>
      </c>
      <c r="AK277">
        <f>Table1[[#This Row],[adj_unit_cost]]*Table1[[#This Row],[scenario_quantity]]</f>
        <v>3493.3535999999999</v>
      </c>
      <c r="AL277" s="5">
        <f>Table1[[#This Row],[UnitPrice]]*Table1[[#This Row],[scenario_quantity]]*(1-Table1[[#This Row],[cap_adjusted_discount]])</f>
        <v>6831.7991999999995</v>
      </c>
      <c r="AM277" s="5">
        <f>Table1[[#This Row],[UnitPrice]]*Table1[[#This Row],[Quantity]]*(1-Table1[[#This Row],[DiscountPct]])</f>
        <v>4826.5396199999996</v>
      </c>
      <c r="AN277" s="5">
        <f>Table1[[#This Row],[gross_revenue]]-Table1[[#This Row],[cost_of_goods]]</f>
        <v>2180.0596199999995</v>
      </c>
      <c r="AO277" s="5">
        <f>Table1[[#This Row],[scenario_revenue]]-Table1[[#This Row],[Scenario_unit_cost]]</f>
        <v>3338.4455999999996</v>
      </c>
      <c r="AP277" s="5">
        <f>IF(Table1[[#This Row],[gross_revenue]]=0,0,Table1[[#This Row],[gross_profit]]/Table1[[#This Row],[gross_revenue]])</f>
        <v>0.45168169985932899</v>
      </c>
    </row>
    <row r="278" spans="1:42" x14ac:dyDescent="0.35">
      <c r="A278" t="s">
        <v>572</v>
      </c>
      <c r="B278" t="str">
        <f>_xlfn.TEXTAFTER(Table1[[#This Row],[OrderID]],"-",2)</f>
        <v>687073</v>
      </c>
      <c r="C278">
        <f>YEAR(Table1[[#This Row],[OrderDate]])</f>
        <v>2024</v>
      </c>
      <c r="D278" s="9">
        <f>_xlfn.MINIFS(F:F,P:P,Table1[[#This Row],[Country]])</f>
        <v>44939</v>
      </c>
      <c r="E278" s="7">
        <f>DATEDIF(Table1[[#This Row],[first_time_orders]],Table1[[#This Row],[OrderDate]],"m")</f>
        <v>13</v>
      </c>
      <c r="F278" s="9">
        <v>45362</v>
      </c>
      <c r="G278" s="2" t="str">
        <f>TEXT(Table1[[#This Row],[OrderDate]],"MMM-YYYY")</f>
        <v>Mar-2024</v>
      </c>
      <c r="H278" s="7">
        <f>MONTH(Table1[[#This Row],[OrderDate]])</f>
        <v>3</v>
      </c>
      <c r="I278" s="7" t="str">
        <f>"Q"&amp;ROUNDUP(Table1[[#This Row],[months]]/3,0)&amp;"-"&amp;Table1[[#This Row],[order_year]]</f>
        <v>Q1-2024</v>
      </c>
      <c r="J278" s="7">
        <f>Table1[[#This Row],[RequiredDate]]-Table1[[#This Row],[OrderDate]]</f>
        <v>18</v>
      </c>
      <c r="K278" s="7">
        <f>IF(Table1[[#This Row],[lead_time]]&lt;0,MEDIAN(J:J),Table1[[#This Row],[lead_time]])</f>
        <v>18</v>
      </c>
      <c r="L278" s="7">
        <f>IF(Table1[[#This Row],[adj_lead_time]]&lt;=7,1,0)</f>
        <v>0</v>
      </c>
      <c r="M278" s="9">
        <v>45380</v>
      </c>
      <c r="N278" s="9">
        <f>IF(Table1[[#This Row],[lead_time]]&lt;0,(Table1[[#This Row],[OrderDate]]+Table1[[#This Row],[adj_lead_time]]),Table1[[#This Row],[RequiredDate]])</f>
        <v>45380</v>
      </c>
      <c r="O278" t="s">
        <v>648</v>
      </c>
      <c r="P278" t="s">
        <v>660</v>
      </c>
      <c r="Q278" t="s">
        <v>700</v>
      </c>
      <c r="R278" t="s">
        <v>701</v>
      </c>
      <c r="S278" t="s">
        <v>707</v>
      </c>
      <c r="T278" t="s">
        <v>724</v>
      </c>
      <c r="U278" t="s">
        <v>732</v>
      </c>
      <c r="V278" t="s">
        <v>1290</v>
      </c>
      <c r="W278">
        <v>710.98</v>
      </c>
      <c r="X278">
        <f>Table1[[#This Row],[UnitCost]]*(1+'scenario modeling'!$B$3)</f>
        <v>782.07800000000009</v>
      </c>
      <c r="Y278">
        <v>1481.45</v>
      </c>
      <c r="Z278" t="str">
        <f>IF(Table1[[#This Row],[UnitPrice]]&lt;=Quantiles!$B$2,Quantiles!$A$2,IF(Table1[[#This Row],[UnitPrice]]&lt;=Quantiles!$B$3,Quantiles!$A$3,Quantiles!$A$4))</f>
        <v>Medium</v>
      </c>
      <c r="AA278">
        <v>0.21099999999999999</v>
      </c>
      <c r="AB278" s="5">
        <f>MIN(Table1[[#This Row],[DiscountPct]],'scenario modeling'!$B$2)</f>
        <v>0.1</v>
      </c>
      <c r="AC278" t="str">
        <f>IF(Table1[[#This Row],[DiscountPct]]&gt;0.3, "&gt;0.3","")</f>
        <v/>
      </c>
      <c r="AD278">
        <v>9</v>
      </c>
      <c r="AE278">
        <f>Table1[[#This Row],[Quantity]]*(1+'scenario modeling'!$B$4)</f>
        <v>10.799999999999999</v>
      </c>
      <c r="AF278">
        <f>Table1[[#This Row],[UnitCost]]*Table1[[#This Row],[Quantity]]</f>
        <v>6398.82</v>
      </c>
      <c r="AG278">
        <f>SUMIF($U:U,Table1[[#This Row],[ProductCategory]],$AM:AM)</f>
        <v>1549460.0077899997</v>
      </c>
      <c r="AH278">
        <f>SUMIFS($AM$2:AM278,$U$2:U278,U278)</f>
        <v>268575.87166</v>
      </c>
      <c r="AI278" s="5">
        <f>Table1[[#This Row],[Cumulative_revenue]]/Table1[[#This Row],[Category_revenue]]</f>
        <v>0.17333514276568565</v>
      </c>
      <c r="AJ278" t="str">
        <f>IF(Table1[[#This Row],[cumulative_pct]]&lt;=0.8,"A",IF(Table1[[#This Row],[cumulative_pct]]&lt;=0.95,"B","C"))</f>
        <v>A</v>
      </c>
      <c r="AK278">
        <f>Table1[[#This Row],[adj_unit_cost]]*Table1[[#This Row],[scenario_quantity]]</f>
        <v>8446.4423999999999</v>
      </c>
      <c r="AL278" s="5">
        <f>Table1[[#This Row],[UnitPrice]]*Table1[[#This Row],[scenario_quantity]]*(1-Table1[[#This Row],[cap_adjusted_discount]])</f>
        <v>14399.693999999998</v>
      </c>
      <c r="AM278" s="5">
        <f>Table1[[#This Row],[UnitPrice]]*Table1[[#This Row],[Quantity]]*(1-Table1[[#This Row],[DiscountPct]])</f>
        <v>10519.776450000001</v>
      </c>
      <c r="AN278" s="5">
        <f>Table1[[#This Row],[gross_revenue]]-Table1[[#This Row],[cost_of_goods]]</f>
        <v>4120.9564500000015</v>
      </c>
      <c r="AO278" s="5">
        <f>Table1[[#This Row],[scenario_revenue]]-Table1[[#This Row],[Scenario_unit_cost]]</f>
        <v>5953.2515999999978</v>
      </c>
      <c r="AP278" s="5">
        <f>IF(Table1[[#This Row],[gross_revenue]]=0,0,Table1[[#This Row],[gross_profit]]/Table1[[#This Row],[gross_revenue]])</f>
        <v>0.39173422264120461</v>
      </c>
    </row>
    <row r="279" spans="1:42" x14ac:dyDescent="0.35">
      <c r="A279" t="s">
        <v>377</v>
      </c>
      <c r="B279" t="str">
        <f>_xlfn.TEXTAFTER(Table1[[#This Row],[OrderID]],"-",2)</f>
        <v>343877</v>
      </c>
      <c r="C279">
        <f>YEAR(Table1[[#This Row],[OrderDate]])</f>
        <v>2024</v>
      </c>
      <c r="D279" s="9">
        <f>_xlfn.MINIFS(F:F,P:P,Table1[[#This Row],[Country]])</f>
        <v>44938</v>
      </c>
      <c r="E279" s="7">
        <f>DATEDIF(Table1[[#This Row],[first_time_orders]],Table1[[#This Row],[OrderDate]],"m")</f>
        <v>13</v>
      </c>
      <c r="F279" s="9">
        <v>45360</v>
      </c>
      <c r="G279" s="2" t="str">
        <f>TEXT(Table1[[#This Row],[OrderDate]],"MMM-YYYY")</f>
        <v>Mar-2024</v>
      </c>
      <c r="H279" s="7">
        <f>MONTH(Table1[[#This Row],[OrderDate]])</f>
        <v>3</v>
      </c>
      <c r="I279" s="7" t="str">
        <f>"Q"&amp;ROUNDUP(Table1[[#This Row],[months]]/3,0)&amp;"-"&amp;Table1[[#This Row],[order_year]]</f>
        <v>Q1-2024</v>
      </c>
      <c r="J279" s="7">
        <f>Table1[[#This Row],[RequiredDate]]-Table1[[#This Row],[OrderDate]]</f>
        <v>17</v>
      </c>
      <c r="K279" s="7">
        <f>IF(Table1[[#This Row],[lead_time]]&lt;0,MEDIAN(J:J),Table1[[#This Row],[lead_time]])</f>
        <v>17</v>
      </c>
      <c r="L279" s="7">
        <f>IF(Table1[[#This Row],[adj_lead_time]]&lt;=7,1,0)</f>
        <v>0</v>
      </c>
      <c r="M279" s="9">
        <v>45377</v>
      </c>
      <c r="N279" s="9">
        <f>IF(Table1[[#This Row],[lead_time]]&lt;0,(Table1[[#This Row],[OrderDate]]+Table1[[#This Row],[adj_lead_time]]),Table1[[#This Row],[RequiredDate]])</f>
        <v>45377</v>
      </c>
      <c r="O279" t="s">
        <v>647</v>
      </c>
      <c r="P279" t="s">
        <v>659</v>
      </c>
      <c r="Q279" t="s">
        <v>676</v>
      </c>
      <c r="R279" t="s">
        <v>706</v>
      </c>
      <c r="S279" t="s">
        <v>708</v>
      </c>
      <c r="T279" t="s">
        <v>723</v>
      </c>
      <c r="U279" t="s">
        <v>732</v>
      </c>
      <c r="V279" t="s">
        <v>1097</v>
      </c>
      <c r="W279">
        <v>1029.67</v>
      </c>
      <c r="X279">
        <f>Table1[[#This Row],[UnitCost]]*(1+'scenario modeling'!$B$3)</f>
        <v>1132.6370000000002</v>
      </c>
      <c r="Y279">
        <v>1118.43</v>
      </c>
      <c r="Z279" t="str">
        <f>IF(Table1[[#This Row],[UnitPrice]]&lt;=Quantiles!$B$2,Quantiles!$A$2,IF(Table1[[#This Row],[UnitPrice]]&lt;=Quantiles!$B$3,Quantiles!$A$3,Quantiles!$A$4))</f>
        <v>Medium</v>
      </c>
      <c r="AA279">
        <v>0.27200000000000002</v>
      </c>
      <c r="AB279" s="5">
        <f>MIN(Table1[[#This Row],[DiscountPct]],'scenario modeling'!$B$2)</f>
        <v>0.1</v>
      </c>
      <c r="AC279" t="str">
        <f>IF(Table1[[#This Row],[DiscountPct]]&gt;0.3, "&gt;0.3","")</f>
        <v/>
      </c>
      <c r="AD279">
        <v>9</v>
      </c>
      <c r="AE279">
        <f>Table1[[#This Row],[Quantity]]*(1+'scenario modeling'!$B$4)</f>
        <v>10.799999999999999</v>
      </c>
      <c r="AF279">
        <f>Table1[[#This Row],[UnitCost]]*Table1[[#This Row],[Quantity]]</f>
        <v>9267.0300000000007</v>
      </c>
      <c r="AG279">
        <f>SUMIF($U:U,Table1[[#This Row],[ProductCategory]],$AM:AM)</f>
        <v>1549460.0077899997</v>
      </c>
      <c r="AH279">
        <f>SUMIFS($AM$2:AM279,$U$2:U279,U279)</f>
        <v>275903.82501999999</v>
      </c>
      <c r="AI279" s="5">
        <f>Table1[[#This Row],[Cumulative_revenue]]/Table1[[#This Row],[Category_revenue]]</f>
        <v>0.17806450223489317</v>
      </c>
      <c r="AJ279" t="str">
        <f>IF(Table1[[#This Row],[cumulative_pct]]&lt;=0.8,"A",IF(Table1[[#This Row],[cumulative_pct]]&lt;=0.95,"B","C"))</f>
        <v>A</v>
      </c>
      <c r="AK279">
        <f>Table1[[#This Row],[adj_unit_cost]]*Table1[[#This Row],[scenario_quantity]]</f>
        <v>12232.479600000001</v>
      </c>
      <c r="AL279" s="5">
        <f>Table1[[#This Row],[UnitPrice]]*Table1[[#This Row],[scenario_quantity]]*(1-Table1[[#This Row],[cap_adjusted_discount]])</f>
        <v>10871.1396</v>
      </c>
      <c r="AM279" s="5">
        <f>Table1[[#This Row],[UnitPrice]]*Table1[[#This Row],[Quantity]]*(1-Table1[[#This Row],[DiscountPct]])</f>
        <v>7327.9533600000004</v>
      </c>
      <c r="AN279" s="5">
        <f>Table1[[#This Row],[gross_revenue]]-Table1[[#This Row],[cost_of_goods]]</f>
        <v>-1939.0766400000002</v>
      </c>
      <c r="AO279" s="5">
        <f>Table1[[#This Row],[scenario_revenue]]-Table1[[#This Row],[Scenario_unit_cost]]</f>
        <v>-1361.3400000000001</v>
      </c>
      <c r="AP279" s="5">
        <f>IF(Table1[[#This Row],[gross_revenue]]=0,0,Table1[[#This Row],[gross_profit]]/Table1[[#This Row],[gross_revenue]])</f>
        <v>-0.26461367106736061</v>
      </c>
    </row>
    <row r="280" spans="1:42" x14ac:dyDescent="0.35">
      <c r="A280" t="s">
        <v>442</v>
      </c>
      <c r="B280" t="str">
        <f>_xlfn.TEXTAFTER(Table1[[#This Row],[OrderID]],"-",2)</f>
        <v>811752</v>
      </c>
      <c r="C280">
        <f>YEAR(Table1[[#This Row],[OrderDate]])</f>
        <v>2024</v>
      </c>
      <c r="D280" s="9">
        <f>_xlfn.MINIFS(F:F,P:P,Table1[[#This Row],[Country]])</f>
        <v>44936</v>
      </c>
      <c r="E280" s="7">
        <f>DATEDIF(Table1[[#This Row],[first_time_orders]],Table1[[#This Row],[OrderDate]],"m")</f>
        <v>13</v>
      </c>
      <c r="F280" s="9">
        <v>45347</v>
      </c>
      <c r="G280" s="2" t="str">
        <f>TEXT(Table1[[#This Row],[OrderDate]],"MMM-YYYY")</f>
        <v>Feb-2024</v>
      </c>
      <c r="H280" s="7">
        <f>MONTH(Table1[[#This Row],[OrderDate]])</f>
        <v>2</v>
      </c>
      <c r="I280" s="7" t="str">
        <f>"Q"&amp;ROUNDUP(Table1[[#This Row],[months]]/3,0)&amp;"-"&amp;Table1[[#This Row],[order_year]]</f>
        <v>Q1-2024</v>
      </c>
      <c r="J280" s="7">
        <f>Table1[[#This Row],[RequiredDate]]-Table1[[#This Row],[OrderDate]]</f>
        <v>13</v>
      </c>
      <c r="K280" s="7">
        <f>IF(Table1[[#This Row],[lead_time]]&lt;0,MEDIAN(J:J),Table1[[#This Row],[lead_time]])</f>
        <v>13</v>
      </c>
      <c r="L280" s="7">
        <f>IF(Table1[[#This Row],[adj_lead_time]]&lt;=7,1,0)</f>
        <v>0</v>
      </c>
      <c r="M280" s="9">
        <v>45360</v>
      </c>
      <c r="N280" s="9">
        <f>IF(Table1[[#This Row],[lead_time]]&lt;0,(Table1[[#This Row],[OrderDate]]+Table1[[#This Row],[adj_lead_time]]),Table1[[#This Row],[RequiredDate]])</f>
        <v>45360</v>
      </c>
      <c r="O280" t="s">
        <v>649</v>
      </c>
      <c r="P280" t="s">
        <v>657</v>
      </c>
      <c r="Q280" t="s">
        <v>673</v>
      </c>
      <c r="R280" t="s">
        <v>705</v>
      </c>
      <c r="S280" t="s">
        <v>710</v>
      </c>
      <c r="T280" t="s">
        <v>718</v>
      </c>
      <c r="U280" t="s">
        <v>732</v>
      </c>
      <c r="V280" t="s">
        <v>1161</v>
      </c>
      <c r="W280">
        <v>322.44</v>
      </c>
      <c r="X280">
        <f>Table1[[#This Row],[UnitCost]]*(1+'scenario modeling'!$B$3)</f>
        <v>354.68400000000003</v>
      </c>
      <c r="Y280">
        <v>395.61</v>
      </c>
      <c r="Z280" t="str">
        <f>IF(Table1[[#This Row],[UnitPrice]]&lt;=Quantiles!$B$2,Quantiles!$A$2,IF(Table1[[#This Row],[UnitPrice]]&lt;=Quantiles!$B$3,Quantiles!$A$3,Quantiles!$A$4))</f>
        <v>Low</v>
      </c>
      <c r="AA280">
        <v>0</v>
      </c>
      <c r="AB280" s="5">
        <f>MIN(Table1[[#This Row],[DiscountPct]],'scenario modeling'!$B$2)</f>
        <v>0</v>
      </c>
      <c r="AC280" t="str">
        <f>IF(Table1[[#This Row],[DiscountPct]]&gt;0.3, "&gt;0.3","")</f>
        <v/>
      </c>
      <c r="AD280">
        <v>34</v>
      </c>
      <c r="AE280">
        <f>Table1[[#This Row],[Quantity]]*(1+'scenario modeling'!$B$4)</f>
        <v>40.799999999999997</v>
      </c>
      <c r="AF280">
        <f>Table1[[#This Row],[UnitCost]]*Table1[[#This Row],[Quantity]]</f>
        <v>10962.96</v>
      </c>
      <c r="AG280">
        <f>SUMIF($U:U,Table1[[#This Row],[ProductCategory]],$AM:AM)</f>
        <v>1549460.0077899997</v>
      </c>
      <c r="AH280">
        <f>SUMIFS($AM$2:AM280,$U$2:U280,U280)</f>
        <v>289354.56501999998</v>
      </c>
      <c r="AI280" s="5">
        <f>Table1[[#This Row],[Cumulative_revenue]]/Table1[[#This Row],[Category_revenue]]</f>
        <v>0.18674542328634053</v>
      </c>
      <c r="AJ280" t="str">
        <f>IF(Table1[[#This Row],[cumulative_pct]]&lt;=0.8,"A",IF(Table1[[#This Row],[cumulative_pct]]&lt;=0.95,"B","C"))</f>
        <v>A</v>
      </c>
      <c r="AK280">
        <f>Table1[[#This Row],[adj_unit_cost]]*Table1[[#This Row],[scenario_quantity]]</f>
        <v>14471.1072</v>
      </c>
      <c r="AL280" s="5">
        <f>Table1[[#This Row],[UnitPrice]]*Table1[[#This Row],[scenario_quantity]]*(1-Table1[[#This Row],[cap_adjusted_discount]])</f>
        <v>16140.887999999999</v>
      </c>
      <c r="AM280" s="5">
        <f>Table1[[#This Row],[UnitPrice]]*Table1[[#This Row],[Quantity]]*(1-Table1[[#This Row],[DiscountPct]])</f>
        <v>13450.74</v>
      </c>
      <c r="AN280" s="5">
        <f>Table1[[#This Row],[gross_revenue]]-Table1[[#This Row],[cost_of_goods]]</f>
        <v>2487.7800000000007</v>
      </c>
      <c r="AO280" s="5">
        <f>Table1[[#This Row],[scenario_revenue]]-Table1[[#This Row],[Scenario_unit_cost]]</f>
        <v>1669.7807999999986</v>
      </c>
      <c r="AP280" s="5">
        <f>IF(Table1[[#This Row],[gross_revenue]]=0,0,Table1[[#This Row],[gross_profit]]/Table1[[#This Row],[gross_revenue]])</f>
        <v>0.18495487980586947</v>
      </c>
    </row>
    <row r="281" spans="1:42" x14ac:dyDescent="0.35">
      <c r="A281" t="s">
        <v>266</v>
      </c>
      <c r="B281" t="str">
        <f>_xlfn.TEXTAFTER(Table1[[#This Row],[OrderID]],"-",2)</f>
        <v>220234</v>
      </c>
      <c r="C281">
        <f>YEAR(Table1[[#This Row],[OrderDate]])</f>
        <v>2024</v>
      </c>
      <c r="D281" s="9">
        <f>_xlfn.MINIFS(F:F,P:P,Table1[[#This Row],[Country]])</f>
        <v>44928</v>
      </c>
      <c r="E281" s="7">
        <f>DATEDIF(Table1[[#This Row],[first_time_orders]],Table1[[#This Row],[OrderDate]],"m")</f>
        <v>14</v>
      </c>
      <c r="F281" s="9">
        <v>45366</v>
      </c>
      <c r="G281" s="2" t="str">
        <f>TEXT(Table1[[#This Row],[OrderDate]],"MMM-YYYY")</f>
        <v>Mar-2024</v>
      </c>
      <c r="H281" s="7">
        <f>MONTH(Table1[[#This Row],[OrderDate]])</f>
        <v>3</v>
      </c>
      <c r="I281" s="7" t="str">
        <f>"Q"&amp;ROUNDUP(Table1[[#This Row],[months]]/3,0)&amp;"-"&amp;Table1[[#This Row],[order_year]]</f>
        <v>Q1-2024</v>
      </c>
      <c r="J281" s="7">
        <f>Table1[[#This Row],[RequiredDate]]-Table1[[#This Row],[OrderDate]]</f>
        <v>25</v>
      </c>
      <c r="K281" s="7">
        <f>IF(Table1[[#This Row],[lead_time]]&lt;0,MEDIAN(J:J),Table1[[#This Row],[lead_time]])</f>
        <v>25</v>
      </c>
      <c r="L281" s="7">
        <f>IF(Table1[[#This Row],[adj_lead_time]]&lt;=7,1,0)</f>
        <v>0</v>
      </c>
      <c r="M281" s="9">
        <v>45391</v>
      </c>
      <c r="N281" s="9">
        <f>IF(Table1[[#This Row],[lead_time]]&lt;0,(Table1[[#This Row],[OrderDate]]+Table1[[#This Row],[adj_lead_time]]),Table1[[#This Row],[RequiredDate]])</f>
        <v>45391</v>
      </c>
      <c r="O281" t="s">
        <v>648</v>
      </c>
      <c r="P281" t="s">
        <v>653</v>
      </c>
      <c r="Q281" t="s">
        <v>688</v>
      </c>
      <c r="R281" t="s">
        <v>704</v>
      </c>
      <c r="S281" t="s">
        <v>708</v>
      </c>
      <c r="T281" t="s">
        <v>721</v>
      </c>
      <c r="U281" t="s">
        <v>732</v>
      </c>
      <c r="V281" t="s">
        <v>986</v>
      </c>
      <c r="W281">
        <v>648.64</v>
      </c>
      <c r="X281">
        <f>Table1[[#This Row],[UnitCost]]*(1+'scenario modeling'!$B$3)</f>
        <v>713.50400000000002</v>
      </c>
      <c r="Y281">
        <v>815.19</v>
      </c>
      <c r="Z281" t="str">
        <f>IF(Table1[[#This Row],[UnitPrice]]&lt;=Quantiles!$B$2,Quantiles!$A$2,IF(Table1[[#This Row],[UnitPrice]]&lt;=Quantiles!$B$3,Quantiles!$A$3,Quantiles!$A$4))</f>
        <v>Low</v>
      </c>
      <c r="AA281">
        <v>0.22500000000000001</v>
      </c>
      <c r="AB281" s="5">
        <f>MIN(Table1[[#This Row],[DiscountPct]],'scenario modeling'!$B$2)</f>
        <v>0.1</v>
      </c>
      <c r="AC281" t="str">
        <f>IF(Table1[[#This Row],[DiscountPct]]&gt;0.3, "&gt;0.3","")</f>
        <v/>
      </c>
      <c r="AD281">
        <v>28</v>
      </c>
      <c r="AE281">
        <f>Table1[[#This Row],[Quantity]]*(1+'scenario modeling'!$B$4)</f>
        <v>33.6</v>
      </c>
      <c r="AF281">
        <f>Table1[[#This Row],[UnitCost]]*Table1[[#This Row],[Quantity]]</f>
        <v>18161.919999999998</v>
      </c>
      <c r="AG281">
        <f>SUMIF($U:U,Table1[[#This Row],[ProductCategory]],$AM:AM)</f>
        <v>1549460.0077899997</v>
      </c>
      <c r="AH281">
        <f>SUMIFS($AM$2:AM281,$U$2:U281,U281)</f>
        <v>307044.18802</v>
      </c>
      <c r="AI281" s="5">
        <f>Table1[[#This Row],[Cumulative_revenue]]/Table1[[#This Row],[Category_revenue]]</f>
        <v>0.19816206063810463</v>
      </c>
      <c r="AJ281" t="str">
        <f>IF(Table1[[#This Row],[cumulative_pct]]&lt;=0.8,"A",IF(Table1[[#This Row],[cumulative_pct]]&lt;=0.95,"B","C"))</f>
        <v>A</v>
      </c>
      <c r="AK281">
        <f>Table1[[#This Row],[adj_unit_cost]]*Table1[[#This Row],[scenario_quantity]]</f>
        <v>23973.734400000001</v>
      </c>
      <c r="AL281" s="5">
        <f>Table1[[#This Row],[UnitPrice]]*Table1[[#This Row],[scenario_quantity]]*(1-Table1[[#This Row],[cap_adjusted_discount]])</f>
        <v>24651.345600000001</v>
      </c>
      <c r="AM281" s="5">
        <f>Table1[[#This Row],[UnitPrice]]*Table1[[#This Row],[Quantity]]*(1-Table1[[#This Row],[DiscountPct]])</f>
        <v>17689.623</v>
      </c>
      <c r="AN281" s="5">
        <f>Table1[[#This Row],[gross_revenue]]-Table1[[#This Row],[cost_of_goods]]</f>
        <v>-472.29699999999866</v>
      </c>
      <c r="AO281" s="5">
        <f>Table1[[#This Row],[scenario_revenue]]-Table1[[#This Row],[Scenario_unit_cost]]</f>
        <v>677.61119999999937</v>
      </c>
      <c r="AP281" s="5">
        <f>IF(Table1[[#This Row],[gross_revenue]]=0,0,Table1[[#This Row],[gross_profit]]/Table1[[#This Row],[gross_revenue]])</f>
        <v>-2.6699099240272032E-2</v>
      </c>
    </row>
    <row r="282" spans="1:42" x14ac:dyDescent="0.35">
      <c r="A282" t="s">
        <v>312</v>
      </c>
      <c r="B282" t="str">
        <f>_xlfn.TEXTAFTER(Table1[[#This Row],[OrderID]],"-",2)</f>
        <v>207096</v>
      </c>
      <c r="C282">
        <f>YEAR(Table1[[#This Row],[OrderDate]])</f>
        <v>2024</v>
      </c>
      <c r="D282" s="9">
        <f>_xlfn.MINIFS(F:F,P:P,Table1[[#This Row],[Country]])</f>
        <v>44939</v>
      </c>
      <c r="E282" s="7">
        <f>DATEDIF(Table1[[#This Row],[first_time_orders]],Table1[[#This Row],[OrderDate]],"m")</f>
        <v>14</v>
      </c>
      <c r="F282" s="9">
        <v>45377</v>
      </c>
      <c r="G282" s="2" t="str">
        <f>TEXT(Table1[[#This Row],[OrderDate]],"MMM-YYYY")</f>
        <v>Mar-2024</v>
      </c>
      <c r="H282" s="7">
        <f>MONTH(Table1[[#This Row],[OrderDate]])</f>
        <v>3</v>
      </c>
      <c r="I282" s="7" t="str">
        <f>"Q"&amp;ROUNDUP(Table1[[#This Row],[months]]/3,0)&amp;"-"&amp;Table1[[#This Row],[order_year]]</f>
        <v>Q1-2024</v>
      </c>
      <c r="J282" s="7">
        <f>Table1[[#This Row],[RequiredDate]]-Table1[[#This Row],[OrderDate]]</f>
        <v>10</v>
      </c>
      <c r="K282" s="7">
        <f>IF(Table1[[#This Row],[lead_time]]&lt;0,MEDIAN(J:J),Table1[[#This Row],[lead_time]])</f>
        <v>10</v>
      </c>
      <c r="L282" s="7">
        <f>IF(Table1[[#This Row],[adj_lead_time]]&lt;=7,1,0)</f>
        <v>0</v>
      </c>
      <c r="M282" s="9">
        <v>45387</v>
      </c>
      <c r="N282" s="9">
        <f>IF(Table1[[#This Row],[lead_time]]&lt;0,(Table1[[#This Row],[OrderDate]]+Table1[[#This Row],[adj_lead_time]]),Table1[[#This Row],[RequiredDate]])</f>
        <v>45387</v>
      </c>
      <c r="O282" t="s">
        <v>648</v>
      </c>
      <c r="P282" t="s">
        <v>660</v>
      </c>
      <c r="Q282" t="s">
        <v>697</v>
      </c>
      <c r="R282" t="s">
        <v>704</v>
      </c>
      <c r="S282" t="s">
        <v>711</v>
      </c>
      <c r="T282" t="s">
        <v>713</v>
      </c>
      <c r="U282" t="s">
        <v>732</v>
      </c>
      <c r="V282" t="s">
        <v>1032</v>
      </c>
      <c r="W282">
        <v>5.66</v>
      </c>
      <c r="X282">
        <f>Table1[[#This Row],[UnitCost]]*(1+'scenario modeling'!$B$3)</f>
        <v>6.2260000000000009</v>
      </c>
      <c r="Y282">
        <v>4.22</v>
      </c>
      <c r="Z282" t="str">
        <f>IF(Table1[[#This Row],[UnitPrice]]&lt;=Quantiles!$B$2,Quantiles!$A$2,IF(Table1[[#This Row],[UnitPrice]]&lt;=Quantiles!$B$3,Quantiles!$A$3,Quantiles!$A$4))</f>
        <v>Low</v>
      </c>
      <c r="AA282">
        <v>0.11899999999999999</v>
      </c>
      <c r="AB282" s="5">
        <f>MIN(Table1[[#This Row],[DiscountPct]],'scenario modeling'!$B$2)</f>
        <v>0.1</v>
      </c>
      <c r="AC282" t="str">
        <f>IF(Table1[[#This Row],[DiscountPct]]&gt;0.3, "&gt;0.3","")</f>
        <v/>
      </c>
      <c r="AD282">
        <v>18</v>
      </c>
      <c r="AE282">
        <f>Table1[[#This Row],[Quantity]]*(1+'scenario modeling'!$B$4)</f>
        <v>21.599999999999998</v>
      </c>
      <c r="AF282">
        <f>Table1[[#This Row],[UnitCost]]*Table1[[#This Row],[Quantity]]</f>
        <v>101.88</v>
      </c>
      <c r="AG282">
        <f>SUMIF($U:U,Table1[[#This Row],[ProductCategory]],$AM:AM)</f>
        <v>1549460.0077899997</v>
      </c>
      <c r="AH282">
        <f>SUMIFS($AM$2:AM282,$U$2:U282,U282)</f>
        <v>307111.10878000001</v>
      </c>
      <c r="AI282" s="5">
        <f>Table1[[#This Row],[Cumulative_revenue]]/Table1[[#This Row],[Category_revenue]]</f>
        <v>0.19820525036850334</v>
      </c>
      <c r="AJ282" t="str">
        <f>IF(Table1[[#This Row],[cumulative_pct]]&lt;=0.8,"A",IF(Table1[[#This Row],[cumulative_pct]]&lt;=0.95,"B","C"))</f>
        <v>A</v>
      </c>
      <c r="AK282">
        <f>Table1[[#This Row],[adj_unit_cost]]*Table1[[#This Row],[scenario_quantity]]</f>
        <v>134.48160000000001</v>
      </c>
      <c r="AL282" s="5">
        <f>Table1[[#This Row],[UnitPrice]]*Table1[[#This Row],[scenario_quantity]]*(1-Table1[[#This Row],[cap_adjusted_discount]])</f>
        <v>82.036799999999985</v>
      </c>
      <c r="AM282" s="5">
        <f>Table1[[#This Row],[UnitPrice]]*Table1[[#This Row],[Quantity]]*(1-Table1[[#This Row],[DiscountPct]])</f>
        <v>66.920760000000001</v>
      </c>
      <c r="AN282" s="5">
        <f>Table1[[#This Row],[gross_revenue]]-Table1[[#This Row],[cost_of_goods]]</f>
        <v>-34.959239999999994</v>
      </c>
      <c r="AO282" s="5">
        <f>Table1[[#This Row],[scenario_revenue]]-Table1[[#This Row],[Scenario_unit_cost]]</f>
        <v>-52.444800000000029</v>
      </c>
      <c r="AP282" s="5">
        <f>IF(Table1[[#This Row],[gross_revenue]]=0,0,Table1[[#This Row],[gross_profit]]/Table1[[#This Row],[gross_revenue]])</f>
        <v>-0.52239753403876454</v>
      </c>
    </row>
    <row r="283" spans="1:42" x14ac:dyDescent="0.35">
      <c r="A283" t="s">
        <v>82</v>
      </c>
      <c r="B283" t="str">
        <f>_xlfn.TEXTAFTER(Table1[[#This Row],[OrderID]],"-",2)</f>
        <v>347736</v>
      </c>
      <c r="C283">
        <f>YEAR(Table1[[#This Row],[OrderDate]])</f>
        <v>2024</v>
      </c>
      <c r="D283" s="9">
        <f>_xlfn.MINIFS(F:F,P:P,Table1[[#This Row],[Country]])</f>
        <v>44988</v>
      </c>
      <c r="E283" s="7">
        <f>DATEDIF(Table1[[#This Row],[first_time_orders]],Table1[[#This Row],[OrderDate]],"m")</f>
        <v>14</v>
      </c>
      <c r="F283" s="9">
        <v>45434</v>
      </c>
      <c r="G283" s="2" t="str">
        <f>TEXT(Table1[[#This Row],[OrderDate]],"MMM-YYYY")</f>
        <v>May-2024</v>
      </c>
      <c r="H283" s="7">
        <f>MONTH(Table1[[#This Row],[OrderDate]])</f>
        <v>5</v>
      </c>
      <c r="I283" s="7" t="str">
        <f>"Q"&amp;ROUNDUP(Table1[[#This Row],[months]]/3,0)&amp;"-"&amp;Table1[[#This Row],[order_year]]</f>
        <v>Q2-2024</v>
      </c>
      <c r="J283" s="7">
        <f>Table1[[#This Row],[RequiredDate]]-Table1[[#This Row],[OrderDate]]</f>
        <v>15</v>
      </c>
      <c r="K283" s="7">
        <f>IF(Table1[[#This Row],[lead_time]]&lt;0,MEDIAN(J:J),Table1[[#This Row],[lead_time]])</f>
        <v>15</v>
      </c>
      <c r="L283" s="7">
        <f>IF(Table1[[#This Row],[adj_lead_time]]&lt;=7,1,0)</f>
        <v>0</v>
      </c>
      <c r="M283" s="9">
        <v>45449</v>
      </c>
      <c r="N283" s="9">
        <f>IF(Table1[[#This Row],[lead_time]]&lt;0,(Table1[[#This Row],[OrderDate]]+Table1[[#This Row],[adj_lead_time]]),Table1[[#This Row],[RequiredDate]])</f>
        <v>45449</v>
      </c>
      <c r="O283" t="s">
        <v>647</v>
      </c>
      <c r="P283" t="s">
        <v>652</v>
      </c>
      <c r="Q283" t="s">
        <v>694</v>
      </c>
      <c r="R283" t="s">
        <v>701</v>
      </c>
      <c r="S283" t="s">
        <v>710</v>
      </c>
      <c r="T283" t="s">
        <v>712</v>
      </c>
      <c r="U283" t="s">
        <v>732</v>
      </c>
      <c r="V283" t="s">
        <v>801</v>
      </c>
      <c r="W283">
        <v>673.88</v>
      </c>
      <c r="X283">
        <f>Table1[[#This Row],[UnitCost]]*(1+'scenario modeling'!$B$3)</f>
        <v>741.26800000000003</v>
      </c>
      <c r="Y283">
        <v>1228.01</v>
      </c>
      <c r="Z283" t="str">
        <f>IF(Table1[[#This Row],[UnitPrice]]&lt;=Quantiles!$B$2,Quantiles!$A$2,IF(Table1[[#This Row],[UnitPrice]]&lt;=Quantiles!$B$3,Quantiles!$A$3,Quantiles!$A$4))</f>
        <v>Medium</v>
      </c>
      <c r="AA283">
        <v>0.105</v>
      </c>
      <c r="AB283" s="5">
        <f>MIN(Table1[[#This Row],[DiscountPct]],'scenario modeling'!$B$2)</f>
        <v>0.1</v>
      </c>
      <c r="AC283" t="str">
        <f>IF(Table1[[#This Row],[DiscountPct]]&gt;0.3, "&gt;0.3","")</f>
        <v/>
      </c>
      <c r="AD283">
        <v>13</v>
      </c>
      <c r="AE283">
        <f>Table1[[#This Row],[Quantity]]*(1+'scenario modeling'!$B$4)</f>
        <v>15.6</v>
      </c>
      <c r="AF283">
        <f>Table1[[#This Row],[UnitCost]]*Table1[[#This Row],[Quantity]]</f>
        <v>8760.44</v>
      </c>
      <c r="AG283">
        <f>SUMIF($U:U,Table1[[#This Row],[ProductCategory]],$AM:AM)</f>
        <v>1549460.0077899997</v>
      </c>
      <c r="AH283">
        <f>SUMIFS($AM$2:AM283,$U$2:U283,U283)</f>
        <v>321399.00513000001</v>
      </c>
      <c r="AI283" s="5">
        <f>Table1[[#This Row],[Cumulative_revenue]]/Table1[[#This Row],[Category_revenue]]</f>
        <v>0.2074264605179533</v>
      </c>
      <c r="AJ283" t="str">
        <f>IF(Table1[[#This Row],[cumulative_pct]]&lt;=0.8,"A",IF(Table1[[#This Row],[cumulative_pct]]&lt;=0.95,"B","C"))</f>
        <v>A</v>
      </c>
      <c r="AK283">
        <f>Table1[[#This Row],[adj_unit_cost]]*Table1[[#This Row],[scenario_quantity]]</f>
        <v>11563.7808</v>
      </c>
      <c r="AL283" s="5">
        <f>Table1[[#This Row],[UnitPrice]]*Table1[[#This Row],[scenario_quantity]]*(1-Table1[[#This Row],[cap_adjusted_discount]])</f>
        <v>17241.260399999999</v>
      </c>
      <c r="AM283" s="5">
        <f>Table1[[#This Row],[UnitPrice]]*Table1[[#This Row],[Quantity]]*(1-Table1[[#This Row],[DiscountPct]])</f>
        <v>14287.896349999999</v>
      </c>
      <c r="AN283" s="5">
        <f>Table1[[#This Row],[gross_revenue]]-Table1[[#This Row],[cost_of_goods]]</f>
        <v>5527.4563499999986</v>
      </c>
      <c r="AO283" s="5">
        <f>Table1[[#This Row],[scenario_revenue]]-Table1[[#This Row],[Scenario_unit_cost]]</f>
        <v>5677.4795999999988</v>
      </c>
      <c r="AP283" s="5">
        <f>IF(Table1[[#This Row],[gross_revenue]]=0,0,Table1[[#This Row],[gross_profit]]/Table1[[#This Row],[gross_revenue]])</f>
        <v>0.38686285332689996</v>
      </c>
    </row>
    <row r="284" spans="1:42" x14ac:dyDescent="0.35">
      <c r="A284" t="s">
        <v>286</v>
      </c>
      <c r="B284" t="str">
        <f>_xlfn.TEXTAFTER(Table1[[#This Row],[OrderID]],"-",2)</f>
        <v>745822</v>
      </c>
      <c r="C284">
        <f>YEAR(Table1[[#This Row],[OrderDate]])</f>
        <v>2024</v>
      </c>
      <c r="D284" s="9">
        <f>_xlfn.MINIFS(F:F,P:P,Table1[[#This Row],[Country]])</f>
        <v>44948</v>
      </c>
      <c r="E284" s="7">
        <f>DATEDIF(Table1[[#This Row],[first_time_orders]],Table1[[#This Row],[OrderDate]],"m")</f>
        <v>14</v>
      </c>
      <c r="F284" s="9">
        <v>45382</v>
      </c>
      <c r="G284" s="2" t="str">
        <f>TEXT(Table1[[#This Row],[OrderDate]],"MMM-YYYY")</f>
        <v>Mar-2024</v>
      </c>
      <c r="H284" s="7">
        <f>MONTH(Table1[[#This Row],[OrderDate]])</f>
        <v>3</v>
      </c>
      <c r="I284" s="7" t="str">
        <f>"Q"&amp;ROUNDUP(Table1[[#This Row],[months]]/3,0)&amp;"-"&amp;Table1[[#This Row],[order_year]]</f>
        <v>Q1-2024</v>
      </c>
      <c r="J284" s="7">
        <f>Table1[[#This Row],[RequiredDate]]-Table1[[#This Row],[OrderDate]]</f>
        <v>17</v>
      </c>
      <c r="K284" s="7">
        <f>IF(Table1[[#This Row],[lead_time]]&lt;0,MEDIAN(J:J),Table1[[#This Row],[lead_time]])</f>
        <v>17</v>
      </c>
      <c r="L284" s="7">
        <f>IF(Table1[[#This Row],[adj_lead_time]]&lt;=7,1,0)</f>
        <v>0</v>
      </c>
      <c r="M284" s="9">
        <v>45399</v>
      </c>
      <c r="N284" s="9">
        <f>IF(Table1[[#This Row],[lead_time]]&lt;0,(Table1[[#This Row],[OrderDate]]+Table1[[#This Row],[adj_lead_time]]),Table1[[#This Row],[RequiredDate]])</f>
        <v>45399</v>
      </c>
      <c r="O284" t="s">
        <v>649</v>
      </c>
      <c r="P284" t="s">
        <v>656</v>
      </c>
      <c r="Q284" t="s">
        <v>698</v>
      </c>
      <c r="R284" t="s">
        <v>702</v>
      </c>
      <c r="S284" t="s">
        <v>711</v>
      </c>
      <c r="T284" t="s">
        <v>722</v>
      </c>
      <c r="U284" t="s">
        <v>732</v>
      </c>
      <c r="V284" t="s">
        <v>1006</v>
      </c>
      <c r="W284">
        <v>1025.51</v>
      </c>
      <c r="X284">
        <f>Table1[[#This Row],[UnitCost]]*(1+'scenario modeling'!$B$3)</f>
        <v>1128.0610000000001</v>
      </c>
      <c r="Y284">
        <v>1436.54</v>
      </c>
      <c r="Z284" t="str">
        <f>IF(Table1[[#This Row],[UnitPrice]]&lt;=Quantiles!$B$2,Quantiles!$A$2,IF(Table1[[#This Row],[UnitPrice]]&lt;=Quantiles!$B$3,Quantiles!$A$3,Quantiles!$A$4))</f>
        <v>Medium</v>
      </c>
      <c r="AA284">
        <v>0.13900000000000001</v>
      </c>
      <c r="AB284" s="5">
        <f>MIN(Table1[[#This Row],[DiscountPct]],'scenario modeling'!$B$2)</f>
        <v>0.1</v>
      </c>
      <c r="AC284" t="str">
        <f>IF(Table1[[#This Row],[DiscountPct]]&gt;0.3, "&gt;0.3","")</f>
        <v/>
      </c>
      <c r="AD284">
        <v>28</v>
      </c>
      <c r="AE284">
        <f>Table1[[#This Row],[Quantity]]*(1+'scenario modeling'!$B$4)</f>
        <v>33.6</v>
      </c>
      <c r="AF284">
        <f>Table1[[#This Row],[UnitCost]]*Table1[[#This Row],[Quantity]]</f>
        <v>28714.28</v>
      </c>
      <c r="AG284">
        <f>SUMIF($U:U,Table1[[#This Row],[ProductCategory]],$AM:AM)</f>
        <v>1549460.0077899997</v>
      </c>
      <c r="AH284">
        <f>SUMIFS($AM$2:AM284,$U$2:U284,U284)</f>
        <v>356031.11145000003</v>
      </c>
      <c r="AI284" s="5">
        <f>Table1[[#This Row],[Cumulative_revenue]]/Table1[[#This Row],[Category_revenue]]</f>
        <v>0.22977754163388087</v>
      </c>
      <c r="AJ284" t="str">
        <f>IF(Table1[[#This Row],[cumulative_pct]]&lt;=0.8,"A",IF(Table1[[#This Row],[cumulative_pct]]&lt;=0.95,"B","C"))</f>
        <v>A</v>
      </c>
      <c r="AK284">
        <f>Table1[[#This Row],[adj_unit_cost]]*Table1[[#This Row],[scenario_quantity]]</f>
        <v>37902.849600000009</v>
      </c>
      <c r="AL284" s="5">
        <f>Table1[[#This Row],[UnitPrice]]*Table1[[#This Row],[scenario_quantity]]*(1-Table1[[#This Row],[cap_adjusted_discount]])</f>
        <v>43440.969599999997</v>
      </c>
      <c r="AM284" s="5">
        <f>Table1[[#This Row],[UnitPrice]]*Table1[[#This Row],[Quantity]]*(1-Table1[[#This Row],[DiscountPct]])</f>
        <v>34632.106319999999</v>
      </c>
      <c r="AN284" s="5">
        <f>Table1[[#This Row],[gross_revenue]]-Table1[[#This Row],[cost_of_goods]]</f>
        <v>5917.8263200000001</v>
      </c>
      <c r="AO284" s="5">
        <f>Table1[[#This Row],[scenario_revenue]]-Table1[[#This Row],[Scenario_unit_cost]]</f>
        <v>5538.1199999999881</v>
      </c>
      <c r="AP284" s="5">
        <f>IF(Table1[[#This Row],[gross_revenue]]=0,0,Table1[[#This Row],[gross_profit]]/Table1[[#This Row],[gross_revenue]])</f>
        <v>0.17087688127656453</v>
      </c>
    </row>
    <row r="285" spans="1:42" x14ac:dyDescent="0.35">
      <c r="A285" t="s">
        <v>537</v>
      </c>
      <c r="B285" t="str">
        <f>_xlfn.TEXTAFTER(Table1[[#This Row],[OrderID]],"-",2)</f>
        <v>833375</v>
      </c>
      <c r="C285">
        <f>YEAR(Table1[[#This Row],[OrderDate]])</f>
        <v>2024</v>
      </c>
      <c r="D285" s="9">
        <f>_xlfn.MINIFS(F:F,P:P,Table1[[#This Row],[Country]])</f>
        <v>44946</v>
      </c>
      <c r="E285" s="7">
        <f>DATEDIF(Table1[[#This Row],[first_time_orders]],Table1[[#This Row],[OrderDate]],"m")</f>
        <v>15</v>
      </c>
      <c r="F285" s="9">
        <v>45406</v>
      </c>
      <c r="G285" s="2" t="str">
        <f>TEXT(Table1[[#This Row],[OrderDate]],"MMM-YYYY")</f>
        <v>Apr-2024</v>
      </c>
      <c r="H285" s="7">
        <f>MONTH(Table1[[#This Row],[OrderDate]])</f>
        <v>4</v>
      </c>
      <c r="I285" s="7" t="str">
        <f>"Q"&amp;ROUNDUP(Table1[[#This Row],[months]]/3,0)&amp;"-"&amp;Table1[[#This Row],[order_year]]</f>
        <v>Q2-2024</v>
      </c>
      <c r="J285" s="7">
        <f>Table1[[#This Row],[RequiredDate]]-Table1[[#This Row],[OrderDate]]</f>
        <v>16</v>
      </c>
      <c r="K285" s="7">
        <f>IF(Table1[[#This Row],[lead_time]]&lt;0,MEDIAN(J:J),Table1[[#This Row],[lead_time]])</f>
        <v>16</v>
      </c>
      <c r="L285" s="7">
        <f>IF(Table1[[#This Row],[adj_lead_time]]&lt;=7,1,0)</f>
        <v>0</v>
      </c>
      <c r="M285" s="9">
        <v>45422</v>
      </c>
      <c r="N285" s="9">
        <f>IF(Table1[[#This Row],[lead_time]]&lt;0,(Table1[[#This Row],[OrderDate]]+Table1[[#This Row],[adj_lead_time]]),Table1[[#This Row],[RequiredDate]])</f>
        <v>45422</v>
      </c>
      <c r="O285" t="s">
        <v>646</v>
      </c>
      <c r="P285" t="s">
        <v>650</v>
      </c>
      <c r="Q285" t="s">
        <v>662</v>
      </c>
      <c r="R285" t="s">
        <v>703</v>
      </c>
      <c r="S285" t="s">
        <v>708</v>
      </c>
      <c r="T285" t="s">
        <v>725</v>
      </c>
      <c r="U285" t="s">
        <v>732</v>
      </c>
      <c r="V285" t="s">
        <v>1256</v>
      </c>
      <c r="W285">
        <v>513.30999999999995</v>
      </c>
      <c r="X285">
        <f>Table1[[#This Row],[UnitCost]]*(1+'scenario modeling'!$B$3)</f>
        <v>564.64099999999996</v>
      </c>
      <c r="Y285">
        <v>1186.26</v>
      </c>
      <c r="Z285" t="str">
        <f>IF(Table1[[#This Row],[UnitPrice]]&lt;=Quantiles!$B$2,Quantiles!$A$2,IF(Table1[[#This Row],[UnitPrice]]&lt;=Quantiles!$B$3,Quantiles!$A$3,Quantiles!$A$4))</f>
        <v>Medium</v>
      </c>
      <c r="AA285">
        <v>9.4E-2</v>
      </c>
      <c r="AB285" s="5">
        <f>MIN(Table1[[#This Row],[DiscountPct]],'scenario modeling'!$B$2)</f>
        <v>9.4E-2</v>
      </c>
      <c r="AC285" t="str">
        <f>IF(Table1[[#This Row],[DiscountPct]]&gt;0.3, "&gt;0.3","")</f>
        <v/>
      </c>
      <c r="AD285">
        <v>15</v>
      </c>
      <c r="AE285">
        <f>Table1[[#This Row],[Quantity]]*(1+'scenario modeling'!$B$4)</f>
        <v>18</v>
      </c>
      <c r="AF285">
        <f>Table1[[#This Row],[UnitCost]]*Table1[[#This Row],[Quantity]]</f>
        <v>7699.65</v>
      </c>
      <c r="AG285">
        <f>SUMIF($U:U,Table1[[#This Row],[ProductCategory]],$AM:AM)</f>
        <v>1549460.0077899997</v>
      </c>
      <c r="AH285">
        <f>SUMIFS($AM$2:AM285,$U$2:U285,U285)</f>
        <v>372152.38485000003</v>
      </c>
      <c r="AI285" s="5">
        <f>Table1[[#This Row],[Cumulative_revenue]]/Table1[[#This Row],[Category_revenue]]</f>
        <v>0.2401819879048071</v>
      </c>
      <c r="AJ285" t="str">
        <f>IF(Table1[[#This Row],[cumulative_pct]]&lt;=0.8,"A",IF(Table1[[#This Row],[cumulative_pct]]&lt;=0.95,"B","C"))</f>
        <v>A</v>
      </c>
      <c r="AK285">
        <f>Table1[[#This Row],[adj_unit_cost]]*Table1[[#This Row],[scenario_quantity]]</f>
        <v>10163.537999999999</v>
      </c>
      <c r="AL285" s="5">
        <f>Table1[[#This Row],[UnitPrice]]*Table1[[#This Row],[scenario_quantity]]*(1-Table1[[#This Row],[cap_adjusted_discount]])</f>
        <v>19345.52808</v>
      </c>
      <c r="AM285" s="5">
        <f>Table1[[#This Row],[UnitPrice]]*Table1[[#This Row],[Quantity]]*(1-Table1[[#This Row],[DiscountPct]])</f>
        <v>16121.273400000002</v>
      </c>
      <c r="AN285" s="5">
        <f>Table1[[#This Row],[gross_revenue]]-Table1[[#This Row],[cost_of_goods]]</f>
        <v>8421.6234000000022</v>
      </c>
      <c r="AO285" s="5">
        <f>Table1[[#This Row],[scenario_revenue]]-Table1[[#This Row],[Scenario_unit_cost]]</f>
        <v>9181.9900800000014</v>
      </c>
      <c r="AP285" s="5">
        <f>IF(Table1[[#This Row],[gross_revenue]]=0,0,Table1[[#This Row],[gross_profit]]/Table1[[#This Row],[gross_revenue]])</f>
        <v>0.52239194702820446</v>
      </c>
    </row>
    <row r="286" spans="1:42" x14ac:dyDescent="0.35">
      <c r="A286" t="s">
        <v>23</v>
      </c>
      <c r="B286" t="str">
        <f>_xlfn.TEXTAFTER(Table1[[#This Row],[OrderID]],"-",2)</f>
        <v>589570</v>
      </c>
      <c r="C286">
        <f>YEAR(Table1[[#This Row],[OrderDate]])</f>
        <v>2024</v>
      </c>
      <c r="D286" s="9">
        <f>_xlfn.MINIFS(F:F,P:P,Table1[[#This Row],[Country]])</f>
        <v>44941</v>
      </c>
      <c r="E286" s="7">
        <f>DATEDIF(Table1[[#This Row],[first_time_orders]],Table1[[#This Row],[OrderDate]],"m")</f>
        <v>15</v>
      </c>
      <c r="F286" s="9">
        <v>45416</v>
      </c>
      <c r="G286" s="2" t="str">
        <f>TEXT(Table1[[#This Row],[OrderDate]],"MMM-YYYY")</f>
        <v>May-2024</v>
      </c>
      <c r="H286" s="7">
        <f>MONTH(Table1[[#This Row],[OrderDate]])</f>
        <v>5</v>
      </c>
      <c r="I286" s="7" t="str">
        <f>"Q"&amp;ROUNDUP(Table1[[#This Row],[months]]/3,0)&amp;"-"&amp;Table1[[#This Row],[order_year]]</f>
        <v>Q2-2024</v>
      </c>
      <c r="J286" s="7">
        <f>Table1[[#This Row],[RequiredDate]]-Table1[[#This Row],[OrderDate]]</f>
        <v>25</v>
      </c>
      <c r="K286" s="7">
        <f>IF(Table1[[#This Row],[lead_time]]&lt;0,MEDIAN(J:J),Table1[[#This Row],[lead_time]])</f>
        <v>25</v>
      </c>
      <c r="L286" s="7">
        <f>IF(Table1[[#This Row],[adj_lead_time]]&lt;=7,1,0)</f>
        <v>0</v>
      </c>
      <c r="M286" s="9">
        <v>45441</v>
      </c>
      <c r="N286" s="9">
        <f>IF(Table1[[#This Row],[lead_time]]&lt;0,(Table1[[#This Row],[OrderDate]]+Table1[[#This Row],[adj_lead_time]]),Table1[[#This Row],[RequiredDate]])</f>
        <v>45441</v>
      </c>
      <c r="O286" t="s">
        <v>646</v>
      </c>
      <c r="P286" t="s">
        <v>651</v>
      </c>
      <c r="Q286" t="s">
        <v>669</v>
      </c>
      <c r="R286" t="s">
        <v>703</v>
      </c>
      <c r="S286" t="s">
        <v>709</v>
      </c>
      <c r="T286" t="s">
        <v>719</v>
      </c>
      <c r="U286" t="s">
        <v>732</v>
      </c>
      <c r="V286" t="s">
        <v>742</v>
      </c>
      <c r="W286">
        <v>1295.3399999999999</v>
      </c>
      <c r="X286">
        <f>Table1[[#This Row],[UnitCost]]*(1+'scenario modeling'!$B$3)</f>
        <v>1424.874</v>
      </c>
      <c r="Y286">
        <v>2530.81</v>
      </c>
      <c r="Z286" t="str">
        <f>IF(Table1[[#This Row],[UnitPrice]]&lt;=Quantiles!$B$2,Quantiles!$A$2,IF(Table1[[#This Row],[UnitPrice]]&lt;=Quantiles!$B$3,Quantiles!$A$3,Quantiles!$A$4))</f>
        <v>High</v>
      </c>
      <c r="AA286">
        <v>3.1E-2</v>
      </c>
      <c r="AB286" s="5">
        <f>MIN(Table1[[#This Row],[DiscountPct]],'scenario modeling'!$B$2)</f>
        <v>3.1E-2</v>
      </c>
      <c r="AC286" t="str">
        <f>IF(Table1[[#This Row],[DiscountPct]]&gt;0.3, "&gt;0.3","")</f>
        <v/>
      </c>
      <c r="AD286">
        <v>6</v>
      </c>
      <c r="AE286">
        <f>Table1[[#This Row],[Quantity]]*(1+'scenario modeling'!$B$4)</f>
        <v>7.1999999999999993</v>
      </c>
      <c r="AF286">
        <f>Table1[[#This Row],[UnitCost]]*Table1[[#This Row],[Quantity]]</f>
        <v>7772.0399999999991</v>
      </c>
      <c r="AG286">
        <f>SUMIF($U:U,Table1[[#This Row],[ProductCategory]],$AM:AM)</f>
        <v>1549460.0077899997</v>
      </c>
      <c r="AH286">
        <f>SUMIFS($AM$2:AM286,$U$2:U286,U286)</f>
        <v>386866.51419000002</v>
      </c>
      <c r="AI286" s="5">
        <f>Table1[[#This Row],[Cumulative_revenue]]/Table1[[#This Row],[Category_revenue]]</f>
        <v>0.2496782829146969</v>
      </c>
      <c r="AJ286" t="str">
        <f>IF(Table1[[#This Row],[cumulative_pct]]&lt;=0.8,"A",IF(Table1[[#This Row],[cumulative_pct]]&lt;=0.95,"B","C"))</f>
        <v>A</v>
      </c>
      <c r="AK286">
        <f>Table1[[#This Row],[adj_unit_cost]]*Table1[[#This Row],[scenario_quantity]]</f>
        <v>10259.092799999999</v>
      </c>
      <c r="AL286" s="5">
        <f>Table1[[#This Row],[UnitPrice]]*Table1[[#This Row],[scenario_quantity]]*(1-Table1[[#This Row],[cap_adjusted_discount]])</f>
        <v>17656.955207999999</v>
      </c>
      <c r="AM286" s="5">
        <f>Table1[[#This Row],[UnitPrice]]*Table1[[#This Row],[Quantity]]*(1-Table1[[#This Row],[DiscountPct]])</f>
        <v>14714.12934</v>
      </c>
      <c r="AN286" s="5">
        <f>Table1[[#This Row],[gross_revenue]]-Table1[[#This Row],[cost_of_goods]]</f>
        <v>6942.0893400000004</v>
      </c>
      <c r="AO286" s="5">
        <f>Table1[[#This Row],[scenario_revenue]]-Table1[[#This Row],[Scenario_unit_cost]]</f>
        <v>7397.8624080000009</v>
      </c>
      <c r="AP286" s="5">
        <f>IF(Table1[[#This Row],[gross_revenue]]=0,0,Table1[[#This Row],[gross_profit]]/Table1[[#This Row],[gross_revenue]])</f>
        <v>0.4717974933880798</v>
      </c>
    </row>
    <row r="287" spans="1:42" x14ac:dyDescent="0.35">
      <c r="A287" t="s">
        <v>203</v>
      </c>
      <c r="B287" t="str">
        <f>_xlfn.TEXTAFTER(Table1[[#This Row],[OrderID]],"-",2)</f>
        <v>503082</v>
      </c>
      <c r="C287">
        <f>YEAR(Table1[[#This Row],[OrderDate]])</f>
        <v>2024</v>
      </c>
      <c r="D287" s="9">
        <f>_xlfn.MINIFS(F:F,P:P,Table1[[#This Row],[Country]])</f>
        <v>44955</v>
      </c>
      <c r="E287" s="7">
        <f>DATEDIF(Table1[[#This Row],[first_time_orders]],Table1[[#This Row],[OrderDate]],"m")</f>
        <v>15</v>
      </c>
      <c r="F287" s="9">
        <v>45431</v>
      </c>
      <c r="G287" s="2" t="str">
        <f>TEXT(Table1[[#This Row],[OrderDate]],"MMM-YYYY")</f>
        <v>May-2024</v>
      </c>
      <c r="H287" s="7">
        <f>MONTH(Table1[[#This Row],[OrderDate]])</f>
        <v>5</v>
      </c>
      <c r="I287" s="7" t="str">
        <f>"Q"&amp;ROUNDUP(Table1[[#This Row],[months]]/3,0)&amp;"-"&amp;Table1[[#This Row],[order_year]]</f>
        <v>Q2-2024</v>
      </c>
      <c r="J287" s="7">
        <f>Table1[[#This Row],[RequiredDate]]-Table1[[#This Row],[OrderDate]]</f>
        <v>20</v>
      </c>
      <c r="K287" s="7">
        <f>IF(Table1[[#This Row],[lead_time]]&lt;0,MEDIAN(J:J),Table1[[#This Row],[lead_time]])</f>
        <v>20</v>
      </c>
      <c r="L287" s="7">
        <f>IF(Table1[[#This Row],[adj_lead_time]]&lt;=7,1,0)</f>
        <v>0</v>
      </c>
      <c r="M287" s="9">
        <v>45451</v>
      </c>
      <c r="N287" s="9">
        <f>IF(Table1[[#This Row],[lead_time]]&lt;0,(Table1[[#This Row],[OrderDate]]+Table1[[#This Row],[adj_lead_time]]),Table1[[#This Row],[RequiredDate]])</f>
        <v>45451</v>
      </c>
      <c r="O287" t="s">
        <v>648</v>
      </c>
      <c r="P287" t="s">
        <v>655</v>
      </c>
      <c r="Q287" t="s">
        <v>672</v>
      </c>
      <c r="R287" t="s">
        <v>705</v>
      </c>
      <c r="S287" t="s">
        <v>707</v>
      </c>
      <c r="T287" t="s">
        <v>718</v>
      </c>
      <c r="U287" t="s">
        <v>732</v>
      </c>
      <c r="V287" t="s">
        <v>923</v>
      </c>
      <c r="W287">
        <v>1075.9000000000001</v>
      </c>
      <c r="X287">
        <f>Table1[[#This Row],[UnitCost]]*(1+'scenario modeling'!$B$3)</f>
        <v>1183.4900000000002</v>
      </c>
      <c r="Y287">
        <v>1242.1500000000001</v>
      </c>
      <c r="Z287" t="str">
        <f>IF(Table1[[#This Row],[UnitPrice]]&lt;=Quantiles!$B$2,Quantiles!$A$2,IF(Table1[[#This Row],[UnitPrice]]&lt;=Quantiles!$B$3,Quantiles!$A$3,Quantiles!$A$4))</f>
        <v>Medium</v>
      </c>
      <c r="AA287">
        <v>1.2E-2</v>
      </c>
      <c r="AB287" s="5">
        <f>MIN(Table1[[#This Row],[DiscountPct]],'scenario modeling'!$B$2)</f>
        <v>1.2E-2</v>
      </c>
      <c r="AC287" t="str">
        <f>IF(Table1[[#This Row],[DiscountPct]]&gt;0.3, "&gt;0.3","")</f>
        <v/>
      </c>
      <c r="AD287">
        <v>7</v>
      </c>
      <c r="AE287">
        <f>Table1[[#This Row],[Quantity]]*(1+'scenario modeling'!$B$4)</f>
        <v>8.4</v>
      </c>
      <c r="AF287">
        <f>Table1[[#This Row],[UnitCost]]*Table1[[#This Row],[Quantity]]</f>
        <v>7531.3000000000011</v>
      </c>
      <c r="AG287">
        <f>SUMIF($U:U,Table1[[#This Row],[ProductCategory]],$AM:AM)</f>
        <v>1549460.0077899997</v>
      </c>
      <c r="AH287">
        <f>SUMIFS($AM$2:AM287,$U$2:U287,U287)</f>
        <v>395457.22359000001</v>
      </c>
      <c r="AI287" s="5">
        <f>Table1[[#This Row],[Cumulative_revenue]]/Table1[[#This Row],[Category_revenue]]</f>
        <v>0.25522260761930993</v>
      </c>
      <c r="AJ287" t="str">
        <f>IF(Table1[[#This Row],[cumulative_pct]]&lt;=0.8,"A",IF(Table1[[#This Row],[cumulative_pct]]&lt;=0.95,"B","C"))</f>
        <v>A</v>
      </c>
      <c r="AK287">
        <f>Table1[[#This Row],[adj_unit_cost]]*Table1[[#This Row],[scenario_quantity]]</f>
        <v>9941.3160000000025</v>
      </c>
      <c r="AL287" s="5">
        <f>Table1[[#This Row],[UnitPrice]]*Table1[[#This Row],[scenario_quantity]]*(1-Table1[[#This Row],[cap_adjusted_discount]])</f>
        <v>10308.851280000001</v>
      </c>
      <c r="AM287" s="5">
        <f>Table1[[#This Row],[UnitPrice]]*Table1[[#This Row],[Quantity]]*(1-Table1[[#This Row],[DiscountPct]])</f>
        <v>8590.7094000000016</v>
      </c>
      <c r="AN287" s="5">
        <f>Table1[[#This Row],[gross_revenue]]-Table1[[#This Row],[cost_of_goods]]</f>
        <v>1059.4094000000005</v>
      </c>
      <c r="AO287" s="5">
        <f>Table1[[#This Row],[scenario_revenue]]-Table1[[#This Row],[Scenario_unit_cost]]</f>
        <v>367.53527999999824</v>
      </c>
      <c r="AP287" s="5">
        <f>IF(Table1[[#This Row],[gross_revenue]]=0,0,Table1[[#This Row],[gross_profit]]/Table1[[#This Row],[gross_revenue]])</f>
        <v>0.12332036280961853</v>
      </c>
    </row>
    <row r="288" spans="1:42" x14ac:dyDescent="0.35">
      <c r="A288" t="s">
        <v>556</v>
      </c>
      <c r="B288" t="str">
        <f>_xlfn.TEXTAFTER(Table1[[#This Row],[OrderID]],"-",2)</f>
        <v>626925</v>
      </c>
      <c r="C288">
        <f>YEAR(Table1[[#This Row],[OrderDate]])</f>
        <v>2024</v>
      </c>
      <c r="D288" s="9">
        <f>_xlfn.MINIFS(F:F,P:P,Table1[[#This Row],[Country]])</f>
        <v>44938</v>
      </c>
      <c r="E288" s="7">
        <f>DATEDIF(Table1[[#This Row],[first_time_orders]],Table1[[#This Row],[OrderDate]],"m")</f>
        <v>16</v>
      </c>
      <c r="F288" s="9">
        <v>45450</v>
      </c>
      <c r="G288" s="2" t="str">
        <f>TEXT(Table1[[#This Row],[OrderDate]],"MMM-YYYY")</f>
        <v>Jun-2024</v>
      </c>
      <c r="H288" s="7">
        <f>MONTH(Table1[[#This Row],[OrderDate]])</f>
        <v>6</v>
      </c>
      <c r="I288" s="7" t="str">
        <f>"Q"&amp;ROUNDUP(Table1[[#This Row],[months]]/3,0)&amp;"-"&amp;Table1[[#This Row],[order_year]]</f>
        <v>Q2-2024</v>
      </c>
      <c r="J288" s="7">
        <f>Table1[[#This Row],[RequiredDate]]-Table1[[#This Row],[OrderDate]]</f>
        <v>2</v>
      </c>
      <c r="K288" s="7">
        <f>IF(Table1[[#This Row],[lead_time]]&lt;0,MEDIAN(J:J),Table1[[#This Row],[lead_time]])</f>
        <v>2</v>
      </c>
      <c r="L288" s="7">
        <f>IF(Table1[[#This Row],[adj_lead_time]]&lt;=7,1,0)</f>
        <v>1</v>
      </c>
      <c r="M288" s="9">
        <v>45452</v>
      </c>
      <c r="N288" s="9">
        <f>IF(Table1[[#This Row],[lead_time]]&lt;0,(Table1[[#This Row],[OrderDate]]+Table1[[#This Row],[adj_lead_time]]),Table1[[#This Row],[RequiredDate]])</f>
        <v>45452</v>
      </c>
      <c r="O288" t="s">
        <v>647</v>
      </c>
      <c r="P288" t="s">
        <v>659</v>
      </c>
      <c r="Q288" t="s">
        <v>685</v>
      </c>
      <c r="R288" t="s">
        <v>701</v>
      </c>
      <c r="S288" t="s">
        <v>707</v>
      </c>
      <c r="T288" t="s">
        <v>719</v>
      </c>
      <c r="U288" t="s">
        <v>732</v>
      </c>
      <c r="V288" t="s">
        <v>1274</v>
      </c>
      <c r="W288">
        <v>1370.28</v>
      </c>
      <c r="X288">
        <f>Table1[[#This Row],[UnitCost]]*(1+'scenario modeling'!$B$3)</f>
        <v>1507.308</v>
      </c>
      <c r="Y288">
        <v>2209.66</v>
      </c>
      <c r="Z288" t="str">
        <f>IF(Table1[[#This Row],[UnitPrice]]&lt;=Quantiles!$B$2,Quantiles!$A$2,IF(Table1[[#This Row],[UnitPrice]]&lt;=Quantiles!$B$3,Quantiles!$A$3,Quantiles!$A$4))</f>
        <v>High</v>
      </c>
      <c r="AA288">
        <v>0.13300000000000001</v>
      </c>
      <c r="AB288" s="5">
        <f>MIN(Table1[[#This Row],[DiscountPct]],'scenario modeling'!$B$2)</f>
        <v>0.1</v>
      </c>
      <c r="AC288" t="str">
        <f>IF(Table1[[#This Row],[DiscountPct]]&gt;0.3, "&gt;0.3","")</f>
        <v/>
      </c>
      <c r="AD288">
        <v>16</v>
      </c>
      <c r="AE288">
        <f>Table1[[#This Row],[Quantity]]*(1+'scenario modeling'!$B$4)</f>
        <v>19.2</v>
      </c>
      <c r="AF288">
        <f>Table1[[#This Row],[UnitCost]]*Table1[[#This Row],[Quantity]]</f>
        <v>21924.48</v>
      </c>
      <c r="AG288">
        <f>SUMIF($U:U,Table1[[#This Row],[ProductCategory]],$AM:AM)</f>
        <v>1549460.0077899997</v>
      </c>
      <c r="AH288">
        <f>SUMIFS($AM$2:AM288,$U$2:U288,U288)</f>
        <v>426109.62711</v>
      </c>
      <c r="AI288" s="5">
        <f>Table1[[#This Row],[Cumulative_revenue]]/Table1[[#This Row],[Category_revenue]]</f>
        <v>0.27500524374150298</v>
      </c>
      <c r="AJ288" t="str">
        <f>IF(Table1[[#This Row],[cumulative_pct]]&lt;=0.8,"A",IF(Table1[[#This Row],[cumulative_pct]]&lt;=0.95,"B","C"))</f>
        <v>A</v>
      </c>
      <c r="AK288">
        <f>Table1[[#This Row],[adj_unit_cost]]*Table1[[#This Row],[scenario_quantity]]</f>
        <v>28940.313599999998</v>
      </c>
      <c r="AL288" s="5">
        <f>Table1[[#This Row],[UnitPrice]]*Table1[[#This Row],[scenario_quantity]]*(1-Table1[[#This Row],[cap_adjusted_discount]])</f>
        <v>38182.924799999993</v>
      </c>
      <c r="AM288" s="5">
        <f>Table1[[#This Row],[UnitPrice]]*Table1[[#This Row],[Quantity]]*(1-Table1[[#This Row],[DiscountPct]])</f>
        <v>30652.403519999996</v>
      </c>
      <c r="AN288" s="5">
        <f>Table1[[#This Row],[gross_revenue]]-Table1[[#This Row],[cost_of_goods]]</f>
        <v>8727.9235199999966</v>
      </c>
      <c r="AO288" s="5">
        <f>Table1[[#This Row],[scenario_revenue]]-Table1[[#This Row],[Scenario_unit_cost]]</f>
        <v>9242.6111999999957</v>
      </c>
      <c r="AP288" s="5">
        <f>IF(Table1[[#This Row],[gross_revenue]]=0,0,Table1[[#This Row],[gross_profit]]/Table1[[#This Row],[gross_revenue]])</f>
        <v>0.28473863442079589</v>
      </c>
    </row>
    <row r="289" spans="1:42" x14ac:dyDescent="0.35">
      <c r="A289" t="s">
        <v>607</v>
      </c>
      <c r="B289" t="str">
        <f>_xlfn.TEXTAFTER(Table1[[#This Row],[OrderID]],"-",2)</f>
        <v>947056</v>
      </c>
      <c r="C289">
        <f>YEAR(Table1[[#This Row],[OrderDate]])</f>
        <v>2024</v>
      </c>
      <c r="D289" s="9">
        <f>_xlfn.MINIFS(F:F,P:P,Table1[[#This Row],[Country]])</f>
        <v>44988</v>
      </c>
      <c r="E289" s="7">
        <f>DATEDIF(Table1[[#This Row],[first_time_orders]],Table1[[#This Row],[OrderDate]],"m")</f>
        <v>16</v>
      </c>
      <c r="F289" s="9">
        <v>45504</v>
      </c>
      <c r="G289" s="2" t="str">
        <f>TEXT(Table1[[#This Row],[OrderDate]],"MMM-YYYY")</f>
        <v>Jul-2024</v>
      </c>
      <c r="H289" s="7">
        <f>MONTH(Table1[[#This Row],[OrderDate]])</f>
        <v>7</v>
      </c>
      <c r="I289" s="7" t="str">
        <f>"Q"&amp;ROUNDUP(Table1[[#This Row],[months]]/3,0)&amp;"-"&amp;Table1[[#This Row],[order_year]]</f>
        <v>Q3-2024</v>
      </c>
      <c r="J289" s="7">
        <f>Table1[[#This Row],[RequiredDate]]-Table1[[#This Row],[OrderDate]]</f>
        <v>15</v>
      </c>
      <c r="K289" s="7">
        <f>IF(Table1[[#This Row],[lead_time]]&lt;0,MEDIAN(J:J),Table1[[#This Row],[lead_time]])</f>
        <v>15</v>
      </c>
      <c r="L289" s="7">
        <f>IF(Table1[[#This Row],[adj_lead_time]]&lt;=7,1,0)</f>
        <v>0</v>
      </c>
      <c r="M289" s="9">
        <v>45519</v>
      </c>
      <c r="N289" s="9">
        <f>IF(Table1[[#This Row],[lead_time]]&lt;0,(Table1[[#This Row],[OrderDate]]+Table1[[#This Row],[adj_lead_time]]),Table1[[#This Row],[RequiredDate]])</f>
        <v>45519</v>
      </c>
      <c r="O289" t="s">
        <v>647</v>
      </c>
      <c r="P289" t="s">
        <v>652</v>
      </c>
      <c r="Q289" t="s">
        <v>689</v>
      </c>
      <c r="R289" t="s">
        <v>701</v>
      </c>
      <c r="S289" t="s">
        <v>709</v>
      </c>
      <c r="T289" t="s">
        <v>721</v>
      </c>
      <c r="U289" t="s">
        <v>732</v>
      </c>
      <c r="V289" t="s">
        <v>1325</v>
      </c>
      <c r="W289">
        <v>1252.52</v>
      </c>
      <c r="X289">
        <f>Table1[[#This Row],[UnitCost]]*(1+'scenario modeling'!$B$3)</f>
        <v>1377.7720000000002</v>
      </c>
      <c r="Y289">
        <v>1417.24</v>
      </c>
      <c r="Z289" t="str">
        <f>IF(Table1[[#This Row],[UnitPrice]]&lt;=Quantiles!$B$2,Quantiles!$A$2,IF(Table1[[#This Row],[UnitPrice]]&lt;=Quantiles!$B$3,Quantiles!$A$3,Quantiles!$A$4))</f>
        <v>Medium</v>
      </c>
      <c r="AA289">
        <v>0.192</v>
      </c>
      <c r="AB289" s="5">
        <f>MIN(Table1[[#This Row],[DiscountPct]],'scenario modeling'!$B$2)</f>
        <v>0.1</v>
      </c>
      <c r="AC289" t="str">
        <f>IF(Table1[[#This Row],[DiscountPct]]&gt;0.3, "&gt;0.3","")</f>
        <v/>
      </c>
      <c r="AD289">
        <v>5</v>
      </c>
      <c r="AE289">
        <f>Table1[[#This Row],[Quantity]]*(1+'scenario modeling'!$B$4)</f>
        <v>6</v>
      </c>
      <c r="AF289">
        <f>Table1[[#This Row],[UnitCost]]*Table1[[#This Row],[Quantity]]</f>
        <v>6262.6</v>
      </c>
      <c r="AG289">
        <f>SUMIF($U:U,Table1[[#This Row],[ProductCategory]],$AM:AM)</f>
        <v>1549460.0077899997</v>
      </c>
      <c r="AH289">
        <f>SUMIFS($AM$2:AM289,$U$2:U289,U289)</f>
        <v>431835.27671000001</v>
      </c>
      <c r="AI289" s="5">
        <f>Table1[[#This Row],[Cumulative_revenue]]/Table1[[#This Row],[Category_revenue]]</f>
        <v>0.2787004985859094</v>
      </c>
      <c r="AJ289" t="str">
        <f>IF(Table1[[#This Row],[cumulative_pct]]&lt;=0.8,"A",IF(Table1[[#This Row],[cumulative_pct]]&lt;=0.95,"B","C"))</f>
        <v>A</v>
      </c>
      <c r="AK289">
        <f>Table1[[#This Row],[adj_unit_cost]]*Table1[[#This Row],[scenario_quantity]]</f>
        <v>8266.6320000000014</v>
      </c>
      <c r="AL289" s="5">
        <f>Table1[[#This Row],[UnitPrice]]*Table1[[#This Row],[scenario_quantity]]*(1-Table1[[#This Row],[cap_adjusted_discount]])</f>
        <v>7653.0960000000005</v>
      </c>
      <c r="AM289" s="5">
        <f>Table1[[#This Row],[UnitPrice]]*Table1[[#This Row],[Quantity]]*(1-Table1[[#This Row],[DiscountPct]])</f>
        <v>5725.6496000000006</v>
      </c>
      <c r="AN289" s="5">
        <f>Table1[[#This Row],[gross_revenue]]-Table1[[#This Row],[cost_of_goods]]</f>
        <v>-536.95039999999972</v>
      </c>
      <c r="AO289" s="5">
        <f>Table1[[#This Row],[scenario_revenue]]-Table1[[#This Row],[Scenario_unit_cost]]</f>
        <v>-613.53600000000097</v>
      </c>
      <c r="AP289" s="5">
        <f>IF(Table1[[#This Row],[gross_revenue]]=0,0,Table1[[#This Row],[gross_profit]]/Table1[[#This Row],[gross_revenue]])</f>
        <v>-9.3779821943696953E-2</v>
      </c>
    </row>
    <row r="290" spans="1:42" x14ac:dyDescent="0.35">
      <c r="A290" t="s">
        <v>182</v>
      </c>
      <c r="B290" t="str">
        <f>_xlfn.TEXTAFTER(Table1[[#This Row],[OrderID]],"-",2)</f>
        <v>329104</v>
      </c>
      <c r="C290">
        <f>YEAR(Table1[[#This Row],[OrderDate]])</f>
        <v>2024</v>
      </c>
      <c r="D290" s="9">
        <f>_xlfn.MINIFS(F:F,P:P,Table1[[#This Row],[Country]])</f>
        <v>44936</v>
      </c>
      <c r="E290" s="7">
        <f>DATEDIF(Table1[[#This Row],[first_time_orders]],Table1[[#This Row],[OrderDate]],"m")</f>
        <v>16</v>
      </c>
      <c r="F290" s="9">
        <v>45435</v>
      </c>
      <c r="G290" s="2" t="str">
        <f>TEXT(Table1[[#This Row],[OrderDate]],"MMM-YYYY")</f>
        <v>May-2024</v>
      </c>
      <c r="H290" s="7">
        <f>MONTH(Table1[[#This Row],[OrderDate]])</f>
        <v>5</v>
      </c>
      <c r="I290" s="7" t="str">
        <f>"Q"&amp;ROUNDUP(Table1[[#This Row],[months]]/3,0)&amp;"-"&amp;Table1[[#This Row],[order_year]]</f>
        <v>Q2-2024</v>
      </c>
      <c r="J290" s="7">
        <f>Table1[[#This Row],[RequiredDate]]-Table1[[#This Row],[OrderDate]]</f>
        <v>22</v>
      </c>
      <c r="K290" s="7">
        <f>IF(Table1[[#This Row],[lead_time]]&lt;0,MEDIAN(J:J),Table1[[#This Row],[lead_time]])</f>
        <v>22</v>
      </c>
      <c r="L290" s="7">
        <f>IF(Table1[[#This Row],[adj_lead_time]]&lt;=7,1,0)</f>
        <v>0</v>
      </c>
      <c r="M290" s="9">
        <v>45457</v>
      </c>
      <c r="N290" s="9">
        <f>IF(Table1[[#This Row],[lead_time]]&lt;0,(Table1[[#This Row],[OrderDate]]+Table1[[#This Row],[adj_lead_time]]),Table1[[#This Row],[RequiredDate]])</f>
        <v>45457</v>
      </c>
      <c r="O290" t="s">
        <v>649</v>
      </c>
      <c r="P290" t="s">
        <v>657</v>
      </c>
      <c r="Q290" t="s">
        <v>673</v>
      </c>
      <c r="R290" t="s">
        <v>705</v>
      </c>
      <c r="S290" t="s">
        <v>708</v>
      </c>
      <c r="T290" t="s">
        <v>725</v>
      </c>
      <c r="U290" t="s">
        <v>732</v>
      </c>
      <c r="V290" t="s">
        <v>901</v>
      </c>
      <c r="W290">
        <v>1481.74</v>
      </c>
      <c r="X290">
        <f>Table1[[#This Row],[UnitCost]]*(1+'scenario modeling'!$B$3)</f>
        <v>1629.9140000000002</v>
      </c>
      <c r="Y290">
        <v>1848.97</v>
      </c>
      <c r="Z290" t="str">
        <f>IF(Table1[[#This Row],[UnitPrice]]&lt;=Quantiles!$B$2,Quantiles!$A$2,IF(Table1[[#This Row],[UnitPrice]]&lt;=Quantiles!$B$3,Quantiles!$A$3,Quantiles!$A$4))</f>
        <v>High</v>
      </c>
      <c r="AA290">
        <v>0.254</v>
      </c>
      <c r="AB290" s="5">
        <f>MIN(Table1[[#This Row],[DiscountPct]],'scenario modeling'!$B$2)</f>
        <v>0.1</v>
      </c>
      <c r="AC290" t="str">
        <f>IF(Table1[[#This Row],[DiscountPct]]&gt;0.3, "&gt;0.3","")</f>
        <v/>
      </c>
      <c r="AD290">
        <v>9</v>
      </c>
      <c r="AE290">
        <f>Table1[[#This Row],[Quantity]]*(1+'scenario modeling'!$B$4)</f>
        <v>10.799999999999999</v>
      </c>
      <c r="AF290">
        <f>Table1[[#This Row],[UnitCost]]*Table1[[#This Row],[Quantity]]</f>
        <v>13335.66</v>
      </c>
      <c r="AG290">
        <f>SUMIF($U:U,Table1[[#This Row],[ProductCategory]],$AM:AM)</f>
        <v>1549460.0077899997</v>
      </c>
      <c r="AH290">
        <f>SUMIFS($AM$2:AM290,$U$2:U290,U290)</f>
        <v>444249.26128999999</v>
      </c>
      <c r="AI290" s="5">
        <f>Table1[[#This Row],[Cumulative_revenue]]/Table1[[#This Row],[Category_revenue]]</f>
        <v>0.28671231206775982</v>
      </c>
      <c r="AJ290" t="str">
        <f>IF(Table1[[#This Row],[cumulative_pct]]&lt;=0.8,"A",IF(Table1[[#This Row],[cumulative_pct]]&lt;=0.95,"B","C"))</f>
        <v>A</v>
      </c>
      <c r="AK290">
        <f>Table1[[#This Row],[adj_unit_cost]]*Table1[[#This Row],[scenario_quantity]]</f>
        <v>17603.071200000002</v>
      </c>
      <c r="AL290" s="5">
        <f>Table1[[#This Row],[UnitPrice]]*Table1[[#This Row],[scenario_quantity]]*(1-Table1[[#This Row],[cap_adjusted_discount]])</f>
        <v>17971.988399999998</v>
      </c>
      <c r="AM290" s="5">
        <f>Table1[[#This Row],[UnitPrice]]*Table1[[#This Row],[Quantity]]*(1-Table1[[#This Row],[DiscountPct]])</f>
        <v>12413.98458</v>
      </c>
      <c r="AN290" s="5">
        <f>Table1[[#This Row],[gross_revenue]]-Table1[[#This Row],[cost_of_goods]]</f>
        <v>-921.67541999999958</v>
      </c>
      <c r="AO290" s="5">
        <f>Table1[[#This Row],[scenario_revenue]]-Table1[[#This Row],[Scenario_unit_cost]]</f>
        <v>368.91719999999623</v>
      </c>
      <c r="AP290" s="5">
        <f>IF(Table1[[#This Row],[gross_revenue]]=0,0,Table1[[#This Row],[gross_profit]]/Table1[[#This Row],[gross_revenue]])</f>
        <v>-7.4244930309072407E-2</v>
      </c>
    </row>
    <row r="291" spans="1:42" x14ac:dyDescent="0.35">
      <c r="A291" t="s">
        <v>328</v>
      </c>
      <c r="B291" t="str">
        <f>_xlfn.TEXTAFTER(Table1[[#This Row],[OrderID]],"-",2)</f>
        <v>427031</v>
      </c>
      <c r="C291">
        <f>YEAR(Table1[[#This Row],[OrderDate]])</f>
        <v>2024</v>
      </c>
      <c r="D291" s="9">
        <f>_xlfn.MINIFS(F:F,P:P,Table1[[#This Row],[Country]])</f>
        <v>44933</v>
      </c>
      <c r="E291" s="7">
        <f>DATEDIF(Table1[[#This Row],[first_time_orders]],Table1[[#This Row],[OrderDate]],"m")</f>
        <v>17</v>
      </c>
      <c r="F291" s="9">
        <v>45451</v>
      </c>
      <c r="G291" s="2" t="str">
        <f>TEXT(Table1[[#This Row],[OrderDate]],"MMM-YYYY")</f>
        <v>Jun-2024</v>
      </c>
      <c r="H291" s="7">
        <f>MONTH(Table1[[#This Row],[OrderDate]])</f>
        <v>6</v>
      </c>
      <c r="I291" s="7" t="str">
        <f>"Q"&amp;ROUNDUP(Table1[[#This Row],[months]]/3,0)&amp;"-"&amp;Table1[[#This Row],[order_year]]</f>
        <v>Q2-2024</v>
      </c>
      <c r="J291" s="7">
        <f>Table1[[#This Row],[RequiredDate]]-Table1[[#This Row],[OrderDate]]</f>
        <v>16</v>
      </c>
      <c r="K291" s="7">
        <f>IF(Table1[[#This Row],[lead_time]]&lt;0,MEDIAN(J:J),Table1[[#This Row],[lead_time]])</f>
        <v>16</v>
      </c>
      <c r="L291" s="7">
        <f>IF(Table1[[#This Row],[adj_lead_time]]&lt;=7,1,0)</f>
        <v>0</v>
      </c>
      <c r="M291" s="9">
        <v>45467</v>
      </c>
      <c r="N291" s="9">
        <f>IF(Table1[[#This Row],[lead_time]]&lt;0,(Table1[[#This Row],[OrderDate]]+Table1[[#This Row],[adj_lead_time]]),Table1[[#This Row],[RequiredDate]])</f>
        <v>45467</v>
      </c>
      <c r="O291" t="s">
        <v>646</v>
      </c>
      <c r="P291" t="s">
        <v>661</v>
      </c>
      <c r="Q291" t="s">
        <v>687</v>
      </c>
      <c r="R291" t="s">
        <v>702</v>
      </c>
      <c r="S291" t="s">
        <v>710</v>
      </c>
      <c r="T291" t="s">
        <v>722</v>
      </c>
      <c r="U291" t="s">
        <v>732</v>
      </c>
      <c r="V291" t="s">
        <v>1048</v>
      </c>
      <c r="W291">
        <v>597.85</v>
      </c>
      <c r="X291">
        <f>Table1[[#This Row],[UnitCost]]*(1+'scenario modeling'!$B$3)</f>
        <v>657.6350000000001</v>
      </c>
      <c r="Y291">
        <v>741.92</v>
      </c>
      <c r="Z291" t="str">
        <f>IF(Table1[[#This Row],[UnitPrice]]&lt;=Quantiles!$B$2,Quantiles!$A$2,IF(Table1[[#This Row],[UnitPrice]]&lt;=Quantiles!$B$3,Quantiles!$A$3,Quantiles!$A$4))</f>
        <v>Low</v>
      </c>
      <c r="AA291">
        <v>3.1E-2</v>
      </c>
      <c r="AB291" s="5">
        <f>MIN(Table1[[#This Row],[DiscountPct]],'scenario modeling'!$B$2)</f>
        <v>3.1E-2</v>
      </c>
      <c r="AC291" t="str">
        <f>IF(Table1[[#This Row],[DiscountPct]]&gt;0.3, "&gt;0.3","")</f>
        <v/>
      </c>
      <c r="AD291">
        <v>7</v>
      </c>
      <c r="AE291">
        <f>Table1[[#This Row],[Quantity]]*(1+'scenario modeling'!$B$4)</f>
        <v>8.4</v>
      </c>
      <c r="AF291">
        <f>Table1[[#This Row],[UnitCost]]*Table1[[#This Row],[Quantity]]</f>
        <v>4184.95</v>
      </c>
      <c r="AG291">
        <f>SUMIF($U:U,Table1[[#This Row],[ProductCategory]],$AM:AM)</f>
        <v>1549460.0077899997</v>
      </c>
      <c r="AH291">
        <f>SUMIFS($AM$2:AM291,$U$2:U291,U291)</f>
        <v>449281.70464999997</v>
      </c>
      <c r="AI291" s="5">
        <f>Table1[[#This Row],[Cumulative_revenue]]/Table1[[#This Row],[Category_revenue]]</f>
        <v>0.28996018121875378</v>
      </c>
      <c r="AJ291" t="str">
        <f>IF(Table1[[#This Row],[cumulative_pct]]&lt;=0.8,"A",IF(Table1[[#This Row],[cumulative_pct]]&lt;=0.95,"B","C"))</f>
        <v>A</v>
      </c>
      <c r="AK291">
        <f>Table1[[#This Row],[adj_unit_cost]]*Table1[[#This Row],[scenario_quantity]]</f>
        <v>5524.1340000000009</v>
      </c>
      <c r="AL291" s="5">
        <f>Table1[[#This Row],[UnitPrice]]*Table1[[#This Row],[scenario_quantity]]*(1-Table1[[#This Row],[cap_adjusted_discount]])</f>
        <v>6038.9320319999997</v>
      </c>
      <c r="AM291" s="5">
        <f>Table1[[#This Row],[UnitPrice]]*Table1[[#This Row],[Quantity]]*(1-Table1[[#This Row],[DiscountPct]])</f>
        <v>5032.4433599999993</v>
      </c>
      <c r="AN291" s="5">
        <f>Table1[[#This Row],[gross_revenue]]-Table1[[#This Row],[cost_of_goods]]</f>
        <v>847.49335999999948</v>
      </c>
      <c r="AO291" s="5">
        <f>Table1[[#This Row],[scenario_revenue]]-Table1[[#This Row],[Scenario_unit_cost]]</f>
        <v>514.79803199999878</v>
      </c>
      <c r="AP291" s="5">
        <f>IF(Table1[[#This Row],[gross_revenue]]=0,0,Table1[[#This Row],[gross_profit]]/Table1[[#This Row],[gross_revenue]])</f>
        <v>0.16840594108544515</v>
      </c>
    </row>
    <row r="292" spans="1:42" x14ac:dyDescent="0.35">
      <c r="A292" t="s">
        <v>563</v>
      </c>
      <c r="B292" t="str">
        <f>_xlfn.TEXTAFTER(Table1[[#This Row],[OrderID]],"-",2)</f>
        <v>202877</v>
      </c>
      <c r="C292">
        <f>YEAR(Table1[[#This Row],[OrderDate]])</f>
        <v>2024</v>
      </c>
      <c r="D292" s="9">
        <f>_xlfn.MINIFS(F:F,P:P,Table1[[#This Row],[Country]])</f>
        <v>44955</v>
      </c>
      <c r="E292" s="7">
        <f>DATEDIF(Table1[[#This Row],[first_time_orders]],Table1[[#This Row],[OrderDate]],"m")</f>
        <v>17</v>
      </c>
      <c r="F292" s="9">
        <v>45486</v>
      </c>
      <c r="G292" s="2" t="str">
        <f>TEXT(Table1[[#This Row],[OrderDate]],"MMM-YYYY")</f>
        <v>Jul-2024</v>
      </c>
      <c r="H292" s="7">
        <f>MONTH(Table1[[#This Row],[OrderDate]])</f>
        <v>7</v>
      </c>
      <c r="I292" s="7" t="str">
        <f>"Q"&amp;ROUNDUP(Table1[[#This Row],[months]]/3,0)&amp;"-"&amp;Table1[[#This Row],[order_year]]</f>
        <v>Q3-2024</v>
      </c>
      <c r="J292" s="7">
        <f>Table1[[#This Row],[RequiredDate]]-Table1[[#This Row],[OrderDate]]</f>
        <v>21</v>
      </c>
      <c r="K292" s="7">
        <f>IF(Table1[[#This Row],[lead_time]]&lt;0,MEDIAN(J:J),Table1[[#This Row],[lead_time]])</f>
        <v>21</v>
      </c>
      <c r="L292" s="7">
        <f>IF(Table1[[#This Row],[adj_lead_time]]&lt;=7,1,0)</f>
        <v>0</v>
      </c>
      <c r="M292" s="9">
        <v>45507</v>
      </c>
      <c r="N292" s="9">
        <f>IF(Table1[[#This Row],[lead_time]]&lt;0,(Table1[[#This Row],[OrderDate]]+Table1[[#This Row],[adj_lead_time]]),Table1[[#This Row],[RequiredDate]])</f>
        <v>45507</v>
      </c>
      <c r="O292" t="s">
        <v>648</v>
      </c>
      <c r="P292" t="s">
        <v>655</v>
      </c>
      <c r="Q292" t="s">
        <v>692</v>
      </c>
      <c r="R292" t="s">
        <v>701</v>
      </c>
      <c r="S292" t="s">
        <v>709</v>
      </c>
      <c r="T292" t="s">
        <v>724</v>
      </c>
      <c r="U292" t="s">
        <v>732</v>
      </c>
      <c r="V292" t="s">
        <v>1281</v>
      </c>
      <c r="W292">
        <v>702.98</v>
      </c>
      <c r="X292">
        <f>Table1[[#This Row],[UnitCost]]*(1+'scenario modeling'!$B$3)</f>
        <v>773.27800000000013</v>
      </c>
      <c r="Y292">
        <v>1104.8</v>
      </c>
      <c r="Z292" t="str">
        <f>IF(Table1[[#This Row],[UnitPrice]]&lt;=Quantiles!$B$2,Quantiles!$A$2,IF(Table1[[#This Row],[UnitPrice]]&lt;=Quantiles!$B$3,Quantiles!$A$3,Quantiles!$A$4))</f>
        <v>Medium</v>
      </c>
      <c r="AA292">
        <v>0.17499999999999999</v>
      </c>
      <c r="AB292" s="5">
        <f>MIN(Table1[[#This Row],[DiscountPct]],'scenario modeling'!$B$2)</f>
        <v>0.1</v>
      </c>
      <c r="AC292" t="str">
        <f>IF(Table1[[#This Row],[DiscountPct]]&gt;0.3, "&gt;0.3","")</f>
        <v/>
      </c>
      <c r="AD292">
        <v>12</v>
      </c>
      <c r="AE292">
        <f>Table1[[#This Row],[Quantity]]*(1+'scenario modeling'!$B$4)</f>
        <v>14.399999999999999</v>
      </c>
      <c r="AF292">
        <f>Table1[[#This Row],[UnitCost]]*Table1[[#This Row],[Quantity]]</f>
        <v>8435.76</v>
      </c>
      <c r="AG292">
        <f>SUMIF($U:U,Table1[[#This Row],[ProductCategory]],$AM:AM)</f>
        <v>1549460.0077899997</v>
      </c>
      <c r="AH292">
        <f>SUMIFS($AM$2:AM292,$U$2:U292,U292)</f>
        <v>460219.22464999999</v>
      </c>
      <c r="AI292" s="5">
        <f>Table1[[#This Row],[Cumulative_revenue]]/Table1[[#This Row],[Category_revenue]]</f>
        <v>0.29701910493734673</v>
      </c>
      <c r="AJ292" t="str">
        <f>IF(Table1[[#This Row],[cumulative_pct]]&lt;=0.8,"A",IF(Table1[[#This Row],[cumulative_pct]]&lt;=0.95,"B","C"))</f>
        <v>A</v>
      </c>
      <c r="AK292">
        <f>Table1[[#This Row],[adj_unit_cost]]*Table1[[#This Row],[scenario_quantity]]</f>
        <v>11135.2032</v>
      </c>
      <c r="AL292" s="5">
        <f>Table1[[#This Row],[UnitPrice]]*Table1[[#This Row],[scenario_quantity]]*(1-Table1[[#This Row],[cap_adjusted_discount]])</f>
        <v>14318.207999999997</v>
      </c>
      <c r="AM292" s="5">
        <f>Table1[[#This Row],[UnitPrice]]*Table1[[#This Row],[Quantity]]*(1-Table1[[#This Row],[DiscountPct]])</f>
        <v>10937.519999999999</v>
      </c>
      <c r="AN292" s="5">
        <f>Table1[[#This Row],[gross_revenue]]-Table1[[#This Row],[cost_of_goods]]</f>
        <v>2501.7599999999984</v>
      </c>
      <c r="AO292" s="5">
        <f>Table1[[#This Row],[scenario_revenue]]-Table1[[#This Row],[Scenario_unit_cost]]</f>
        <v>3183.004799999997</v>
      </c>
      <c r="AP292" s="5">
        <f>IF(Table1[[#This Row],[gross_revenue]]=0,0,Table1[[#This Row],[gross_profit]]/Table1[[#This Row],[gross_revenue]])</f>
        <v>0.22873192460448061</v>
      </c>
    </row>
    <row r="293" spans="1:42" x14ac:dyDescent="0.35">
      <c r="A293" t="s">
        <v>462</v>
      </c>
      <c r="B293" t="str">
        <f>_xlfn.TEXTAFTER(Table1[[#This Row],[OrderID]],"-",2)</f>
        <v>886939</v>
      </c>
      <c r="C293">
        <f>YEAR(Table1[[#This Row],[OrderDate]])</f>
        <v>2024</v>
      </c>
      <c r="D293" s="9">
        <f>_xlfn.MINIFS(F:F,P:P,Table1[[#This Row],[Country]])</f>
        <v>44928</v>
      </c>
      <c r="E293" s="7">
        <f>DATEDIF(Table1[[#This Row],[first_time_orders]],Table1[[#This Row],[OrderDate]],"m")</f>
        <v>17</v>
      </c>
      <c r="F293" s="9">
        <v>45446</v>
      </c>
      <c r="G293" s="2" t="str">
        <f>TEXT(Table1[[#This Row],[OrderDate]],"MMM-YYYY")</f>
        <v>Jun-2024</v>
      </c>
      <c r="H293" s="7">
        <f>MONTH(Table1[[#This Row],[OrderDate]])</f>
        <v>6</v>
      </c>
      <c r="I293" s="7" t="str">
        <f>"Q"&amp;ROUNDUP(Table1[[#This Row],[months]]/3,0)&amp;"-"&amp;Table1[[#This Row],[order_year]]</f>
        <v>Q2-2024</v>
      </c>
      <c r="J293" s="7">
        <f>Table1[[#This Row],[RequiredDate]]-Table1[[#This Row],[OrderDate]]</f>
        <v>21</v>
      </c>
      <c r="K293" s="7">
        <f>IF(Table1[[#This Row],[lead_time]]&lt;0,MEDIAN(J:J),Table1[[#This Row],[lead_time]])</f>
        <v>21</v>
      </c>
      <c r="L293" s="7">
        <f>IF(Table1[[#This Row],[adj_lead_time]]&lt;=7,1,0)</f>
        <v>0</v>
      </c>
      <c r="M293" s="9">
        <v>45467</v>
      </c>
      <c r="N293" s="9">
        <f>IF(Table1[[#This Row],[lead_time]]&lt;0,(Table1[[#This Row],[OrderDate]]+Table1[[#This Row],[adj_lead_time]]),Table1[[#This Row],[RequiredDate]])</f>
        <v>45467</v>
      </c>
      <c r="O293" t="s">
        <v>648</v>
      </c>
      <c r="P293" t="s">
        <v>653</v>
      </c>
      <c r="Q293" t="s">
        <v>667</v>
      </c>
      <c r="R293" t="s">
        <v>705</v>
      </c>
      <c r="S293" t="s">
        <v>711</v>
      </c>
      <c r="T293" t="s">
        <v>715</v>
      </c>
      <c r="U293" t="s">
        <v>732</v>
      </c>
      <c r="V293" t="s">
        <v>1181</v>
      </c>
      <c r="W293">
        <v>1205.5</v>
      </c>
      <c r="X293">
        <f>Table1[[#This Row],[UnitCost]]*(1+'scenario modeling'!$B$3)</f>
        <v>1326.0500000000002</v>
      </c>
      <c r="Y293">
        <v>2210.17</v>
      </c>
      <c r="Z293" t="str">
        <f>IF(Table1[[#This Row],[UnitPrice]]&lt;=Quantiles!$B$2,Quantiles!$A$2,IF(Table1[[#This Row],[UnitPrice]]&lt;=Quantiles!$B$3,Quantiles!$A$3,Quantiles!$A$4))</f>
        <v>High</v>
      </c>
      <c r="AA293">
        <v>0.104</v>
      </c>
      <c r="AB293" s="5">
        <f>MIN(Table1[[#This Row],[DiscountPct]],'scenario modeling'!$B$2)</f>
        <v>0.1</v>
      </c>
      <c r="AC293" t="str">
        <f>IF(Table1[[#This Row],[DiscountPct]]&gt;0.3, "&gt;0.3","")</f>
        <v/>
      </c>
      <c r="AD293">
        <v>23</v>
      </c>
      <c r="AE293">
        <f>Table1[[#This Row],[Quantity]]*(1+'scenario modeling'!$B$4)</f>
        <v>27.599999999999998</v>
      </c>
      <c r="AF293">
        <f>Table1[[#This Row],[UnitCost]]*Table1[[#This Row],[Quantity]]</f>
        <v>27726.5</v>
      </c>
      <c r="AG293">
        <f>SUMIF($U:U,Table1[[#This Row],[ProductCategory]],$AM:AM)</f>
        <v>1549460.0077899997</v>
      </c>
      <c r="AH293">
        <f>SUMIFS($AM$2:AM293,$U$2:U293,U293)</f>
        <v>505766.40801000001</v>
      </c>
      <c r="AI293" s="5">
        <f>Table1[[#This Row],[Cumulative_revenue]]/Table1[[#This Row],[Category_revenue]]</f>
        <v>0.32641462539673832</v>
      </c>
      <c r="AJ293" t="str">
        <f>IF(Table1[[#This Row],[cumulative_pct]]&lt;=0.8,"A",IF(Table1[[#This Row],[cumulative_pct]]&lt;=0.95,"B","C"))</f>
        <v>A</v>
      </c>
      <c r="AK293">
        <f>Table1[[#This Row],[adj_unit_cost]]*Table1[[#This Row],[scenario_quantity]]</f>
        <v>36598.980000000003</v>
      </c>
      <c r="AL293" s="5">
        <f>Table1[[#This Row],[UnitPrice]]*Table1[[#This Row],[scenario_quantity]]*(1-Table1[[#This Row],[cap_adjusted_discount]])</f>
        <v>54900.622799999997</v>
      </c>
      <c r="AM293" s="5">
        <f>Table1[[#This Row],[UnitPrice]]*Table1[[#This Row],[Quantity]]*(1-Table1[[#This Row],[DiscountPct]])</f>
        <v>45547.183360000003</v>
      </c>
      <c r="AN293" s="5">
        <f>Table1[[#This Row],[gross_revenue]]-Table1[[#This Row],[cost_of_goods]]</f>
        <v>17820.683360000003</v>
      </c>
      <c r="AO293" s="5">
        <f>Table1[[#This Row],[scenario_revenue]]-Table1[[#This Row],[Scenario_unit_cost]]</f>
        <v>18301.642799999994</v>
      </c>
      <c r="AP293" s="5">
        <f>IF(Table1[[#This Row],[gross_revenue]]=0,0,Table1[[#This Row],[gross_profit]]/Table1[[#This Row],[gross_revenue]])</f>
        <v>0.39125763758314652</v>
      </c>
    </row>
    <row r="294" spans="1:42" x14ac:dyDescent="0.35">
      <c r="A294" t="s">
        <v>613</v>
      </c>
      <c r="B294" t="str">
        <f>_xlfn.TEXTAFTER(Table1[[#This Row],[OrderID]],"-",2)</f>
        <v>585443</v>
      </c>
      <c r="C294">
        <f>YEAR(Table1[[#This Row],[OrderDate]])</f>
        <v>2024</v>
      </c>
      <c r="D294" s="9">
        <f>_xlfn.MINIFS(F:F,P:P,Table1[[#This Row],[Country]])</f>
        <v>44955</v>
      </c>
      <c r="E294" s="7">
        <f>DATEDIF(Table1[[#This Row],[first_time_orders]],Table1[[#This Row],[OrderDate]],"m")</f>
        <v>18</v>
      </c>
      <c r="F294" s="9">
        <v>45521</v>
      </c>
      <c r="G294" s="2" t="str">
        <f>TEXT(Table1[[#This Row],[OrderDate]],"MMM-YYYY")</f>
        <v>Aug-2024</v>
      </c>
      <c r="H294" s="7">
        <f>MONTH(Table1[[#This Row],[OrderDate]])</f>
        <v>8</v>
      </c>
      <c r="I294" s="7" t="str">
        <f>"Q"&amp;ROUNDUP(Table1[[#This Row],[months]]/3,0)&amp;"-"&amp;Table1[[#This Row],[order_year]]</f>
        <v>Q3-2024</v>
      </c>
      <c r="J294" s="7">
        <f>Table1[[#This Row],[RequiredDate]]-Table1[[#This Row],[OrderDate]]</f>
        <v>-2</v>
      </c>
      <c r="K294" s="7">
        <f>IF(Table1[[#This Row],[lead_time]]&lt;0,MEDIAN(J:J),Table1[[#This Row],[lead_time]])</f>
        <v>15</v>
      </c>
      <c r="L294" s="7">
        <f>IF(Table1[[#This Row],[adj_lead_time]]&lt;=7,1,0)</f>
        <v>0</v>
      </c>
      <c r="M294" s="9">
        <v>45519</v>
      </c>
      <c r="N294" s="9">
        <f>IF(Table1[[#This Row],[lead_time]]&lt;0,(Table1[[#This Row],[OrderDate]]+Table1[[#This Row],[adj_lead_time]]),Table1[[#This Row],[RequiredDate]])</f>
        <v>45536</v>
      </c>
      <c r="O294" t="s">
        <v>648</v>
      </c>
      <c r="P294" t="s">
        <v>655</v>
      </c>
      <c r="Q294" t="s">
        <v>692</v>
      </c>
      <c r="R294" t="s">
        <v>704</v>
      </c>
      <c r="S294" t="s">
        <v>711</v>
      </c>
      <c r="T294" t="s">
        <v>724</v>
      </c>
      <c r="U294" t="s">
        <v>732</v>
      </c>
      <c r="V294" t="s">
        <v>1331</v>
      </c>
      <c r="W294">
        <v>165.3</v>
      </c>
      <c r="X294">
        <f>Table1[[#This Row],[UnitCost]]*(1+'scenario modeling'!$B$3)</f>
        <v>181.83000000000004</v>
      </c>
      <c r="Y294">
        <v>275.07</v>
      </c>
      <c r="Z294" t="str">
        <f>IF(Table1[[#This Row],[UnitPrice]]&lt;=Quantiles!$B$2,Quantiles!$A$2,IF(Table1[[#This Row],[UnitPrice]]&lt;=Quantiles!$B$3,Quantiles!$A$3,Quantiles!$A$4))</f>
        <v>Low</v>
      </c>
      <c r="AA294">
        <v>0.13300000000000001</v>
      </c>
      <c r="AB294" s="5">
        <f>MIN(Table1[[#This Row],[DiscountPct]],'scenario modeling'!$B$2)</f>
        <v>0.1</v>
      </c>
      <c r="AC294" t="str">
        <f>IF(Table1[[#This Row],[DiscountPct]]&gt;0.3, "&gt;0.3","")</f>
        <v/>
      </c>
      <c r="AD294">
        <v>25</v>
      </c>
      <c r="AE294">
        <f>Table1[[#This Row],[Quantity]]*(1+'scenario modeling'!$B$4)</f>
        <v>30</v>
      </c>
      <c r="AF294">
        <f>Table1[[#This Row],[UnitCost]]*Table1[[#This Row],[Quantity]]</f>
        <v>4132.5</v>
      </c>
      <c r="AG294">
        <f>SUMIF($U:U,Table1[[#This Row],[ProductCategory]],$AM:AM)</f>
        <v>1549460.0077899997</v>
      </c>
      <c r="AH294">
        <f>SUMIFS($AM$2:AM294,$U$2:U294,U294)</f>
        <v>511728.55025999999</v>
      </c>
      <c r="AI294" s="5">
        <f>Table1[[#This Row],[Cumulative_revenue]]/Table1[[#This Row],[Category_revenue]]</f>
        <v>0.33026250931760426</v>
      </c>
      <c r="AJ294" t="str">
        <f>IF(Table1[[#This Row],[cumulative_pct]]&lt;=0.8,"A",IF(Table1[[#This Row],[cumulative_pct]]&lt;=0.95,"B","C"))</f>
        <v>A</v>
      </c>
      <c r="AK294">
        <f>Table1[[#This Row],[adj_unit_cost]]*Table1[[#This Row],[scenario_quantity]]</f>
        <v>5454.9000000000015</v>
      </c>
      <c r="AL294" s="5">
        <f>Table1[[#This Row],[UnitPrice]]*Table1[[#This Row],[scenario_quantity]]*(1-Table1[[#This Row],[cap_adjusted_discount]])</f>
        <v>7426.89</v>
      </c>
      <c r="AM294" s="5">
        <f>Table1[[#This Row],[UnitPrice]]*Table1[[#This Row],[Quantity]]*(1-Table1[[#This Row],[DiscountPct]])</f>
        <v>5962.1422499999999</v>
      </c>
      <c r="AN294" s="5">
        <f>Table1[[#This Row],[gross_revenue]]-Table1[[#This Row],[cost_of_goods]]</f>
        <v>1829.6422499999999</v>
      </c>
      <c r="AO294" s="5">
        <f>Table1[[#This Row],[scenario_revenue]]-Table1[[#This Row],[Scenario_unit_cost]]</f>
        <v>1971.9899999999989</v>
      </c>
      <c r="AP294" s="5">
        <f>IF(Table1[[#This Row],[gross_revenue]]=0,0,Table1[[#This Row],[gross_profit]]/Table1[[#This Row],[gross_revenue]])</f>
        <v>0.30687665159280625</v>
      </c>
    </row>
    <row r="295" spans="1:42" x14ac:dyDescent="0.35">
      <c r="A295" t="s">
        <v>509</v>
      </c>
      <c r="B295" t="str">
        <f>_xlfn.TEXTAFTER(Table1[[#This Row],[OrderID]],"-",2)</f>
        <v>433936</v>
      </c>
      <c r="C295">
        <f>YEAR(Table1[[#This Row],[OrderDate]])</f>
        <v>2024</v>
      </c>
      <c r="D295" s="9">
        <f>_xlfn.MINIFS(F:F,P:P,Table1[[#This Row],[Country]])</f>
        <v>44939</v>
      </c>
      <c r="E295" s="7">
        <f>DATEDIF(Table1[[#This Row],[first_time_orders]],Table1[[#This Row],[OrderDate]],"m")</f>
        <v>18</v>
      </c>
      <c r="F295" s="9">
        <v>45508</v>
      </c>
      <c r="G295" s="2" t="str">
        <f>TEXT(Table1[[#This Row],[OrderDate]],"MMM-YYYY")</f>
        <v>Aug-2024</v>
      </c>
      <c r="H295" s="7">
        <f>MONTH(Table1[[#This Row],[OrderDate]])</f>
        <v>8</v>
      </c>
      <c r="I295" s="7" t="str">
        <f>"Q"&amp;ROUNDUP(Table1[[#This Row],[months]]/3,0)&amp;"-"&amp;Table1[[#This Row],[order_year]]</f>
        <v>Q3-2024</v>
      </c>
      <c r="J295" s="7">
        <f>Table1[[#This Row],[RequiredDate]]-Table1[[#This Row],[OrderDate]]</f>
        <v>13</v>
      </c>
      <c r="K295" s="7">
        <f>IF(Table1[[#This Row],[lead_time]]&lt;0,MEDIAN(J:J),Table1[[#This Row],[lead_time]])</f>
        <v>13</v>
      </c>
      <c r="L295" s="7">
        <f>IF(Table1[[#This Row],[adj_lead_time]]&lt;=7,1,0)</f>
        <v>0</v>
      </c>
      <c r="M295" s="9">
        <v>45521</v>
      </c>
      <c r="N295" s="9">
        <f>IF(Table1[[#This Row],[lead_time]]&lt;0,(Table1[[#This Row],[OrderDate]]+Table1[[#This Row],[adj_lead_time]]),Table1[[#This Row],[RequiredDate]])</f>
        <v>45521</v>
      </c>
      <c r="O295" t="s">
        <v>648</v>
      </c>
      <c r="P295" t="s">
        <v>660</v>
      </c>
      <c r="Q295" t="s">
        <v>697</v>
      </c>
      <c r="R295" t="s">
        <v>704</v>
      </c>
      <c r="S295" t="s">
        <v>707</v>
      </c>
      <c r="T295" t="s">
        <v>726</v>
      </c>
      <c r="U295" t="s">
        <v>732</v>
      </c>
      <c r="V295" t="s">
        <v>1228</v>
      </c>
      <c r="W295">
        <v>352.79</v>
      </c>
      <c r="X295">
        <f>Table1[[#This Row],[UnitCost]]*(1+'scenario modeling'!$B$3)</f>
        <v>388.06900000000007</v>
      </c>
      <c r="Y295">
        <v>754.22</v>
      </c>
      <c r="Z295" t="str">
        <f>IF(Table1[[#This Row],[UnitPrice]]&lt;=Quantiles!$B$2,Quantiles!$A$2,IF(Table1[[#This Row],[UnitPrice]]&lt;=Quantiles!$B$3,Quantiles!$A$3,Quantiles!$A$4))</f>
        <v>Low</v>
      </c>
      <c r="AA295">
        <v>0.113</v>
      </c>
      <c r="AB295" s="5">
        <f>MIN(Table1[[#This Row],[DiscountPct]],'scenario modeling'!$B$2)</f>
        <v>0.1</v>
      </c>
      <c r="AC295" t="str">
        <f>IF(Table1[[#This Row],[DiscountPct]]&gt;0.3, "&gt;0.3","")</f>
        <v/>
      </c>
      <c r="AD295">
        <v>7</v>
      </c>
      <c r="AE295">
        <f>Table1[[#This Row],[Quantity]]*(1+'scenario modeling'!$B$4)</f>
        <v>8.4</v>
      </c>
      <c r="AF295">
        <f>Table1[[#This Row],[UnitCost]]*Table1[[#This Row],[Quantity]]</f>
        <v>2469.5300000000002</v>
      </c>
      <c r="AG295">
        <f>SUMIF($U:U,Table1[[#This Row],[ProductCategory]],$AM:AM)</f>
        <v>1549460.0077899997</v>
      </c>
      <c r="AH295">
        <f>SUMIFS($AM$2:AM295,$U$2:U295,U295)</f>
        <v>516411.50224</v>
      </c>
      <c r="AI295" s="5">
        <f>Table1[[#This Row],[Cumulative_revenue]]/Table1[[#This Row],[Category_revenue]]</f>
        <v>0.33328482157894451</v>
      </c>
      <c r="AJ295" t="str">
        <f>IF(Table1[[#This Row],[cumulative_pct]]&lt;=0.8,"A",IF(Table1[[#This Row],[cumulative_pct]]&lt;=0.95,"B","C"))</f>
        <v>A</v>
      </c>
      <c r="AK295">
        <f>Table1[[#This Row],[adj_unit_cost]]*Table1[[#This Row],[scenario_quantity]]</f>
        <v>3259.7796000000008</v>
      </c>
      <c r="AL295" s="5">
        <f>Table1[[#This Row],[UnitPrice]]*Table1[[#This Row],[scenario_quantity]]*(1-Table1[[#This Row],[cap_adjusted_discount]])</f>
        <v>5701.9032000000007</v>
      </c>
      <c r="AM295" s="5">
        <f>Table1[[#This Row],[UnitPrice]]*Table1[[#This Row],[Quantity]]*(1-Table1[[#This Row],[DiscountPct]])</f>
        <v>4682.9519799999998</v>
      </c>
      <c r="AN295" s="5">
        <f>Table1[[#This Row],[gross_revenue]]-Table1[[#This Row],[cost_of_goods]]</f>
        <v>2213.4219799999996</v>
      </c>
      <c r="AO295" s="5">
        <f>Table1[[#This Row],[scenario_revenue]]-Table1[[#This Row],[Scenario_unit_cost]]</f>
        <v>2442.1235999999999</v>
      </c>
      <c r="AP295" s="5">
        <f>IF(Table1[[#This Row],[gross_revenue]]=0,0,Table1[[#This Row],[gross_profit]]/Table1[[#This Row],[gross_revenue]])</f>
        <v>0.47265528014233443</v>
      </c>
    </row>
    <row r="296" spans="1:42" x14ac:dyDescent="0.35">
      <c r="A296" t="s">
        <v>247</v>
      </c>
      <c r="B296" t="str">
        <f>_xlfn.TEXTAFTER(Table1[[#This Row],[OrderID]],"-",2)</f>
        <v>569164</v>
      </c>
      <c r="C296">
        <f>YEAR(Table1[[#This Row],[OrderDate]])</f>
        <v>2024</v>
      </c>
      <c r="D296" s="9">
        <f>_xlfn.MINIFS(F:F,P:P,Table1[[#This Row],[Country]])</f>
        <v>44988</v>
      </c>
      <c r="E296" s="7">
        <f>DATEDIF(Table1[[#This Row],[first_time_orders]],Table1[[#This Row],[OrderDate]],"m")</f>
        <v>18</v>
      </c>
      <c r="F296" s="9">
        <v>45540</v>
      </c>
      <c r="G296" s="2" t="str">
        <f>TEXT(Table1[[#This Row],[OrderDate]],"MMM-YYYY")</f>
        <v>Sept-2024</v>
      </c>
      <c r="H296" s="7">
        <f>MONTH(Table1[[#This Row],[OrderDate]])</f>
        <v>9</v>
      </c>
      <c r="I296" s="7" t="str">
        <f>"Q"&amp;ROUNDUP(Table1[[#This Row],[months]]/3,0)&amp;"-"&amp;Table1[[#This Row],[order_year]]</f>
        <v>Q3-2024</v>
      </c>
      <c r="J296" s="7">
        <f>Table1[[#This Row],[RequiredDate]]-Table1[[#This Row],[OrderDate]]</f>
        <v>20</v>
      </c>
      <c r="K296" s="7">
        <f>IF(Table1[[#This Row],[lead_time]]&lt;0,MEDIAN(J:J),Table1[[#This Row],[lead_time]])</f>
        <v>20</v>
      </c>
      <c r="L296" s="7">
        <f>IF(Table1[[#This Row],[adj_lead_time]]&lt;=7,1,0)</f>
        <v>0</v>
      </c>
      <c r="M296" s="9">
        <v>45560</v>
      </c>
      <c r="N296" s="9">
        <f>IF(Table1[[#This Row],[lead_time]]&lt;0,(Table1[[#This Row],[OrderDate]]+Table1[[#This Row],[adj_lead_time]]),Table1[[#This Row],[RequiredDate]])</f>
        <v>45560</v>
      </c>
      <c r="O296" t="s">
        <v>647</v>
      </c>
      <c r="P296" t="s">
        <v>652</v>
      </c>
      <c r="Q296" t="s">
        <v>666</v>
      </c>
      <c r="R296" t="s">
        <v>706</v>
      </c>
      <c r="S296" t="s">
        <v>710</v>
      </c>
      <c r="T296" t="s">
        <v>726</v>
      </c>
      <c r="U296" t="s">
        <v>732</v>
      </c>
      <c r="V296" t="s">
        <v>967</v>
      </c>
      <c r="W296">
        <v>195.54</v>
      </c>
      <c r="X296">
        <f>Table1[[#This Row],[UnitCost]]*(1+'scenario modeling'!$B$3)</f>
        <v>215.09400000000002</v>
      </c>
      <c r="Y296">
        <v>405.97</v>
      </c>
      <c r="Z296" t="str">
        <f>IF(Table1[[#This Row],[UnitPrice]]&lt;=Quantiles!$B$2,Quantiles!$A$2,IF(Table1[[#This Row],[UnitPrice]]&lt;=Quantiles!$B$3,Quantiles!$A$3,Quantiles!$A$4))</f>
        <v>Low</v>
      </c>
      <c r="AA296">
        <v>0.187</v>
      </c>
      <c r="AB296" s="5">
        <f>MIN(Table1[[#This Row],[DiscountPct]],'scenario modeling'!$B$2)</f>
        <v>0.1</v>
      </c>
      <c r="AC296" t="str">
        <f>IF(Table1[[#This Row],[DiscountPct]]&gt;0.3, "&gt;0.3","")</f>
        <v/>
      </c>
      <c r="AD296">
        <v>16</v>
      </c>
      <c r="AE296">
        <f>Table1[[#This Row],[Quantity]]*(1+'scenario modeling'!$B$4)</f>
        <v>19.2</v>
      </c>
      <c r="AF296">
        <f>Table1[[#This Row],[UnitCost]]*Table1[[#This Row],[Quantity]]</f>
        <v>3128.64</v>
      </c>
      <c r="AG296">
        <f>SUMIF($U:U,Table1[[#This Row],[ProductCategory]],$AM:AM)</f>
        <v>1549460.0077899997</v>
      </c>
      <c r="AH296">
        <f>SUMIFS($AM$2:AM296,$U$2:U296,U296)</f>
        <v>521692.36</v>
      </c>
      <c r="AI296" s="5">
        <f>Table1[[#This Row],[Cumulative_revenue]]/Table1[[#This Row],[Category_revenue]]</f>
        <v>0.33669301393850859</v>
      </c>
      <c r="AJ296" t="str">
        <f>IF(Table1[[#This Row],[cumulative_pct]]&lt;=0.8,"A",IF(Table1[[#This Row],[cumulative_pct]]&lt;=0.95,"B","C"))</f>
        <v>A</v>
      </c>
      <c r="AK296">
        <f>Table1[[#This Row],[adj_unit_cost]]*Table1[[#This Row],[scenario_quantity]]</f>
        <v>4129.8047999999999</v>
      </c>
      <c r="AL296" s="5">
        <f>Table1[[#This Row],[UnitPrice]]*Table1[[#This Row],[scenario_quantity]]*(1-Table1[[#This Row],[cap_adjusted_discount]])</f>
        <v>7015.1616000000004</v>
      </c>
      <c r="AM296" s="5">
        <f>Table1[[#This Row],[UnitPrice]]*Table1[[#This Row],[Quantity]]*(1-Table1[[#This Row],[DiscountPct]])</f>
        <v>5280.8577599999999</v>
      </c>
      <c r="AN296" s="5">
        <f>Table1[[#This Row],[gross_revenue]]-Table1[[#This Row],[cost_of_goods]]</f>
        <v>2152.21776</v>
      </c>
      <c r="AO296" s="5">
        <f>Table1[[#This Row],[scenario_revenue]]-Table1[[#This Row],[Scenario_unit_cost]]</f>
        <v>2885.3568000000005</v>
      </c>
      <c r="AP296" s="5">
        <f>IF(Table1[[#This Row],[gross_revenue]]=0,0,Table1[[#This Row],[gross_profit]]/Table1[[#This Row],[gross_revenue]])</f>
        <v>0.40755079152141377</v>
      </c>
    </row>
    <row r="297" spans="1:42" x14ac:dyDescent="0.35">
      <c r="A297" t="s">
        <v>398</v>
      </c>
      <c r="B297" t="str">
        <f>_xlfn.TEXTAFTER(Table1[[#This Row],[OrderID]],"-",2)</f>
        <v>398783</v>
      </c>
      <c r="C297">
        <f>YEAR(Table1[[#This Row],[OrderDate]])</f>
        <v>2024</v>
      </c>
      <c r="D297" s="9">
        <f>_xlfn.MINIFS(F:F,P:P,Table1[[#This Row],[Country]])</f>
        <v>44936</v>
      </c>
      <c r="E297" s="7">
        <f>DATEDIF(Table1[[#This Row],[first_time_orders]],Table1[[#This Row],[OrderDate]],"m")</f>
        <v>18</v>
      </c>
      <c r="F297" s="9">
        <v>45491</v>
      </c>
      <c r="G297" s="2" t="str">
        <f>TEXT(Table1[[#This Row],[OrderDate]],"MMM-YYYY")</f>
        <v>Jul-2024</v>
      </c>
      <c r="H297" s="7">
        <f>MONTH(Table1[[#This Row],[OrderDate]])</f>
        <v>7</v>
      </c>
      <c r="I297" s="7" t="str">
        <f>"Q"&amp;ROUNDUP(Table1[[#This Row],[months]]/3,0)&amp;"-"&amp;Table1[[#This Row],[order_year]]</f>
        <v>Q3-2024</v>
      </c>
      <c r="J297" s="7">
        <f>Table1[[#This Row],[RequiredDate]]-Table1[[#This Row],[OrderDate]]</f>
        <v>20</v>
      </c>
      <c r="K297" s="7">
        <f>IF(Table1[[#This Row],[lead_time]]&lt;0,MEDIAN(J:J),Table1[[#This Row],[lead_time]])</f>
        <v>20</v>
      </c>
      <c r="L297" s="7">
        <f>IF(Table1[[#This Row],[adj_lead_time]]&lt;=7,1,0)</f>
        <v>0</v>
      </c>
      <c r="M297" s="9">
        <v>45511</v>
      </c>
      <c r="N297" s="9">
        <f>IF(Table1[[#This Row],[lead_time]]&lt;0,(Table1[[#This Row],[OrderDate]]+Table1[[#This Row],[adj_lead_time]]),Table1[[#This Row],[RequiredDate]])</f>
        <v>45511</v>
      </c>
      <c r="O297" t="s">
        <v>649</v>
      </c>
      <c r="P297" t="s">
        <v>657</v>
      </c>
      <c r="Q297" t="s">
        <v>673</v>
      </c>
      <c r="R297" t="s">
        <v>701</v>
      </c>
      <c r="S297" t="s">
        <v>707</v>
      </c>
      <c r="T297" t="s">
        <v>721</v>
      </c>
      <c r="U297" t="s">
        <v>732</v>
      </c>
      <c r="V297" t="s">
        <v>1117</v>
      </c>
      <c r="W297">
        <v>941.35</v>
      </c>
      <c r="X297">
        <f>Table1[[#This Row],[UnitCost]]*(1+'scenario modeling'!$B$3)</f>
        <v>1035.4850000000001</v>
      </c>
      <c r="Y297">
        <v>899.83</v>
      </c>
      <c r="Z297" t="str">
        <f>IF(Table1[[#This Row],[UnitPrice]]&lt;=Quantiles!$B$2,Quantiles!$A$2,IF(Table1[[#This Row],[UnitPrice]]&lt;=Quantiles!$B$3,Quantiles!$A$3,Quantiles!$A$4))</f>
        <v>Medium</v>
      </c>
      <c r="AA297">
        <v>5.8000000000000003E-2</v>
      </c>
      <c r="AB297" s="5">
        <f>MIN(Table1[[#This Row],[DiscountPct]],'scenario modeling'!$B$2)</f>
        <v>5.8000000000000003E-2</v>
      </c>
      <c r="AC297" t="str">
        <f>IF(Table1[[#This Row],[DiscountPct]]&gt;0.3, "&gt;0.3","")</f>
        <v/>
      </c>
      <c r="AD297">
        <v>18</v>
      </c>
      <c r="AE297">
        <f>Table1[[#This Row],[Quantity]]*(1+'scenario modeling'!$B$4)</f>
        <v>21.599999999999998</v>
      </c>
      <c r="AF297">
        <f>Table1[[#This Row],[UnitCost]]*Table1[[#This Row],[Quantity]]</f>
        <v>16944.3</v>
      </c>
      <c r="AG297">
        <f>SUMIF($U:U,Table1[[#This Row],[ProductCategory]],$AM:AM)</f>
        <v>1549460.0077899997</v>
      </c>
      <c r="AH297">
        <f>SUMIFS($AM$2:AM297,$U$2:U297,U297)</f>
        <v>536949.87748000002</v>
      </c>
      <c r="AI297" s="5">
        <f>Table1[[#This Row],[Cumulative_revenue]]/Table1[[#This Row],[Category_revenue]]</f>
        <v>0.34654000411785624</v>
      </c>
      <c r="AJ297" t="str">
        <f>IF(Table1[[#This Row],[cumulative_pct]]&lt;=0.8,"A",IF(Table1[[#This Row],[cumulative_pct]]&lt;=0.95,"B","C"))</f>
        <v>A</v>
      </c>
      <c r="AK297">
        <f>Table1[[#This Row],[adj_unit_cost]]*Table1[[#This Row],[scenario_quantity]]</f>
        <v>22366.475999999999</v>
      </c>
      <c r="AL297" s="5">
        <f>Table1[[#This Row],[UnitPrice]]*Table1[[#This Row],[scenario_quantity]]*(1-Table1[[#This Row],[cap_adjusted_discount]])</f>
        <v>18309.020975999996</v>
      </c>
      <c r="AM297" s="5">
        <f>Table1[[#This Row],[UnitPrice]]*Table1[[#This Row],[Quantity]]*(1-Table1[[#This Row],[DiscountPct]])</f>
        <v>15257.51748</v>
      </c>
      <c r="AN297" s="5">
        <f>Table1[[#This Row],[gross_revenue]]-Table1[[#This Row],[cost_of_goods]]</f>
        <v>-1686.7825199999988</v>
      </c>
      <c r="AO297" s="5">
        <f>Table1[[#This Row],[scenario_revenue]]-Table1[[#This Row],[Scenario_unit_cost]]</f>
        <v>-4057.4550240000026</v>
      </c>
      <c r="AP297" s="5">
        <f>IF(Table1[[#This Row],[gross_revenue]]=0,0,Table1[[#This Row],[gross_profit]]/Table1[[#This Row],[gross_revenue]])</f>
        <v>-0.11055419220139073</v>
      </c>
    </row>
    <row r="298" spans="1:42" x14ac:dyDescent="0.35">
      <c r="A298" t="s">
        <v>413</v>
      </c>
      <c r="B298" t="str">
        <f>_xlfn.TEXTAFTER(Table1[[#This Row],[OrderID]],"-",2)</f>
        <v>972999</v>
      </c>
      <c r="C298">
        <f>YEAR(Table1[[#This Row],[OrderDate]])</f>
        <v>2024</v>
      </c>
      <c r="D298" s="9">
        <f>_xlfn.MINIFS(F:F,P:P,Table1[[#This Row],[Country]])</f>
        <v>44933</v>
      </c>
      <c r="E298" s="7">
        <f>DATEDIF(Table1[[#This Row],[first_time_orders]],Table1[[#This Row],[OrderDate]],"m")</f>
        <v>19</v>
      </c>
      <c r="F298" s="9">
        <v>45541</v>
      </c>
      <c r="G298" s="2" t="str">
        <f>TEXT(Table1[[#This Row],[OrderDate]],"MMM-YYYY")</f>
        <v>Sept-2024</v>
      </c>
      <c r="H298" s="7">
        <f>MONTH(Table1[[#This Row],[OrderDate]])</f>
        <v>9</v>
      </c>
      <c r="I298" s="7" t="str">
        <f>"Q"&amp;ROUNDUP(Table1[[#This Row],[months]]/3,0)&amp;"-"&amp;Table1[[#This Row],[order_year]]</f>
        <v>Q3-2024</v>
      </c>
      <c r="J298" s="7">
        <f>Table1[[#This Row],[RequiredDate]]-Table1[[#This Row],[OrderDate]]</f>
        <v>28</v>
      </c>
      <c r="K298" s="7">
        <f>IF(Table1[[#This Row],[lead_time]]&lt;0,MEDIAN(J:J),Table1[[#This Row],[lead_time]])</f>
        <v>28</v>
      </c>
      <c r="L298" s="7">
        <f>IF(Table1[[#This Row],[adj_lead_time]]&lt;=7,1,0)</f>
        <v>0</v>
      </c>
      <c r="M298" s="9">
        <v>45569</v>
      </c>
      <c r="N298" s="9">
        <f>IF(Table1[[#This Row],[lead_time]]&lt;0,(Table1[[#This Row],[OrderDate]]+Table1[[#This Row],[adj_lead_time]]),Table1[[#This Row],[RequiredDate]])</f>
        <v>45569</v>
      </c>
      <c r="O298" t="s">
        <v>646</v>
      </c>
      <c r="P298" t="s">
        <v>661</v>
      </c>
      <c r="Q298" t="s">
        <v>695</v>
      </c>
      <c r="R298" t="s">
        <v>701</v>
      </c>
      <c r="S298" t="s">
        <v>709</v>
      </c>
      <c r="T298" t="s">
        <v>726</v>
      </c>
      <c r="U298" t="s">
        <v>732</v>
      </c>
      <c r="V298" t="s">
        <v>1132</v>
      </c>
      <c r="W298">
        <v>1174.17</v>
      </c>
      <c r="X298">
        <f>Table1[[#This Row],[UnitCost]]*(1+'scenario modeling'!$B$3)</f>
        <v>1291.5870000000002</v>
      </c>
      <c r="Y298">
        <v>1641.61</v>
      </c>
      <c r="Z298" t="str">
        <f>IF(Table1[[#This Row],[UnitPrice]]&lt;=Quantiles!$B$2,Quantiles!$A$2,IF(Table1[[#This Row],[UnitPrice]]&lt;=Quantiles!$B$3,Quantiles!$A$3,Quantiles!$A$4))</f>
        <v>High</v>
      </c>
      <c r="AA298">
        <v>0.122</v>
      </c>
      <c r="AB298" s="5">
        <f>MIN(Table1[[#This Row],[DiscountPct]],'scenario modeling'!$B$2)</f>
        <v>0.1</v>
      </c>
      <c r="AC298" t="str">
        <f>IF(Table1[[#This Row],[DiscountPct]]&gt;0.3, "&gt;0.3","")</f>
        <v/>
      </c>
      <c r="AD298">
        <v>9</v>
      </c>
      <c r="AE298">
        <f>Table1[[#This Row],[Quantity]]*(1+'scenario modeling'!$B$4)</f>
        <v>10.799999999999999</v>
      </c>
      <c r="AF298">
        <f>Table1[[#This Row],[UnitCost]]*Table1[[#This Row],[Quantity]]</f>
        <v>10567.53</v>
      </c>
      <c r="AG298">
        <f>SUMIF($U:U,Table1[[#This Row],[ProductCategory]],$AM:AM)</f>
        <v>1549460.0077899997</v>
      </c>
      <c r="AH298">
        <f>SUMIFS($AM$2:AM298,$U$2:U298,U298)</f>
        <v>549921.87970000005</v>
      </c>
      <c r="AI298" s="5">
        <f>Table1[[#This Row],[Cumulative_revenue]]/Table1[[#This Row],[Category_revenue]]</f>
        <v>0.354911954445572</v>
      </c>
      <c r="AJ298" t="str">
        <f>IF(Table1[[#This Row],[cumulative_pct]]&lt;=0.8,"A",IF(Table1[[#This Row],[cumulative_pct]]&lt;=0.95,"B","C"))</f>
        <v>A</v>
      </c>
      <c r="AK298">
        <f>Table1[[#This Row],[adj_unit_cost]]*Table1[[#This Row],[scenario_quantity]]</f>
        <v>13949.1396</v>
      </c>
      <c r="AL298" s="5">
        <f>Table1[[#This Row],[UnitPrice]]*Table1[[#This Row],[scenario_quantity]]*(1-Table1[[#This Row],[cap_adjusted_discount]])</f>
        <v>15956.449199999995</v>
      </c>
      <c r="AM298" s="5">
        <f>Table1[[#This Row],[UnitPrice]]*Table1[[#This Row],[Quantity]]*(1-Table1[[#This Row],[DiscountPct]])</f>
        <v>12972.00222</v>
      </c>
      <c r="AN298" s="5">
        <f>Table1[[#This Row],[gross_revenue]]-Table1[[#This Row],[cost_of_goods]]</f>
        <v>2404.4722199999997</v>
      </c>
      <c r="AO298" s="5">
        <f>Table1[[#This Row],[scenario_revenue]]-Table1[[#This Row],[Scenario_unit_cost]]</f>
        <v>2007.309599999995</v>
      </c>
      <c r="AP298" s="5">
        <f>IF(Table1[[#This Row],[gross_revenue]]=0,0,Table1[[#This Row],[gross_profit]]/Table1[[#This Row],[gross_revenue]])</f>
        <v>0.18535860380079394</v>
      </c>
    </row>
    <row r="299" spans="1:42" x14ac:dyDescent="0.35">
      <c r="A299" t="s">
        <v>209</v>
      </c>
      <c r="B299" t="str">
        <f>_xlfn.TEXTAFTER(Table1[[#This Row],[OrderID]],"-",2)</f>
        <v>444710</v>
      </c>
      <c r="C299">
        <f>YEAR(Table1[[#This Row],[OrderDate]])</f>
        <v>2024</v>
      </c>
      <c r="D299" s="9">
        <f>_xlfn.MINIFS(F:F,P:P,Table1[[#This Row],[Country]])</f>
        <v>44955</v>
      </c>
      <c r="E299" s="7">
        <f>DATEDIF(Table1[[#This Row],[first_time_orders]],Table1[[#This Row],[OrderDate]],"m")</f>
        <v>19</v>
      </c>
      <c r="F299" s="9">
        <v>45557</v>
      </c>
      <c r="G299" s="2" t="str">
        <f>TEXT(Table1[[#This Row],[OrderDate]],"MMM-YYYY")</f>
        <v>Sept-2024</v>
      </c>
      <c r="H299" s="7">
        <f>MONTH(Table1[[#This Row],[OrderDate]])</f>
        <v>9</v>
      </c>
      <c r="I299" s="7" t="str">
        <f>"Q"&amp;ROUNDUP(Table1[[#This Row],[months]]/3,0)&amp;"-"&amp;Table1[[#This Row],[order_year]]</f>
        <v>Q3-2024</v>
      </c>
      <c r="J299" s="7">
        <f>Table1[[#This Row],[RequiredDate]]-Table1[[#This Row],[OrderDate]]</f>
        <v>9</v>
      </c>
      <c r="K299" s="7">
        <f>IF(Table1[[#This Row],[lead_time]]&lt;0,MEDIAN(J:J),Table1[[#This Row],[lead_time]])</f>
        <v>9</v>
      </c>
      <c r="L299" s="7">
        <f>IF(Table1[[#This Row],[adj_lead_time]]&lt;=7,1,0)</f>
        <v>0</v>
      </c>
      <c r="M299" s="9">
        <v>45566</v>
      </c>
      <c r="N299" s="9">
        <f>IF(Table1[[#This Row],[lead_time]]&lt;0,(Table1[[#This Row],[OrderDate]]+Table1[[#This Row],[adj_lead_time]]),Table1[[#This Row],[RequiredDate]])</f>
        <v>45566</v>
      </c>
      <c r="O299" t="s">
        <v>648</v>
      </c>
      <c r="P299" t="s">
        <v>655</v>
      </c>
      <c r="Q299" t="s">
        <v>670</v>
      </c>
      <c r="R299" t="s">
        <v>703</v>
      </c>
      <c r="S299" t="s">
        <v>708</v>
      </c>
      <c r="T299" t="s">
        <v>723</v>
      </c>
      <c r="U299" t="s">
        <v>732</v>
      </c>
      <c r="V299" t="s">
        <v>929</v>
      </c>
      <c r="W299">
        <v>1378.8</v>
      </c>
      <c r="X299">
        <f>Table1[[#This Row],[UnitCost]]*(1+'scenario modeling'!$B$3)</f>
        <v>1516.68</v>
      </c>
      <c r="Y299">
        <v>1952.04</v>
      </c>
      <c r="Z299" t="str">
        <f>IF(Table1[[#This Row],[UnitPrice]]&lt;=Quantiles!$B$2,Quantiles!$A$2,IF(Table1[[#This Row],[UnitPrice]]&lt;=Quantiles!$B$3,Quantiles!$A$3,Quantiles!$A$4))</f>
        <v>High</v>
      </c>
      <c r="AA299">
        <v>0.159</v>
      </c>
      <c r="AB299" s="5">
        <f>MIN(Table1[[#This Row],[DiscountPct]],'scenario modeling'!$B$2)</f>
        <v>0.1</v>
      </c>
      <c r="AC299" t="str">
        <f>IF(Table1[[#This Row],[DiscountPct]]&gt;0.3, "&gt;0.3","")</f>
        <v/>
      </c>
      <c r="AD299">
        <v>19</v>
      </c>
      <c r="AE299">
        <f>Table1[[#This Row],[Quantity]]*(1+'scenario modeling'!$B$4)</f>
        <v>22.8</v>
      </c>
      <c r="AF299">
        <f>Table1[[#This Row],[UnitCost]]*Table1[[#This Row],[Quantity]]</f>
        <v>26197.200000000001</v>
      </c>
      <c r="AG299">
        <f>SUMIF($U:U,Table1[[#This Row],[ProductCategory]],$AM:AM)</f>
        <v>1549460.0077899997</v>
      </c>
      <c r="AH299">
        <f>SUMIFS($AM$2:AM299,$U$2:U299,U299)</f>
        <v>581113.5268600001</v>
      </c>
      <c r="AI299" s="5">
        <f>Table1[[#This Row],[Cumulative_revenue]]/Table1[[#This Row],[Category_revenue]]</f>
        <v>0.37504261093440183</v>
      </c>
      <c r="AJ299" t="str">
        <f>IF(Table1[[#This Row],[cumulative_pct]]&lt;=0.8,"A",IF(Table1[[#This Row],[cumulative_pct]]&lt;=0.95,"B","C"))</f>
        <v>A</v>
      </c>
      <c r="AK299">
        <f>Table1[[#This Row],[adj_unit_cost]]*Table1[[#This Row],[scenario_quantity]]</f>
        <v>34580.304000000004</v>
      </c>
      <c r="AL299" s="5">
        <f>Table1[[#This Row],[UnitPrice]]*Table1[[#This Row],[scenario_quantity]]*(1-Table1[[#This Row],[cap_adjusted_discount]])</f>
        <v>40055.860800000002</v>
      </c>
      <c r="AM299" s="5">
        <f>Table1[[#This Row],[UnitPrice]]*Table1[[#This Row],[Quantity]]*(1-Table1[[#This Row],[DiscountPct]])</f>
        <v>31191.64716</v>
      </c>
      <c r="AN299" s="5">
        <f>Table1[[#This Row],[gross_revenue]]-Table1[[#This Row],[cost_of_goods]]</f>
        <v>4994.4471599999997</v>
      </c>
      <c r="AO299" s="5">
        <f>Table1[[#This Row],[scenario_revenue]]-Table1[[#This Row],[Scenario_unit_cost]]</f>
        <v>5475.5567999999985</v>
      </c>
      <c r="AP299" s="5">
        <f>IF(Table1[[#This Row],[gross_revenue]]=0,0,Table1[[#This Row],[gross_profit]]/Table1[[#This Row],[gross_revenue]])</f>
        <v>0.16012130216723058</v>
      </c>
    </row>
    <row r="300" spans="1:42" x14ac:dyDescent="0.35">
      <c r="A300" t="s">
        <v>268</v>
      </c>
      <c r="B300" t="str">
        <f>_xlfn.TEXTAFTER(Table1[[#This Row],[OrderID]],"-",2)</f>
        <v>350100</v>
      </c>
      <c r="C300">
        <f>YEAR(Table1[[#This Row],[OrderDate]])</f>
        <v>2024</v>
      </c>
      <c r="D300" s="9">
        <f>_xlfn.MINIFS(F:F,P:P,Table1[[#This Row],[Country]])</f>
        <v>44988</v>
      </c>
      <c r="E300" s="7">
        <f>DATEDIF(Table1[[#This Row],[first_time_orders]],Table1[[#This Row],[OrderDate]],"m")</f>
        <v>19</v>
      </c>
      <c r="F300" s="9">
        <v>45592</v>
      </c>
      <c r="G300" s="2" t="str">
        <f>TEXT(Table1[[#This Row],[OrderDate]],"MMM-YYYY")</f>
        <v>Oct-2024</v>
      </c>
      <c r="H300" s="7">
        <f>MONTH(Table1[[#This Row],[OrderDate]])</f>
        <v>10</v>
      </c>
      <c r="I300" s="7" t="str">
        <f>"Q"&amp;ROUNDUP(Table1[[#This Row],[months]]/3,0)&amp;"-"&amp;Table1[[#This Row],[order_year]]</f>
        <v>Q4-2024</v>
      </c>
      <c r="J300" s="7">
        <f>Table1[[#This Row],[RequiredDate]]-Table1[[#This Row],[OrderDate]]</f>
        <v>24</v>
      </c>
      <c r="K300" s="7">
        <f>IF(Table1[[#This Row],[lead_time]]&lt;0,MEDIAN(J:J),Table1[[#This Row],[lead_time]])</f>
        <v>24</v>
      </c>
      <c r="L300" s="7">
        <f>IF(Table1[[#This Row],[adj_lead_time]]&lt;=7,1,0)</f>
        <v>0</v>
      </c>
      <c r="M300" s="9">
        <v>45616</v>
      </c>
      <c r="N300" s="9">
        <f>IF(Table1[[#This Row],[lead_time]]&lt;0,(Table1[[#This Row],[OrderDate]]+Table1[[#This Row],[adj_lead_time]]),Table1[[#This Row],[RequiredDate]])</f>
        <v>45616</v>
      </c>
      <c r="O300" t="s">
        <v>647</v>
      </c>
      <c r="P300" t="s">
        <v>652</v>
      </c>
      <c r="Q300" t="s">
        <v>694</v>
      </c>
      <c r="R300" t="s">
        <v>703</v>
      </c>
      <c r="S300" t="s">
        <v>708</v>
      </c>
      <c r="T300" t="s">
        <v>722</v>
      </c>
      <c r="U300" t="s">
        <v>732</v>
      </c>
      <c r="V300" t="s">
        <v>988</v>
      </c>
      <c r="W300">
        <v>317.25</v>
      </c>
      <c r="X300">
        <f>Table1[[#This Row],[UnitCost]]*(1+'scenario modeling'!$B$3)</f>
        <v>348.97500000000002</v>
      </c>
      <c r="Y300">
        <v>758.92</v>
      </c>
      <c r="Z300" t="str">
        <f>IF(Table1[[#This Row],[UnitPrice]]&lt;=Quantiles!$B$2,Quantiles!$A$2,IF(Table1[[#This Row],[UnitPrice]]&lt;=Quantiles!$B$3,Quantiles!$A$3,Quantiles!$A$4))</f>
        <v>Low</v>
      </c>
      <c r="AA300">
        <v>5.2999999999999999E-2</v>
      </c>
      <c r="AB300" s="5">
        <f>MIN(Table1[[#This Row],[DiscountPct]],'scenario modeling'!$B$2)</f>
        <v>5.2999999999999999E-2</v>
      </c>
      <c r="AC300" t="str">
        <f>IF(Table1[[#This Row],[DiscountPct]]&gt;0.3, "&gt;0.3","")</f>
        <v/>
      </c>
      <c r="AD300">
        <v>9</v>
      </c>
      <c r="AE300">
        <f>Table1[[#This Row],[Quantity]]*(1+'scenario modeling'!$B$4)</f>
        <v>10.799999999999999</v>
      </c>
      <c r="AF300">
        <f>Table1[[#This Row],[UnitCost]]*Table1[[#This Row],[Quantity]]</f>
        <v>2855.25</v>
      </c>
      <c r="AG300">
        <f>SUMIF($U:U,Table1[[#This Row],[ProductCategory]],$AM:AM)</f>
        <v>1549460.0077899997</v>
      </c>
      <c r="AH300">
        <f>SUMIFS($AM$2:AM300,$U$2:U300,U300)</f>
        <v>587581.80202000006</v>
      </c>
      <c r="AI300" s="5">
        <f>Table1[[#This Row],[Cumulative_revenue]]/Table1[[#This Row],[Category_revenue]]</f>
        <v>0.37921714601596596</v>
      </c>
      <c r="AJ300" t="str">
        <f>IF(Table1[[#This Row],[cumulative_pct]]&lt;=0.8,"A",IF(Table1[[#This Row],[cumulative_pct]]&lt;=0.95,"B","C"))</f>
        <v>A</v>
      </c>
      <c r="AK300">
        <f>Table1[[#This Row],[adj_unit_cost]]*Table1[[#This Row],[scenario_quantity]]</f>
        <v>3768.93</v>
      </c>
      <c r="AL300" s="5">
        <f>Table1[[#This Row],[UnitPrice]]*Table1[[#This Row],[scenario_quantity]]*(1-Table1[[#This Row],[cap_adjusted_discount]])</f>
        <v>7761.9301919999989</v>
      </c>
      <c r="AM300" s="5">
        <f>Table1[[#This Row],[UnitPrice]]*Table1[[#This Row],[Quantity]]*(1-Table1[[#This Row],[DiscountPct]])</f>
        <v>6468.2751599999992</v>
      </c>
      <c r="AN300" s="5">
        <f>Table1[[#This Row],[gross_revenue]]-Table1[[#This Row],[cost_of_goods]]</f>
        <v>3613.0251599999992</v>
      </c>
      <c r="AO300" s="5">
        <f>Table1[[#This Row],[scenario_revenue]]-Table1[[#This Row],[Scenario_unit_cost]]</f>
        <v>3993.0001919999991</v>
      </c>
      <c r="AP300" s="5">
        <f>IF(Table1[[#This Row],[gross_revenue]]=0,0,Table1[[#This Row],[gross_profit]]/Table1[[#This Row],[gross_revenue]])</f>
        <v>0.5585762928489888</v>
      </c>
    </row>
    <row r="301" spans="1:42" x14ac:dyDescent="0.35">
      <c r="A301" t="s">
        <v>55</v>
      </c>
      <c r="B301" t="str">
        <f>_xlfn.TEXTAFTER(Table1[[#This Row],[OrderID]],"-",2)</f>
        <v>635626</v>
      </c>
      <c r="C301">
        <f>YEAR(Table1[[#This Row],[OrderDate]])</f>
        <v>2024</v>
      </c>
      <c r="D301" s="9">
        <f>_xlfn.MINIFS(F:F,P:P,Table1[[#This Row],[Country]])</f>
        <v>44948</v>
      </c>
      <c r="E301" s="7">
        <f>DATEDIF(Table1[[#This Row],[first_time_orders]],Table1[[#This Row],[OrderDate]],"m")</f>
        <v>19</v>
      </c>
      <c r="F301" s="9">
        <v>45531</v>
      </c>
      <c r="G301" s="2" t="str">
        <f>TEXT(Table1[[#This Row],[OrderDate]],"MMM-YYYY")</f>
        <v>Aug-2024</v>
      </c>
      <c r="H301" s="7">
        <f>MONTH(Table1[[#This Row],[OrderDate]])</f>
        <v>8</v>
      </c>
      <c r="I301" s="7" t="str">
        <f>"Q"&amp;ROUNDUP(Table1[[#This Row],[months]]/3,0)&amp;"-"&amp;Table1[[#This Row],[order_year]]</f>
        <v>Q3-2024</v>
      </c>
      <c r="J301" s="7">
        <f>Table1[[#This Row],[RequiredDate]]-Table1[[#This Row],[OrderDate]]</f>
        <v>23</v>
      </c>
      <c r="K301" s="7">
        <f>IF(Table1[[#This Row],[lead_time]]&lt;0,MEDIAN(J:J),Table1[[#This Row],[lead_time]])</f>
        <v>23</v>
      </c>
      <c r="L301" s="7">
        <f>IF(Table1[[#This Row],[adj_lead_time]]&lt;=7,1,0)</f>
        <v>0</v>
      </c>
      <c r="M301" s="9">
        <v>45554</v>
      </c>
      <c r="N301" s="9">
        <f>IF(Table1[[#This Row],[lead_time]]&lt;0,(Table1[[#This Row],[OrderDate]]+Table1[[#This Row],[adj_lead_time]]),Table1[[#This Row],[RequiredDate]])</f>
        <v>45554</v>
      </c>
      <c r="O301" t="s">
        <v>649</v>
      </c>
      <c r="P301" t="s">
        <v>656</v>
      </c>
      <c r="Q301" t="s">
        <v>671</v>
      </c>
      <c r="R301" t="s">
        <v>705</v>
      </c>
      <c r="S301" t="s">
        <v>711</v>
      </c>
      <c r="T301" t="s">
        <v>726</v>
      </c>
      <c r="U301" t="s">
        <v>732</v>
      </c>
      <c r="V301" t="s">
        <v>774</v>
      </c>
      <c r="W301">
        <v>1024.01</v>
      </c>
      <c r="X301">
        <f>Table1[[#This Row],[UnitCost]]*(1+'scenario modeling'!$B$3)</f>
        <v>1126.4110000000001</v>
      </c>
      <c r="Y301">
        <v>1580.97</v>
      </c>
      <c r="Z301" t="str">
        <f>IF(Table1[[#This Row],[UnitPrice]]&lt;=Quantiles!$B$2,Quantiles!$A$2,IF(Table1[[#This Row],[UnitPrice]]&lt;=Quantiles!$B$3,Quantiles!$A$3,Quantiles!$A$4))</f>
        <v>Medium</v>
      </c>
      <c r="AA301">
        <v>3.6999999999999998E-2</v>
      </c>
      <c r="AB301" s="5">
        <f>MIN(Table1[[#This Row],[DiscountPct]],'scenario modeling'!$B$2)</f>
        <v>3.6999999999999998E-2</v>
      </c>
      <c r="AC301" t="str">
        <f>IF(Table1[[#This Row],[DiscountPct]]&gt;0.3, "&gt;0.3","")</f>
        <v/>
      </c>
      <c r="AD301">
        <v>27</v>
      </c>
      <c r="AE301">
        <f>Table1[[#This Row],[Quantity]]*(1+'scenario modeling'!$B$4)</f>
        <v>32.4</v>
      </c>
      <c r="AF301">
        <f>Table1[[#This Row],[UnitCost]]*Table1[[#This Row],[Quantity]]</f>
        <v>27648.27</v>
      </c>
      <c r="AG301">
        <f>SUMIF($U:U,Table1[[#This Row],[ProductCategory]],$AM:AM)</f>
        <v>1549460.0077899997</v>
      </c>
      <c r="AH301">
        <f>SUMIFS($AM$2:AM301,$U$2:U301,U301)</f>
        <v>628688.60299000004</v>
      </c>
      <c r="AI301" s="5">
        <f>Table1[[#This Row],[Cumulative_revenue]]/Table1[[#This Row],[Category_revenue]]</f>
        <v>0.40574690526327351</v>
      </c>
      <c r="AJ301" t="str">
        <f>IF(Table1[[#This Row],[cumulative_pct]]&lt;=0.8,"A",IF(Table1[[#This Row],[cumulative_pct]]&lt;=0.95,"B","C"))</f>
        <v>A</v>
      </c>
      <c r="AK301">
        <f>Table1[[#This Row],[adj_unit_cost]]*Table1[[#This Row],[scenario_quantity]]</f>
        <v>36495.716399999998</v>
      </c>
      <c r="AL301" s="5">
        <f>Table1[[#This Row],[UnitPrice]]*Table1[[#This Row],[scenario_quantity]]*(1-Table1[[#This Row],[cap_adjusted_discount]])</f>
        <v>49328.161163999997</v>
      </c>
      <c r="AM301" s="5">
        <f>Table1[[#This Row],[UnitPrice]]*Table1[[#This Row],[Quantity]]*(1-Table1[[#This Row],[DiscountPct]])</f>
        <v>41106.800970000004</v>
      </c>
      <c r="AN301" s="5">
        <f>Table1[[#This Row],[gross_revenue]]-Table1[[#This Row],[cost_of_goods]]</f>
        <v>13458.530970000003</v>
      </c>
      <c r="AO301" s="5">
        <f>Table1[[#This Row],[scenario_revenue]]-Table1[[#This Row],[Scenario_unit_cost]]</f>
        <v>12832.444764</v>
      </c>
      <c r="AP301" s="5">
        <f>IF(Table1[[#This Row],[gross_revenue]]=0,0,Table1[[#This Row],[gross_profit]]/Table1[[#This Row],[gross_revenue]])</f>
        <v>0.3274039976942531</v>
      </c>
    </row>
    <row r="302" spans="1:42" x14ac:dyDescent="0.35">
      <c r="A302" t="s">
        <v>386</v>
      </c>
      <c r="B302" t="str">
        <f>_xlfn.TEXTAFTER(Table1[[#This Row],[OrderID]],"-",2)</f>
        <v>545150</v>
      </c>
      <c r="C302">
        <f>YEAR(Table1[[#This Row],[OrderDate]])</f>
        <v>2023</v>
      </c>
      <c r="D302" s="9">
        <f>_xlfn.MINIFS(F:F,P:P,Table1[[#This Row],[Country]])</f>
        <v>44941</v>
      </c>
      <c r="E302" s="7">
        <f>DATEDIF(Table1[[#This Row],[first_time_orders]],Table1[[#This Row],[OrderDate]],"m")</f>
        <v>2</v>
      </c>
      <c r="F302" s="9">
        <v>45022</v>
      </c>
      <c r="G302" s="2" t="str">
        <f>TEXT(Table1[[#This Row],[OrderDate]],"MMM-YYYY")</f>
        <v>Apr-2023</v>
      </c>
      <c r="H302" s="7">
        <f>MONTH(Table1[[#This Row],[OrderDate]])</f>
        <v>4</v>
      </c>
      <c r="I302" s="7" t="str">
        <f>"Q"&amp;ROUNDUP(Table1[[#This Row],[months]]/3,0)&amp;"-"&amp;Table1[[#This Row],[order_year]]</f>
        <v>Q2-2023</v>
      </c>
      <c r="J302" s="7">
        <f>Table1[[#This Row],[RequiredDate]]-Table1[[#This Row],[OrderDate]]</f>
        <v>2</v>
      </c>
      <c r="K302" s="7">
        <f>IF(Table1[[#This Row],[lead_time]]&lt;0,MEDIAN(J:J),Table1[[#This Row],[lead_time]])</f>
        <v>2</v>
      </c>
      <c r="L302" s="7">
        <f>IF(Table1[[#This Row],[adj_lead_time]]&lt;=7,1,0)</f>
        <v>1</v>
      </c>
      <c r="M302" s="9">
        <v>45024</v>
      </c>
      <c r="N302" s="9">
        <f>IF(Table1[[#This Row],[lead_time]]&lt;0,(Table1[[#This Row],[OrderDate]]+Table1[[#This Row],[adj_lead_time]]),Table1[[#This Row],[RequiredDate]])</f>
        <v>45024</v>
      </c>
      <c r="O302" t="s">
        <v>646</v>
      </c>
      <c r="P302" t="s">
        <v>651</v>
      </c>
      <c r="Q302" t="s">
        <v>669</v>
      </c>
      <c r="R302" t="s">
        <v>705</v>
      </c>
      <c r="S302" t="s">
        <v>709</v>
      </c>
      <c r="T302" t="s">
        <v>723</v>
      </c>
      <c r="U302" t="s">
        <v>732</v>
      </c>
      <c r="V302" t="s">
        <v>1106</v>
      </c>
      <c r="W302">
        <v>720.35</v>
      </c>
      <c r="X302">
        <f>Table1[[#This Row],[UnitCost]]*(1+'scenario modeling'!$B$3)</f>
        <v>792.3850000000001</v>
      </c>
      <c r="Y302">
        <v>1571.66</v>
      </c>
      <c r="Z302" t="str">
        <f>IF(Table1[[#This Row],[UnitPrice]]&lt;=Quantiles!$B$2,Quantiles!$A$2,IF(Table1[[#This Row],[UnitPrice]]&lt;=Quantiles!$B$3,Quantiles!$A$3,Quantiles!$A$4))</f>
        <v>Medium</v>
      </c>
      <c r="AA302">
        <v>0.107</v>
      </c>
      <c r="AB302" s="5">
        <f>MIN(Table1[[#This Row],[DiscountPct]],'scenario modeling'!$B$2)</f>
        <v>0.1</v>
      </c>
      <c r="AC302" t="str">
        <f>IF(Table1[[#This Row],[DiscountPct]]&gt;0.3, "&gt;0.3","")</f>
        <v/>
      </c>
      <c r="AD302">
        <v>23</v>
      </c>
      <c r="AE302">
        <f>Table1[[#This Row],[Quantity]]*(1+'scenario modeling'!$B$4)</f>
        <v>27.599999999999998</v>
      </c>
      <c r="AF302">
        <f>Table1[[#This Row],[UnitCost]]*Table1[[#This Row],[Quantity]]</f>
        <v>16568.05</v>
      </c>
      <c r="AG302">
        <f>SUMIF($U:U,Table1[[#This Row],[ProductCategory]],$AM:AM)</f>
        <v>1549460.0077899997</v>
      </c>
      <c r="AH302">
        <f>SUMIFS($AM$2:AM302,$U$2:U302,U302)</f>
        <v>660968.92773</v>
      </c>
      <c r="AI302" s="5">
        <f>Table1[[#This Row],[Cumulative_revenue]]/Table1[[#This Row],[Category_revenue]]</f>
        <v>0.42658017916367025</v>
      </c>
      <c r="AJ302" t="str">
        <f>IF(Table1[[#This Row],[cumulative_pct]]&lt;=0.8,"A",IF(Table1[[#This Row],[cumulative_pct]]&lt;=0.95,"B","C"))</f>
        <v>A</v>
      </c>
      <c r="AK302">
        <f>Table1[[#This Row],[adj_unit_cost]]*Table1[[#This Row],[scenario_quantity]]</f>
        <v>21869.826000000001</v>
      </c>
      <c r="AL302" s="5">
        <f>Table1[[#This Row],[UnitPrice]]*Table1[[#This Row],[scenario_quantity]]*(1-Table1[[#This Row],[cap_adjusted_discount]])</f>
        <v>39040.034399999997</v>
      </c>
      <c r="AM302" s="5">
        <f>Table1[[#This Row],[UnitPrice]]*Table1[[#This Row],[Quantity]]*(1-Table1[[#This Row],[DiscountPct]])</f>
        <v>32280.32474</v>
      </c>
      <c r="AN302" s="5">
        <f>Table1[[#This Row],[gross_revenue]]-Table1[[#This Row],[cost_of_goods]]</f>
        <v>15712.274740000001</v>
      </c>
      <c r="AO302" s="5">
        <f>Table1[[#This Row],[scenario_revenue]]-Table1[[#This Row],[Scenario_unit_cost]]</f>
        <v>17170.208399999996</v>
      </c>
      <c r="AP302" s="5">
        <f>IF(Table1[[#This Row],[gross_revenue]]=0,0,Table1[[#This Row],[gross_profit]]/Table1[[#This Row],[gross_revenue]])</f>
        <v>0.4867446305622265</v>
      </c>
    </row>
    <row r="303" spans="1:42" x14ac:dyDescent="0.35">
      <c r="A303" t="s">
        <v>219</v>
      </c>
      <c r="B303" t="str">
        <f>_xlfn.TEXTAFTER(Table1[[#This Row],[OrderID]],"-",2)</f>
        <v>390998</v>
      </c>
      <c r="C303">
        <f>YEAR(Table1[[#This Row],[OrderDate]])</f>
        <v>2023</v>
      </c>
      <c r="D303" s="9">
        <f>_xlfn.MINIFS(F:F,P:P,Table1[[#This Row],[Country]])</f>
        <v>44948</v>
      </c>
      <c r="E303" s="7">
        <f>DATEDIF(Table1[[#This Row],[first_time_orders]],Table1[[#This Row],[OrderDate]],"m")</f>
        <v>2</v>
      </c>
      <c r="F303" s="9">
        <v>45035</v>
      </c>
      <c r="G303" s="2" t="str">
        <f>TEXT(Table1[[#This Row],[OrderDate]],"MMM-YYYY")</f>
        <v>Apr-2023</v>
      </c>
      <c r="H303" s="7">
        <f>MONTH(Table1[[#This Row],[OrderDate]])</f>
        <v>4</v>
      </c>
      <c r="I303" s="7" t="str">
        <f>"Q"&amp;ROUNDUP(Table1[[#This Row],[months]]/3,0)&amp;"-"&amp;Table1[[#This Row],[order_year]]</f>
        <v>Q2-2023</v>
      </c>
      <c r="J303" s="7">
        <f>Table1[[#This Row],[RequiredDate]]-Table1[[#This Row],[OrderDate]]</f>
        <v>9</v>
      </c>
      <c r="K303" s="7">
        <f>IF(Table1[[#This Row],[lead_time]]&lt;0,MEDIAN(J:J),Table1[[#This Row],[lead_time]])</f>
        <v>9</v>
      </c>
      <c r="L303" s="7">
        <f>IF(Table1[[#This Row],[adj_lead_time]]&lt;=7,1,0)</f>
        <v>0</v>
      </c>
      <c r="M303" s="9">
        <v>45044</v>
      </c>
      <c r="N303" s="9">
        <f>IF(Table1[[#This Row],[lead_time]]&lt;0,(Table1[[#This Row],[OrderDate]]+Table1[[#This Row],[adj_lead_time]]),Table1[[#This Row],[RequiredDate]])</f>
        <v>45044</v>
      </c>
      <c r="O303" t="s">
        <v>649</v>
      </c>
      <c r="P303" t="s">
        <v>656</v>
      </c>
      <c r="Q303" t="s">
        <v>671</v>
      </c>
      <c r="R303" t="s">
        <v>702</v>
      </c>
      <c r="S303" t="s">
        <v>708</v>
      </c>
      <c r="T303" t="s">
        <v>718</v>
      </c>
      <c r="U303" t="s">
        <v>732</v>
      </c>
      <c r="V303" t="s">
        <v>939</v>
      </c>
      <c r="W303">
        <v>1178.42</v>
      </c>
      <c r="X303">
        <f>Table1[[#This Row],[UnitCost]]*(1+'scenario modeling'!$B$3)</f>
        <v>1296.2620000000002</v>
      </c>
      <c r="Y303">
        <v>2446.56</v>
      </c>
      <c r="Z303" t="str">
        <f>IF(Table1[[#This Row],[UnitPrice]]&lt;=Quantiles!$B$2,Quantiles!$A$2,IF(Table1[[#This Row],[UnitPrice]]&lt;=Quantiles!$B$3,Quantiles!$A$3,Quantiles!$A$4))</f>
        <v>High</v>
      </c>
      <c r="AA303">
        <v>2.9000000000000001E-2</v>
      </c>
      <c r="AB303" s="5">
        <f>MIN(Table1[[#This Row],[DiscountPct]],'scenario modeling'!$B$2)</f>
        <v>2.9000000000000001E-2</v>
      </c>
      <c r="AC303" t="str">
        <f>IF(Table1[[#This Row],[DiscountPct]]&gt;0.3, "&gt;0.3","")</f>
        <v/>
      </c>
      <c r="AD303">
        <v>11</v>
      </c>
      <c r="AE303">
        <f>Table1[[#This Row],[Quantity]]*(1+'scenario modeling'!$B$4)</f>
        <v>13.2</v>
      </c>
      <c r="AF303">
        <f>Table1[[#This Row],[UnitCost]]*Table1[[#This Row],[Quantity]]</f>
        <v>12962.62</v>
      </c>
      <c r="AG303">
        <f>SUMIF($U:U,Table1[[#This Row],[ProductCategory]],$AM:AM)</f>
        <v>1549460.0077899997</v>
      </c>
      <c r="AH303">
        <f>SUMIFS($AM$2:AM303,$U$2:U303,U303)</f>
        <v>687100.63509</v>
      </c>
      <c r="AI303" s="5">
        <f>Table1[[#This Row],[Cumulative_revenue]]/Table1[[#This Row],[Category_revenue]]</f>
        <v>0.44344522068047054</v>
      </c>
      <c r="AJ303" t="str">
        <f>IF(Table1[[#This Row],[cumulative_pct]]&lt;=0.8,"A",IF(Table1[[#This Row],[cumulative_pct]]&lt;=0.95,"B","C"))</f>
        <v>A</v>
      </c>
      <c r="AK303">
        <f>Table1[[#This Row],[adj_unit_cost]]*Table1[[#This Row],[scenario_quantity]]</f>
        <v>17110.6584</v>
      </c>
      <c r="AL303" s="5">
        <f>Table1[[#This Row],[UnitPrice]]*Table1[[#This Row],[scenario_quantity]]*(1-Table1[[#This Row],[cap_adjusted_discount]])</f>
        <v>31358.048831999997</v>
      </c>
      <c r="AM303" s="5">
        <f>Table1[[#This Row],[UnitPrice]]*Table1[[#This Row],[Quantity]]*(1-Table1[[#This Row],[DiscountPct]])</f>
        <v>26131.70736</v>
      </c>
      <c r="AN303" s="5">
        <f>Table1[[#This Row],[gross_revenue]]-Table1[[#This Row],[cost_of_goods]]</f>
        <v>13169.08736</v>
      </c>
      <c r="AO303" s="5">
        <f>Table1[[#This Row],[scenario_revenue]]-Table1[[#This Row],[Scenario_unit_cost]]</f>
        <v>14247.390431999997</v>
      </c>
      <c r="AP303" s="5">
        <f>IF(Table1[[#This Row],[gross_revenue]]=0,0,Table1[[#This Row],[gross_profit]]/Table1[[#This Row],[gross_revenue]])</f>
        <v>0.5039505141618883</v>
      </c>
    </row>
    <row r="304" spans="1:42" x14ac:dyDescent="0.35">
      <c r="A304" t="s">
        <v>66</v>
      </c>
      <c r="B304" t="str">
        <f>_xlfn.TEXTAFTER(Table1[[#This Row],[OrderID]],"-",2)</f>
        <v>260775</v>
      </c>
      <c r="C304">
        <f>YEAR(Table1[[#This Row],[OrderDate]])</f>
        <v>2024</v>
      </c>
      <c r="D304" s="9">
        <f>_xlfn.MINIFS(F:F,P:P,Table1[[#This Row],[Country]])</f>
        <v>44955</v>
      </c>
      <c r="E304" s="7">
        <f>DATEDIF(Table1[[#This Row],[first_time_orders]],Table1[[#This Row],[OrderDate]],"m")</f>
        <v>20</v>
      </c>
      <c r="F304" s="9">
        <v>45582</v>
      </c>
      <c r="G304" s="2" t="str">
        <f>TEXT(Table1[[#This Row],[OrderDate]],"MMM-YYYY")</f>
        <v>Oct-2024</v>
      </c>
      <c r="H304" s="7">
        <f>MONTH(Table1[[#This Row],[OrderDate]])</f>
        <v>10</v>
      </c>
      <c r="I304" s="7" t="str">
        <f>"Q"&amp;ROUNDUP(Table1[[#This Row],[months]]/3,0)&amp;"-"&amp;Table1[[#This Row],[order_year]]</f>
        <v>Q4-2024</v>
      </c>
      <c r="J304" s="7">
        <f>Table1[[#This Row],[RequiredDate]]-Table1[[#This Row],[OrderDate]]</f>
        <v>20</v>
      </c>
      <c r="K304" s="7">
        <f>IF(Table1[[#This Row],[lead_time]]&lt;0,MEDIAN(J:J),Table1[[#This Row],[lead_time]])</f>
        <v>20</v>
      </c>
      <c r="L304" s="7">
        <f>IF(Table1[[#This Row],[adj_lead_time]]&lt;=7,1,0)</f>
        <v>0</v>
      </c>
      <c r="M304" s="9">
        <v>45602</v>
      </c>
      <c r="N304" s="9">
        <f>IF(Table1[[#This Row],[lead_time]]&lt;0,(Table1[[#This Row],[OrderDate]]+Table1[[#This Row],[adj_lead_time]]),Table1[[#This Row],[RequiredDate]])</f>
        <v>45602</v>
      </c>
      <c r="O304" t="s">
        <v>647</v>
      </c>
      <c r="P304" t="s">
        <v>654</v>
      </c>
      <c r="Q304" t="s">
        <v>668</v>
      </c>
      <c r="R304" t="s">
        <v>706</v>
      </c>
      <c r="S304" t="s">
        <v>710</v>
      </c>
      <c r="T304" t="s">
        <v>719</v>
      </c>
      <c r="U304" t="s">
        <v>732</v>
      </c>
      <c r="V304" t="s">
        <v>785</v>
      </c>
      <c r="W304">
        <v>72.94</v>
      </c>
      <c r="X304">
        <f>Table1[[#This Row],[UnitCost]]*(1+'scenario modeling'!$B$3)</f>
        <v>80.234000000000009</v>
      </c>
      <c r="Y304">
        <v>106.3</v>
      </c>
      <c r="Z304" t="str">
        <f>IF(Table1[[#This Row],[UnitPrice]]&lt;=Quantiles!$B$2,Quantiles!$A$2,IF(Table1[[#This Row],[UnitPrice]]&lt;=Quantiles!$B$3,Quantiles!$A$3,Quantiles!$A$4))</f>
        <v>Low</v>
      </c>
      <c r="AA304">
        <v>0.29499999999999998</v>
      </c>
      <c r="AB304" s="5">
        <f>MIN(Table1[[#This Row],[DiscountPct]],'scenario modeling'!$B$2)</f>
        <v>0.1</v>
      </c>
      <c r="AC304" t="str">
        <f>IF(Table1[[#This Row],[DiscountPct]]&gt;0.3, "&gt;0.3","")</f>
        <v/>
      </c>
      <c r="AD304">
        <v>8</v>
      </c>
      <c r="AE304">
        <f>Table1[[#This Row],[Quantity]]*(1+'scenario modeling'!$B$4)</f>
        <v>9.6</v>
      </c>
      <c r="AF304">
        <f>Table1[[#This Row],[UnitCost]]*Table1[[#This Row],[Quantity]]</f>
        <v>583.52</v>
      </c>
      <c r="AG304">
        <f>SUMIF($U:U,Table1[[#This Row],[ProductCategory]],$AM:AM)</f>
        <v>1549460.0077899997</v>
      </c>
      <c r="AH304">
        <f>SUMIFS($AM$2:AM304,$U$2:U304,U304)</f>
        <v>687700.16709</v>
      </c>
      <c r="AI304" s="5">
        <f>Table1[[#This Row],[Cumulative_revenue]]/Table1[[#This Row],[Category_revenue]]</f>
        <v>0.44383215031852885</v>
      </c>
      <c r="AJ304" t="str">
        <f>IF(Table1[[#This Row],[cumulative_pct]]&lt;=0.8,"A",IF(Table1[[#This Row],[cumulative_pct]]&lt;=0.95,"B","C"))</f>
        <v>A</v>
      </c>
      <c r="AK304">
        <f>Table1[[#This Row],[adj_unit_cost]]*Table1[[#This Row],[scenario_quantity]]</f>
        <v>770.24640000000011</v>
      </c>
      <c r="AL304" s="5">
        <f>Table1[[#This Row],[UnitPrice]]*Table1[[#This Row],[scenario_quantity]]*(1-Table1[[#This Row],[cap_adjusted_discount]])</f>
        <v>918.4319999999999</v>
      </c>
      <c r="AM304" s="5">
        <f>Table1[[#This Row],[UnitPrice]]*Table1[[#This Row],[Quantity]]*(1-Table1[[#This Row],[DiscountPct]])</f>
        <v>599.53200000000004</v>
      </c>
      <c r="AN304" s="5">
        <f>Table1[[#This Row],[gross_revenue]]-Table1[[#This Row],[cost_of_goods]]</f>
        <v>16.012000000000057</v>
      </c>
      <c r="AO304" s="5">
        <f>Table1[[#This Row],[scenario_revenue]]-Table1[[#This Row],[Scenario_unit_cost]]</f>
        <v>148.18559999999979</v>
      </c>
      <c r="AP304" s="5">
        <f>IF(Table1[[#This Row],[gross_revenue]]=0,0,Table1[[#This Row],[gross_profit]]/Table1[[#This Row],[gross_revenue]])</f>
        <v>2.6707498515508857E-2</v>
      </c>
    </row>
    <row r="305" spans="1:42" x14ac:dyDescent="0.35">
      <c r="A305" t="s">
        <v>280</v>
      </c>
      <c r="B305" t="str">
        <f>_xlfn.TEXTAFTER(Table1[[#This Row],[OrderID]],"-",2)</f>
        <v>500511</v>
      </c>
      <c r="C305">
        <f>YEAR(Table1[[#This Row],[OrderDate]])</f>
        <v>2024</v>
      </c>
      <c r="D305" s="9">
        <f>_xlfn.MINIFS(F:F,P:P,Table1[[#This Row],[Country]])</f>
        <v>44945</v>
      </c>
      <c r="E305" s="7">
        <f>DATEDIF(Table1[[#This Row],[first_time_orders]],Table1[[#This Row],[OrderDate]],"m")</f>
        <v>20</v>
      </c>
      <c r="F305" s="9">
        <v>45573</v>
      </c>
      <c r="G305" s="2" t="str">
        <f>TEXT(Table1[[#This Row],[OrderDate]],"MMM-YYYY")</f>
        <v>Oct-2024</v>
      </c>
      <c r="H305" s="7">
        <f>MONTH(Table1[[#This Row],[OrderDate]])</f>
        <v>10</v>
      </c>
      <c r="I305" s="7" t="str">
        <f>"Q"&amp;ROUNDUP(Table1[[#This Row],[months]]/3,0)&amp;"-"&amp;Table1[[#This Row],[order_year]]</f>
        <v>Q4-2024</v>
      </c>
      <c r="J305" s="7">
        <f>Table1[[#This Row],[RequiredDate]]-Table1[[#This Row],[OrderDate]]</f>
        <v>0</v>
      </c>
      <c r="K305" s="7">
        <f>IF(Table1[[#This Row],[lead_time]]&lt;0,MEDIAN(J:J),Table1[[#This Row],[lead_time]])</f>
        <v>0</v>
      </c>
      <c r="L305" s="7">
        <f>IF(Table1[[#This Row],[adj_lead_time]]&lt;=7,1,0)</f>
        <v>1</v>
      </c>
      <c r="M305" s="9">
        <v>45573</v>
      </c>
      <c r="N305" s="9">
        <f>IF(Table1[[#This Row],[lead_time]]&lt;0,(Table1[[#This Row],[OrderDate]]+Table1[[#This Row],[adj_lead_time]]),Table1[[#This Row],[RequiredDate]])</f>
        <v>45573</v>
      </c>
      <c r="O305" t="s">
        <v>649</v>
      </c>
      <c r="P305" t="s">
        <v>658</v>
      </c>
      <c r="Q305" t="s">
        <v>683</v>
      </c>
      <c r="R305" t="s">
        <v>701</v>
      </c>
      <c r="S305" t="s">
        <v>708</v>
      </c>
      <c r="T305" t="s">
        <v>718</v>
      </c>
      <c r="U305" t="s">
        <v>732</v>
      </c>
      <c r="V305" t="s">
        <v>1000</v>
      </c>
      <c r="W305">
        <v>1108.1099999999999</v>
      </c>
      <c r="X305">
        <f>Table1[[#This Row],[UnitCost]]*(1+'scenario modeling'!$B$3)</f>
        <v>1218.921</v>
      </c>
      <c r="Y305">
        <v>2503.79</v>
      </c>
      <c r="Z305" t="str">
        <f>IF(Table1[[#This Row],[UnitPrice]]&lt;=Quantiles!$B$2,Quantiles!$A$2,IF(Table1[[#This Row],[UnitPrice]]&lt;=Quantiles!$B$3,Quantiles!$A$3,Quantiles!$A$4))</f>
        <v>High</v>
      </c>
      <c r="AA305">
        <v>0.184</v>
      </c>
      <c r="AB305" s="5">
        <f>MIN(Table1[[#This Row],[DiscountPct]],'scenario modeling'!$B$2)</f>
        <v>0.1</v>
      </c>
      <c r="AC305" t="str">
        <f>IF(Table1[[#This Row],[DiscountPct]]&gt;0.3, "&gt;0.3","")</f>
        <v/>
      </c>
      <c r="AD305">
        <v>19</v>
      </c>
      <c r="AE305">
        <f>Table1[[#This Row],[Quantity]]*(1+'scenario modeling'!$B$4)</f>
        <v>22.8</v>
      </c>
      <c r="AF305">
        <f>Table1[[#This Row],[UnitCost]]*Table1[[#This Row],[Quantity]]</f>
        <v>21054.089999999997</v>
      </c>
      <c r="AG305">
        <f>SUMIF($U:U,Table1[[#This Row],[ProductCategory]],$AM:AM)</f>
        <v>1549460.0077899997</v>
      </c>
      <c r="AH305">
        <f>SUMIFS($AM$2:AM305,$U$2:U305,U305)</f>
        <v>726518.92724999995</v>
      </c>
      <c r="AI305" s="5">
        <f>Table1[[#This Row],[Cumulative_revenue]]/Table1[[#This Row],[Category_revenue]]</f>
        <v>0.46888523975926066</v>
      </c>
      <c r="AJ305" t="str">
        <f>IF(Table1[[#This Row],[cumulative_pct]]&lt;=0.8,"A",IF(Table1[[#This Row],[cumulative_pct]]&lt;=0.95,"B","C"))</f>
        <v>A</v>
      </c>
      <c r="AK305">
        <f>Table1[[#This Row],[adj_unit_cost]]*Table1[[#This Row],[scenario_quantity]]</f>
        <v>27791.398800000003</v>
      </c>
      <c r="AL305" s="5">
        <f>Table1[[#This Row],[UnitPrice]]*Table1[[#This Row],[scenario_quantity]]*(1-Table1[[#This Row],[cap_adjusted_discount]])</f>
        <v>51377.770800000006</v>
      </c>
      <c r="AM305" s="5">
        <f>Table1[[#This Row],[UnitPrice]]*Table1[[#This Row],[Quantity]]*(1-Table1[[#This Row],[DiscountPct]])</f>
        <v>38818.760160000005</v>
      </c>
      <c r="AN305" s="5">
        <f>Table1[[#This Row],[gross_revenue]]-Table1[[#This Row],[cost_of_goods]]</f>
        <v>17764.670160000009</v>
      </c>
      <c r="AO305" s="5">
        <f>Table1[[#This Row],[scenario_revenue]]-Table1[[#This Row],[Scenario_unit_cost]]</f>
        <v>23586.372000000003</v>
      </c>
      <c r="AP305" s="5">
        <f>IF(Table1[[#This Row],[gross_revenue]]=0,0,Table1[[#This Row],[gross_profit]]/Table1[[#This Row],[gross_revenue]])</f>
        <v>0.45763105485025896</v>
      </c>
    </row>
    <row r="306" spans="1:42" x14ac:dyDescent="0.35">
      <c r="A306" t="s">
        <v>199</v>
      </c>
      <c r="B306" t="str">
        <f>_xlfn.TEXTAFTER(Table1[[#This Row],[OrderID]],"-",2)</f>
        <v>640340</v>
      </c>
      <c r="C306">
        <f>YEAR(Table1[[#This Row],[OrderDate]])</f>
        <v>2024</v>
      </c>
      <c r="D306" s="9">
        <f>_xlfn.MINIFS(F:F,P:P,Table1[[#This Row],[Country]])</f>
        <v>44941</v>
      </c>
      <c r="E306" s="7">
        <f>DATEDIF(Table1[[#This Row],[first_time_orders]],Table1[[#This Row],[OrderDate]],"m")</f>
        <v>21</v>
      </c>
      <c r="F306" s="9">
        <v>45587</v>
      </c>
      <c r="G306" s="2" t="str">
        <f>TEXT(Table1[[#This Row],[OrderDate]],"MMM-YYYY")</f>
        <v>Oct-2024</v>
      </c>
      <c r="H306" s="7">
        <f>MONTH(Table1[[#This Row],[OrderDate]])</f>
        <v>10</v>
      </c>
      <c r="I306" s="7" t="str">
        <f>"Q"&amp;ROUNDUP(Table1[[#This Row],[months]]/3,0)&amp;"-"&amp;Table1[[#This Row],[order_year]]</f>
        <v>Q4-2024</v>
      </c>
      <c r="J306" s="7">
        <f>Table1[[#This Row],[RequiredDate]]-Table1[[#This Row],[OrderDate]]</f>
        <v>7</v>
      </c>
      <c r="K306" s="7">
        <f>IF(Table1[[#This Row],[lead_time]]&lt;0,MEDIAN(J:J),Table1[[#This Row],[lead_time]])</f>
        <v>7</v>
      </c>
      <c r="L306" s="7">
        <f>IF(Table1[[#This Row],[adj_lead_time]]&lt;=7,1,0)</f>
        <v>1</v>
      </c>
      <c r="M306" s="9">
        <v>45594</v>
      </c>
      <c r="N306" s="9">
        <f>IF(Table1[[#This Row],[lead_time]]&lt;0,(Table1[[#This Row],[OrderDate]]+Table1[[#This Row],[adj_lead_time]]),Table1[[#This Row],[RequiredDate]])</f>
        <v>45594</v>
      </c>
      <c r="O306" t="s">
        <v>646</v>
      </c>
      <c r="P306" t="s">
        <v>651</v>
      </c>
      <c r="Q306" t="s">
        <v>663</v>
      </c>
      <c r="R306" t="s">
        <v>706</v>
      </c>
      <c r="S306" t="s">
        <v>710</v>
      </c>
      <c r="T306" t="s">
        <v>724</v>
      </c>
      <c r="U306" t="s">
        <v>732</v>
      </c>
      <c r="V306" t="s">
        <v>918</v>
      </c>
      <c r="W306">
        <v>1023.06</v>
      </c>
      <c r="X306">
        <f>Table1[[#This Row],[UnitCost]]*(1+'scenario modeling'!$B$3)</f>
        <v>1125.366</v>
      </c>
      <c r="Y306">
        <v>1355.61</v>
      </c>
      <c r="Z306" t="str">
        <f>IF(Table1[[#This Row],[UnitPrice]]&lt;=Quantiles!$B$2,Quantiles!$A$2,IF(Table1[[#This Row],[UnitPrice]]&lt;=Quantiles!$B$3,Quantiles!$A$3,Quantiles!$A$4))</f>
        <v>Medium</v>
      </c>
      <c r="AA306">
        <v>0.153</v>
      </c>
      <c r="AB306" s="5">
        <f>MIN(Table1[[#This Row],[DiscountPct]],'scenario modeling'!$B$2)</f>
        <v>0.1</v>
      </c>
      <c r="AC306" t="str">
        <f>IF(Table1[[#This Row],[DiscountPct]]&gt;0.3, "&gt;0.3","")</f>
        <v/>
      </c>
      <c r="AD306">
        <v>23</v>
      </c>
      <c r="AE306">
        <f>Table1[[#This Row],[Quantity]]*(1+'scenario modeling'!$B$4)</f>
        <v>27.599999999999998</v>
      </c>
      <c r="AF306">
        <f>Table1[[#This Row],[UnitCost]]*Table1[[#This Row],[Quantity]]</f>
        <v>23530.379999999997</v>
      </c>
      <c r="AG306">
        <f>SUMIF($U:U,Table1[[#This Row],[ProductCategory]],$AM:AM)</f>
        <v>1549460.0077899997</v>
      </c>
      <c r="AH306">
        <f>SUMIFS($AM$2:AM306,$U$2:U306,U306)</f>
        <v>752927.56565999996</v>
      </c>
      <c r="AI306" s="5">
        <f>Table1[[#This Row],[Cumulative_revenue]]/Table1[[#This Row],[Category_revenue]]</f>
        <v>0.48592900873505163</v>
      </c>
      <c r="AJ306" t="str">
        <f>IF(Table1[[#This Row],[cumulative_pct]]&lt;=0.8,"A",IF(Table1[[#This Row],[cumulative_pct]]&lt;=0.95,"B","C"))</f>
        <v>A</v>
      </c>
      <c r="AK306">
        <f>Table1[[#This Row],[adj_unit_cost]]*Table1[[#This Row],[scenario_quantity]]</f>
        <v>31060.101599999998</v>
      </c>
      <c r="AL306" s="5">
        <f>Table1[[#This Row],[UnitPrice]]*Table1[[#This Row],[scenario_quantity]]*(1-Table1[[#This Row],[cap_adjusted_discount]])</f>
        <v>33673.352399999996</v>
      </c>
      <c r="AM306" s="5">
        <f>Table1[[#This Row],[UnitPrice]]*Table1[[#This Row],[Quantity]]*(1-Table1[[#This Row],[DiscountPct]])</f>
        <v>26408.63841</v>
      </c>
      <c r="AN306" s="5">
        <f>Table1[[#This Row],[gross_revenue]]-Table1[[#This Row],[cost_of_goods]]</f>
        <v>2878.2584100000022</v>
      </c>
      <c r="AO306" s="5">
        <f>Table1[[#This Row],[scenario_revenue]]-Table1[[#This Row],[Scenario_unit_cost]]</f>
        <v>2613.250799999998</v>
      </c>
      <c r="AP306" s="5">
        <f>IF(Table1[[#This Row],[gross_revenue]]=0,0,Table1[[#This Row],[gross_profit]]/Table1[[#This Row],[gross_revenue]])</f>
        <v>0.10898927711888809</v>
      </c>
    </row>
    <row r="307" spans="1:42" x14ac:dyDescent="0.35">
      <c r="A307" t="s">
        <v>626</v>
      </c>
      <c r="B307" t="str">
        <f>_xlfn.TEXTAFTER(Table1[[#This Row],[OrderID]],"-",2)</f>
        <v>741404</v>
      </c>
      <c r="C307">
        <f>YEAR(Table1[[#This Row],[OrderDate]])</f>
        <v>2024</v>
      </c>
      <c r="D307" s="9">
        <f>_xlfn.MINIFS(F:F,P:P,Table1[[#This Row],[Country]])</f>
        <v>44939</v>
      </c>
      <c r="E307" s="7">
        <f>DATEDIF(Table1[[#This Row],[first_time_orders]],Table1[[#This Row],[OrderDate]],"m")</f>
        <v>21</v>
      </c>
      <c r="F307" s="9">
        <v>45584</v>
      </c>
      <c r="G307" s="2" t="str">
        <f>TEXT(Table1[[#This Row],[OrderDate]],"MMM-YYYY")</f>
        <v>Oct-2024</v>
      </c>
      <c r="H307" s="7">
        <f>MONTH(Table1[[#This Row],[OrderDate]])</f>
        <v>10</v>
      </c>
      <c r="I307" s="7" t="str">
        <f>"Q"&amp;ROUNDUP(Table1[[#This Row],[months]]/3,0)&amp;"-"&amp;Table1[[#This Row],[order_year]]</f>
        <v>Q4-2024</v>
      </c>
      <c r="J307" s="7">
        <f>Table1[[#This Row],[RequiredDate]]-Table1[[#This Row],[OrderDate]]</f>
        <v>18</v>
      </c>
      <c r="K307" s="7">
        <f>IF(Table1[[#This Row],[lead_time]]&lt;0,MEDIAN(J:J),Table1[[#This Row],[lead_time]])</f>
        <v>18</v>
      </c>
      <c r="L307" s="7">
        <f>IF(Table1[[#This Row],[adj_lead_time]]&lt;=7,1,0)</f>
        <v>0</v>
      </c>
      <c r="M307" s="9">
        <v>45602</v>
      </c>
      <c r="N307" s="9">
        <f>IF(Table1[[#This Row],[lead_time]]&lt;0,(Table1[[#This Row],[OrderDate]]+Table1[[#This Row],[adj_lead_time]]),Table1[[#This Row],[RequiredDate]])</f>
        <v>45602</v>
      </c>
      <c r="O307" t="s">
        <v>648</v>
      </c>
      <c r="P307" t="s">
        <v>660</v>
      </c>
      <c r="Q307" t="s">
        <v>677</v>
      </c>
      <c r="R307" t="s">
        <v>702</v>
      </c>
      <c r="S307" t="s">
        <v>709</v>
      </c>
      <c r="T307" t="s">
        <v>712</v>
      </c>
      <c r="U307" t="s">
        <v>732</v>
      </c>
      <c r="V307" t="s">
        <v>1344</v>
      </c>
      <c r="W307">
        <v>942.02</v>
      </c>
      <c r="X307">
        <f>Table1[[#This Row],[UnitCost]]*(1+'scenario modeling'!$B$3)</f>
        <v>1036.222</v>
      </c>
      <c r="Y307">
        <v>1028.46</v>
      </c>
      <c r="Z307" t="str">
        <f>IF(Table1[[#This Row],[UnitPrice]]&lt;=Quantiles!$B$2,Quantiles!$A$2,IF(Table1[[#This Row],[UnitPrice]]&lt;=Quantiles!$B$3,Quantiles!$A$3,Quantiles!$A$4))</f>
        <v>Medium</v>
      </c>
      <c r="AA307">
        <v>0</v>
      </c>
      <c r="AB307" s="5">
        <f>MIN(Table1[[#This Row],[DiscountPct]],'scenario modeling'!$B$2)</f>
        <v>0</v>
      </c>
      <c r="AC307" t="str">
        <f>IF(Table1[[#This Row],[DiscountPct]]&gt;0.3, "&gt;0.3","")</f>
        <v/>
      </c>
      <c r="AD307">
        <v>9</v>
      </c>
      <c r="AE307">
        <f>Table1[[#This Row],[Quantity]]*(1+'scenario modeling'!$B$4)</f>
        <v>10.799999999999999</v>
      </c>
      <c r="AF307">
        <f>Table1[[#This Row],[UnitCost]]*Table1[[#This Row],[Quantity]]</f>
        <v>8478.18</v>
      </c>
      <c r="AG307">
        <f>SUMIF($U:U,Table1[[#This Row],[ProductCategory]],$AM:AM)</f>
        <v>1549460.0077899997</v>
      </c>
      <c r="AH307">
        <f>SUMIFS($AM$2:AM307,$U$2:U307,U307)</f>
        <v>762183.70565999998</v>
      </c>
      <c r="AI307" s="5">
        <f>Table1[[#This Row],[Cumulative_revenue]]/Table1[[#This Row],[Category_revenue]]</f>
        <v>0.49190279312023372</v>
      </c>
      <c r="AJ307" t="str">
        <f>IF(Table1[[#This Row],[cumulative_pct]]&lt;=0.8,"A",IF(Table1[[#This Row],[cumulative_pct]]&lt;=0.95,"B","C"))</f>
        <v>A</v>
      </c>
      <c r="AK307">
        <f>Table1[[#This Row],[adj_unit_cost]]*Table1[[#This Row],[scenario_quantity]]</f>
        <v>11191.1976</v>
      </c>
      <c r="AL307" s="5">
        <f>Table1[[#This Row],[UnitPrice]]*Table1[[#This Row],[scenario_quantity]]*(1-Table1[[#This Row],[cap_adjusted_discount]])</f>
        <v>11107.367999999999</v>
      </c>
      <c r="AM307" s="5">
        <f>Table1[[#This Row],[UnitPrice]]*Table1[[#This Row],[Quantity]]*(1-Table1[[#This Row],[DiscountPct]])</f>
        <v>9256.14</v>
      </c>
      <c r="AN307" s="5">
        <f>Table1[[#This Row],[gross_revenue]]-Table1[[#This Row],[cost_of_goods]]</f>
        <v>777.95999999999913</v>
      </c>
      <c r="AO307" s="5">
        <f>Table1[[#This Row],[scenario_revenue]]-Table1[[#This Row],[Scenario_unit_cost]]</f>
        <v>-83.829600000000937</v>
      </c>
      <c r="AP307" s="5">
        <f>IF(Table1[[#This Row],[gross_revenue]]=0,0,Table1[[#This Row],[gross_profit]]/Table1[[#This Row],[gross_revenue]])</f>
        <v>8.4047994088248354E-2</v>
      </c>
    </row>
    <row r="308" spans="1:42" x14ac:dyDescent="0.35">
      <c r="A308" t="s">
        <v>78</v>
      </c>
      <c r="B308" t="str">
        <f>_xlfn.TEXTAFTER(Table1[[#This Row],[OrderID]],"-",2)</f>
        <v>247979</v>
      </c>
      <c r="C308">
        <f>YEAR(Table1[[#This Row],[OrderDate]])</f>
        <v>2024</v>
      </c>
      <c r="D308" s="9">
        <f>_xlfn.MINIFS(F:F,P:P,Table1[[#This Row],[Country]])</f>
        <v>44955</v>
      </c>
      <c r="E308" s="7">
        <f>DATEDIF(Table1[[#This Row],[first_time_orders]],Table1[[#This Row],[OrderDate]],"m")</f>
        <v>21</v>
      </c>
      <c r="F308" s="9">
        <v>45598</v>
      </c>
      <c r="G308" s="2" t="str">
        <f>TEXT(Table1[[#This Row],[OrderDate]],"MMM-YYYY")</f>
        <v>Nov-2024</v>
      </c>
      <c r="H308" s="7">
        <f>MONTH(Table1[[#This Row],[OrderDate]])</f>
        <v>11</v>
      </c>
      <c r="I308" s="7" t="str">
        <f>"Q"&amp;ROUNDUP(Table1[[#This Row],[months]]/3,0)&amp;"-"&amp;Table1[[#This Row],[order_year]]</f>
        <v>Q4-2024</v>
      </c>
      <c r="J308" s="7">
        <f>Table1[[#This Row],[RequiredDate]]-Table1[[#This Row],[OrderDate]]</f>
        <v>16</v>
      </c>
      <c r="K308" s="7">
        <f>IF(Table1[[#This Row],[lead_time]]&lt;0,MEDIAN(J:J),Table1[[#This Row],[lead_time]])</f>
        <v>16</v>
      </c>
      <c r="L308" s="7">
        <f>IF(Table1[[#This Row],[adj_lead_time]]&lt;=7,1,0)</f>
        <v>0</v>
      </c>
      <c r="M308" s="9">
        <v>45614</v>
      </c>
      <c r="N308" s="9">
        <f>IF(Table1[[#This Row],[lead_time]]&lt;0,(Table1[[#This Row],[OrderDate]]+Table1[[#This Row],[adj_lead_time]]),Table1[[#This Row],[RequiredDate]])</f>
        <v>45614</v>
      </c>
      <c r="O308" t="s">
        <v>647</v>
      </c>
      <c r="P308" t="s">
        <v>654</v>
      </c>
      <c r="Q308" t="s">
        <v>691</v>
      </c>
      <c r="R308" t="s">
        <v>705</v>
      </c>
      <c r="S308" t="s">
        <v>710</v>
      </c>
      <c r="T308" t="s">
        <v>719</v>
      </c>
      <c r="U308" t="s">
        <v>732</v>
      </c>
      <c r="V308" t="s">
        <v>797</v>
      </c>
      <c r="W308">
        <v>1233.58</v>
      </c>
      <c r="X308">
        <f>Table1[[#This Row],[UnitCost]]*(1+'scenario modeling'!$B$3)</f>
        <v>1356.9380000000001</v>
      </c>
      <c r="Y308">
        <v>1912.51</v>
      </c>
      <c r="Z308" t="str">
        <f>IF(Table1[[#This Row],[UnitPrice]]&lt;=Quantiles!$B$2,Quantiles!$A$2,IF(Table1[[#This Row],[UnitPrice]]&lt;=Quantiles!$B$3,Quantiles!$A$3,Quantiles!$A$4))</f>
        <v>High</v>
      </c>
      <c r="AA308">
        <v>0.255</v>
      </c>
      <c r="AB308" s="5">
        <f>MIN(Table1[[#This Row],[DiscountPct]],'scenario modeling'!$B$2)</f>
        <v>0.1</v>
      </c>
      <c r="AC308" t="str">
        <f>IF(Table1[[#This Row],[DiscountPct]]&gt;0.3, "&gt;0.3","")</f>
        <v/>
      </c>
      <c r="AD308">
        <v>51</v>
      </c>
      <c r="AE308">
        <f>Table1[[#This Row],[Quantity]]*(1+'scenario modeling'!$B$4)</f>
        <v>61.199999999999996</v>
      </c>
      <c r="AF308">
        <f>Table1[[#This Row],[UnitCost]]*Table1[[#This Row],[Quantity]]</f>
        <v>62912.579999999994</v>
      </c>
      <c r="AG308">
        <f>SUMIF($U:U,Table1[[#This Row],[ProductCategory]],$AM:AM)</f>
        <v>1549460.0077899997</v>
      </c>
      <c r="AH308">
        <f>SUMIFS($AM$2:AM308,$U$2:U308,U308)</f>
        <v>834849.52310999995</v>
      </c>
      <c r="AI308" s="5">
        <f>Table1[[#This Row],[Cumulative_revenue]]/Table1[[#This Row],[Category_revenue]]</f>
        <v>0.53880030392055667</v>
      </c>
      <c r="AJ308" t="str">
        <f>IF(Table1[[#This Row],[cumulative_pct]]&lt;=0.8,"A",IF(Table1[[#This Row],[cumulative_pct]]&lt;=0.95,"B","C"))</f>
        <v>A</v>
      </c>
      <c r="AK308">
        <f>Table1[[#This Row],[adj_unit_cost]]*Table1[[#This Row],[scenario_quantity]]</f>
        <v>83044.605599999995</v>
      </c>
      <c r="AL308" s="5">
        <f>Table1[[#This Row],[UnitPrice]]*Table1[[#This Row],[scenario_quantity]]*(1-Table1[[#This Row],[cap_adjusted_discount]])</f>
        <v>105341.0508</v>
      </c>
      <c r="AM308" s="5">
        <f>Table1[[#This Row],[UnitPrice]]*Table1[[#This Row],[Quantity]]*(1-Table1[[#This Row],[DiscountPct]])</f>
        <v>72665.817450000002</v>
      </c>
      <c r="AN308" s="5">
        <f>Table1[[#This Row],[gross_revenue]]-Table1[[#This Row],[cost_of_goods]]</f>
        <v>9753.2374500000078</v>
      </c>
      <c r="AO308" s="5">
        <f>Table1[[#This Row],[scenario_revenue]]-Table1[[#This Row],[Scenario_unit_cost]]</f>
        <v>22296.445200000002</v>
      </c>
      <c r="AP308" s="5">
        <f>IF(Table1[[#This Row],[gross_revenue]]=0,0,Table1[[#This Row],[gross_profit]]/Table1[[#This Row],[gross_revenue]])</f>
        <v>0.134220432553601</v>
      </c>
    </row>
    <row r="309" spans="1:42" x14ac:dyDescent="0.35">
      <c r="A309" t="s">
        <v>582</v>
      </c>
      <c r="B309" t="str">
        <f>_xlfn.TEXTAFTER(Table1[[#This Row],[OrderID]],"-",2)</f>
        <v>766980</v>
      </c>
      <c r="C309">
        <f>YEAR(Table1[[#This Row],[OrderDate]])</f>
        <v>2024</v>
      </c>
      <c r="D309" s="9">
        <f>_xlfn.MINIFS(F:F,P:P,Table1[[#This Row],[Country]])</f>
        <v>44936</v>
      </c>
      <c r="E309" s="7">
        <f>DATEDIF(Table1[[#This Row],[first_time_orders]],Table1[[#This Row],[OrderDate]],"m")</f>
        <v>21</v>
      </c>
      <c r="F309" s="9">
        <v>45600</v>
      </c>
      <c r="G309" s="2" t="str">
        <f>TEXT(Table1[[#This Row],[OrderDate]],"MMM-YYYY")</f>
        <v>Nov-2024</v>
      </c>
      <c r="H309" s="7">
        <f>MONTH(Table1[[#This Row],[OrderDate]])</f>
        <v>11</v>
      </c>
      <c r="I309" s="7" t="str">
        <f>"Q"&amp;ROUNDUP(Table1[[#This Row],[months]]/3,0)&amp;"-"&amp;Table1[[#This Row],[order_year]]</f>
        <v>Q4-2024</v>
      </c>
      <c r="J309" s="7">
        <f>Table1[[#This Row],[RequiredDate]]-Table1[[#This Row],[OrderDate]]</f>
        <v>3</v>
      </c>
      <c r="K309" s="7">
        <f>IF(Table1[[#This Row],[lead_time]]&lt;0,MEDIAN(J:J),Table1[[#This Row],[lead_time]])</f>
        <v>3</v>
      </c>
      <c r="L309" s="7">
        <f>IF(Table1[[#This Row],[adj_lead_time]]&lt;=7,1,0)</f>
        <v>1</v>
      </c>
      <c r="M309" s="9">
        <v>45603</v>
      </c>
      <c r="N309" s="9">
        <f>IF(Table1[[#This Row],[lead_time]]&lt;0,(Table1[[#This Row],[OrderDate]]+Table1[[#This Row],[adj_lead_time]]),Table1[[#This Row],[RequiredDate]])</f>
        <v>45603</v>
      </c>
      <c r="O309" t="s">
        <v>649</v>
      </c>
      <c r="P309" t="s">
        <v>657</v>
      </c>
      <c r="Q309" t="s">
        <v>679</v>
      </c>
      <c r="R309" t="s">
        <v>701</v>
      </c>
      <c r="S309" t="s">
        <v>708</v>
      </c>
      <c r="T309" t="s">
        <v>719</v>
      </c>
      <c r="U309" t="s">
        <v>732</v>
      </c>
      <c r="V309" t="s">
        <v>1300</v>
      </c>
      <c r="W309">
        <v>740.68</v>
      </c>
      <c r="X309">
        <f>Table1[[#This Row],[UnitCost]]*(1+'scenario modeling'!$B$3)</f>
        <v>814.74800000000005</v>
      </c>
      <c r="Y309">
        <v>1837.19</v>
      </c>
      <c r="Z309" t="str">
        <f>IF(Table1[[#This Row],[UnitPrice]]&lt;=Quantiles!$B$2,Quantiles!$A$2,IF(Table1[[#This Row],[UnitPrice]]&lt;=Quantiles!$B$3,Quantiles!$A$3,Quantiles!$A$4))</f>
        <v>High</v>
      </c>
      <c r="AA309">
        <v>0.19700000000000001</v>
      </c>
      <c r="AB309" s="5">
        <f>MIN(Table1[[#This Row],[DiscountPct]],'scenario modeling'!$B$2)</f>
        <v>0.1</v>
      </c>
      <c r="AC309" t="str">
        <f>IF(Table1[[#This Row],[DiscountPct]]&gt;0.3, "&gt;0.3","")</f>
        <v/>
      </c>
      <c r="AD309">
        <v>17</v>
      </c>
      <c r="AE309">
        <f>Table1[[#This Row],[Quantity]]*(1+'scenario modeling'!$B$4)</f>
        <v>20.399999999999999</v>
      </c>
      <c r="AF309">
        <f>Table1[[#This Row],[UnitCost]]*Table1[[#This Row],[Quantity]]</f>
        <v>12591.56</v>
      </c>
      <c r="AG309">
        <f>SUMIF($U:U,Table1[[#This Row],[ProductCategory]],$AM:AM)</f>
        <v>1549460.0077899997</v>
      </c>
      <c r="AH309">
        <f>SUMIFS($AM$2:AM309,$U$2:U309,U309)</f>
        <v>859929.00379999995</v>
      </c>
      <c r="AI309" s="5">
        <f>Table1[[#This Row],[Cumulative_revenue]]/Table1[[#This Row],[Category_revenue]]</f>
        <v>0.55498625293757642</v>
      </c>
      <c r="AJ309" t="str">
        <f>IF(Table1[[#This Row],[cumulative_pct]]&lt;=0.8,"A",IF(Table1[[#This Row],[cumulative_pct]]&lt;=0.95,"B","C"))</f>
        <v>A</v>
      </c>
      <c r="AK309">
        <f>Table1[[#This Row],[adj_unit_cost]]*Table1[[#This Row],[scenario_quantity]]</f>
        <v>16620.859199999999</v>
      </c>
      <c r="AL309" s="5">
        <f>Table1[[#This Row],[UnitPrice]]*Table1[[#This Row],[scenario_quantity]]*(1-Table1[[#This Row],[cap_adjusted_discount]])</f>
        <v>33730.808400000002</v>
      </c>
      <c r="AM309" s="5">
        <f>Table1[[#This Row],[UnitPrice]]*Table1[[#This Row],[Quantity]]*(1-Table1[[#This Row],[DiscountPct]])</f>
        <v>25079.480689999997</v>
      </c>
      <c r="AN309" s="5">
        <f>Table1[[#This Row],[gross_revenue]]-Table1[[#This Row],[cost_of_goods]]</f>
        <v>12487.920689999997</v>
      </c>
      <c r="AO309" s="5">
        <f>Table1[[#This Row],[scenario_revenue]]-Table1[[#This Row],[Scenario_unit_cost]]</f>
        <v>17109.949200000003</v>
      </c>
      <c r="AP309" s="5">
        <f>IF(Table1[[#This Row],[gross_revenue]]=0,0,Table1[[#This Row],[gross_profit]]/Table1[[#This Row],[gross_revenue]])</f>
        <v>0.4979337827748298</v>
      </c>
    </row>
    <row r="310" spans="1:42" x14ac:dyDescent="0.35">
      <c r="A310" t="s">
        <v>447</v>
      </c>
      <c r="B310" t="str">
        <f>_xlfn.TEXTAFTER(Table1[[#This Row],[OrderID]],"-",2)</f>
        <v>837651</v>
      </c>
      <c r="C310">
        <f>YEAR(Table1[[#This Row],[OrderDate]])</f>
        <v>2024</v>
      </c>
      <c r="D310" s="9">
        <f>_xlfn.MINIFS(F:F,P:P,Table1[[#This Row],[Country]])</f>
        <v>44941</v>
      </c>
      <c r="E310" s="7">
        <f>DATEDIF(Table1[[#This Row],[first_time_orders]],Table1[[#This Row],[OrderDate]],"m")</f>
        <v>22</v>
      </c>
      <c r="F310" s="9">
        <v>45636</v>
      </c>
      <c r="G310" s="2" t="str">
        <f>TEXT(Table1[[#This Row],[OrderDate]],"MMM-YYYY")</f>
        <v>Dec-2024</v>
      </c>
      <c r="H310" s="7">
        <f>MONTH(Table1[[#This Row],[OrderDate]])</f>
        <v>12</v>
      </c>
      <c r="I310" s="7" t="str">
        <f>"Q"&amp;ROUNDUP(Table1[[#This Row],[months]]/3,0)&amp;"-"&amp;Table1[[#This Row],[order_year]]</f>
        <v>Q4-2024</v>
      </c>
      <c r="J310" s="7">
        <f>Table1[[#This Row],[RequiredDate]]-Table1[[#This Row],[OrderDate]]</f>
        <v>9</v>
      </c>
      <c r="K310" s="7">
        <f>IF(Table1[[#This Row],[lead_time]]&lt;0,MEDIAN(J:J),Table1[[#This Row],[lead_time]])</f>
        <v>9</v>
      </c>
      <c r="L310" s="7">
        <f>IF(Table1[[#This Row],[adj_lead_time]]&lt;=7,1,0)</f>
        <v>0</v>
      </c>
      <c r="M310" s="9">
        <v>45645</v>
      </c>
      <c r="N310" s="9">
        <f>IF(Table1[[#This Row],[lead_time]]&lt;0,(Table1[[#This Row],[OrderDate]]+Table1[[#This Row],[adj_lead_time]]),Table1[[#This Row],[RequiredDate]])</f>
        <v>45645</v>
      </c>
      <c r="O310" t="s">
        <v>646</v>
      </c>
      <c r="P310" t="s">
        <v>651</v>
      </c>
      <c r="Q310" t="s">
        <v>665</v>
      </c>
      <c r="R310" t="s">
        <v>701</v>
      </c>
      <c r="S310" t="s">
        <v>707</v>
      </c>
      <c r="T310" t="s">
        <v>719</v>
      </c>
      <c r="U310" t="s">
        <v>732</v>
      </c>
      <c r="V310" t="s">
        <v>1166</v>
      </c>
      <c r="W310">
        <v>488.68</v>
      </c>
      <c r="X310">
        <f>Table1[[#This Row],[UnitCost]]*(1+'scenario modeling'!$B$3)</f>
        <v>537.548</v>
      </c>
      <c r="Y310">
        <v>984.36</v>
      </c>
      <c r="Z310" t="str">
        <f>IF(Table1[[#This Row],[UnitPrice]]&lt;=Quantiles!$B$2,Quantiles!$A$2,IF(Table1[[#This Row],[UnitPrice]]&lt;=Quantiles!$B$3,Quantiles!$A$3,Quantiles!$A$4))</f>
        <v>Medium</v>
      </c>
      <c r="AA310">
        <v>5.8999999999999997E-2</v>
      </c>
      <c r="AB310" s="5">
        <f>MIN(Table1[[#This Row],[DiscountPct]],'scenario modeling'!$B$2)</f>
        <v>5.8999999999999997E-2</v>
      </c>
      <c r="AC310" t="str">
        <f>IF(Table1[[#This Row],[DiscountPct]]&gt;0.3, "&gt;0.3","")</f>
        <v/>
      </c>
      <c r="AD310">
        <v>14</v>
      </c>
      <c r="AE310">
        <f>Table1[[#This Row],[Quantity]]*(1+'scenario modeling'!$B$4)</f>
        <v>16.8</v>
      </c>
      <c r="AF310">
        <f>Table1[[#This Row],[UnitCost]]*Table1[[#This Row],[Quantity]]</f>
        <v>6841.52</v>
      </c>
      <c r="AG310">
        <f>SUMIF($U:U,Table1[[#This Row],[ProductCategory]],$AM:AM)</f>
        <v>1549460.0077899997</v>
      </c>
      <c r="AH310">
        <f>SUMIFS($AM$2:AM310,$U$2:U310,U310)</f>
        <v>872896.96243999992</v>
      </c>
      <c r="AI310" s="5">
        <f>Table1[[#This Row],[Cumulative_revenue]]/Table1[[#This Row],[Category_revenue]]</f>
        <v>0.56335559359483944</v>
      </c>
      <c r="AJ310" t="str">
        <f>IF(Table1[[#This Row],[cumulative_pct]]&lt;=0.8,"A",IF(Table1[[#This Row],[cumulative_pct]]&lt;=0.95,"B","C"))</f>
        <v>A</v>
      </c>
      <c r="AK310">
        <f>Table1[[#This Row],[adj_unit_cost]]*Table1[[#This Row],[scenario_quantity]]</f>
        <v>9030.8064000000013</v>
      </c>
      <c r="AL310" s="5">
        <f>Table1[[#This Row],[UnitPrice]]*Table1[[#This Row],[scenario_quantity]]*(1-Table1[[#This Row],[cap_adjusted_discount]])</f>
        <v>15561.550368</v>
      </c>
      <c r="AM310" s="5">
        <f>Table1[[#This Row],[UnitPrice]]*Table1[[#This Row],[Quantity]]*(1-Table1[[#This Row],[DiscountPct]])</f>
        <v>12967.958640000001</v>
      </c>
      <c r="AN310" s="5">
        <f>Table1[[#This Row],[gross_revenue]]-Table1[[#This Row],[cost_of_goods]]</f>
        <v>6126.4386400000003</v>
      </c>
      <c r="AO310" s="5">
        <f>Table1[[#This Row],[scenario_revenue]]-Table1[[#This Row],[Scenario_unit_cost]]</f>
        <v>6530.7439679999989</v>
      </c>
      <c r="AP310" s="5">
        <f>IF(Table1[[#This Row],[gross_revenue]]=0,0,Table1[[#This Row],[gross_profit]]/Table1[[#This Row],[gross_revenue]])</f>
        <v>0.47242891576649876</v>
      </c>
    </row>
    <row r="311" spans="1:42" x14ac:dyDescent="0.35">
      <c r="A311" t="s">
        <v>21</v>
      </c>
      <c r="B311" t="str">
        <f>_xlfn.TEXTAFTER(Table1[[#This Row],[OrderID]],"-",2)</f>
        <v>336584</v>
      </c>
      <c r="C311">
        <f>YEAR(Table1[[#This Row],[OrderDate]])</f>
        <v>2024</v>
      </c>
      <c r="D311" s="9">
        <f>_xlfn.MINIFS(F:F,P:P,Table1[[#This Row],[Country]])</f>
        <v>44955</v>
      </c>
      <c r="E311" s="7">
        <f>DATEDIF(Table1[[#This Row],[first_time_orders]],Table1[[#This Row],[OrderDate]],"m")</f>
        <v>22</v>
      </c>
      <c r="F311" s="9">
        <v>45653</v>
      </c>
      <c r="G311" s="2" t="str">
        <f>TEXT(Table1[[#This Row],[OrderDate]],"MMM-YYYY")</f>
        <v>Dec-2024</v>
      </c>
      <c r="H311" s="7">
        <f>MONTH(Table1[[#This Row],[OrderDate]])</f>
        <v>12</v>
      </c>
      <c r="I311" s="7" t="str">
        <f>"Q"&amp;ROUNDUP(Table1[[#This Row],[months]]/3,0)&amp;"-"&amp;Table1[[#This Row],[order_year]]</f>
        <v>Q4-2024</v>
      </c>
      <c r="J311" s="7">
        <f>Table1[[#This Row],[RequiredDate]]-Table1[[#This Row],[OrderDate]]</f>
        <v>18</v>
      </c>
      <c r="K311" s="7">
        <f>IF(Table1[[#This Row],[lead_time]]&lt;0,MEDIAN(J:J),Table1[[#This Row],[lead_time]])</f>
        <v>18</v>
      </c>
      <c r="L311" s="7">
        <f>IF(Table1[[#This Row],[adj_lead_time]]&lt;=7,1,0)</f>
        <v>0</v>
      </c>
      <c r="M311" s="9">
        <v>45671</v>
      </c>
      <c r="N311" s="9">
        <f>IF(Table1[[#This Row],[lead_time]]&lt;0,(Table1[[#This Row],[OrderDate]]+Table1[[#This Row],[adj_lead_time]]),Table1[[#This Row],[RequiredDate]])</f>
        <v>45671</v>
      </c>
      <c r="O311" t="s">
        <v>647</v>
      </c>
      <c r="P311" t="s">
        <v>654</v>
      </c>
      <c r="Q311" t="s">
        <v>668</v>
      </c>
      <c r="R311" t="s">
        <v>705</v>
      </c>
      <c r="S311" t="s">
        <v>709</v>
      </c>
      <c r="T311" t="s">
        <v>718</v>
      </c>
      <c r="U311" t="s">
        <v>732</v>
      </c>
      <c r="V311" t="s">
        <v>740</v>
      </c>
      <c r="W311">
        <v>586.07000000000005</v>
      </c>
      <c r="X311">
        <f>Table1[[#This Row],[UnitCost]]*(1+'scenario modeling'!$B$3)</f>
        <v>644.67700000000013</v>
      </c>
      <c r="Y311">
        <v>845.97</v>
      </c>
      <c r="Z311" t="str">
        <f>IF(Table1[[#This Row],[UnitPrice]]&lt;=Quantiles!$B$2,Quantiles!$A$2,IF(Table1[[#This Row],[UnitPrice]]&lt;=Quantiles!$B$3,Quantiles!$A$3,Quantiles!$A$4))</f>
        <v>Medium</v>
      </c>
      <c r="AA311">
        <v>0.14699999999999999</v>
      </c>
      <c r="AB311" s="5">
        <f>MIN(Table1[[#This Row],[DiscountPct]],'scenario modeling'!$B$2)</f>
        <v>0.1</v>
      </c>
      <c r="AC311" t="str">
        <f>IF(Table1[[#This Row],[DiscountPct]]&gt;0.3, "&gt;0.3","")</f>
        <v/>
      </c>
      <c r="AD311">
        <v>4</v>
      </c>
      <c r="AE311">
        <f>Table1[[#This Row],[Quantity]]*(1+'scenario modeling'!$B$4)</f>
        <v>4.8</v>
      </c>
      <c r="AF311">
        <f>Table1[[#This Row],[UnitCost]]*Table1[[#This Row],[Quantity]]</f>
        <v>2344.2800000000002</v>
      </c>
      <c r="AG311">
        <f>SUMIF($U:U,Table1[[#This Row],[ProductCategory]],$AM:AM)</f>
        <v>1549460.0077899997</v>
      </c>
      <c r="AH311">
        <f>SUMIFS($AM$2:AM311,$U$2:U311,U311)</f>
        <v>875783.41207999992</v>
      </c>
      <c r="AI311" s="5">
        <f>Table1[[#This Row],[Cumulative_revenue]]/Table1[[#This Row],[Category_revenue]]</f>
        <v>0.56521846816113241</v>
      </c>
      <c r="AJ311" t="str">
        <f>IF(Table1[[#This Row],[cumulative_pct]]&lt;=0.8,"A",IF(Table1[[#This Row],[cumulative_pct]]&lt;=0.95,"B","C"))</f>
        <v>A</v>
      </c>
      <c r="AK311">
        <f>Table1[[#This Row],[adj_unit_cost]]*Table1[[#This Row],[scenario_quantity]]</f>
        <v>3094.4496000000004</v>
      </c>
      <c r="AL311" s="5">
        <f>Table1[[#This Row],[UnitPrice]]*Table1[[#This Row],[scenario_quantity]]*(1-Table1[[#This Row],[cap_adjusted_discount]])</f>
        <v>3654.5904</v>
      </c>
      <c r="AM311" s="5">
        <f>Table1[[#This Row],[UnitPrice]]*Table1[[#This Row],[Quantity]]*(1-Table1[[#This Row],[DiscountPct]])</f>
        <v>2886.4496399999998</v>
      </c>
      <c r="AN311" s="5">
        <f>Table1[[#This Row],[gross_revenue]]-Table1[[#This Row],[cost_of_goods]]</f>
        <v>542.16963999999962</v>
      </c>
      <c r="AO311" s="5">
        <f>Table1[[#This Row],[scenario_revenue]]-Table1[[#This Row],[Scenario_unit_cost]]</f>
        <v>560.14079999999967</v>
      </c>
      <c r="AP311" s="5">
        <f>IF(Table1[[#This Row],[gross_revenue]]=0,0,Table1[[#This Row],[gross_profit]]/Table1[[#This Row],[gross_revenue]])</f>
        <v>0.18783270370862928</v>
      </c>
    </row>
    <row r="312" spans="1:42" x14ac:dyDescent="0.35">
      <c r="A312" t="s">
        <v>94</v>
      </c>
      <c r="B312" t="str">
        <f>_xlfn.TEXTAFTER(Table1[[#This Row],[OrderID]],"-",2)</f>
        <v>192263</v>
      </c>
      <c r="C312">
        <f>YEAR(Table1[[#This Row],[OrderDate]])</f>
        <v>2024</v>
      </c>
      <c r="D312" s="9">
        <f>_xlfn.MINIFS(F:F,P:P,Table1[[#This Row],[Country]])</f>
        <v>44936</v>
      </c>
      <c r="E312" s="7">
        <f>DATEDIF(Table1[[#This Row],[first_time_orders]],Table1[[#This Row],[OrderDate]],"m")</f>
        <v>22</v>
      </c>
      <c r="F312" s="9">
        <v>45617</v>
      </c>
      <c r="G312" s="2" t="str">
        <f>TEXT(Table1[[#This Row],[OrderDate]],"MMM-YYYY")</f>
        <v>Nov-2024</v>
      </c>
      <c r="H312" s="7">
        <f>MONTH(Table1[[#This Row],[OrderDate]])</f>
        <v>11</v>
      </c>
      <c r="I312" s="7" t="str">
        <f>"Q"&amp;ROUNDUP(Table1[[#This Row],[months]]/3,0)&amp;"-"&amp;Table1[[#This Row],[order_year]]</f>
        <v>Q4-2024</v>
      </c>
      <c r="J312" s="7">
        <f>Table1[[#This Row],[RequiredDate]]-Table1[[#This Row],[OrderDate]]</f>
        <v>30</v>
      </c>
      <c r="K312" s="7">
        <f>IF(Table1[[#This Row],[lead_time]]&lt;0,MEDIAN(J:J),Table1[[#This Row],[lead_time]])</f>
        <v>30</v>
      </c>
      <c r="L312" s="7">
        <f>IF(Table1[[#This Row],[adj_lead_time]]&lt;=7,1,0)</f>
        <v>0</v>
      </c>
      <c r="M312" s="9">
        <v>45647</v>
      </c>
      <c r="N312" s="9">
        <f>IF(Table1[[#This Row],[lead_time]]&lt;0,(Table1[[#This Row],[OrderDate]]+Table1[[#This Row],[adj_lead_time]]),Table1[[#This Row],[RequiredDate]])</f>
        <v>45647</v>
      </c>
      <c r="O312" t="s">
        <v>649</v>
      </c>
      <c r="P312" t="s">
        <v>657</v>
      </c>
      <c r="Q312" t="s">
        <v>673</v>
      </c>
      <c r="R312" t="s">
        <v>705</v>
      </c>
      <c r="S312" t="s">
        <v>711</v>
      </c>
      <c r="T312" t="s">
        <v>714</v>
      </c>
      <c r="U312" t="s">
        <v>732</v>
      </c>
      <c r="V312" t="s">
        <v>813</v>
      </c>
      <c r="W312">
        <v>1122.68</v>
      </c>
      <c r="X312">
        <f>Table1[[#This Row],[UnitCost]]*(1+'scenario modeling'!$B$3)</f>
        <v>1234.9480000000001</v>
      </c>
      <c r="Y312">
        <v>1997.19</v>
      </c>
      <c r="Z312" t="str">
        <f>IF(Table1[[#This Row],[UnitPrice]]&lt;=Quantiles!$B$2,Quantiles!$A$2,IF(Table1[[#This Row],[UnitPrice]]&lt;=Quantiles!$B$3,Quantiles!$A$3,Quantiles!$A$4))</f>
        <v>High</v>
      </c>
      <c r="AA312">
        <v>0.186</v>
      </c>
      <c r="AB312" s="5">
        <f>MIN(Table1[[#This Row],[DiscountPct]],'scenario modeling'!$B$2)</f>
        <v>0.1</v>
      </c>
      <c r="AC312" t="str">
        <f>IF(Table1[[#This Row],[DiscountPct]]&gt;0.3, "&gt;0.3","")</f>
        <v/>
      </c>
      <c r="AD312">
        <v>3</v>
      </c>
      <c r="AE312">
        <f>Table1[[#This Row],[Quantity]]*(1+'scenario modeling'!$B$4)</f>
        <v>3.5999999999999996</v>
      </c>
      <c r="AF312">
        <f>Table1[[#This Row],[UnitCost]]*Table1[[#This Row],[Quantity]]</f>
        <v>3368.04</v>
      </c>
      <c r="AG312">
        <f>SUMIF($U:U,Table1[[#This Row],[ProductCategory]],$AM:AM)</f>
        <v>1549460.0077899997</v>
      </c>
      <c r="AH312">
        <f>SUMIFS($AM$2:AM312,$U$2:U312,U312)</f>
        <v>880660.55005999992</v>
      </c>
      <c r="AI312" s="5">
        <f>Table1[[#This Row],[Cumulative_revenue]]/Table1[[#This Row],[Category_revenue]]</f>
        <v>0.56836610537376131</v>
      </c>
      <c r="AJ312" t="str">
        <f>IF(Table1[[#This Row],[cumulative_pct]]&lt;=0.8,"A",IF(Table1[[#This Row],[cumulative_pct]]&lt;=0.95,"B","C"))</f>
        <v>A</v>
      </c>
      <c r="AK312">
        <f>Table1[[#This Row],[adj_unit_cost]]*Table1[[#This Row],[scenario_quantity]]</f>
        <v>4445.8127999999997</v>
      </c>
      <c r="AL312" s="5">
        <f>Table1[[#This Row],[UnitPrice]]*Table1[[#This Row],[scenario_quantity]]*(1-Table1[[#This Row],[cap_adjusted_discount]])</f>
        <v>6470.8955999999989</v>
      </c>
      <c r="AM312" s="5">
        <f>Table1[[#This Row],[UnitPrice]]*Table1[[#This Row],[Quantity]]*(1-Table1[[#This Row],[DiscountPct]])</f>
        <v>4877.1379800000004</v>
      </c>
      <c r="AN312" s="5">
        <f>Table1[[#This Row],[gross_revenue]]-Table1[[#This Row],[cost_of_goods]]</f>
        <v>1509.0979800000005</v>
      </c>
      <c r="AO312" s="5">
        <f>Table1[[#This Row],[scenario_revenue]]-Table1[[#This Row],[Scenario_unit_cost]]</f>
        <v>2025.0827999999992</v>
      </c>
      <c r="AP312" s="5">
        <f>IF(Table1[[#This Row],[gross_revenue]]=0,0,Table1[[#This Row],[gross_profit]]/Table1[[#This Row],[gross_revenue]])</f>
        <v>0.30942285951073306</v>
      </c>
    </row>
    <row r="313" spans="1:42" x14ac:dyDescent="0.35">
      <c r="A313" t="s">
        <v>631</v>
      </c>
      <c r="B313" t="str">
        <f>_xlfn.TEXTAFTER(Table1[[#This Row],[OrderID]],"-",2)</f>
        <v>930679</v>
      </c>
      <c r="C313">
        <f>YEAR(Table1[[#This Row],[OrderDate]])</f>
        <v>2024</v>
      </c>
      <c r="D313" s="9">
        <f>_xlfn.MINIFS(F:F,P:P,Table1[[#This Row],[Country]])</f>
        <v>44945</v>
      </c>
      <c r="E313" s="7">
        <f>DATEDIF(Table1[[#This Row],[first_time_orders]],Table1[[#This Row],[OrderDate]],"m")</f>
        <v>22</v>
      </c>
      <c r="F313" s="9">
        <v>45643</v>
      </c>
      <c r="G313" s="2" t="str">
        <f>TEXT(Table1[[#This Row],[OrderDate]],"MMM-YYYY")</f>
        <v>Dec-2024</v>
      </c>
      <c r="H313" s="7">
        <f>MONTH(Table1[[#This Row],[OrderDate]])</f>
        <v>12</v>
      </c>
      <c r="I313" s="7" t="str">
        <f>"Q"&amp;ROUNDUP(Table1[[#This Row],[months]]/3,0)&amp;"-"&amp;Table1[[#This Row],[order_year]]</f>
        <v>Q4-2024</v>
      </c>
      <c r="J313" s="7">
        <f>Table1[[#This Row],[RequiredDate]]-Table1[[#This Row],[OrderDate]]</f>
        <v>30</v>
      </c>
      <c r="K313" s="7">
        <f>IF(Table1[[#This Row],[lead_time]]&lt;0,MEDIAN(J:J),Table1[[#This Row],[lead_time]])</f>
        <v>30</v>
      </c>
      <c r="L313" s="7">
        <f>IF(Table1[[#This Row],[adj_lead_time]]&lt;=7,1,0)</f>
        <v>0</v>
      </c>
      <c r="M313" s="9">
        <v>45673</v>
      </c>
      <c r="N313" s="9">
        <f>IF(Table1[[#This Row],[lead_time]]&lt;0,(Table1[[#This Row],[OrderDate]]+Table1[[#This Row],[adj_lead_time]]),Table1[[#This Row],[RequiredDate]])</f>
        <v>45673</v>
      </c>
      <c r="O313" t="s">
        <v>649</v>
      </c>
      <c r="P313" t="s">
        <v>658</v>
      </c>
      <c r="Q313" t="s">
        <v>693</v>
      </c>
      <c r="R313" t="s">
        <v>701</v>
      </c>
      <c r="S313" t="s">
        <v>707</v>
      </c>
      <c r="T313" t="s">
        <v>726</v>
      </c>
      <c r="U313" t="s">
        <v>732</v>
      </c>
      <c r="V313" t="s">
        <v>1349</v>
      </c>
      <c r="W313">
        <v>722.87</v>
      </c>
      <c r="X313">
        <f>Table1[[#This Row],[UnitCost]]*(1+'scenario modeling'!$B$3)</f>
        <v>795.15700000000004</v>
      </c>
      <c r="Y313">
        <v>-33.659999999999997</v>
      </c>
      <c r="Z313" t="str">
        <f>IF(Table1[[#This Row],[UnitPrice]]&lt;=Quantiles!$B$2,Quantiles!$A$2,IF(Table1[[#This Row],[UnitPrice]]&lt;=Quantiles!$B$3,Quantiles!$A$3,Quantiles!$A$4))</f>
        <v>Low</v>
      </c>
      <c r="AA313">
        <v>0.10199999999999999</v>
      </c>
      <c r="AB313" s="5">
        <f>MIN(Table1[[#This Row],[DiscountPct]],'scenario modeling'!$B$2)</f>
        <v>0.1</v>
      </c>
      <c r="AC313" t="str">
        <f>IF(Table1[[#This Row],[DiscountPct]]&gt;0.3, "&gt;0.3","")</f>
        <v/>
      </c>
      <c r="AD313">
        <v>28</v>
      </c>
      <c r="AE313">
        <f>Table1[[#This Row],[Quantity]]*(1+'scenario modeling'!$B$4)</f>
        <v>33.6</v>
      </c>
      <c r="AF313">
        <f>Table1[[#This Row],[UnitCost]]*Table1[[#This Row],[Quantity]]</f>
        <v>20240.36</v>
      </c>
      <c r="AG313">
        <f>SUMIF($U:U,Table1[[#This Row],[ProductCategory]],$AM:AM)</f>
        <v>1549460.0077899997</v>
      </c>
      <c r="AH313">
        <f>SUMIFS($AM$2:AM313,$U$2:U313,U313)</f>
        <v>879814.2030199999</v>
      </c>
      <c r="AI313" s="5">
        <f>Table1[[#This Row],[Cumulative_revenue]]/Table1[[#This Row],[Category_revenue]]</f>
        <v>0.56781988473189571</v>
      </c>
      <c r="AJ313" t="str">
        <f>IF(Table1[[#This Row],[cumulative_pct]]&lt;=0.8,"A",IF(Table1[[#This Row],[cumulative_pct]]&lt;=0.95,"B","C"))</f>
        <v>A</v>
      </c>
      <c r="AK313">
        <f>Table1[[#This Row],[adj_unit_cost]]*Table1[[#This Row],[scenario_quantity]]</f>
        <v>26717.275200000004</v>
      </c>
      <c r="AL313" s="5">
        <f>Table1[[#This Row],[UnitPrice]]*Table1[[#This Row],[scenario_quantity]]*(1-Table1[[#This Row],[cap_adjusted_discount]])</f>
        <v>-1017.8783999999999</v>
      </c>
      <c r="AM313" s="5">
        <f>Table1[[#This Row],[UnitPrice]]*Table1[[#This Row],[Quantity]]*(1-Table1[[#This Row],[DiscountPct]])</f>
        <v>-846.34703999999988</v>
      </c>
      <c r="AN313" s="5">
        <f>Table1[[#This Row],[gross_revenue]]-Table1[[#This Row],[cost_of_goods]]</f>
        <v>-21086.707040000001</v>
      </c>
      <c r="AO313" s="5">
        <f>Table1[[#This Row],[scenario_revenue]]-Table1[[#This Row],[Scenario_unit_cost]]</f>
        <v>-27735.153600000005</v>
      </c>
      <c r="AP313" s="5">
        <f>IF(Table1[[#This Row],[gross_revenue]]=0,0,Table1[[#This Row],[gross_profit]]/Table1[[#This Row],[gross_revenue]])</f>
        <v>24.914965189693348</v>
      </c>
    </row>
    <row r="314" spans="1:42" x14ac:dyDescent="0.35">
      <c r="A314" t="s">
        <v>324</v>
      </c>
      <c r="B314" t="str">
        <f>_xlfn.TEXTAFTER(Table1[[#This Row],[OrderID]],"-",2)</f>
        <v>165942</v>
      </c>
      <c r="C314">
        <f>YEAR(Table1[[#This Row],[OrderDate]])</f>
        <v>2024</v>
      </c>
      <c r="D314" s="9">
        <f>_xlfn.MINIFS(F:F,P:P,Table1[[#This Row],[Country]])</f>
        <v>44945</v>
      </c>
      <c r="E314" s="7">
        <f>DATEDIF(Table1[[#This Row],[first_time_orders]],Table1[[#This Row],[OrderDate]],"m")</f>
        <v>23</v>
      </c>
      <c r="F314" s="9">
        <v>45655</v>
      </c>
      <c r="G314" s="2" t="str">
        <f>TEXT(Table1[[#This Row],[OrderDate]],"MMM-YYYY")</f>
        <v>Dec-2024</v>
      </c>
      <c r="H314" s="7">
        <f>MONTH(Table1[[#This Row],[OrderDate]])</f>
        <v>12</v>
      </c>
      <c r="I314" s="7" t="str">
        <f>"Q"&amp;ROUNDUP(Table1[[#This Row],[months]]/3,0)&amp;"-"&amp;Table1[[#This Row],[order_year]]</f>
        <v>Q4-2024</v>
      </c>
      <c r="J314" s="7">
        <f>Table1[[#This Row],[RequiredDate]]-Table1[[#This Row],[OrderDate]]</f>
        <v>14</v>
      </c>
      <c r="K314" s="7">
        <f>IF(Table1[[#This Row],[lead_time]]&lt;0,MEDIAN(J:J),Table1[[#This Row],[lead_time]])</f>
        <v>14</v>
      </c>
      <c r="L314" s="7">
        <f>IF(Table1[[#This Row],[adj_lead_time]]&lt;=7,1,0)</f>
        <v>0</v>
      </c>
      <c r="M314" s="9">
        <v>45669</v>
      </c>
      <c r="N314" s="9">
        <f>IF(Table1[[#This Row],[lead_time]]&lt;0,(Table1[[#This Row],[OrderDate]]+Table1[[#This Row],[adj_lead_time]]),Table1[[#This Row],[RequiredDate]])</f>
        <v>45669</v>
      </c>
      <c r="O314" t="s">
        <v>649</v>
      </c>
      <c r="P314" t="s">
        <v>658</v>
      </c>
      <c r="Q314" t="s">
        <v>693</v>
      </c>
      <c r="R314" t="s">
        <v>701</v>
      </c>
      <c r="S314" t="s">
        <v>711</v>
      </c>
      <c r="T314" t="s">
        <v>717</v>
      </c>
      <c r="U314" t="s">
        <v>732</v>
      </c>
      <c r="V314" t="s">
        <v>1044</v>
      </c>
      <c r="W314">
        <v>1399.72</v>
      </c>
      <c r="X314">
        <f>Table1[[#This Row],[UnitCost]]*(1+'scenario modeling'!$B$3)</f>
        <v>1539.6920000000002</v>
      </c>
      <c r="Y314">
        <v>3149.21</v>
      </c>
      <c r="Z314" t="str">
        <f>IF(Table1[[#This Row],[UnitPrice]]&lt;=Quantiles!$B$2,Quantiles!$A$2,IF(Table1[[#This Row],[UnitPrice]]&lt;=Quantiles!$B$3,Quantiles!$A$3,Quantiles!$A$4))</f>
        <v>High</v>
      </c>
      <c r="AA314">
        <v>0.185</v>
      </c>
      <c r="AB314" s="5">
        <f>MIN(Table1[[#This Row],[DiscountPct]],'scenario modeling'!$B$2)</f>
        <v>0.1</v>
      </c>
      <c r="AC314" t="str">
        <f>IF(Table1[[#This Row],[DiscountPct]]&gt;0.3, "&gt;0.3","")</f>
        <v/>
      </c>
      <c r="AD314">
        <v>12</v>
      </c>
      <c r="AE314">
        <f>Table1[[#This Row],[Quantity]]*(1+'scenario modeling'!$B$4)</f>
        <v>14.399999999999999</v>
      </c>
      <c r="AF314">
        <f>Table1[[#This Row],[UnitCost]]*Table1[[#This Row],[Quantity]]</f>
        <v>16796.64</v>
      </c>
      <c r="AG314">
        <f>SUMIF($U:U,Table1[[#This Row],[ProductCategory]],$AM:AM)</f>
        <v>1549460.0077899997</v>
      </c>
      <c r="AH314">
        <f>SUMIFS($AM$2:AM314,$U$2:U314,U314)</f>
        <v>910613.47681999987</v>
      </c>
      <c r="AI314" s="5">
        <f>Table1[[#This Row],[Cumulative_revenue]]/Table1[[#This Row],[Category_revenue]]</f>
        <v>0.58769730889589789</v>
      </c>
      <c r="AJ314" t="str">
        <f>IF(Table1[[#This Row],[cumulative_pct]]&lt;=0.8,"A",IF(Table1[[#This Row],[cumulative_pct]]&lt;=0.95,"B","C"))</f>
        <v>A</v>
      </c>
      <c r="AK314">
        <f>Table1[[#This Row],[adj_unit_cost]]*Table1[[#This Row],[scenario_quantity]]</f>
        <v>22171.5648</v>
      </c>
      <c r="AL314" s="5">
        <f>Table1[[#This Row],[UnitPrice]]*Table1[[#This Row],[scenario_quantity]]*(1-Table1[[#This Row],[cap_adjusted_discount]])</f>
        <v>40813.761599999998</v>
      </c>
      <c r="AM314" s="5">
        <f>Table1[[#This Row],[UnitPrice]]*Table1[[#This Row],[Quantity]]*(1-Table1[[#This Row],[DiscountPct]])</f>
        <v>30799.273800000003</v>
      </c>
      <c r="AN314" s="5">
        <f>Table1[[#This Row],[gross_revenue]]-Table1[[#This Row],[cost_of_goods]]</f>
        <v>14002.633800000003</v>
      </c>
      <c r="AO314" s="5">
        <f>Table1[[#This Row],[scenario_revenue]]-Table1[[#This Row],[Scenario_unit_cost]]</f>
        <v>18642.196799999998</v>
      </c>
      <c r="AP314" s="5">
        <f>IF(Table1[[#This Row],[gross_revenue]]=0,0,Table1[[#This Row],[gross_profit]]/Table1[[#This Row],[gross_revenue]])</f>
        <v>0.45464168703873797</v>
      </c>
    </row>
    <row r="315" spans="1:42" x14ac:dyDescent="0.35">
      <c r="A315" t="s">
        <v>145</v>
      </c>
      <c r="B315" t="str">
        <f>_xlfn.TEXTAFTER(Table1[[#This Row],[OrderID]],"-",2)</f>
        <v>650719</v>
      </c>
      <c r="C315">
        <f>YEAR(Table1[[#This Row],[OrderDate]])</f>
        <v>2025</v>
      </c>
      <c r="D315" s="9">
        <f>_xlfn.MINIFS(F:F,P:P,Table1[[#This Row],[Country]])</f>
        <v>44955</v>
      </c>
      <c r="E315" s="7">
        <f>DATEDIF(Table1[[#This Row],[first_time_orders]],Table1[[#This Row],[OrderDate]],"m")</f>
        <v>24</v>
      </c>
      <c r="F315" s="9">
        <v>45700</v>
      </c>
      <c r="G315" s="2" t="str">
        <f>TEXT(Table1[[#This Row],[OrderDate]],"MMM-YYYY")</f>
        <v>Feb-2025</v>
      </c>
      <c r="H315" s="7">
        <f>MONTH(Table1[[#This Row],[OrderDate]])</f>
        <v>2</v>
      </c>
      <c r="I315" s="7" t="str">
        <f>"Q"&amp;ROUNDUP(Table1[[#This Row],[months]]/3,0)&amp;"-"&amp;Table1[[#This Row],[order_year]]</f>
        <v>Q1-2025</v>
      </c>
      <c r="J315" s="7">
        <f>Table1[[#This Row],[RequiredDate]]-Table1[[#This Row],[OrderDate]]</f>
        <v>16</v>
      </c>
      <c r="K315" s="7">
        <f>IF(Table1[[#This Row],[lead_time]]&lt;0,MEDIAN(J:J),Table1[[#This Row],[lead_time]])</f>
        <v>16</v>
      </c>
      <c r="L315" s="7">
        <f>IF(Table1[[#This Row],[adj_lead_time]]&lt;=7,1,0)</f>
        <v>0</v>
      </c>
      <c r="M315" s="9">
        <v>45716</v>
      </c>
      <c r="N315" s="9">
        <f>IF(Table1[[#This Row],[lead_time]]&lt;0,(Table1[[#This Row],[OrderDate]]+Table1[[#This Row],[adj_lead_time]]),Table1[[#This Row],[RequiredDate]])</f>
        <v>45716</v>
      </c>
      <c r="O315" t="s">
        <v>648</v>
      </c>
      <c r="P315" t="s">
        <v>655</v>
      </c>
      <c r="Q315" t="s">
        <v>670</v>
      </c>
      <c r="R315" t="s">
        <v>703</v>
      </c>
      <c r="S315" t="s">
        <v>711</v>
      </c>
      <c r="T315" t="s">
        <v>717</v>
      </c>
      <c r="U315" t="s">
        <v>732</v>
      </c>
      <c r="V315" t="s">
        <v>864</v>
      </c>
      <c r="W315">
        <v>414.95</v>
      </c>
      <c r="X315">
        <f>Table1[[#This Row],[UnitCost]]*(1+'scenario modeling'!$B$3)</f>
        <v>456.44500000000005</v>
      </c>
      <c r="Y315">
        <v>1027.73</v>
      </c>
      <c r="Z315" t="str">
        <f>IF(Table1[[#This Row],[UnitPrice]]&lt;=Quantiles!$B$2,Quantiles!$A$2,IF(Table1[[#This Row],[UnitPrice]]&lt;=Quantiles!$B$3,Quantiles!$A$3,Quantiles!$A$4))</f>
        <v>Medium</v>
      </c>
      <c r="AA315">
        <v>6.3E-2</v>
      </c>
      <c r="AB315" s="5">
        <f>MIN(Table1[[#This Row],[DiscountPct]],'scenario modeling'!$B$2)</f>
        <v>6.3E-2</v>
      </c>
      <c r="AC315" t="str">
        <f>IF(Table1[[#This Row],[DiscountPct]]&gt;0.3, "&gt;0.3","")</f>
        <v/>
      </c>
      <c r="AD315">
        <v>8</v>
      </c>
      <c r="AE315">
        <f>Table1[[#This Row],[Quantity]]*(1+'scenario modeling'!$B$4)</f>
        <v>9.6</v>
      </c>
      <c r="AF315">
        <f>Table1[[#This Row],[UnitCost]]*Table1[[#This Row],[Quantity]]</f>
        <v>3319.6</v>
      </c>
      <c r="AG315">
        <f>SUMIF($U:U,Table1[[#This Row],[ProductCategory]],$AM:AM)</f>
        <v>1549460.0077899997</v>
      </c>
      <c r="AH315">
        <f>SUMIFS($AM$2:AM315,$U$2:U315,U315)</f>
        <v>918317.34089999984</v>
      </c>
      <c r="AI315" s="5">
        <f>Table1[[#This Row],[Cumulative_revenue]]/Table1[[#This Row],[Category_revenue]]</f>
        <v>0.59266927593039276</v>
      </c>
      <c r="AJ315" t="str">
        <f>IF(Table1[[#This Row],[cumulative_pct]]&lt;=0.8,"A",IF(Table1[[#This Row],[cumulative_pct]]&lt;=0.95,"B","C"))</f>
        <v>A</v>
      </c>
      <c r="AK315">
        <f>Table1[[#This Row],[adj_unit_cost]]*Table1[[#This Row],[scenario_quantity]]</f>
        <v>4381.8720000000003</v>
      </c>
      <c r="AL315" s="5">
        <f>Table1[[#This Row],[UnitPrice]]*Table1[[#This Row],[scenario_quantity]]*(1-Table1[[#This Row],[cap_adjusted_discount]])</f>
        <v>9244.6368960000018</v>
      </c>
      <c r="AM315" s="5">
        <f>Table1[[#This Row],[UnitPrice]]*Table1[[#This Row],[Quantity]]*(1-Table1[[#This Row],[DiscountPct]])</f>
        <v>7703.8640800000003</v>
      </c>
      <c r="AN315" s="5">
        <f>Table1[[#This Row],[gross_revenue]]-Table1[[#This Row],[cost_of_goods]]</f>
        <v>4384.2640800000008</v>
      </c>
      <c r="AO315" s="5">
        <f>Table1[[#This Row],[scenario_revenue]]-Table1[[#This Row],[Scenario_unit_cost]]</f>
        <v>4862.7648960000015</v>
      </c>
      <c r="AP315" s="5">
        <f>IF(Table1[[#This Row],[gross_revenue]]=0,0,Table1[[#This Row],[gross_profit]]/Table1[[#This Row],[gross_revenue]])</f>
        <v>0.56909935513815568</v>
      </c>
    </row>
    <row r="316" spans="1:42" x14ac:dyDescent="0.35">
      <c r="A316" t="s">
        <v>285</v>
      </c>
      <c r="B316" t="str">
        <f>_xlfn.TEXTAFTER(Table1[[#This Row],[OrderID]],"-",2)</f>
        <v>484073</v>
      </c>
      <c r="C316">
        <f>YEAR(Table1[[#This Row],[OrderDate]])</f>
        <v>2025</v>
      </c>
      <c r="D316" s="9">
        <f>_xlfn.MINIFS(F:F,P:P,Table1[[#This Row],[Country]])</f>
        <v>44955</v>
      </c>
      <c r="E316" s="7">
        <f>DATEDIF(Table1[[#This Row],[first_time_orders]],Table1[[#This Row],[OrderDate]],"m")</f>
        <v>24</v>
      </c>
      <c r="F316" s="9">
        <v>45707</v>
      </c>
      <c r="G316" s="2" t="str">
        <f>TEXT(Table1[[#This Row],[OrderDate]],"MMM-YYYY")</f>
        <v>Feb-2025</v>
      </c>
      <c r="H316" s="7">
        <f>MONTH(Table1[[#This Row],[OrderDate]])</f>
        <v>2</v>
      </c>
      <c r="I316" s="7" t="str">
        <f>"Q"&amp;ROUNDUP(Table1[[#This Row],[months]]/3,0)&amp;"-"&amp;Table1[[#This Row],[order_year]]</f>
        <v>Q1-2025</v>
      </c>
      <c r="J316" s="7">
        <f>Table1[[#This Row],[RequiredDate]]-Table1[[#This Row],[OrderDate]]</f>
        <v>18</v>
      </c>
      <c r="K316" s="7">
        <f>IF(Table1[[#This Row],[lead_time]]&lt;0,MEDIAN(J:J),Table1[[#This Row],[lead_time]])</f>
        <v>18</v>
      </c>
      <c r="L316" s="7">
        <f>IF(Table1[[#This Row],[adj_lead_time]]&lt;=7,1,0)</f>
        <v>0</v>
      </c>
      <c r="M316" s="9">
        <v>45725</v>
      </c>
      <c r="N316" s="9">
        <f>IF(Table1[[#This Row],[lead_time]]&lt;0,(Table1[[#This Row],[OrderDate]]+Table1[[#This Row],[adj_lead_time]]),Table1[[#This Row],[RequiredDate]])</f>
        <v>45725</v>
      </c>
      <c r="O316" t="s">
        <v>647</v>
      </c>
      <c r="P316" t="s">
        <v>654</v>
      </c>
      <c r="Q316" t="s">
        <v>680</v>
      </c>
      <c r="R316" t="s">
        <v>705</v>
      </c>
      <c r="S316" t="s">
        <v>711</v>
      </c>
      <c r="T316" t="s">
        <v>719</v>
      </c>
      <c r="U316" t="s">
        <v>732</v>
      </c>
      <c r="V316" t="s">
        <v>1005</v>
      </c>
      <c r="W316">
        <v>325.87</v>
      </c>
      <c r="X316">
        <f>Table1[[#This Row],[UnitCost]]*(1+'scenario modeling'!$B$3)</f>
        <v>358.45700000000005</v>
      </c>
      <c r="Y316">
        <v>538.79</v>
      </c>
      <c r="Z316" t="str">
        <f>IF(Table1[[#This Row],[UnitPrice]]&lt;=Quantiles!$B$2,Quantiles!$A$2,IF(Table1[[#This Row],[UnitPrice]]&lt;=Quantiles!$B$3,Quantiles!$A$3,Quantiles!$A$4))</f>
        <v>Low</v>
      </c>
      <c r="AA316">
        <v>0.17399999999999999</v>
      </c>
      <c r="AB316" s="5">
        <f>MIN(Table1[[#This Row],[DiscountPct]],'scenario modeling'!$B$2)</f>
        <v>0.1</v>
      </c>
      <c r="AC316" t="str">
        <f>IF(Table1[[#This Row],[DiscountPct]]&gt;0.3, "&gt;0.3","")</f>
        <v/>
      </c>
      <c r="AD316">
        <v>16</v>
      </c>
      <c r="AE316">
        <f>Table1[[#This Row],[Quantity]]*(1+'scenario modeling'!$B$4)</f>
        <v>19.2</v>
      </c>
      <c r="AF316">
        <f>Table1[[#This Row],[UnitCost]]*Table1[[#This Row],[Quantity]]</f>
        <v>5213.92</v>
      </c>
      <c r="AG316">
        <f>SUMIF($U:U,Table1[[#This Row],[ProductCategory]],$AM:AM)</f>
        <v>1549460.0077899997</v>
      </c>
      <c r="AH316">
        <f>SUMIFS($AM$2:AM316,$U$2:U316,U316)</f>
        <v>925437.98953999986</v>
      </c>
      <c r="AI316" s="5">
        <f>Table1[[#This Row],[Cumulative_revenue]]/Table1[[#This Row],[Category_revenue]]</f>
        <v>0.59726484380836353</v>
      </c>
      <c r="AJ316" t="str">
        <f>IF(Table1[[#This Row],[cumulative_pct]]&lt;=0.8,"A",IF(Table1[[#This Row],[cumulative_pct]]&lt;=0.95,"B","C"))</f>
        <v>A</v>
      </c>
      <c r="AK316">
        <f>Table1[[#This Row],[adj_unit_cost]]*Table1[[#This Row],[scenario_quantity]]</f>
        <v>6882.3744000000006</v>
      </c>
      <c r="AL316" s="5">
        <f>Table1[[#This Row],[UnitPrice]]*Table1[[#This Row],[scenario_quantity]]*(1-Table1[[#This Row],[cap_adjusted_discount]])</f>
        <v>9310.2911999999978</v>
      </c>
      <c r="AM316" s="5">
        <f>Table1[[#This Row],[UnitPrice]]*Table1[[#This Row],[Quantity]]*(1-Table1[[#This Row],[DiscountPct]])</f>
        <v>7120.6486400000003</v>
      </c>
      <c r="AN316" s="5">
        <f>Table1[[#This Row],[gross_revenue]]-Table1[[#This Row],[cost_of_goods]]</f>
        <v>1906.7286400000003</v>
      </c>
      <c r="AO316" s="5">
        <f>Table1[[#This Row],[scenario_revenue]]-Table1[[#This Row],[Scenario_unit_cost]]</f>
        <v>2427.9167999999972</v>
      </c>
      <c r="AP316" s="5">
        <f>IF(Table1[[#This Row],[gross_revenue]]=0,0,Table1[[#This Row],[gross_profit]]/Table1[[#This Row],[gross_revenue]])</f>
        <v>0.26777457172778013</v>
      </c>
    </row>
    <row r="317" spans="1:42" x14ac:dyDescent="0.35">
      <c r="A317" t="s">
        <v>201</v>
      </c>
      <c r="B317" t="str">
        <f>_xlfn.TEXTAFTER(Table1[[#This Row],[OrderID]],"-",2)</f>
        <v>542939</v>
      </c>
      <c r="C317">
        <f>YEAR(Table1[[#This Row],[OrderDate]])</f>
        <v>2025</v>
      </c>
      <c r="D317" s="9">
        <f>_xlfn.MINIFS(F:F,P:P,Table1[[#This Row],[Country]])</f>
        <v>44936</v>
      </c>
      <c r="E317" s="7">
        <f>DATEDIF(Table1[[#This Row],[first_time_orders]],Table1[[#This Row],[OrderDate]],"m")</f>
        <v>24</v>
      </c>
      <c r="F317" s="9">
        <v>45670</v>
      </c>
      <c r="G317" s="2" t="str">
        <f>TEXT(Table1[[#This Row],[OrderDate]],"MMM-YYYY")</f>
        <v>Jan-2025</v>
      </c>
      <c r="H317" s="7">
        <f>MONTH(Table1[[#This Row],[OrderDate]])</f>
        <v>1</v>
      </c>
      <c r="I317" s="7" t="str">
        <f>"Q"&amp;ROUNDUP(Table1[[#This Row],[months]]/3,0)&amp;"-"&amp;Table1[[#This Row],[order_year]]</f>
        <v>Q1-2025</v>
      </c>
      <c r="J317" s="7">
        <f>Table1[[#This Row],[RequiredDate]]-Table1[[#This Row],[OrderDate]]</f>
        <v>26</v>
      </c>
      <c r="K317" s="7">
        <f>IF(Table1[[#This Row],[lead_time]]&lt;0,MEDIAN(J:J),Table1[[#This Row],[lead_time]])</f>
        <v>26</v>
      </c>
      <c r="L317" s="7">
        <f>IF(Table1[[#This Row],[adj_lead_time]]&lt;=7,1,0)</f>
        <v>0</v>
      </c>
      <c r="M317" s="9">
        <v>45696</v>
      </c>
      <c r="N317" s="9">
        <f>IF(Table1[[#This Row],[lead_time]]&lt;0,(Table1[[#This Row],[OrderDate]]+Table1[[#This Row],[adj_lead_time]]),Table1[[#This Row],[RequiredDate]])</f>
        <v>45696</v>
      </c>
      <c r="O317" t="s">
        <v>649</v>
      </c>
      <c r="P317" t="s">
        <v>657</v>
      </c>
      <c r="Q317" t="s">
        <v>690</v>
      </c>
      <c r="R317" t="s">
        <v>703</v>
      </c>
      <c r="S317" t="s">
        <v>711</v>
      </c>
      <c r="T317" t="s">
        <v>718</v>
      </c>
      <c r="U317" t="s">
        <v>732</v>
      </c>
      <c r="V317" t="s">
        <v>920</v>
      </c>
      <c r="W317">
        <v>594.74</v>
      </c>
      <c r="X317">
        <f>Table1[[#This Row],[UnitCost]]*(1+'scenario modeling'!$B$3)</f>
        <v>654.21400000000006</v>
      </c>
      <c r="Y317">
        <v>1020.69</v>
      </c>
      <c r="Z317" t="str">
        <f>IF(Table1[[#This Row],[UnitPrice]]&lt;=Quantiles!$B$2,Quantiles!$A$2,IF(Table1[[#This Row],[UnitPrice]]&lt;=Quantiles!$B$3,Quantiles!$A$3,Quantiles!$A$4))</f>
        <v>Medium</v>
      </c>
      <c r="AA317">
        <v>0.21099999999999999</v>
      </c>
      <c r="AB317" s="5">
        <f>MIN(Table1[[#This Row],[DiscountPct]],'scenario modeling'!$B$2)</f>
        <v>0.1</v>
      </c>
      <c r="AC317" t="str">
        <f>IF(Table1[[#This Row],[DiscountPct]]&gt;0.3, "&gt;0.3","")</f>
        <v/>
      </c>
      <c r="AD317">
        <v>6</v>
      </c>
      <c r="AE317">
        <f>Table1[[#This Row],[Quantity]]*(1+'scenario modeling'!$B$4)</f>
        <v>7.1999999999999993</v>
      </c>
      <c r="AF317">
        <f>Table1[[#This Row],[UnitCost]]*Table1[[#This Row],[Quantity]]</f>
        <v>3568.44</v>
      </c>
      <c r="AG317">
        <f>SUMIF($U:U,Table1[[#This Row],[ProductCategory]],$AM:AM)</f>
        <v>1549460.0077899997</v>
      </c>
      <c r="AH317">
        <f>SUMIFS($AM$2:AM317,$U$2:U317,U317)</f>
        <v>930269.93599999987</v>
      </c>
      <c r="AI317" s="5">
        <f>Table1[[#This Row],[Cumulative_revenue]]/Table1[[#This Row],[Category_revenue]]</f>
        <v>0.60038331504073295</v>
      </c>
      <c r="AJ317" t="str">
        <f>IF(Table1[[#This Row],[cumulative_pct]]&lt;=0.8,"A",IF(Table1[[#This Row],[cumulative_pct]]&lt;=0.95,"B","C"))</f>
        <v>A</v>
      </c>
      <c r="AK317">
        <f>Table1[[#This Row],[adj_unit_cost]]*Table1[[#This Row],[scenario_quantity]]</f>
        <v>4710.3407999999999</v>
      </c>
      <c r="AL317" s="5">
        <f>Table1[[#This Row],[UnitPrice]]*Table1[[#This Row],[scenario_quantity]]*(1-Table1[[#This Row],[cap_adjusted_discount]])</f>
        <v>6614.0712000000003</v>
      </c>
      <c r="AM317" s="5">
        <f>Table1[[#This Row],[UnitPrice]]*Table1[[#This Row],[Quantity]]*(1-Table1[[#This Row],[DiscountPct]])</f>
        <v>4831.9464600000001</v>
      </c>
      <c r="AN317" s="5">
        <f>Table1[[#This Row],[gross_revenue]]-Table1[[#This Row],[cost_of_goods]]</f>
        <v>1263.5064600000001</v>
      </c>
      <c r="AO317" s="5">
        <f>Table1[[#This Row],[scenario_revenue]]-Table1[[#This Row],[Scenario_unit_cost]]</f>
        <v>1903.7304000000004</v>
      </c>
      <c r="AP317" s="5">
        <f>IF(Table1[[#This Row],[gross_revenue]]=0,0,Table1[[#This Row],[gross_profit]]/Table1[[#This Row],[gross_revenue]])</f>
        <v>0.26149016146176424</v>
      </c>
    </row>
    <row r="318" spans="1:42" x14ac:dyDescent="0.35">
      <c r="A318" t="s">
        <v>218</v>
      </c>
      <c r="B318" t="str">
        <f>_xlfn.TEXTAFTER(Table1[[#This Row],[OrderID]],"-",2)</f>
        <v>964661</v>
      </c>
      <c r="C318">
        <f>YEAR(Table1[[#This Row],[OrderDate]])</f>
        <v>2025</v>
      </c>
      <c r="D318" s="9">
        <f>_xlfn.MINIFS(F:F,P:P,Table1[[#This Row],[Country]])</f>
        <v>44945</v>
      </c>
      <c r="E318" s="7">
        <f>DATEDIF(Table1[[#This Row],[first_time_orders]],Table1[[#This Row],[OrderDate]],"m")</f>
        <v>24</v>
      </c>
      <c r="F318" s="9">
        <v>45692</v>
      </c>
      <c r="G318" s="2" t="str">
        <f>TEXT(Table1[[#This Row],[OrderDate]],"MMM-YYYY")</f>
        <v>Feb-2025</v>
      </c>
      <c r="H318" s="7">
        <f>MONTH(Table1[[#This Row],[OrderDate]])</f>
        <v>2</v>
      </c>
      <c r="I318" s="7" t="str">
        <f>"Q"&amp;ROUNDUP(Table1[[#This Row],[months]]/3,0)&amp;"-"&amp;Table1[[#This Row],[order_year]]</f>
        <v>Q1-2025</v>
      </c>
      <c r="J318" s="7">
        <f>Table1[[#This Row],[RequiredDate]]-Table1[[#This Row],[OrderDate]]</f>
        <v>21</v>
      </c>
      <c r="K318" s="7">
        <f>IF(Table1[[#This Row],[lead_time]]&lt;0,MEDIAN(J:J),Table1[[#This Row],[lead_time]])</f>
        <v>21</v>
      </c>
      <c r="L318" s="7">
        <f>IF(Table1[[#This Row],[adj_lead_time]]&lt;=7,1,0)</f>
        <v>0</v>
      </c>
      <c r="M318" s="9">
        <v>45713</v>
      </c>
      <c r="N318" s="9">
        <f>IF(Table1[[#This Row],[lead_time]]&lt;0,(Table1[[#This Row],[OrderDate]]+Table1[[#This Row],[adj_lead_time]]),Table1[[#This Row],[RequiredDate]])</f>
        <v>45713</v>
      </c>
      <c r="O318" t="s">
        <v>649</v>
      </c>
      <c r="P318" t="s">
        <v>658</v>
      </c>
      <c r="Q318" t="s">
        <v>674</v>
      </c>
      <c r="R318" t="s">
        <v>701</v>
      </c>
      <c r="S318" t="s">
        <v>709</v>
      </c>
      <c r="T318" t="s">
        <v>726</v>
      </c>
      <c r="U318" t="s">
        <v>732</v>
      </c>
      <c r="V318" t="s">
        <v>938</v>
      </c>
      <c r="W318">
        <v>1016.32</v>
      </c>
      <c r="X318">
        <f>Table1[[#This Row],[UnitCost]]*(1+'scenario modeling'!$B$3)</f>
        <v>1117.9520000000002</v>
      </c>
      <c r="Y318">
        <v>2253.42</v>
      </c>
      <c r="Z318" t="str">
        <f>IF(Table1[[#This Row],[UnitPrice]]&lt;=Quantiles!$B$2,Quantiles!$A$2,IF(Table1[[#This Row],[UnitPrice]]&lt;=Quantiles!$B$3,Quantiles!$A$3,Quantiles!$A$4))</f>
        <v>High</v>
      </c>
      <c r="AA318">
        <v>5.5E-2</v>
      </c>
      <c r="AB318" s="5">
        <f>MIN(Table1[[#This Row],[DiscountPct]],'scenario modeling'!$B$2)</f>
        <v>5.5E-2</v>
      </c>
      <c r="AC318" t="str">
        <f>IF(Table1[[#This Row],[DiscountPct]]&gt;0.3, "&gt;0.3","")</f>
        <v/>
      </c>
      <c r="AD318">
        <v>12</v>
      </c>
      <c r="AE318">
        <f>Table1[[#This Row],[Quantity]]*(1+'scenario modeling'!$B$4)</f>
        <v>14.399999999999999</v>
      </c>
      <c r="AF318">
        <f>Table1[[#This Row],[UnitCost]]*Table1[[#This Row],[Quantity]]</f>
        <v>12195.84</v>
      </c>
      <c r="AG318">
        <f>SUMIF($U:U,Table1[[#This Row],[ProductCategory]],$AM:AM)</f>
        <v>1549460.0077899997</v>
      </c>
      <c r="AH318">
        <f>SUMIFS($AM$2:AM318,$U$2:U318,U318)</f>
        <v>955823.71879999992</v>
      </c>
      <c r="AI318" s="5">
        <f>Table1[[#This Row],[Cumulative_revenue]]/Table1[[#This Row],[Category_revenue]]</f>
        <v>0.61687537206158338</v>
      </c>
      <c r="AJ318" t="str">
        <f>IF(Table1[[#This Row],[cumulative_pct]]&lt;=0.8,"A",IF(Table1[[#This Row],[cumulative_pct]]&lt;=0.95,"B","C"))</f>
        <v>A</v>
      </c>
      <c r="AK318">
        <f>Table1[[#This Row],[adj_unit_cost]]*Table1[[#This Row],[scenario_quantity]]</f>
        <v>16098.508800000001</v>
      </c>
      <c r="AL318" s="5">
        <f>Table1[[#This Row],[UnitPrice]]*Table1[[#This Row],[scenario_quantity]]*(1-Table1[[#This Row],[cap_adjusted_discount]])</f>
        <v>30664.539359999999</v>
      </c>
      <c r="AM318" s="5">
        <f>Table1[[#This Row],[UnitPrice]]*Table1[[#This Row],[Quantity]]*(1-Table1[[#This Row],[DiscountPct]])</f>
        <v>25553.782800000001</v>
      </c>
      <c r="AN318" s="5">
        <f>Table1[[#This Row],[gross_revenue]]-Table1[[#This Row],[cost_of_goods]]</f>
        <v>13357.942800000001</v>
      </c>
      <c r="AO318" s="5">
        <f>Table1[[#This Row],[scenario_revenue]]-Table1[[#This Row],[Scenario_unit_cost]]</f>
        <v>14566.030559999997</v>
      </c>
      <c r="AP318" s="5">
        <f>IF(Table1[[#This Row],[gross_revenue]]=0,0,Table1[[#This Row],[gross_profit]]/Table1[[#This Row],[gross_revenue]])</f>
        <v>0.52273837124419797</v>
      </c>
    </row>
    <row r="319" spans="1:42" x14ac:dyDescent="0.35">
      <c r="A319" t="s">
        <v>461</v>
      </c>
      <c r="B319" t="str">
        <f>_xlfn.TEXTAFTER(Table1[[#This Row],[OrderID]],"-",2)</f>
        <v>473192</v>
      </c>
      <c r="C319">
        <f>YEAR(Table1[[#This Row],[OrderDate]])</f>
        <v>2025</v>
      </c>
      <c r="D319" s="9">
        <f>_xlfn.MINIFS(F:F,P:P,Table1[[#This Row],[Country]])</f>
        <v>44933</v>
      </c>
      <c r="E319" s="7">
        <f>DATEDIF(Table1[[#This Row],[first_time_orders]],Table1[[#This Row],[OrderDate]],"m")</f>
        <v>26</v>
      </c>
      <c r="F319" s="9">
        <v>45746</v>
      </c>
      <c r="G319" s="2" t="str">
        <f>TEXT(Table1[[#This Row],[OrderDate]],"MMM-YYYY")</f>
        <v>Mar-2025</v>
      </c>
      <c r="H319" s="7">
        <f>MONTH(Table1[[#This Row],[OrderDate]])</f>
        <v>3</v>
      </c>
      <c r="I319" s="7" t="str">
        <f>"Q"&amp;ROUNDUP(Table1[[#This Row],[months]]/3,0)&amp;"-"&amp;Table1[[#This Row],[order_year]]</f>
        <v>Q1-2025</v>
      </c>
      <c r="J319" s="7">
        <f>Table1[[#This Row],[RequiredDate]]-Table1[[#This Row],[OrderDate]]</f>
        <v>30</v>
      </c>
      <c r="K319" s="7">
        <f>IF(Table1[[#This Row],[lead_time]]&lt;0,MEDIAN(J:J),Table1[[#This Row],[lead_time]])</f>
        <v>30</v>
      </c>
      <c r="L319" s="7">
        <f>IF(Table1[[#This Row],[adj_lead_time]]&lt;=7,1,0)</f>
        <v>0</v>
      </c>
      <c r="M319" s="9">
        <v>45776</v>
      </c>
      <c r="N319" s="9">
        <f>IF(Table1[[#This Row],[lead_time]]&lt;0,(Table1[[#This Row],[OrderDate]]+Table1[[#This Row],[adj_lead_time]]),Table1[[#This Row],[RequiredDate]])</f>
        <v>45776</v>
      </c>
      <c r="O319" t="s">
        <v>646</v>
      </c>
      <c r="P319" t="s">
        <v>661</v>
      </c>
      <c r="Q319" t="s">
        <v>687</v>
      </c>
      <c r="R319" t="s">
        <v>704</v>
      </c>
      <c r="S319" t="s">
        <v>709</v>
      </c>
      <c r="T319" t="s">
        <v>713</v>
      </c>
      <c r="U319" t="s">
        <v>732</v>
      </c>
      <c r="V319" t="s">
        <v>1180</v>
      </c>
      <c r="W319">
        <v>194.6</v>
      </c>
      <c r="X319">
        <f>Table1[[#This Row],[UnitCost]]*(1+'scenario modeling'!$B$3)</f>
        <v>214.06</v>
      </c>
      <c r="Y319">
        <v>314.87</v>
      </c>
      <c r="Z319" t="str">
        <f>IF(Table1[[#This Row],[UnitPrice]]&lt;=Quantiles!$B$2,Quantiles!$A$2,IF(Table1[[#This Row],[UnitPrice]]&lt;=Quantiles!$B$3,Quantiles!$A$3,Quantiles!$A$4))</f>
        <v>Low</v>
      </c>
      <c r="AA319">
        <v>0.29299999999999998</v>
      </c>
      <c r="AB319" s="5">
        <f>MIN(Table1[[#This Row],[DiscountPct]],'scenario modeling'!$B$2)</f>
        <v>0.1</v>
      </c>
      <c r="AC319" t="str">
        <f>IF(Table1[[#This Row],[DiscountPct]]&gt;0.3, "&gt;0.3","")</f>
        <v/>
      </c>
      <c r="AD319">
        <v>25</v>
      </c>
      <c r="AE319">
        <f>Table1[[#This Row],[Quantity]]*(1+'scenario modeling'!$B$4)</f>
        <v>30</v>
      </c>
      <c r="AF319">
        <f>Table1[[#This Row],[UnitCost]]*Table1[[#This Row],[Quantity]]</f>
        <v>4865</v>
      </c>
      <c r="AG319">
        <f>SUMIF($U:U,Table1[[#This Row],[ProductCategory]],$AM:AM)</f>
        <v>1549460.0077899997</v>
      </c>
      <c r="AH319">
        <f>SUMIFS($AM$2:AM319,$U$2:U319,U319)</f>
        <v>961389.04604999989</v>
      </c>
      <c r="AI319" s="5">
        <f>Table1[[#This Row],[Cumulative_revenue]]/Table1[[#This Row],[Category_revenue]]</f>
        <v>0.62046715708476563</v>
      </c>
      <c r="AJ319" t="str">
        <f>IF(Table1[[#This Row],[cumulative_pct]]&lt;=0.8,"A",IF(Table1[[#This Row],[cumulative_pct]]&lt;=0.95,"B","C"))</f>
        <v>A</v>
      </c>
      <c r="AK319">
        <f>Table1[[#This Row],[adj_unit_cost]]*Table1[[#This Row],[scenario_quantity]]</f>
        <v>6421.8</v>
      </c>
      <c r="AL319" s="5">
        <f>Table1[[#This Row],[UnitPrice]]*Table1[[#This Row],[scenario_quantity]]*(1-Table1[[#This Row],[cap_adjusted_discount]])</f>
        <v>8501.49</v>
      </c>
      <c r="AM319" s="5">
        <f>Table1[[#This Row],[UnitPrice]]*Table1[[#This Row],[Quantity]]*(1-Table1[[#This Row],[DiscountPct]])</f>
        <v>5565.3272500000003</v>
      </c>
      <c r="AN319" s="5">
        <f>Table1[[#This Row],[gross_revenue]]-Table1[[#This Row],[cost_of_goods]]</f>
        <v>700.32725000000028</v>
      </c>
      <c r="AO319" s="5">
        <f>Table1[[#This Row],[scenario_revenue]]-Table1[[#This Row],[Scenario_unit_cost]]</f>
        <v>2079.6899999999996</v>
      </c>
      <c r="AP319" s="5">
        <f>IF(Table1[[#This Row],[gross_revenue]]=0,0,Table1[[#This Row],[gross_profit]]/Table1[[#This Row],[gross_revenue]])</f>
        <v>0.1258375686712763</v>
      </c>
    </row>
    <row r="320" spans="1:42" x14ac:dyDescent="0.35">
      <c r="A320" t="s">
        <v>70</v>
      </c>
      <c r="B320" t="str">
        <f>_xlfn.TEXTAFTER(Table1[[#This Row],[OrderID]],"-",2)</f>
        <v>765220</v>
      </c>
      <c r="C320">
        <f>YEAR(Table1[[#This Row],[OrderDate]])</f>
        <v>2025</v>
      </c>
      <c r="D320" s="9">
        <f>_xlfn.MINIFS(F:F,P:P,Table1[[#This Row],[Country]])</f>
        <v>44955</v>
      </c>
      <c r="E320" s="7">
        <f>DATEDIF(Table1[[#This Row],[first_time_orders]],Table1[[#This Row],[OrderDate]],"m")</f>
        <v>26</v>
      </c>
      <c r="F320" s="9">
        <v>45753</v>
      </c>
      <c r="G320" s="2" t="str">
        <f>TEXT(Table1[[#This Row],[OrderDate]],"MMM-YYYY")</f>
        <v>Apr-2025</v>
      </c>
      <c r="H320" s="7">
        <f>MONTH(Table1[[#This Row],[OrderDate]])</f>
        <v>4</v>
      </c>
      <c r="I320" s="7" t="str">
        <f>"Q"&amp;ROUNDUP(Table1[[#This Row],[months]]/3,0)&amp;"-"&amp;Table1[[#This Row],[order_year]]</f>
        <v>Q2-2025</v>
      </c>
      <c r="J320" s="7">
        <f>Table1[[#This Row],[RequiredDate]]-Table1[[#This Row],[OrderDate]]</f>
        <v>24</v>
      </c>
      <c r="K320" s="7">
        <f>IF(Table1[[#This Row],[lead_time]]&lt;0,MEDIAN(J:J),Table1[[#This Row],[lead_time]])</f>
        <v>24</v>
      </c>
      <c r="L320" s="7">
        <f>IF(Table1[[#This Row],[adj_lead_time]]&lt;=7,1,0)</f>
        <v>0</v>
      </c>
      <c r="M320" s="9">
        <v>45777</v>
      </c>
      <c r="N320" s="9">
        <f>IF(Table1[[#This Row],[lead_time]]&lt;0,(Table1[[#This Row],[OrderDate]]+Table1[[#This Row],[adj_lead_time]]),Table1[[#This Row],[RequiredDate]])</f>
        <v>45777</v>
      </c>
      <c r="O320" t="s">
        <v>648</v>
      </c>
      <c r="P320" t="s">
        <v>655</v>
      </c>
      <c r="Q320" t="s">
        <v>672</v>
      </c>
      <c r="R320" t="s">
        <v>702</v>
      </c>
      <c r="S320" t="s">
        <v>708</v>
      </c>
      <c r="T320" t="s">
        <v>723</v>
      </c>
      <c r="U320" t="s">
        <v>732</v>
      </c>
      <c r="V320" t="s">
        <v>789</v>
      </c>
      <c r="W320">
        <v>855.78</v>
      </c>
      <c r="X320">
        <f>Table1[[#This Row],[UnitCost]]*(1+'scenario modeling'!$B$3)</f>
        <v>941.35800000000006</v>
      </c>
      <c r="Y320">
        <v>977.38</v>
      </c>
      <c r="Z320" t="str">
        <f>IF(Table1[[#This Row],[UnitPrice]]&lt;=Quantiles!$B$2,Quantiles!$A$2,IF(Table1[[#This Row],[UnitPrice]]&lt;=Quantiles!$B$3,Quantiles!$A$3,Quantiles!$A$4))</f>
        <v>Medium</v>
      </c>
      <c r="AA320">
        <v>0.14699999999999999</v>
      </c>
      <c r="AB320" s="5">
        <f>MIN(Table1[[#This Row],[DiscountPct]],'scenario modeling'!$B$2)</f>
        <v>0.1</v>
      </c>
      <c r="AC320" t="str">
        <f>IF(Table1[[#This Row],[DiscountPct]]&gt;0.3, "&gt;0.3","")</f>
        <v/>
      </c>
      <c r="AD320">
        <v>38</v>
      </c>
      <c r="AE320">
        <f>Table1[[#This Row],[Quantity]]*(1+'scenario modeling'!$B$4)</f>
        <v>45.6</v>
      </c>
      <c r="AF320">
        <f>Table1[[#This Row],[UnitCost]]*Table1[[#This Row],[Quantity]]</f>
        <v>32519.64</v>
      </c>
      <c r="AG320">
        <f>SUMIF($U:U,Table1[[#This Row],[ProductCategory]],$AM:AM)</f>
        <v>1549460.0077899997</v>
      </c>
      <c r="AH320">
        <f>SUMIFS($AM$2:AM320,$U$2:U320,U320)</f>
        <v>993069.84136999992</v>
      </c>
      <c r="AI320" s="5">
        <f>Table1[[#This Row],[Cumulative_revenue]]/Table1[[#This Row],[Category_revenue]]</f>
        <v>0.64091350301220029</v>
      </c>
      <c r="AJ320" t="str">
        <f>IF(Table1[[#This Row],[cumulative_pct]]&lt;=0.8,"A",IF(Table1[[#This Row],[cumulative_pct]]&lt;=0.95,"B","C"))</f>
        <v>A</v>
      </c>
      <c r="AK320">
        <f>Table1[[#This Row],[adj_unit_cost]]*Table1[[#This Row],[scenario_quantity]]</f>
        <v>42925.924800000001</v>
      </c>
      <c r="AL320" s="5">
        <f>Table1[[#This Row],[UnitPrice]]*Table1[[#This Row],[scenario_quantity]]*(1-Table1[[#This Row],[cap_adjusted_discount]])</f>
        <v>40111.675199999998</v>
      </c>
      <c r="AM320" s="5">
        <f>Table1[[#This Row],[UnitPrice]]*Table1[[#This Row],[Quantity]]*(1-Table1[[#This Row],[DiscountPct]])</f>
        <v>31680.795320000001</v>
      </c>
      <c r="AN320" s="5">
        <f>Table1[[#This Row],[gross_revenue]]-Table1[[#This Row],[cost_of_goods]]</f>
        <v>-838.84467999999833</v>
      </c>
      <c r="AO320" s="5">
        <f>Table1[[#This Row],[scenario_revenue]]-Table1[[#This Row],[Scenario_unit_cost]]</f>
        <v>-2814.2496000000028</v>
      </c>
      <c r="AP320" s="5">
        <f>IF(Table1[[#This Row],[gross_revenue]]=0,0,Table1[[#This Row],[gross_profit]]/Table1[[#This Row],[gross_revenue]])</f>
        <v>-2.6478018355506307E-2</v>
      </c>
    </row>
    <row r="321" spans="1:42" x14ac:dyDescent="0.35">
      <c r="A321" t="s">
        <v>332</v>
      </c>
      <c r="B321" t="str">
        <f>_xlfn.TEXTAFTER(Table1[[#This Row],[OrderID]],"-",2)</f>
        <v>861401</v>
      </c>
      <c r="C321">
        <f>YEAR(Table1[[#This Row],[OrderDate]])</f>
        <v>2025</v>
      </c>
      <c r="D321" s="9">
        <f>_xlfn.MINIFS(F:F,P:P,Table1[[#This Row],[Country]])</f>
        <v>44939</v>
      </c>
      <c r="E321" s="7">
        <f>DATEDIF(Table1[[#This Row],[first_time_orders]],Table1[[#This Row],[OrderDate]],"m")</f>
        <v>26</v>
      </c>
      <c r="F321" s="9">
        <v>45748</v>
      </c>
      <c r="G321" s="2" t="str">
        <f>TEXT(Table1[[#This Row],[OrderDate]],"MMM-YYYY")</f>
        <v>Apr-2025</v>
      </c>
      <c r="H321" s="7">
        <f>MONTH(Table1[[#This Row],[OrderDate]])</f>
        <v>4</v>
      </c>
      <c r="I321" s="7" t="str">
        <f>"Q"&amp;ROUNDUP(Table1[[#This Row],[months]]/3,0)&amp;"-"&amp;Table1[[#This Row],[order_year]]</f>
        <v>Q2-2025</v>
      </c>
      <c r="J321" s="7">
        <f>Table1[[#This Row],[RequiredDate]]-Table1[[#This Row],[OrderDate]]</f>
        <v>26</v>
      </c>
      <c r="K321" s="7">
        <f>IF(Table1[[#This Row],[lead_time]]&lt;0,MEDIAN(J:J),Table1[[#This Row],[lead_time]])</f>
        <v>26</v>
      </c>
      <c r="L321" s="7">
        <f>IF(Table1[[#This Row],[adj_lead_time]]&lt;=7,1,0)</f>
        <v>0</v>
      </c>
      <c r="M321" s="9">
        <v>45774</v>
      </c>
      <c r="N321" s="9">
        <f>IF(Table1[[#This Row],[lead_time]]&lt;0,(Table1[[#This Row],[OrderDate]]+Table1[[#This Row],[adj_lead_time]]),Table1[[#This Row],[RequiredDate]])</f>
        <v>45774</v>
      </c>
      <c r="O321" t="s">
        <v>648</v>
      </c>
      <c r="P321" t="s">
        <v>660</v>
      </c>
      <c r="Q321" t="s">
        <v>686</v>
      </c>
      <c r="R321" t="s">
        <v>701</v>
      </c>
      <c r="S321" t="s">
        <v>711</v>
      </c>
      <c r="T321" t="s">
        <v>714</v>
      </c>
      <c r="U321" t="s">
        <v>732</v>
      </c>
      <c r="V321" t="s">
        <v>1052</v>
      </c>
      <c r="W321">
        <v>156.55000000000001</v>
      </c>
      <c r="X321">
        <f>Table1[[#This Row],[UnitCost]]*(1+'scenario modeling'!$B$3)</f>
        <v>172.20500000000001</v>
      </c>
      <c r="Y321">
        <v>227.45</v>
      </c>
      <c r="Z321" t="str">
        <f>IF(Table1[[#This Row],[UnitPrice]]&lt;=Quantiles!$B$2,Quantiles!$A$2,IF(Table1[[#This Row],[UnitPrice]]&lt;=Quantiles!$B$3,Quantiles!$A$3,Quantiles!$A$4))</f>
        <v>Low</v>
      </c>
      <c r="AA321">
        <v>1.4E-2</v>
      </c>
      <c r="AB321" s="5">
        <f>MIN(Table1[[#This Row],[DiscountPct]],'scenario modeling'!$B$2)</f>
        <v>1.4E-2</v>
      </c>
      <c r="AC321" t="str">
        <f>IF(Table1[[#This Row],[DiscountPct]]&gt;0.3, "&gt;0.3","")</f>
        <v/>
      </c>
      <c r="AD321">
        <v>13</v>
      </c>
      <c r="AE321">
        <f>Table1[[#This Row],[Quantity]]*(1+'scenario modeling'!$B$4)</f>
        <v>15.6</v>
      </c>
      <c r="AF321">
        <f>Table1[[#This Row],[UnitCost]]*Table1[[#This Row],[Quantity]]</f>
        <v>2035.15</v>
      </c>
      <c r="AG321">
        <f>SUMIF($U:U,Table1[[#This Row],[ProductCategory]],$AM:AM)</f>
        <v>1549460.0077899997</v>
      </c>
      <c r="AH321">
        <f>SUMIFS($AM$2:AM321,$U$2:U321,U321)</f>
        <v>995985.2954699999</v>
      </c>
      <c r="AI321" s="5">
        <f>Table1[[#This Row],[Cumulative_revenue]]/Table1[[#This Row],[Category_revenue]]</f>
        <v>0.64279509665472245</v>
      </c>
      <c r="AJ321" t="str">
        <f>IF(Table1[[#This Row],[cumulative_pct]]&lt;=0.8,"A",IF(Table1[[#This Row],[cumulative_pct]]&lt;=0.95,"B","C"))</f>
        <v>A</v>
      </c>
      <c r="AK321">
        <f>Table1[[#This Row],[adj_unit_cost]]*Table1[[#This Row],[scenario_quantity]]</f>
        <v>2686.3980000000001</v>
      </c>
      <c r="AL321" s="5">
        <f>Table1[[#This Row],[UnitPrice]]*Table1[[#This Row],[scenario_quantity]]*(1-Table1[[#This Row],[cap_adjusted_discount]])</f>
        <v>3498.5449199999998</v>
      </c>
      <c r="AM321" s="5">
        <f>Table1[[#This Row],[UnitPrice]]*Table1[[#This Row],[Quantity]]*(1-Table1[[#This Row],[DiscountPct]])</f>
        <v>2915.4540999999999</v>
      </c>
      <c r="AN321" s="5">
        <f>Table1[[#This Row],[gross_revenue]]-Table1[[#This Row],[cost_of_goods]]</f>
        <v>880.30409999999983</v>
      </c>
      <c r="AO321" s="5">
        <f>Table1[[#This Row],[scenario_revenue]]-Table1[[#This Row],[Scenario_unit_cost]]</f>
        <v>812.14691999999968</v>
      </c>
      <c r="AP321" s="5">
        <f>IF(Table1[[#This Row],[gross_revenue]]=0,0,Table1[[#This Row],[gross_profit]]/Table1[[#This Row],[gross_revenue]])</f>
        <v>0.3019440779396938</v>
      </c>
    </row>
    <row r="322" spans="1:42" x14ac:dyDescent="0.35">
      <c r="A322" t="s">
        <v>319</v>
      </c>
      <c r="B322" t="str">
        <f>_xlfn.TEXTAFTER(Table1[[#This Row],[OrderID]],"-",2)</f>
        <v>138578</v>
      </c>
      <c r="C322">
        <f>YEAR(Table1[[#This Row],[OrderDate]])</f>
        <v>2025</v>
      </c>
      <c r="D322" s="9">
        <f>_xlfn.MINIFS(F:F,P:P,Table1[[#This Row],[Country]])</f>
        <v>44936</v>
      </c>
      <c r="E322" s="7">
        <f>DATEDIF(Table1[[#This Row],[first_time_orders]],Table1[[#This Row],[OrderDate]],"m")</f>
        <v>26</v>
      </c>
      <c r="F322" s="9">
        <v>45756</v>
      </c>
      <c r="G322" s="2" t="str">
        <f>TEXT(Table1[[#This Row],[OrderDate]],"MMM-YYYY")</f>
        <v>Apr-2025</v>
      </c>
      <c r="H322" s="7">
        <f>MONTH(Table1[[#This Row],[OrderDate]])</f>
        <v>4</v>
      </c>
      <c r="I322" s="7" t="str">
        <f>"Q"&amp;ROUNDUP(Table1[[#This Row],[months]]/3,0)&amp;"-"&amp;Table1[[#This Row],[order_year]]</f>
        <v>Q2-2025</v>
      </c>
      <c r="J322" s="7">
        <f>Table1[[#This Row],[RequiredDate]]-Table1[[#This Row],[OrderDate]]</f>
        <v>3</v>
      </c>
      <c r="K322" s="7">
        <f>IF(Table1[[#This Row],[lead_time]]&lt;0,MEDIAN(J:J),Table1[[#This Row],[lead_time]])</f>
        <v>3</v>
      </c>
      <c r="L322" s="7">
        <f>IF(Table1[[#This Row],[adj_lead_time]]&lt;=7,1,0)</f>
        <v>1</v>
      </c>
      <c r="M322" s="9">
        <v>45759</v>
      </c>
      <c r="N322" s="9">
        <f>IF(Table1[[#This Row],[lead_time]]&lt;0,(Table1[[#This Row],[OrderDate]]+Table1[[#This Row],[adj_lead_time]]),Table1[[#This Row],[RequiredDate]])</f>
        <v>45759</v>
      </c>
      <c r="O322" t="s">
        <v>649</v>
      </c>
      <c r="P322" t="s">
        <v>657</v>
      </c>
      <c r="Q322" t="s">
        <v>679</v>
      </c>
      <c r="R322" t="s">
        <v>705</v>
      </c>
      <c r="S322" t="s">
        <v>710</v>
      </c>
      <c r="T322" t="s">
        <v>722</v>
      </c>
      <c r="U322" t="s">
        <v>732</v>
      </c>
      <c r="V322" t="s">
        <v>1039</v>
      </c>
      <c r="W322">
        <v>86.68</v>
      </c>
      <c r="X322">
        <f>Table1[[#This Row],[UnitCost]]*(1+'scenario modeling'!$B$3)</f>
        <v>95.348000000000013</v>
      </c>
      <c r="Y322">
        <v>213.32</v>
      </c>
      <c r="Z322" t="str">
        <f>IF(Table1[[#This Row],[UnitPrice]]&lt;=Quantiles!$B$2,Quantiles!$A$2,IF(Table1[[#This Row],[UnitPrice]]&lt;=Quantiles!$B$3,Quantiles!$A$3,Quantiles!$A$4))</f>
        <v>Low</v>
      </c>
      <c r="AA322">
        <v>3.7999999999999999E-2</v>
      </c>
      <c r="AB322" s="5">
        <f>MIN(Table1[[#This Row],[DiscountPct]],'scenario modeling'!$B$2)</f>
        <v>3.7999999999999999E-2</v>
      </c>
      <c r="AC322" t="str">
        <f>IF(Table1[[#This Row],[DiscountPct]]&gt;0.3, "&gt;0.3","")</f>
        <v/>
      </c>
      <c r="AD322">
        <v>8</v>
      </c>
      <c r="AE322">
        <f>Table1[[#This Row],[Quantity]]*(1+'scenario modeling'!$B$4)</f>
        <v>9.6</v>
      </c>
      <c r="AF322">
        <f>Table1[[#This Row],[UnitCost]]*Table1[[#This Row],[Quantity]]</f>
        <v>693.44</v>
      </c>
      <c r="AG322">
        <f>SUMIF($U:U,Table1[[#This Row],[ProductCategory]],$AM:AM)</f>
        <v>1549460.0077899997</v>
      </c>
      <c r="AH322">
        <f>SUMIFS($AM$2:AM322,$U$2:U322,U322)</f>
        <v>997627.00618999987</v>
      </c>
      <c r="AI322" s="5">
        <f>Table1[[#This Row],[Cumulative_revenue]]/Table1[[#This Row],[Category_revenue]]</f>
        <v>0.64385463398498344</v>
      </c>
      <c r="AJ322" t="str">
        <f>IF(Table1[[#This Row],[cumulative_pct]]&lt;=0.8,"A",IF(Table1[[#This Row],[cumulative_pct]]&lt;=0.95,"B","C"))</f>
        <v>A</v>
      </c>
      <c r="AK322">
        <f>Table1[[#This Row],[adj_unit_cost]]*Table1[[#This Row],[scenario_quantity]]</f>
        <v>915.34080000000006</v>
      </c>
      <c r="AL322" s="5">
        <f>Table1[[#This Row],[UnitPrice]]*Table1[[#This Row],[scenario_quantity]]*(1-Table1[[#This Row],[cap_adjusted_discount]])</f>
        <v>1970.0528639999998</v>
      </c>
      <c r="AM322" s="5">
        <f>Table1[[#This Row],[UnitPrice]]*Table1[[#This Row],[Quantity]]*(1-Table1[[#This Row],[DiscountPct]])</f>
        <v>1641.7107199999998</v>
      </c>
      <c r="AN322" s="5">
        <f>Table1[[#This Row],[gross_revenue]]-Table1[[#This Row],[cost_of_goods]]</f>
        <v>948.27071999999976</v>
      </c>
      <c r="AO322" s="5">
        <f>Table1[[#This Row],[scenario_revenue]]-Table1[[#This Row],[Scenario_unit_cost]]</f>
        <v>1054.7120639999998</v>
      </c>
      <c r="AP322" s="5">
        <f>IF(Table1[[#This Row],[gross_revenue]]=0,0,Table1[[#This Row],[gross_profit]]/Table1[[#This Row],[gross_revenue]])</f>
        <v>0.57761133459614611</v>
      </c>
    </row>
    <row r="323" spans="1:42" x14ac:dyDescent="0.35">
      <c r="A323" t="s">
        <v>190</v>
      </c>
      <c r="B323" t="str">
        <f>_xlfn.TEXTAFTER(Table1[[#This Row],[OrderID]],"-",2)</f>
        <v>845715</v>
      </c>
      <c r="C323">
        <f>YEAR(Table1[[#This Row],[OrderDate]])</f>
        <v>2025</v>
      </c>
      <c r="D323" s="9">
        <f>_xlfn.MINIFS(F:F,P:P,Table1[[#This Row],[Country]])</f>
        <v>44945</v>
      </c>
      <c r="E323" s="7">
        <f>DATEDIF(Table1[[#This Row],[first_time_orders]],Table1[[#This Row],[OrderDate]],"m")</f>
        <v>26</v>
      </c>
      <c r="F323" s="9">
        <v>45761</v>
      </c>
      <c r="G323" s="2" t="str">
        <f>TEXT(Table1[[#This Row],[OrderDate]],"MMM-YYYY")</f>
        <v>Apr-2025</v>
      </c>
      <c r="H323" s="7">
        <f>MONTH(Table1[[#This Row],[OrderDate]])</f>
        <v>4</v>
      </c>
      <c r="I323" s="7" t="str">
        <f>"Q"&amp;ROUNDUP(Table1[[#This Row],[months]]/3,0)&amp;"-"&amp;Table1[[#This Row],[order_year]]</f>
        <v>Q2-2025</v>
      </c>
      <c r="J323" s="7">
        <f>Table1[[#This Row],[RequiredDate]]-Table1[[#This Row],[OrderDate]]</f>
        <v>20</v>
      </c>
      <c r="K323" s="7">
        <f>IF(Table1[[#This Row],[lead_time]]&lt;0,MEDIAN(J:J),Table1[[#This Row],[lead_time]])</f>
        <v>20</v>
      </c>
      <c r="L323" s="7">
        <f>IF(Table1[[#This Row],[adj_lead_time]]&lt;=7,1,0)</f>
        <v>0</v>
      </c>
      <c r="M323" s="9">
        <v>45781</v>
      </c>
      <c r="N323" s="9">
        <f>IF(Table1[[#This Row],[lead_time]]&lt;0,(Table1[[#This Row],[OrderDate]]+Table1[[#This Row],[adj_lead_time]]),Table1[[#This Row],[RequiredDate]])</f>
        <v>45781</v>
      </c>
      <c r="O323" t="s">
        <v>649</v>
      </c>
      <c r="P323" t="s">
        <v>658</v>
      </c>
      <c r="Q323" t="s">
        <v>674</v>
      </c>
      <c r="R323" t="s">
        <v>706</v>
      </c>
      <c r="S323" t="s">
        <v>709</v>
      </c>
      <c r="T323" t="s">
        <v>723</v>
      </c>
      <c r="U323" t="s">
        <v>732</v>
      </c>
      <c r="V323" t="s">
        <v>909</v>
      </c>
      <c r="W323">
        <v>1413.87</v>
      </c>
      <c r="X323">
        <f>Table1[[#This Row],[UnitCost]]*(1+'scenario modeling'!$B$3)</f>
        <v>1555.2570000000001</v>
      </c>
      <c r="Y323">
        <v>3275</v>
      </c>
      <c r="Z323" t="str">
        <f>IF(Table1[[#This Row],[UnitPrice]]&lt;=Quantiles!$B$2,Quantiles!$A$2,IF(Table1[[#This Row],[UnitPrice]]&lt;=Quantiles!$B$3,Quantiles!$A$3,Quantiles!$A$4))</f>
        <v>High</v>
      </c>
      <c r="AA323">
        <v>0.255</v>
      </c>
      <c r="AB323" s="5">
        <f>MIN(Table1[[#This Row],[DiscountPct]],'scenario modeling'!$B$2)</f>
        <v>0.1</v>
      </c>
      <c r="AC323" t="str">
        <f>IF(Table1[[#This Row],[DiscountPct]]&gt;0.3, "&gt;0.3","")</f>
        <v/>
      </c>
      <c r="AD323">
        <v>38</v>
      </c>
      <c r="AE323">
        <f>Table1[[#This Row],[Quantity]]*(1+'scenario modeling'!$B$4)</f>
        <v>45.6</v>
      </c>
      <c r="AF323">
        <f>Table1[[#This Row],[UnitCost]]*Table1[[#This Row],[Quantity]]</f>
        <v>53727.06</v>
      </c>
      <c r="AG323">
        <f>SUMIF($U:U,Table1[[#This Row],[ProductCategory]],$AM:AM)</f>
        <v>1549460.0077899997</v>
      </c>
      <c r="AH323">
        <f>SUMIFS($AM$2:AM323,$U$2:U323,U323)</f>
        <v>1090342.2561899999</v>
      </c>
      <c r="AI323" s="5">
        <f>Table1[[#This Row],[Cumulative_revenue]]/Table1[[#This Row],[Category_revenue]]</f>
        <v>0.70369177049310161</v>
      </c>
      <c r="AJ323" t="str">
        <f>IF(Table1[[#This Row],[cumulative_pct]]&lt;=0.8,"A",IF(Table1[[#This Row],[cumulative_pct]]&lt;=0.95,"B","C"))</f>
        <v>A</v>
      </c>
      <c r="AK323">
        <f>Table1[[#This Row],[adj_unit_cost]]*Table1[[#This Row],[scenario_quantity]]</f>
        <v>70919.719200000007</v>
      </c>
      <c r="AL323" s="5">
        <f>Table1[[#This Row],[UnitPrice]]*Table1[[#This Row],[scenario_quantity]]*(1-Table1[[#This Row],[cap_adjusted_discount]])</f>
        <v>134406</v>
      </c>
      <c r="AM323" s="5">
        <f>Table1[[#This Row],[UnitPrice]]*Table1[[#This Row],[Quantity]]*(1-Table1[[#This Row],[DiscountPct]])</f>
        <v>92715.25</v>
      </c>
      <c r="AN323" s="5">
        <f>Table1[[#This Row],[gross_revenue]]-Table1[[#This Row],[cost_of_goods]]</f>
        <v>38988.19</v>
      </c>
      <c r="AO323" s="5">
        <f>Table1[[#This Row],[scenario_revenue]]-Table1[[#This Row],[Scenario_unit_cost]]</f>
        <v>63486.280799999993</v>
      </c>
      <c r="AP323" s="5">
        <f>IF(Table1[[#This Row],[gross_revenue]]=0,0,Table1[[#This Row],[gross_profit]]/Table1[[#This Row],[gross_revenue]])</f>
        <v>0.42051539525590453</v>
      </c>
    </row>
    <row r="324" spans="1:42" x14ac:dyDescent="0.35">
      <c r="A324" t="s">
        <v>342</v>
      </c>
      <c r="B324" t="str">
        <f>_xlfn.TEXTAFTER(Table1[[#This Row],[OrderID]],"-",2)</f>
        <v>779530</v>
      </c>
      <c r="C324">
        <f>YEAR(Table1[[#This Row],[OrderDate]])</f>
        <v>2025</v>
      </c>
      <c r="D324" s="9">
        <f>_xlfn.MINIFS(F:F,P:P,Table1[[#This Row],[Country]])</f>
        <v>44955</v>
      </c>
      <c r="E324" s="7">
        <f>DATEDIF(Table1[[#This Row],[first_time_orders]],Table1[[#This Row],[OrderDate]],"m")</f>
        <v>27</v>
      </c>
      <c r="F324" s="9">
        <v>45796</v>
      </c>
      <c r="G324" s="2" t="str">
        <f>TEXT(Table1[[#This Row],[OrderDate]],"MMM-YYYY")</f>
        <v>May-2025</v>
      </c>
      <c r="H324" s="7">
        <f>MONTH(Table1[[#This Row],[OrderDate]])</f>
        <v>5</v>
      </c>
      <c r="I324" s="7" t="str">
        <f>"Q"&amp;ROUNDUP(Table1[[#This Row],[months]]/3,0)&amp;"-"&amp;Table1[[#This Row],[order_year]]</f>
        <v>Q2-2025</v>
      </c>
      <c r="J324" s="7">
        <f>Table1[[#This Row],[RequiredDate]]-Table1[[#This Row],[OrderDate]]</f>
        <v>-2</v>
      </c>
      <c r="K324" s="7">
        <f>IF(Table1[[#This Row],[lead_time]]&lt;0,MEDIAN(J:J),Table1[[#This Row],[lead_time]])</f>
        <v>15</v>
      </c>
      <c r="L324" s="7">
        <f>IF(Table1[[#This Row],[adj_lead_time]]&lt;=7,1,0)</f>
        <v>0</v>
      </c>
      <c r="M324" s="9">
        <v>45794</v>
      </c>
      <c r="N324" s="9">
        <f>IF(Table1[[#This Row],[lead_time]]&lt;0,(Table1[[#This Row],[OrderDate]]+Table1[[#This Row],[adj_lead_time]]),Table1[[#This Row],[RequiredDate]])</f>
        <v>45811</v>
      </c>
      <c r="O324" t="s">
        <v>648</v>
      </c>
      <c r="P324" t="s">
        <v>655</v>
      </c>
      <c r="Q324" t="s">
        <v>670</v>
      </c>
      <c r="R324" t="s">
        <v>705</v>
      </c>
      <c r="S324" t="s">
        <v>710</v>
      </c>
      <c r="T324" t="s">
        <v>716</v>
      </c>
      <c r="U324" t="s">
        <v>732</v>
      </c>
      <c r="V324" t="s">
        <v>1062</v>
      </c>
      <c r="W324">
        <v>383.77</v>
      </c>
      <c r="X324">
        <f>Table1[[#This Row],[UnitCost]]*(1+'scenario modeling'!$B$3)</f>
        <v>422.14699999999999</v>
      </c>
      <c r="Y324">
        <v>952.56</v>
      </c>
      <c r="Z324" t="str">
        <f>IF(Table1[[#This Row],[UnitPrice]]&lt;=Quantiles!$B$2,Quantiles!$A$2,IF(Table1[[#This Row],[UnitPrice]]&lt;=Quantiles!$B$3,Quantiles!$A$3,Quantiles!$A$4))</f>
        <v>Medium</v>
      </c>
      <c r="AA324">
        <v>0.34599999999999997</v>
      </c>
      <c r="AB324" s="5">
        <f>MIN(Table1[[#This Row],[DiscountPct]],'scenario modeling'!$B$2)</f>
        <v>0.1</v>
      </c>
      <c r="AC324" t="str">
        <f>IF(Table1[[#This Row],[DiscountPct]]&gt;0.3, "&gt;0.3","")</f>
        <v>&gt;0.3</v>
      </c>
      <c r="AD324">
        <v>10</v>
      </c>
      <c r="AE324">
        <f>Table1[[#This Row],[Quantity]]*(1+'scenario modeling'!$B$4)</f>
        <v>12</v>
      </c>
      <c r="AF324">
        <f>Table1[[#This Row],[UnitCost]]*Table1[[#This Row],[Quantity]]</f>
        <v>3837.7</v>
      </c>
      <c r="AG324">
        <f>SUMIF($U:U,Table1[[#This Row],[ProductCategory]],$AM:AM)</f>
        <v>1549460.0077899997</v>
      </c>
      <c r="AH324">
        <f>SUMIFS($AM$2:AM324,$U$2:U324,U324)</f>
        <v>1096571.99859</v>
      </c>
      <c r="AI324" s="5">
        <f>Table1[[#This Row],[Cumulative_revenue]]/Table1[[#This Row],[Category_revenue]]</f>
        <v>0.70771235983950598</v>
      </c>
      <c r="AJ324" t="str">
        <f>IF(Table1[[#This Row],[cumulative_pct]]&lt;=0.8,"A",IF(Table1[[#This Row],[cumulative_pct]]&lt;=0.95,"B","C"))</f>
        <v>A</v>
      </c>
      <c r="AK324">
        <f>Table1[[#This Row],[adj_unit_cost]]*Table1[[#This Row],[scenario_quantity]]</f>
        <v>5065.7640000000001</v>
      </c>
      <c r="AL324" s="5">
        <f>Table1[[#This Row],[UnitPrice]]*Table1[[#This Row],[scenario_quantity]]*(1-Table1[[#This Row],[cap_adjusted_discount]])</f>
        <v>10287.647999999999</v>
      </c>
      <c r="AM324" s="5">
        <f>Table1[[#This Row],[UnitPrice]]*Table1[[#This Row],[Quantity]]*(1-Table1[[#This Row],[DiscountPct]])</f>
        <v>6229.7423999999992</v>
      </c>
      <c r="AN324" s="5">
        <f>Table1[[#This Row],[gross_revenue]]-Table1[[#This Row],[cost_of_goods]]</f>
        <v>2392.0423999999994</v>
      </c>
      <c r="AO324" s="5">
        <f>Table1[[#This Row],[scenario_revenue]]-Table1[[#This Row],[Scenario_unit_cost]]</f>
        <v>5221.8839999999991</v>
      </c>
      <c r="AP324" s="5">
        <f>IF(Table1[[#This Row],[gross_revenue]]=0,0,Table1[[#This Row],[gross_profit]]/Table1[[#This Row],[gross_revenue]])</f>
        <v>0.38397131797937578</v>
      </c>
    </row>
    <row r="325" spans="1:42" x14ac:dyDescent="0.35">
      <c r="A325" t="s">
        <v>98</v>
      </c>
      <c r="B325" t="str">
        <f>_xlfn.TEXTAFTER(Table1[[#This Row],[OrderID]],"-",2)</f>
        <v>488349</v>
      </c>
      <c r="C325">
        <f>YEAR(Table1[[#This Row],[OrderDate]])</f>
        <v>2025</v>
      </c>
      <c r="D325" s="9">
        <f>_xlfn.MINIFS(F:F,P:P,Table1[[#This Row],[Country]])</f>
        <v>44939</v>
      </c>
      <c r="E325" s="7">
        <f>DATEDIF(Table1[[#This Row],[first_time_orders]],Table1[[#This Row],[OrderDate]],"m")</f>
        <v>27</v>
      </c>
      <c r="F325" s="9">
        <v>45770</v>
      </c>
      <c r="G325" s="2" t="str">
        <f>TEXT(Table1[[#This Row],[OrderDate]],"MMM-YYYY")</f>
        <v>Apr-2025</v>
      </c>
      <c r="H325" s="7">
        <f>MONTH(Table1[[#This Row],[OrderDate]])</f>
        <v>4</v>
      </c>
      <c r="I325" s="7" t="str">
        <f>"Q"&amp;ROUNDUP(Table1[[#This Row],[months]]/3,0)&amp;"-"&amp;Table1[[#This Row],[order_year]]</f>
        <v>Q2-2025</v>
      </c>
      <c r="J325" s="7">
        <f>Table1[[#This Row],[RequiredDate]]-Table1[[#This Row],[OrderDate]]</f>
        <v>-1</v>
      </c>
      <c r="K325" s="7">
        <f>IF(Table1[[#This Row],[lead_time]]&lt;0,MEDIAN(J:J),Table1[[#This Row],[lead_time]])</f>
        <v>15</v>
      </c>
      <c r="L325" s="7">
        <f>IF(Table1[[#This Row],[adj_lead_time]]&lt;=7,1,0)</f>
        <v>0</v>
      </c>
      <c r="M325" s="9">
        <v>45769</v>
      </c>
      <c r="N325" s="9">
        <f>IF(Table1[[#This Row],[lead_time]]&lt;0,(Table1[[#This Row],[OrderDate]]+Table1[[#This Row],[adj_lead_time]]),Table1[[#This Row],[RequiredDate]])</f>
        <v>45785</v>
      </c>
      <c r="O325" t="s">
        <v>648</v>
      </c>
      <c r="P325" t="s">
        <v>660</v>
      </c>
      <c r="Q325" t="s">
        <v>686</v>
      </c>
      <c r="R325" t="s">
        <v>703</v>
      </c>
      <c r="S325" t="s">
        <v>710</v>
      </c>
      <c r="T325" t="s">
        <v>726</v>
      </c>
      <c r="U325" t="s">
        <v>732</v>
      </c>
      <c r="V325" t="s">
        <v>817</v>
      </c>
      <c r="W325">
        <v>23.24</v>
      </c>
      <c r="X325">
        <f>Table1[[#This Row],[UnitCost]]*(1+'scenario modeling'!$B$3)</f>
        <v>25.564</v>
      </c>
      <c r="Y325">
        <v>44.57</v>
      </c>
      <c r="Z325" t="str">
        <f>IF(Table1[[#This Row],[UnitPrice]]&lt;=Quantiles!$B$2,Quantiles!$A$2,IF(Table1[[#This Row],[UnitPrice]]&lt;=Quantiles!$B$3,Quantiles!$A$3,Quantiles!$A$4))</f>
        <v>Low</v>
      </c>
      <c r="AA325">
        <v>0.215</v>
      </c>
      <c r="AB325" s="5">
        <f>MIN(Table1[[#This Row],[DiscountPct]],'scenario modeling'!$B$2)</f>
        <v>0.1</v>
      </c>
      <c r="AC325" t="str">
        <f>IF(Table1[[#This Row],[DiscountPct]]&gt;0.3, "&gt;0.3","")</f>
        <v/>
      </c>
      <c r="AD325">
        <v>15</v>
      </c>
      <c r="AE325">
        <f>Table1[[#This Row],[Quantity]]*(1+'scenario modeling'!$B$4)</f>
        <v>18</v>
      </c>
      <c r="AF325">
        <f>Table1[[#This Row],[UnitCost]]*Table1[[#This Row],[Quantity]]</f>
        <v>348.59999999999997</v>
      </c>
      <c r="AG325">
        <f>SUMIF($U:U,Table1[[#This Row],[ProductCategory]],$AM:AM)</f>
        <v>1549460.0077899997</v>
      </c>
      <c r="AH325">
        <f>SUMIFS($AM$2:AM325,$U$2:U325,U325)</f>
        <v>1097096.8103400001</v>
      </c>
      <c r="AI325" s="5">
        <f>Table1[[#This Row],[Cumulative_revenue]]/Table1[[#This Row],[Category_revenue]]</f>
        <v>0.70805106606448853</v>
      </c>
      <c r="AJ325" t="str">
        <f>IF(Table1[[#This Row],[cumulative_pct]]&lt;=0.8,"A",IF(Table1[[#This Row],[cumulative_pct]]&lt;=0.95,"B","C"))</f>
        <v>A</v>
      </c>
      <c r="AK325">
        <f>Table1[[#This Row],[adj_unit_cost]]*Table1[[#This Row],[scenario_quantity]]</f>
        <v>460.15199999999999</v>
      </c>
      <c r="AL325" s="5">
        <f>Table1[[#This Row],[UnitPrice]]*Table1[[#This Row],[scenario_quantity]]*(1-Table1[[#This Row],[cap_adjusted_discount]])</f>
        <v>722.03399999999999</v>
      </c>
      <c r="AM325" s="5">
        <f>Table1[[#This Row],[UnitPrice]]*Table1[[#This Row],[Quantity]]*(1-Table1[[#This Row],[DiscountPct]])</f>
        <v>524.81174999999996</v>
      </c>
      <c r="AN325" s="5">
        <f>Table1[[#This Row],[gross_revenue]]-Table1[[#This Row],[cost_of_goods]]</f>
        <v>176.21174999999999</v>
      </c>
      <c r="AO325" s="5">
        <f>Table1[[#This Row],[scenario_revenue]]-Table1[[#This Row],[Scenario_unit_cost]]</f>
        <v>261.88200000000001</v>
      </c>
      <c r="AP325" s="5">
        <f>IF(Table1[[#This Row],[gross_revenue]]=0,0,Table1[[#This Row],[gross_profit]]/Table1[[#This Row],[gross_revenue]])</f>
        <v>0.33576182316802167</v>
      </c>
    </row>
    <row r="326" spans="1:42" x14ac:dyDescent="0.35">
      <c r="A326" t="s">
        <v>546</v>
      </c>
      <c r="B326" t="str">
        <f>_xlfn.TEXTAFTER(Table1[[#This Row],[OrderID]],"-",2)</f>
        <v>778145</v>
      </c>
      <c r="C326">
        <f>YEAR(Table1[[#This Row],[OrderDate]])</f>
        <v>2025</v>
      </c>
      <c r="D326" s="9">
        <f>_xlfn.MINIFS(F:F,P:P,Table1[[#This Row],[Country]])</f>
        <v>44936</v>
      </c>
      <c r="E326" s="7">
        <f>DATEDIF(Table1[[#This Row],[first_time_orders]],Table1[[#This Row],[OrderDate]],"m")</f>
        <v>27</v>
      </c>
      <c r="F326" s="9">
        <v>45769</v>
      </c>
      <c r="G326" s="2" t="str">
        <f>TEXT(Table1[[#This Row],[OrderDate]],"MMM-YYYY")</f>
        <v>Apr-2025</v>
      </c>
      <c r="H326" s="7">
        <f>MONTH(Table1[[#This Row],[OrderDate]])</f>
        <v>4</v>
      </c>
      <c r="I326" s="7" t="str">
        <f>"Q"&amp;ROUNDUP(Table1[[#This Row],[months]]/3,0)&amp;"-"&amp;Table1[[#This Row],[order_year]]</f>
        <v>Q2-2025</v>
      </c>
      <c r="J326" s="7">
        <f>Table1[[#This Row],[RequiredDate]]-Table1[[#This Row],[OrderDate]]</f>
        <v>20</v>
      </c>
      <c r="K326" s="7">
        <f>IF(Table1[[#This Row],[lead_time]]&lt;0,MEDIAN(J:J),Table1[[#This Row],[lead_time]])</f>
        <v>20</v>
      </c>
      <c r="L326" s="7">
        <f>IF(Table1[[#This Row],[adj_lead_time]]&lt;=7,1,0)</f>
        <v>0</v>
      </c>
      <c r="M326" s="9">
        <v>45789</v>
      </c>
      <c r="N326" s="9">
        <f>IF(Table1[[#This Row],[lead_time]]&lt;0,(Table1[[#This Row],[OrderDate]]+Table1[[#This Row],[adj_lead_time]]),Table1[[#This Row],[RequiredDate]])</f>
        <v>45789</v>
      </c>
      <c r="O326" t="s">
        <v>649</v>
      </c>
      <c r="P326" t="s">
        <v>657</v>
      </c>
      <c r="Q326" t="s">
        <v>679</v>
      </c>
      <c r="R326" t="s">
        <v>706</v>
      </c>
      <c r="S326" t="s">
        <v>709</v>
      </c>
      <c r="T326" t="s">
        <v>723</v>
      </c>
      <c r="U326" t="s">
        <v>732</v>
      </c>
      <c r="V326" t="s">
        <v>1265</v>
      </c>
      <c r="W326">
        <v>59.51</v>
      </c>
      <c r="X326">
        <f>Table1[[#This Row],[UnitCost]]*(1+'scenario modeling'!$B$3)</f>
        <v>65.460999999999999</v>
      </c>
      <c r="Y326">
        <v>67.040000000000006</v>
      </c>
      <c r="Z326" t="str">
        <f>IF(Table1[[#This Row],[UnitPrice]]&lt;=Quantiles!$B$2,Quantiles!$A$2,IF(Table1[[#This Row],[UnitPrice]]&lt;=Quantiles!$B$3,Quantiles!$A$3,Quantiles!$A$4))</f>
        <v>Low</v>
      </c>
      <c r="AA326">
        <v>0.114</v>
      </c>
      <c r="AB326" s="5">
        <f>MIN(Table1[[#This Row],[DiscountPct]],'scenario modeling'!$B$2)</f>
        <v>0.1</v>
      </c>
      <c r="AC326" t="str">
        <f>IF(Table1[[#This Row],[DiscountPct]]&gt;0.3, "&gt;0.3","")</f>
        <v/>
      </c>
      <c r="AD326">
        <v>9</v>
      </c>
      <c r="AE326">
        <f>Table1[[#This Row],[Quantity]]*(1+'scenario modeling'!$B$4)</f>
        <v>10.799999999999999</v>
      </c>
      <c r="AF326">
        <f>Table1[[#This Row],[UnitCost]]*Table1[[#This Row],[Quantity]]</f>
        <v>535.59</v>
      </c>
      <c r="AG326">
        <f>SUMIF($U:U,Table1[[#This Row],[ProductCategory]],$AM:AM)</f>
        <v>1549460.0077899997</v>
      </c>
      <c r="AH326">
        <f>SUMIFS($AM$2:AM326,$U$2:U326,U326)</f>
        <v>1097631.3873000001</v>
      </c>
      <c r="AI326" s="5">
        <f>Table1[[#This Row],[Cumulative_revenue]]/Table1[[#This Row],[Category_revenue]]</f>
        <v>0.70839607462057419</v>
      </c>
      <c r="AJ326" t="str">
        <f>IF(Table1[[#This Row],[cumulative_pct]]&lt;=0.8,"A",IF(Table1[[#This Row],[cumulative_pct]]&lt;=0.95,"B","C"))</f>
        <v>A</v>
      </c>
      <c r="AK326">
        <f>Table1[[#This Row],[adj_unit_cost]]*Table1[[#This Row],[scenario_quantity]]</f>
        <v>706.97879999999986</v>
      </c>
      <c r="AL326" s="5">
        <f>Table1[[#This Row],[UnitPrice]]*Table1[[#This Row],[scenario_quantity]]*(1-Table1[[#This Row],[cap_adjusted_discount]])</f>
        <v>651.62880000000007</v>
      </c>
      <c r="AM326" s="5">
        <f>Table1[[#This Row],[UnitPrice]]*Table1[[#This Row],[Quantity]]*(1-Table1[[#This Row],[DiscountPct]])</f>
        <v>534.57695999999999</v>
      </c>
      <c r="AN326" s="5">
        <f>Table1[[#This Row],[gross_revenue]]-Table1[[#This Row],[cost_of_goods]]</f>
        <v>-1.0130400000000463</v>
      </c>
      <c r="AO326" s="5">
        <f>Table1[[#This Row],[scenario_revenue]]-Table1[[#This Row],[Scenario_unit_cost]]</f>
        <v>-55.349999999999795</v>
      </c>
      <c r="AP326" s="5">
        <f>IF(Table1[[#This Row],[gross_revenue]]=0,0,Table1[[#This Row],[gross_profit]]/Table1[[#This Row],[gross_revenue]])</f>
        <v>-1.8950311663264469E-3</v>
      </c>
    </row>
    <row r="327" spans="1:42" x14ac:dyDescent="0.35">
      <c r="A327" t="s">
        <v>261</v>
      </c>
      <c r="B327" t="str">
        <f>_xlfn.TEXTAFTER(Table1[[#This Row],[OrderID]],"-",2)</f>
        <v>946490</v>
      </c>
      <c r="C327">
        <f>YEAR(Table1[[#This Row],[OrderDate]])</f>
        <v>2025</v>
      </c>
      <c r="D327" s="9">
        <f>_xlfn.MINIFS(F:F,P:P,Table1[[#This Row],[Country]])</f>
        <v>44948</v>
      </c>
      <c r="E327" s="7">
        <f>DATEDIF(Table1[[#This Row],[first_time_orders]],Table1[[#This Row],[OrderDate]],"m")</f>
        <v>27</v>
      </c>
      <c r="F327" s="9">
        <v>45769</v>
      </c>
      <c r="G327" s="2" t="str">
        <f>TEXT(Table1[[#This Row],[OrderDate]],"MMM-YYYY")</f>
        <v>Apr-2025</v>
      </c>
      <c r="H327" s="7">
        <f>MONTH(Table1[[#This Row],[OrderDate]])</f>
        <v>4</v>
      </c>
      <c r="I327" s="7" t="str">
        <f>"Q"&amp;ROUNDUP(Table1[[#This Row],[months]]/3,0)&amp;"-"&amp;Table1[[#This Row],[order_year]]</f>
        <v>Q2-2025</v>
      </c>
      <c r="J327" s="7">
        <f>Table1[[#This Row],[RequiredDate]]-Table1[[#This Row],[OrderDate]]</f>
        <v>10</v>
      </c>
      <c r="K327" s="7">
        <f>IF(Table1[[#This Row],[lead_time]]&lt;0,MEDIAN(J:J),Table1[[#This Row],[lead_time]])</f>
        <v>10</v>
      </c>
      <c r="L327" s="7">
        <f>IF(Table1[[#This Row],[adj_lead_time]]&lt;=7,1,0)</f>
        <v>0</v>
      </c>
      <c r="M327" s="9">
        <v>45779</v>
      </c>
      <c r="N327" s="9">
        <f>IF(Table1[[#This Row],[lead_time]]&lt;0,(Table1[[#This Row],[OrderDate]]+Table1[[#This Row],[adj_lead_time]]),Table1[[#This Row],[RequiredDate]])</f>
        <v>45779</v>
      </c>
      <c r="O327" t="s">
        <v>649</v>
      </c>
      <c r="P327" t="s">
        <v>656</v>
      </c>
      <c r="Q327" t="s">
        <v>671</v>
      </c>
      <c r="R327" t="s">
        <v>701</v>
      </c>
      <c r="S327" t="s">
        <v>709</v>
      </c>
      <c r="T327" t="s">
        <v>712</v>
      </c>
      <c r="U327" t="s">
        <v>732</v>
      </c>
      <c r="V327" t="s">
        <v>981</v>
      </c>
      <c r="W327">
        <v>20.149999999999999</v>
      </c>
      <c r="X327">
        <f>Table1[[#This Row],[UnitCost]]*(1+'scenario modeling'!$B$3)</f>
        <v>22.164999999999999</v>
      </c>
      <c r="Y327">
        <v>39.74</v>
      </c>
      <c r="Z327" t="str">
        <f>IF(Table1[[#This Row],[UnitPrice]]&lt;=Quantiles!$B$2,Quantiles!$A$2,IF(Table1[[#This Row],[UnitPrice]]&lt;=Quantiles!$B$3,Quantiles!$A$3,Quantiles!$A$4))</f>
        <v>Low</v>
      </c>
      <c r="AA327">
        <v>0.151</v>
      </c>
      <c r="AB327" s="5">
        <f>MIN(Table1[[#This Row],[DiscountPct]],'scenario modeling'!$B$2)</f>
        <v>0.1</v>
      </c>
      <c r="AC327" t="str">
        <f>IF(Table1[[#This Row],[DiscountPct]]&gt;0.3, "&gt;0.3","")</f>
        <v/>
      </c>
      <c r="AD327">
        <v>18</v>
      </c>
      <c r="AE327">
        <f>Table1[[#This Row],[Quantity]]*(1+'scenario modeling'!$B$4)</f>
        <v>21.599999999999998</v>
      </c>
      <c r="AF327">
        <f>Table1[[#This Row],[UnitCost]]*Table1[[#This Row],[Quantity]]</f>
        <v>362.7</v>
      </c>
      <c r="AG327">
        <f>SUMIF($U:U,Table1[[#This Row],[ProductCategory]],$AM:AM)</f>
        <v>1549460.0077899997</v>
      </c>
      <c r="AH327">
        <f>SUMIFS($AM$2:AM327,$U$2:U327,U327)</f>
        <v>1098238.69398</v>
      </c>
      <c r="AI327" s="5">
        <f>Table1[[#This Row],[Cumulative_revenue]]/Table1[[#This Row],[Category_revenue]]</f>
        <v>0.70878802192927959</v>
      </c>
      <c r="AJ327" t="str">
        <f>IF(Table1[[#This Row],[cumulative_pct]]&lt;=0.8,"A",IF(Table1[[#This Row],[cumulative_pct]]&lt;=0.95,"B","C"))</f>
        <v>A</v>
      </c>
      <c r="AK327">
        <f>Table1[[#This Row],[adj_unit_cost]]*Table1[[#This Row],[scenario_quantity]]</f>
        <v>478.76399999999995</v>
      </c>
      <c r="AL327" s="5">
        <f>Table1[[#This Row],[UnitPrice]]*Table1[[#This Row],[scenario_quantity]]*(1-Table1[[#This Row],[cap_adjusted_discount]])</f>
        <v>772.54560000000004</v>
      </c>
      <c r="AM327" s="5">
        <f>Table1[[#This Row],[UnitPrice]]*Table1[[#This Row],[Quantity]]*(1-Table1[[#This Row],[DiscountPct]])</f>
        <v>607.30668000000003</v>
      </c>
      <c r="AN327" s="5">
        <f>Table1[[#This Row],[gross_revenue]]-Table1[[#This Row],[cost_of_goods]]</f>
        <v>244.60668000000004</v>
      </c>
      <c r="AO327" s="5">
        <f>Table1[[#This Row],[scenario_revenue]]-Table1[[#This Row],[Scenario_unit_cost]]</f>
        <v>293.78160000000008</v>
      </c>
      <c r="AP327" s="5">
        <f>IF(Table1[[#This Row],[gross_revenue]]=0,0,Table1[[#This Row],[gross_profit]]/Table1[[#This Row],[gross_revenue]])</f>
        <v>0.4027729120318585</v>
      </c>
    </row>
    <row r="328" spans="1:42" x14ac:dyDescent="0.35">
      <c r="A328" t="s">
        <v>404</v>
      </c>
      <c r="B328" t="str">
        <f>_xlfn.TEXTAFTER(Table1[[#This Row],[OrderID]],"-",2)</f>
        <v>485946</v>
      </c>
      <c r="C328">
        <f>YEAR(Table1[[#This Row],[OrderDate]])</f>
        <v>2025</v>
      </c>
      <c r="D328" s="9">
        <f>_xlfn.MINIFS(F:F,P:P,Table1[[#This Row],[Country]])</f>
        <v>44933</v>
      </c>
      <c r="E328" s="7">
        <f>DATEDIF(Table1[[#This Row],[first_time_orders]],Table1[[#This Row],[OrderDate]],"m")</f>
        <v>29</v>
      </c>
      <c r="F328" s="9">
        <v>45823</v>
      </c>
      <c r="G328" s="2" t="str">
        <f>TEXT(Table1[[#This Row],[OrderDate]],"MMM-YYYY")</f>
        <v>Jun-2025</v>
      </c>
      <c r="H328" s="7">
        <f>MONTH(Table1[[#This Row],[OrderDate]])</f>
        <v>6</v>
      </c>
      <c r="I328" s="7" t="str">
        <f>"Q"&amp;ROUNDUP(Table1[[#This Row],[months]]/3,0)&amp;"-"&amp;Table1[[#This Row],[order_year]]</f>
        <v>Q2-2025</v>
      </c>
      <c r="J328" s="7">
        <f>Table1[[#This Row],[RequiredDate]]-Table1[[#This Row],[OrderDate]]</f>
        <v>15</v>
      </c>
      <c r="K328" s="7">
        <f>IF(Table1[[#This Row],[lead_time]]&lt;0,MEDIAN(J:J),Table1[[#This Row],[lead_time]])</f>
        <v>15</v>
      </c>
      <c r="L328" s="7">
        <f>IF(Table1[[#This Row],[adj_lead_time]]&lt;=7,1,0)</f>
        <v>0</v>
      </c>
      <c r="M328" s="9">
        <v>45838</v>
      </c>
      <c r="N328" s="9">
        <f>IF(Table1[[#This Row],[lead_time]]&lt;0,(Table1[[#This Row],[OrderDate]]+Table1[[#This Row],[adj_lead_time]]),Table1[[#This Row],[RequiredDate]])</f>
        <v>45838</v>
      </c>
      <c r="O328" t="s">
        <v>646</v>
      </c>
      <c r="P328" t="s">
        <v>661</v>
      </c>
      <c r="Q328" t="s">
        <v>682</v>
      </c>
      <c r="R328" t="s">
        <v>705</v>
      </c>
      <c r="S328" t="s">
        <v>711</v>
      </c>
      <c r="T328" t="s">
        <v>712</v>
      </c>
      <c r="U328" t="s">
        <v>732</v>
      </c>
      <c r="V328" t="s">
        <v>1123</v>
      </c>
      <c r="W328">
        <v>1487.59</v>
      </c>
      <c r="X328">
        <f>Table1[[#This Row],[UnitCost]]*(1+'scenario modeling'!$B$3)</f>
        <v>1636.3489999999999</v>
      </c>
      <c r="Y328">
        <v>1480.83</v>
      </c>
      <c r="Z328" t="str">
        <f>IF(Table1[[#This Row],[UnitPrice]]&lt;=Quantiles!$B$2,Quantiles!$A$2,IF(Table1[[#This Row],[UnitPrice]]&lt;=Quantiles!$B$3,Quantiles!$A$3,Quantiles!$A$4))</f>
        <v>Medium</v>
      </c>
      <c r="AA328">
        <v>8.9999999999999993E-3</v>
      </c>
      <c r="AB328" s="5">
        <f>MIN(Table1[[#This Row],[DiscountPct]],'scenario modeling'!$B$2)</f>
        <v>8.9999999999999993E-3</v>
      </c>
      <c r="AC328" t="str">
        <f>IF(Table1[[#This Row],[DiscountPct]]&gt;0.3, "&gt;0.3","")</f>
        <v/>
      </c>
      <c r="AD328">
        <v>11</v>
      </c>
      <c r="AE328">
        <f>Table1[[#This Row],[Quantity]]*(1+'scenario modeling'!$B$4)</f>
        <v>13.2</v>
      </c>
      <c r="AF328">
        <f>Table1[[#This Row],[UnitCost]]*Table1[[#This Row],[Quantity]]</f>
        <v>16363.49</v>
      </c>
      <c r="AG328">
        <f>SUMIF($U:U,Table1[[#This Row],[ProductCategory]],$AM:AM)</f>
        <v>1549460.0077899997</v>
      </c>
      <c r="AH328">
        <f>SUMIFS($AM$2:AM328,$U$2:U328,U328)</f>
        <v>1114381.22181</v>
      </c>
      <c r="AI328" s="5">
        <f>Table1[[#This Row],[Cumulative_revenue]]/Table1[[#This Row],[Category_revenue]]</f>
        <v>0.71920618551455606</v>
      </c>
      <c r="AJ328" t="str">
        <f>IF(Table1[[#This Row],[cumulative_pct]]&lt;=0.8,"A",IF(Table1[[#This Row],[cumulative_pct]]&lt;=0.95,"B","C"))</f>
        <v>A</v>
      </c>
      <c r="AK328">
        <f>Table1[[#This Row],[adj_unit_cost]]*Table1[[#This Row],[scenario_quantity]]</f>
        <v>21599.806799999998</v>
      </c>
      <c r="AL328" s="5">
        <f>Table1[[#This Row],[UnitPrice]]*Table1[[#This Row],[scenario_quantity]]*(1-Table1[[#This Row],[cap_adjusted_discount]])</f>
        <v>19371.033395999999</v>
      </c>
      <c r="AM328" s="5">
        <f>Table1[[#This Row],[UnitPrice]]*Table1[[#This Row],[Quantity]]*(1-Table1[[#This Row],[DiscountPct]])</f>
        <v>16142.527829999999</v>
      </c>
      <c r="AN328" s="5">
        <f>Table1[[#This Row],[gross_revenue]]-Table1[[#This Row],[cost_of_goods]]</f>
        <v>-220.9621700000007</v>
      </c>
      <c r="AO328" s="5">
        <f>Table1[[#This Row],[scenario_revenue]]-Table1[[#This Row],[Scenario_unit_cost]]</f>
        <v>-2228.7734039999996</v>
      </c>
      <c r="AP328" s="5">
        <f>IF(Table1[[#This Row],[gross_revenue]]=0,0,Table1[[#This Row],[gross_profit]]/Table1[[#This Row],[gross_revenue]])</f>
        <v>-1.3688201273492908E-2</v>
      </c>
    </row>
    <row r="329" spans="1:42" x14ac:dyDescent="0.35">
      <c r="A329" t="s">
        <v>272</v>
      </c>
      <c r="B329" t="str">
        <f>_xlfn.TEXTAFTER(Table1[[#This Row],[OrderID]],"-",2)</f>
        <v>184754</v>
      </c>
      <c r="C329">
        <f>YEAR(Table1[[#This Row],[OrderDate]])</f>
        <v>2025</v>
      </c>
      <c r="D329" s="9">
        <f>_xlfn.MINIFS(F:F,P:P,Table1[[#This Row],[Country]])</f>
        <v>44948</v>
      </c>
      <c r="E329" s="7">
        <f>DATEDIF(Table1[[#This Row],[first_time_orders]],Table1[[#This Row],[OrderDate]],"m")</f>
        <v>29</v>
      </c>
      <c r="F329" s="9">
        <v>45835</v>
      </c>
      <c r="G329" s="2" t="str">
        <f>TEXT(Table1[[#This Row],[OrderDate]],"MMM-YYYY")</f>
        <v>Jun-2025</v>
      </c>
      <c r="H329" s="7">
        <f>MONTH(Table1[[#This Row],[OrderDate]])</f>
        <v>6</v>
      </c>
      <c r="I329" s="7" t="str">
        <f>"Q"&amp;ROUNDUP(Table1[[#This Row],[months]]/3,0)&amp;"-"&amp;Table1[[#This Row],[order_year]]</f>
        <v>Q2-2025</v>
      </c>
      <c r="J329" s="7">
        <f>Table1[[#This Row],[RequiredDate]]-Table1[[#This Row],[OrderDate]]</f>
        <v>8</v>
      </c>
      <c r="K329" s="7">
        <f>IF(Table1[[#This Row],[lead_time]]&lt;0,MEDIAN(J:J),Table1[[#This Row],[lead_time]])</f>
        <v>8</v>
      </c>
      <c r="L329" s="7">
        <f>IF(Table1[[#This Row],[adj_lead_time]]&lt;=7,1,0)</f>
        <v>0</v>
      </c>
      <c r="M329" s="9">
        <v>45843</v>
      </c>
      <c r="N329" s="9">
        <f>IF(Table1[[#This Row],[lead_time]]&lt;0,(Table1[[#This Row],[OrderDate]]+Table1[[#This Row],[adj_lead_time]]),Table1[[#This Row],[RequiredDate]])</f>
        <v>45843</v>
      </c>
      <c r="O329" t="s">
        <v>649</v>
      </c>
      <c r="P329" t="s">
        <v>656</v>
      </c>
      <c r="Q329" t="s">
        <v>684</v>
      </c>
      <c r="R329" t="s">
        <v>705</v>
      </c>
      <c r="S329" t="s">
        <v>711</v>
      </c>
      <c r="T329" t="s">
        <v>715</v>
      </c>
      <c r="U329" t="s">
        <v>732</v>
      </c>
      <c r="V329" t="s">
        <v>992</v>
      </c>
      <c r="W329">
        <v>314.93</v>
      </c>
      <c r="X329">
        <f>Table1[[#This Row],[UnitCost]]*(1+'scenario modeling'!$B$3)</f>
        <v>346.42300000000006</v>
      </c>
      <c r="Y329">
        <v>687.95</v>
      </c>
      <c r="Z329" t="str">
        <f>IF(Table1[[#This Row],[UnitPrice]]&lt;=Quantiles!$B$2,Quantiles!$A$2,IF(Table1[[#This Row],[UnitPrice]]&lt;=Quantiles!$B$3,Quantiles!$A$3,Quantiles!$A$4))</f>
        <v>Low</v>
      </c>
      <c r="AA329">
        <v>0.20499999999999999</v>
      </c>
      <c r="AB329" s="5">
        <f>MIN(Table1[[#This Row],[DiscountPct]],'scenario modeling'!$B$2)</f>
        <v>0.1</v>
      </c>
      <c r="AC329" t="str">
        <f>IF(Table1[[#This Row],[DiscountPct]]&gt;0.3, "&gt;0.3","")</f>
        <v/>
      </c>
      <c r="AD329">
        <v>8</v>
      </c>
      <c r="AE329">
        <f>Table1[[#This Row],[Quantity]]*(1+'scenario modeling'!$B$4)</f>
        <v>9.6</v>
      </c>
      <c r="AF329">
        <f>Table1[[#This Row],[UnitCost]]*Table1[[#This Row],[Quantity]]</f>
        <v>2519.44</v>
      </c>
      <c r="AG329">
        <f>SUMIF($U:U,Table1[[#This Row],[ProductCategory]],$AM:AM)</f>
        <v>1549460.0077899997</v>
      </c>
      <c r="AH329">
        <f>SUMIFS($AM$2:AM329,$U$2:U329,U329)</f>
        <v>1118756.58381</v>
      </c>
      <c r="AI329" s="5">
        <f>Table1[[#This Row],[Cumulative_revenue]]/Table1[[#This Row],[Category_revenue]]</f>
        <v>0.72202998346868363</v>
      </c>
      <c r="AJ329" t="str">
        <f>IF(Table1[[#This Row],[cumulative_pct]]&lt;=0.8,"A",IF(Table1[[#This Row],[cumulative_pct]]&lt;=0.95,"B","C"))</f>
        <v>A</v>
      </c>
      <c r="AK329">
        <f>Table1[[#This Row],[adj_unit_cost]]*Table1[[#This Row],[scenario_quantity]]</f>
        <v>3325.6608000000006</v>
      </c>
      <c r="AL329" s="5">
        <f>Table1[[#This Row],[UnitPrice]]*Table1[[#This Row],[scenario_quantity]]*(1-Table1[[#This Row],[cap_adjusted_discount]])</f>
        <v>5943.8880000000008</v>
      </c>
      <c r="AM329" s="5">
        <f>Table1[[#This Row],[UnitPrice]]*Table1[[#This Row],[Quantity]]*(1-Table1[[#This Row],[DiscountPct]])</f>
        <v>4375.3620000000001</v>
      </c>
      <c r="AN329" s="5">
        <f>Table1[[#This Row],[gross_revenue]]-Table1[[#This Row],[cost_of_goods]]</f>
        <v>1855.922</v>
      </c>
      <c r="AO329" s="5">
        <f>Table1[[#This Row],[scenario_revenue]]-Table1[[#This Row],[Scenario_unit_cost]]</f>
        <v>2618.2272000000003</v>
      </c>
      <c r="AP329" s="5">
        <f>IF(Table1[[#This Row],[gross_revenue]]=0,0,Table1[[#This Row],[gross_profit]]/Table1[[#This Row],[gross_revenue]])</f>
        <v>0.424175645352316</v>
      </c>
    </row>
    <row r="330" spans="1:42" x14ac:dyDescent="0.35">
      <c r="A330" t="s">
        <v>577</v>
      </c>
      <c r="B330" t="str">
        <f>_xlfn.TEXTAFTER(Table1[[#This Row],[OrderID]],"-",2)</f>
        <v>356427</v>
      </c>
      <c r="C330">
        <f>YEAR(Table1[[#This Row],[OrderDate]])</f>
        <v>2023</v>
      </c>
      <c r="D330" s="9">
        <f>_xlfn.MINIFS(F:F,P:P,Table1[[#This Row],[Country]])</f>
        <v>44928</v>
      </c>
      <c r="E330" s="7">
        <f>DATEDIF(Table1[[#This Row],[first_time_orders]],Table1[[#This Row],[OrderDate]],"m")</f>
        <v>3</v>
      </c>
      <c r="F330" s="9">
        <v>45029</v>
      </c>
      <c r="G330" s="2" t="str">
        <f>TEXT(Table1[[#This Row],[OrderDate]],"MMM-YYYY")</f>
        <v>Apr-2023</v>
      </c>
      <c r="H330" s="7">
        <f>MONTH(Table1[[#This Row],[OrderDate]])</f>
        <v>4</v>
      </c>
      <c r="I330" s="7" t="str">
        <f>"Q"&amp;ROUNDUP(Table1[[#This Row],[months]]/3,0)&amp;"-"&amp;Table1[[#This Row],[order_year]]</f>
        <v>Q2-2023</v>
      </c>
      <c r="J330" s="7">
        <f>Table1[[#This Row],[RequiredDate]]-Table1[[#This Row],[OrderDate]]</f>
        <v>19</v>
      </c>
      <c r="K330" s="7">
        <f>IF(Table1[[#This Row],[lead_time]]&lt;0,MEDIAN(J:J),Table1[[#This Row],[lead_time]])</f>
        <v>19</v>
      </c>
      <c r="L330" s="7">
        <f>IF(Table1[[#This Row],[adj_lead_time]]&lt;=7,1,0)</f>
        <v>0</v>
      </c>
      <c r="M330" s="9">
        <v>45048</v>
      </c>
      <c r="N330" s="9">
        <f>IF(Table1[[#This Row],[lead_time]]&lt;0,(Table1[[#This Row],[OrderDate]]+Table1[[#This Row],[adj_lead_time]]),Table1[[#This Row],[RequiredDate]])</f>
        <v>45048</v>
      </c>
      <c r="O330" t="s">
        <v>648</v>
      </c>
      <c r="P330" t="s">
        <v>653</v>
      </c>
      <c r="Q330" t="s">
        <v>681</v>
      </c>
      <c r="R330" t="s">
        <v>704</v>
      </c>
      <c r="S330" t="s">
        <v>710</v>
      </c>
      <c r="T330" t="s">
        <v>718</v>
      </c>
      <c r="U330" t="s">
        <v>732</v>
      </c>
      <c r="V330" t="s">
        <v>1295</v>
      </c>
      <c r="W330">
        <v>671.05</v>
      </c>
      <c r="X330">
        <f>Table1[[#This Row],[UnitCost]]*(1+'scenario modeling'!$B$3)</f>
        <v>738.15499999999997</v>
      </c>
      <c r="Y330">
        <v>1645.48</v>
      </c>
      <c r="Z330" t="str">
        <f>IF(Table1[[#This Row],[UnitPrice]]&lt;=Quantiles!$B$2,Quantiles!$A$2,IF(Table1[[#This Row],[UnitPrice]]&lt;=Quantiles!$B$3,Quantiles!$A$3,Quantiles!$A$4))</f>
        <v>High</v>
      </c>
      <c r="AA330">
        <v>0.13700000000000001</v>
      </c>
      <c r="AB330" s="5">
        <f>MIN(Table1[[#This Row],[DiscountPct]],'scenario modeling'!$B$2)</f>
        <v>0.1</v>
      </c>
      <c r="AC330" t="str">
        <f>IF(Table1[[#This Row],[DiscountPct]]&gt;0.3, "&gt;0.3","")</f>
        <v/>
      </c>
      <c r="AD330">
        <v>6</v>
      </c>
      <c r="AE330">
        <f>Table1[[#This Row],[Quantity]]*(1+'scenario modeling'!$B$4)</f>
        <v>7.1999999999999993</v>
      </c>
      <c r="AF330">
        <f>Table1[[#This Row],[UnitCost]]*Table1[[#This Row],[Quantity]]</f>
        <v>4026.2999999999997</v>
      </c>
      <c r="AG330">
        <f>SUMIF($U:U,Table1[[#This Row],[ProductCategory]],$AM:AM)</f>
        <v>1549460.0077899997</v>
      </c>
      <c r="AH330">
        <f>SUMIFS($AM$2:AM330,$U$2:U330,U330)</f>
        <v>1127276.87925</v>
      </c>
      <c r="AI330" s="5">
        <f>Table1[[#This Row],[Cumulative_revenue]]/Table1[[#This Row],[Category_revenue]]</f>
        <v>0.72752886398006422</v>
      </c>
      <c r="AJ330" t="str">
        <f>IF(Table1[[#This Row],[cumulative_pct]]&lt;=0.8,"A",IF(Table1[[#This Row],[cumulative_pct]]&lt;=0.95,"B","C"))</f>
        <v>A</v>
      </c>
      <c r="AK330">
        <f>Table1[[#This Row],[adj_unit_cost]]*Table1[[#This Row],[scenario_quantity]]</f>
        <v>5314.7159999999994</v>
      </c>
      <c r="AL330" s="5">
        <f>Table1[[#This Row],[UnitPrice]]*Table1[[#This Row],[scenario_quantity]]*(1-Table1[[#This Row],[cap_adjusted_discount]])</f>
        <v>10662.710399999998</v>
      </c>
      <c r="AM330" s="5">
        <f>Table1[[#This Row],[UnitPrice]]*Table1[[#This Row],[Quantity]]*(1-Table1[[#This Row],[DiscountPct]])</f>
        <v>8520.2954399999999</v>
      </c>
      <c r="AN330" s="5">
        <f>Table1[[#This Row],[gross_revenue]]-Table1[[#This Row],[cost_of_goods]]</f>
        <v>4493.9954400000006</v>
      </c>
      <c r="AO330" s="5">
        <f>Table1[[#This Row],[scenario_revenue]]-Table1[[#This Row],[Scenario_unit_cost]]</f>
        <v>5347.9943999999987</v>
      </c>
      <c r="AP330" s="5">
        <f>IF(Table1[[#This Row],[gross_revenue]]=0,0,Table1[[#This Row],[gross_profit]]/Table1[[#This Row],[gross_revenue]])</f>
        <v>0.52744596377517172</v>
      </c>
    </row>
    <row r="331" spans="1:42" x14ac:dyDescent="0.35">
      <c r="A331" t="s">
        <v>193</v>
      </c>
      <c r="B331" t="str">
        <f>_xlfn.TEXTAFTER(Table1[[#This Row],[OrderID]],"-",2)</f>
        <v>987700</v>
      </c>
      <c r="C331">
        <f>YEAR(Table1[[#This Row],[OrderDate]])</f>
        <v>2023</v>
      </c>
      <c r="D331" s="9">
        <f>_xlfn.MINIFS(F:F,P:P,Table1[[#This Row],[Country]])</f>
        <v>44928</v>
      </c>
      <c r="E331" s="7">
        <f>DATEDIF(Table1[[#This Row],[first_time_orders]],Table1[[#This Row],[OrderDate]],"m")</f>
        <v>3</v>
      </c>
      <c r="F331" s="9">
        <v>45021</v>
      </c>
      <c r="G331" s="2" t="str">
        <f>TEXT(Table1[[#This Row],[OrderDate]],"MMM-YYYY")</f>
        <v>Apr-2023</v>
      </c>
      <c r="H331" s="7">
        <f>MONTH(Table1[[#This Row],[OrderDate]])</f>
        <v>4</v>
      </c>
      <c r="I331" s="7" t="str">
        <f>"Q"&amp;ROUNDUP(Table1[[#This Row],[months]]/3,0)&amp;"-"&amp;Table1[[#This Row],[order_year]]</f>
        <v>Q2-2023</v>
      </c>
      <c r="J331" s="7">
        <f>Table1[[#This Row],[RequiredDate]]-Table1[[#This Row],[OrderDate]]</f>
        <v>11</v>
      </c>
      <c r="K331" s="7">
        <f>IF(Table1[[#This Row],[lead_time]]&lt;0,MEDIAN(J:J),Table1[[#This Row],[lead_time]])</f>
        <v>11</v>
      </c>
      <c r="L331" s="7">
        <f>IF(Table1[[#This Row],[adj_lead_time]]&lt;=7,1,0)</f>
        <v>0</v>
      </c>
      <c r="M331" s="9">
        <v>45032</v>
      </c>
      <c r="N331" s="9">
        <f>IF(Table1[[#This Row],[lead_time]]&lt;0,(Table1[[#This Row],[OrderDate]]+Table1[[#This Row],[adj_lead_time]]),Table1[[#This Row],[RequiredDate]])</f>
        <v>45032</v>
      </c>
      <c r="O331" t="s">
        <v>648</v>
      </c>
      <c r="P331" t="s">
        <v>653</v>
      </c>
      <c r="Q331" t="s">
        <v>688</v>
      </c>
      <c r="R331" t="s">
        <v>703</v>
      </c>
      <c r="S331" t="s">
        <v>708</v>
      </c>
      <c r="T331" t="s">
        <v>719</v>
      </c>
      <c r="U331" t="s">
        <v>732</v>
      </c>
      <c r="V331" t="s">
        <v>912</v>
      </c>
      <c r="W331">
        <v>213.1</v>
      </c>
      <c r="X331">
        <f>Table1[[#This Row],[UnitCost]]*(1+'scenario modeling'!$B$3)</f>
        <v>234.41000000000003</v>
      </c>
      <c r="Y331">
        <v>501.31</v>
      </c>
      <c r="Z331" t="str">
        <f>IF(Table1[[#This Row],[UnitPrice]]&lt;=Quantiles!$B$2,Quantiles!$A$2,IF(Table1[[#This Row],[UnitPrice]]&lt;=Quantiles!$B$3,Quantiles!$A$3,Quantiles!$A$4))</f>
        <v>Low</v>
      </c>
      <c r="AA331">
        <v>5.6000000000000001E-2</v>
      </c>
      <c r="AB331" s="5">
        <f>MIN(Table1[[#This Row],[DiscountPct]],'scenario modeling'!$B$2)</f>
        <v>5.6000000000000001E-2</v>
      </c>
      <c r="AC331" t="str">
        <f>IF(Table1[[#This Row],[DiscountPct]]&gt;0.3, "&gt;0.3","")</f>
        <v/>
      </c>
      <c r="AD331">
        <v>15</v>
      </c>
      <c r="AE331">
        <f>Table1[[#This Row],[Quantity]]*(1+'scenario modeling'!$B$4)</f>
        <v>18</v>
      </c>
      <c r="AF331">
        <f>Table1[[#This Row],[UnitCost]]*Table1[[#This Row],[Quantity]]</f>
        <v>3196.5</v>
      </c>
      <c r="AG331">
        <f>SUMIF($U:U,Table1[[#This Row],[ProductCategory]],$AM:AM)</f>
        <v>1549460.0077899997</v>
      </c>
      <c r="AH331">
        <f>SUMIFS($AM$2:AM331,$U$2:U331,U331)</f>
        <v>1134375.42885</v>
      </c>
      <c r="AI331" s="5">
        <f>Table1[[#This Row],[Cumulative_revenue]]/Table1[[#This Row],[Category_revenue]]</f>
        <v>0.73211016944410445</v>
      </c>
      <c r="AJ331" t="str">
        <f>IF(Table1[[#This Row],[cumulative_pct]]&lt;=0.8,"A",IF(Table1[[#This Row],[cumulative_pct]]&lt;=0.95,"B","C"))</f>
        <v>A</v>
      </c>
      <c r="AK331">
        <f>Table1[[#This Row],[adj_unit_cost]]*Table1[[#This Row],[scenario_quantity]]</f>
        <v>4219.38</v>
      </c>
      <c r="AL331" s="5">
        <f>Table1[[#This Row],[UnitPrice]]*Table1[[#This Row],[scenario_quantity]]*(1-Table1[[#This Row],[cap_adjusted_discount]])</f>
        <v>8518.2595199999996</v>
      </c>
      <c r="AM331" s="5">
        <f>Table1[[#This Row],[UnitPrice]]*Table1[[#This Row],[Quantity]]*(1-Table1[[#This Row],[DiscountPct]])</f>
        <v>7098.5495999999994</v>
      </c>
      <c r="AN331" s="5">
        <f>Table1[[#This Row],[gross_revenue]]-Table1[[#This Row],[cost_of_goods]]</f>
        <v>3902.0495999999994</v>
      </c>
      <c r="AO331" s="5">
        <f>Table1[[#This Row],[scenario_revenue]]-Table1[[#This Row],[Scenario_unit_cost]]</f>
        <v>4298.8795199999995</v>
      </c>
      <c r="AP331" s="5">
        <f>IF(Table1[[#This Row],[gross_revenue]]=0,0,Table1[[#This Row],[gross_profit]]/Table1[[#This Row],[gross_revenue]])</f>
        <v>0.54969674368409005</v>
      </c>
    </row>
    <row r="332" spans="1:42" x14ac:dyDescent="0.35">
      <c r="A332" t="s">
        <v>471</v>
      </c>
      <c r="B332" t="str">
        <f>_xlfn.TEXTAFTER(Table1[[#This Row],[OrderID]],"-",2)</f>
        <v>880296</v>
      </c>
      <c r="C332">
        <f>YEAR(Table1[[#This Row],[OrderDate]])</f>
        <v>2023</v>
      </c>
      <c r="D332" s="9">
        <f>_xlfn.MINIFS(F:F,P:P,Table1[[#This Row],[Country]])</f>
        <v>44938</v>
      </c>
      <c r="E332" s="7">
        <f>DATEDIF(Table1[[#This Row],[first_time_orders]],Table1[[#This Row],[OrderDate]],"m")</f>
        <v>3</v>
      </c>
      <c r="F332" s="9">
        <v>45048</v>
      </c>
      <c r="G332" s="2" t="str">
        <f>TEXT(Table1[[#This Row],[OrderDate]],"MMM-YYYY")</f>
        <v>May-2023</v>
      </c>
      <c r="H332" s="7">
        <f>MONTH(Table1[[#This Row],[OrderDate]])</f>
        <v>5</v>
      </c>
      <c r="I332" s="7" t="str">
        <f>"Q"&amp;ROUNDUP(Table1[[#This Row],[months]]/3,0)&amp;"-"&amp;Table1[[#This Row],[order_year]]</f>
        <v>Q2-2023</v>
      </c>
      <c r="J332" s="7">
        <f>Table1[[#This Row],[RequiredDate]]-Table1[[#This Row],[OrderDate]]</f>
        <v>17</v>
      </c>
      <c r="K332" s="7">
        <f>IF(Table1[[#This Row],[lead_time]]&lt;0,MEDIAN(J:J),Table1[[#This Row],[lead_time]])</f>
        <v>17</v>
      </c>
      <c r="L332" s="7">
        <f>IF(Table1[[#This Row],[adj_lead_time]]&lt;=7,1,0)</f>
        <v>0</v>
      </c>
      <c r="M332" s="9">
        <v>45065</v>
      </c>
      <c r="N332" s="9">
        <f>IF(Table1[[#This Row],[lead_time]]&lt;0,(Table1[[#This Row],[OrderDate]]+Table1[[#This Row],[adj_lead_time]]),Table1[[#This Row],[RequiredDate]])</f>
        <v>45065</v>
      </c>
      <c r="O332" t="s">
        <v>647</v>
      </c>
      <c r="P332" t="s">
        <v>659</v>
      </c>
      <c r="Q332" t="s">
        <v>685</v>
      </c>
      <c r="R332" t="s">
        <v>703</v>
      </c>
      <c r="S332" t="s">
        <v>711</v>
      </c>
      <c r="T332" t="s">
        <v>713</v>
      </c>
      <c r="U332" t="s">
        <v>732</v>
      </c>
      <c r="V332" t="s">
        <v>1190</v>
      </c>
      <c r="W332">
        <v>714.28</v>
      </c>
      <c r="X332">
        <f>Table1[[#This Row],[UnitCost]]*(1+'scenario modeling'!$B$3)</f>
        <v>785.70800000000008</v>
      </c>
      <c r="Y332">
        <v>757.59</v>
      </c>
      <c r="Z332" t="str">
        <f>IF(Table1[[#This Row],[UnitPrice]]&lt;=Quantiles!$B$2,Quantiles!$A$2,IF(Table1[[#This Row],[UnitPrice]]&lt;=Quantiles!$B$3,Quantiles!$A$3,Quantiles!$A$4))</f>
        <v>Low</v>
      </c>
      <c r="AA332">
        <v>0.13600000000000001</v>
      </c>
      <c r="AB332" s="5">
        <f>MIN(Table1[[#This Row],[DiscountPct]],'scenario modeling'!$B$2)</f>
        <v>0.1</v>
      </c>
      <c r="AC332" t="str">
        <f>IF(Table1[[#This Row],[DiscountPct]]&gt;0.3, "&gt;0.3","")</f>
        <v/>
      </c>
      <c r="AD332">
        <v>12</v>
      </c>
      <c r="AE332">
        <f>Table1[[#This Row],[Quantity]]*(1+'scenario modeling'!$B$4)</f>
        <v>14.399999999999999</v>
      </c>
      <c r="AF332">
        <f>Table1[[#This Row],[UnitCost]]*Table1[[#This Row],[Quantity]]</f>
        <v>8571.36</v>
      </c>
      <c r="AG332">
        <f>SUMIF($U:U,Table1[[#This Row],[ProductCategory]],$AM:AM)</f>
        <v>1549460.0077899997</v>
      </c>
      <c r="AH332">
        <f>SUMIFS($AM$2:AM332,$U$2:U332,U332)</f>
        <v>1142230.12197</v>
      </c>
      <c r="AI332" s="5">
        <f>Table1[[#This Row],[Cumulative_revenue]]/Table1[[#This Row],[Category_revenue]]</f>
        <v>0.73717947944920947</v>
      </c>
      <c r="AJ332" t="str">
        <f>IF(Table1[[#This Row],[cumulative_pct]]&lt;=0.8,"A",IF(Table1[[#This Row],[cumulative_pct]]&lt;=0.95,"B","C"))</f>
        <v>A</v>
      </c>
      <c r="AK332">
        <f>Table1[[#This Row],[adj_unit_cost]]*Table1[[#This Row],[scenario_quantity]]</f>
        <v>11314.1952</v>
      </c>
      <c r="AL332" s="5">
        <f>Table1[[#This Row],[UnitPrice]]*Table1[[#This Row],[scenario_quantity]]*(1-Table1[[#This Row],[cap_adjusted_discount]])</f>
        <v>9818.3664000000008</v>
      </c>
      <c r="AM332" s="5">
        <f>Table1[[#This Row],[UnitPrice]]*Table1[[#This Row],[Quantity]]*(1-Table1[[#This Row],[DiscountPct]])</f>
        <v>7854.6931199999999</v>
      </c>
      <c r="AN332" s="5">
        <f>Table1[[#This Row],[gross_revenue]]-Table1[[#This Row],[cost_of_goods]]</f>
        <v>-716.66688000000067</v>
      </c>
      <c r="AO332" s="5">
        <f>Table1[[#This Row],[scenario_revenue]]-Table1[[#This Row],[Scenario_unit_cost]]</f>
        <v>-1495.8287999999993</v>
      </c>
      <c r="AP332" s="5">
        <f>IF(Table1[[#This Row],[gross_revenue]]=0,0,Table1[[#This Row],[gross_profit]]/Table1[[#This Row],[gross_revenue]])</f>
        <v>-9.1240595787910383E-2</v>
      </c>
    </row>
    <row r="333" spans="1:42" x14ac:dyDescent="0.35">
      <c r="A333" t="s">
        <v>514</v>
      </c>
      <c r="B333" t="str">
        <f>_xlfn.TEXTAFTER(Table1[[#This Row],[OrderID]],"-",2)</f>
        <v>573656</v>
      </c>
      <c r="C333">
        <f>YEAR(Table1[[#This Row],[OrderDate]])</f>
        <v>2023</v>
      </c>
      <c r="D333" s="9">
        <f>_xlfn.MINIFS(F:F,P:P,Table1[[#This Row],[Country]])</f>
        <v>44955</v>
      </c>
      <c r="E333" s="7">
        <f>DATEDIF(Table1[[#This Row],[first_time_orders]],Table1[[#This Row],[OrderDate]],"m")</f>
        <v>3</v>
      </c>
      <c r="F333" s="9">
        <v>45048</v>
      </c>
      <c r="G333" s="2" t="str">
        <f>TEXT(Table1[[#This Row],[OrderDate]],"MMM-YYYY")</f>
        <v>May-2023</v>
      </c>
      <c r="H333" s="7">
        <f>MONTH(Table1[[#This Row],[OrderDate]])</f>
        <v>5</v>
      </c>
      <c r="I333" s="7" t="str">
        <f>"Q"&amp;ROUNDUP(Table1[[#This Row],[months]]/3,0)&amp;"-"&amp;Table1[[#This Row],[order_year]]</f>
        <v>Q2-2023</v>
      </c>
      <c r="J333" s="7">
        <f>Table1[[#This Row],[RequiredDate]]-Table1[[#This Row],[OrderDate]]</f>
        <v>14</v>
      </c>
      <c r="K333" s="7">
        <f>IF(Table1[[#This Row],[lead_time]]&lt;0,MEDIAN(J:J),Table1[[#This Row],[lead_time]])</f>
        <v>14</v>
      </c>
      <c r="L333" s="7">
        <f>IF(Table1[[#This Row],[adj_lead_time]]&lt;=7,1,0)</f>
        <v>0</v>
      </c>
      <c r="M333" s="9">
        <v>45062</v>
      </c>
      <c r="N333" s="9">
        <f>IF(Table1[[#This Row],[lead_time]]&lt;0,(Table1[[#This Row],[OrderDate]]+Table1[[#This Row],[adj_lead_time]]),Table1[[#This Row],[RequiredDate]])</f>
        <v>45062</v>
      </c>
      <c r="O333" t="s">
        <v>647</v>
      </c>
      <c r="P333" t="s">
        <v>654</v>
      </c>
      <c r="Q333" t="s">
        <v>668</v>
      </c>
      <c r="R333" t="s">
        <v>703</v>
      </c>
      <c r="S333" t="s">
        <v>707</v>
      </c>
      <c r="T333" t="s">
        <v>716</v>
      </c>
      <c r="U333" t="s">
        <v>732</v>
      </c>
      <c r="V333" t="s">
        <v>1233</v>
      </c>
      <c r="W333">
        <v>475.37</v>
      </c>
      <c r="X333">
        <f>Table1[[#This Row],[UnitCost]]*(1+'scenario modeling'!$B$3)</f>
        <v>522.90700000000004</v>
      </c>
      <c r="Y333">
        <v>963.73</v>
      </c>
      <c r="Z333" t="str">
        <f>IF(Table1[[#This Row],[UnitPrice]]&lt;=Quantiles!$B$2,Quantiles!$A$2,IF(Table1[[#This Row],[UnitPrice]]&lt;=Quantiles!$B$3,Quantiles!$A$3,Quantiles!$A$4))</f>
        <v>Medium</v>
      </c>
      <c r="AA333">
        <v>4.1000000000000002E-2</v>
      </c>
      <c r="AB333" s="5">
        <f>MIN(Table1[[#This Row],[DiscountPct]],'scenario modeling'!$B$2)</f>
        <v>4.1000000000000002E-2</v>
      </c>
      <c r="AC333" t="str">
        <f>IF(Table1[[#This Row],[DiscountPct]]&gt;0.3, "&gt;0.3","")</f>
        <v/>
      </c>
      <c r="AD333">
        <v>22</v>
      </c>
      <c r="AE333">
        <f>Table1[[#This Row],[Quantity]]*(1+'scenario modeling'!$B$4)</f>
        <v>26.4</v>
      </c>
      <c r="AF333">
        <f>Table1[[#This Row],[UnitCost]]*Table1[[#This Row],[Quantity]]</f>
        <v>10458.14</v>
      </c>
      <c r="AG333">
        <f>SUMIF($U:U,Table1[[#This Row],[ProductCategory]],$AM:AM)</f>
        <v>1549460.0077899997</v>
      </c>
      <c r="AH333">
        <f>SUMIFS($AM$2:AM333,$U$2:U333,U333)</f>
        <v>1162562.89751</v>
      </c>
      <c r="AI333" s="5">
        <f>Table1[[#This Row],[Cumulative_revenue]]/Table1[[#This Row],[Category_revenue]]</f>
        <v>0.75030197079314598</v>
      </c>
      <c r="AJ333" t="str">
        <f>IF(Table1[[#This Row],[cumulative_pct]]&lt;=0.8,"A",IF(Table1[[#This Row],[cumulative_pct]]&lt;=0.95,"B","C"))</f>
        <v>A</v>
      </c>
      <c r="AK333">
        <f>Table1[[#This Row],[adj_unit_cost]]*Table1[[#This Row],[scenario_quantity]]</f>
        <v>13804.7448</v>
      </c>
      <c r="AL333" s="5">
        <f>Table1[[#This Row],[UnitPrice]]*Table1[[#This Row],[scenario_quantity]]*(1-Table1[[#This Row],[cap_adjusted_discount]])</f>
        <v>24399.330647999996</v>
      </c>
      <c r="AM333" s="5">
        <f>Table1[[#This Row],[UnitPrice]]*Table1[[#This Row],[Quantity]]*(1-Table1[[#This Row],[DiscountPct]])</f>
        <v>20332.775539999999</v>
      </c>
      <c r="AN333" s="5">
        <f>Table1[[#This Row],[gross_revenue]]-Table1[[#This Row],[cost_of_goods]]</f>
        <v>9874.6355399999993</v>
      </c>
      <c r="AO333" s="5">
        <f>Table1[[#This Row],[scenario_revenue]]-Table1[[#This Row],[Scenario_unit_cost]]</f>
        <v>10594.585847999995</v>
      </c>
      <c r="AP333" s="5">
        <f>IF(Table1[[#This Row],[gross_revenue]]=0,0,Table1[[#This Row],[gross_profit]]/Table1[[#This Row],[gross_revenue]])</f>
        <v>0.48565113604750881</v>
      </c>
    </row>
    <row r="334" spans="1:42" x14ac:dyDescent="0.35">
      <c r="A334" t="s">
        <v>155</v>
      </c>
      <c r="B334" t="str">
        <f>_xlfn.TEXTAFTER(Table1[[#This Row],[OrderID]],"-",2)</f>
        <v>906481</v>
      </c>
      <c r="C334">
        <f>YEAR(Table1[[#This Row],[OrderDate]])</f>
        <v>2023</v>
      </c>
      <c r="D334" s="9">
        <f>_xlfn.MINIFS(F:F,P:P,Table1[[#This Row],[Country]])</f>
        <v>44955</v>
      </c>
      <c r="E334" s="7">
        <f>DATEDIF(Table1[[#This Row],[first_time_orders]],Table1[[#This Row],[OrderDate]],"m")</f>
        <v>3</v>
      </c>
      <c r="F334" s="9">
        <v>45048</v>
      </c>
      <c r="G334" s="2" t="str">
        <f>TEXT(Table1[[#This Row],[OrderDate]],"MMM-YYYY")</f>
        <v>May-2023</v>
      </c>
      <c r="H334" s="7">
        <f>MONTH(Table1[[#This Row],[OrderDate]])</f>
        <v>5</v>
      </c>
      <c r="I334" s="7" t="str">
        <f>"Q"&amp;ROUNDUP(Table1[[#This Row],[months]]/3,0)&amp;"-"&amp;Table1[[#This Row],[order_year]]</f>
        <v>Q2-2023</v>
      </c>
      <c r="J334" s="7">
        <f>Table1[[#This Row],[RequiredDate]]-Table1[[#This Row],[OrderDate]]</f>
        <v>16</v>
      </c>
      <c r="K334" s="7">
        <f>IF(Table1[[#This Row],[lead_time]]&lt;0,MEDIAN(J:J),Table1[[#This Row],[lead_time]])</f>
        <v>16</v>
      </c>
      <c r="L334" s="7">
        <f>IF(Table1[[#This Row],[adj_lead_time]]&lt;=7,1,0)</f>
        <v>0</v>
      </c>
      <c r="M334" s="9">
        <v>45064</v>
      </c>
      <c r="N334" s="9">
        <f>IF(Table1[[#This Row],[lead_time]]&lt;0,(Table1[[#This Row],[OrderDate]]+Table1[[#This Row],[adj_lead_time]]),Table1[[#This Row],[RequiredDate]])</f>
        <v>45064</v>
      </c>
      <c r="O334" t="s">
        <v>647</v>
      </c>
      <c r="P334" t="s">
        <v>654</v>
      </c>
      <c r="Q334" t="s">
        <v>680</v>
      </c>
      <c r="R334" t="s">
        <v>705</v>
      </c>
      <c r="S334" t="s">
        <v>709</v>
      </c>
      <c r="T334" t="s">
        <v>723</v>
      </c>
      <c r="U334" t="s">
        <v>732</v>
      </c>
      <c r="V334" t="s">
        <v>874</v>
      </c>
      <c r="W334">
        <v>1463.92</v>
      </c>
      <c r="X334">
        <f>Table1[[#This Row],[UnitCost]]*(1+'scenario modeling'!$B$3)</f>
        <v>1610.3120000000001</v>
      </c>
      <c r="Y334">
        <v>2252.2399999999998</v>
      </c>
      <c r="Z334" t="str">
        <f>IF(Table1[[#This Row],[UnitPrice]]&lt;=Quantiles!$B$2,Quantiles!$A$2,IF(Table1[[#This Row],[UnitPrice]]&lt;=Quantiles!$B$3,Quantiles!$A$3,Quantiles!$A$4))</f>
        <v>High</v>
      </c>
      <c r="AA334">
        <v>0.11799999999999999</v>
      </c>
      <c r="AB334" s="5">
        <f>MIN(Table1[[#This Row],[DiscountPct]],'scenario modeling'!$B$2)</f>
        <v>0.1</v>
      </c>
      <c r="AC334" t="str">
        <f>IF(Table1[[#This Row],[DiscountPct]]&gt;0.3, "&gt;0.3","")</f>
        <v/>
      </c>
      <c r="AD334">
        <v>44</v>
      </c>
      <c r="AE334">
        <f>Table1[[#This Row],[Quantity]]*(1+'scenario modeling'!$B$4)</f>
        <v>52.8</v>
      </c>
      <c r="AF334">
        <f>Table1[[#This Row],[UnitCost]]*Table1[[#This Row],[Quantity]]</f>
        <v>64412.480000000003</v>
      </c>
      <c r="AG334">
        <f>SUMIF($U:U,Table1[[#This Row],[ProductCategory]],$AM:AM)</f>
        <v>1549460.0077899997</v>
      </c>
      <c r="AH334">
        <f>SUMIFS($AM$2:AM334,$U$2:U334,U334)</f>
        <v>1249967.8274300001</v>
      </c>
      <c r="AI334" s="5">
        <f>Table1[[#This Row],[Cumulative_revenue]]/Table1[[#This Row],[Category_revenue]]</f>
        <v>0.80671190036897666</v>
      </c>
      <c r="AJ334" t="str">
        <f>IF(Table1[[#This Row],[cumulative_pct]]&lt;=0.8,"A",IF(Table1[[#This Row],[cumulative_pct]]&lt;=0.95,"B","C"))</f>
        <v>B</v>
      </c>
      <c r="AK334">
        <f>Table1[[#This Row],[adj_unit_cost]]*Table1[[#This Row],[scenario_quantity]]</f>
        <v>85024.473599999998</v>
      </c>
      <c r="AL334" s="5">
        <f>Table1[[#This Row],[UnitPrice]]*Table1[[#This Row],[scenario_quantity]]*(1-Table1[[#This Row],[cap_adjusted_discount]])</f>
        <v>107026.44479999998</v>
      </c>
      <c r="AM334" s="5">
        <f>Table1[[#This Row],[UnitPrice]]*Table1[[#This Row],[Quantity]]*(1-Table1[[#This Row],[DiscountPct]])</f>
        <v>87404.929919999995</v>
      </c>
      <c r="AN334" s="5">
        <f>Table1[[#This Row],[gross_revenue]]-Table1[[#This Row],[cost_of_goods]]</f>
        <v>22992.449919999992</v>
      </c>
      <c r="AO334" s="5">
        <f>Table1[[#This Row],[scenario_revenue]]-Table1[[#This Row],[Scenario_unit_cost]]</f>
        <v>22001.971199999985</v>
      </c>
      <c r="AP334" s="5">
        <f>IF(Table1[[#This Row],[gross_revenue]]=0,0,Table1[[#This Row],[gross_profit]]/Table1[[#This Row],[gross_revenue]])</f>
        <v>0.26305667130040061</v>
      </c>
    </row>
    <row r="335" spans="1:42" x14ac:dyDescent="0.35">
      <c r="A335" t="s">
        <v>524</v>
      </c>
      <c r="B335" t="str">
        <f>_xlfn.TEXTAFTER(Table1[[#This Row],[OrderID]],"-",2)</f>
        <v>913592</v>
      </c>
      <c r="C335">
        <f>YEAR(Table1[[#This Row],[OrderDate]])</f>
        <v>2023</v>
      </c>
      <c r="D335" s="9">
        <f>_xlfn.MINIFS(F:F,P:P,Table1[[#This Row],[Country]])</f>
        <v>44955</v>
      </c>
      <c r="E335" s="7">
        <f>DATEDIF(Table1[[#This Row],[first_time_orders]],Table1[[#This Row],[OrderDate]],"m")</f>
        <v>3</v>
      </c>
      <c r="F335" s="9">
        <v>45056</v>
      </c>
      <c r="G335" s="2" t="str">
        <f>TEXT(Table1[[#This Row],[OrderDate]],"MMM-YYYY")</f>
        <v>May-2023</v>
      </c>
      <c r="H335" s="7">
        <f>MONTH(Table1[[#This Row],[OrderDate]])</f>
        <v>5</v>
      </c>
      <c r="I335" s="7" t="str">
        <f>"Q"&amp;ROUNDUP(Table1[[#This Row],[months]]/3,0)&amp;"-"&amp;Table1[[#This Row],[order_year]]</f>
        <v>Q2-2023</v>
      </c>
      <c r="J335" s="7">
        <f>Table1[[#This Row],[RequiredDate]]-Table1[[#This Row],[OrderDate]]</f>
        <v>4</v>
      </c>
      <c r="K335" s="7">
        <f>IF(Table1[[#This Row],[lead_time]]&lt;0,MEDIAN(J:J),Table1[[#This Row],[lead_time]])</f>
        <v>4</v>
      </c>
      <c r="L335" s="7">
        <f>IF(Table1[[#This Row],[adj_lead_time]]&lt;=7,1,0)</f>
        <v>1</v>
      </c>
      <c r="M335" s="9">
        <v>45060</v>
      </c>
      <c r="N335" s="9">
        <f>IF(Table1[[#This Row],[lead_time]]&lt;0,(Table1[[#This Row],[OrderDate]]+Table1[[#This Row],[adj_lead_time]]),Table1[[#This Row],[RequiredDate]])</f>
        <v>45060</v>
      </c>
      <c r="O335" t="s">
        <v>647</v>
      </c>
      <c r="P335" t="s">
        <v>654</v>
      </c>
      <c r="Q335" t="s">
        <v>680</v>
      </c>
      <c r="R335" t="s">
        <v>703</v>
      </c>
      <c r="S335" t="s">
        <v>710</v>
      </c>
      <c r="T335" t="s">
        <v>712</v>
      </c>
      <c r="U335" t="s">
        <v>732</v>
      </c>
      <c r="V335" t="s">
        <v>1243</v>
      </c>
      <c r="W335">
        <v>622.6</v>
      </c>
      <c r="X335">
        <f>Table1[[#This Row],[UnitCost]]*(1+'scenario modeling'!$B$3)</f>
        <v>684.86000000000013</v>
      </c>
      <c r="Y335">
        <v>833.69</v>
      </c>
      <c r="Z335" t="str">
        <f>IF(Table1[[#This Row],[UnitPrice]]&lt;=Quantiles!$B$2,Quantiles!$A$2,IF(Table1[[#This Row],[UnitPrice]]&lt;=Quantiles!$B$3,Quantiles!$A$3,Quantiles!$A$4))</f>
        <v>Medium</v>
      </c>
      <c r="AA335">
        <v>0.20899999999999999</v>
      </c>
      <c r="AB335" s="5">
        <f>MIN(Table1[[#This Row],[DiscountPct]],'scenario modeling'!$B$2)</f>
        <v>0.1</v>
      </c>
      <c r="AC335" t="str">
        <f>IF(Table1[[#This Row],[DiscountPct]]&gt;0.3, "&gt;0.3","")</f>
        <v/>
      </c>
      <c r="AD335">
        <v>14</v>
      </c>
      <c r="AE335">
        <f>Table1[[#This Row],[Quantity]]*(1+'scenario modeling'!$B$4)</f>
        <v>16.8</v>
      </c>
      <c r="AF335">
        <f>Table1[[#This Row],[UnitCost]]*Table1[[#This Row],[Quantity]]</f>
        <v>8716.4</v>
      </c>
      <c r="AG335">
        <f>SUMIF($U:U,Table1[[#This Row],[ProductCategory]],$AM:AM)</f>
        <v>1549460.0077899997</v>
      </c>
      <c r="AH335">
        <f>SUMIFS($AM$2:AM335,$U$2:U335,U335)</f>
        <v>1259200.1104900001</v>
      </c>
      <c r="AI335" s="5">
        <f>Table1[[#This Row],[Cumulative_revenue]]/Table1[[#This Row],[Category_revenue]]</f>
        <v>0.81267028781594797</v>
      </c>
      <c r="AJ335" t="str">
        <f>IF(Table1[[#This Row],[cumulative_pct]]&lt;=0.8,"A",IF(Table1[[#This Row],[cumulative_pct]]&lt;=0.95,"B","C"))</f>
        <v>B</v>
      </c>
      <c r="AK335">
        <f>Table1[[#This Row],[adj_unit_cost]]*Table1[[#This Row],[scenario_quantity]]</f>
        <v>11505.648000000003</v>
      </c>
      <c r="AL335" s="5">
        <f>Table1[[#This Row],[UnitPrice]]*Table1[[#This Row],[scenario_quantity]]*(1-Table1[[#This Row],[cap_adjusted_discount]])</f>
        <v>12605.392800000001</v>
      </c>
      <c r="AM335" s="5">
        <f>Table1[[#This Row],[UnitPrice]]*Table1[[#This Row],[Quantity]]*(1-Table1[[#This Row],[DiscountPct]])</f>
        <v>9232.2830599999998</v>
      </c>
      <c r="AN335" s="5">
        <f>Table1[[#This Row],[gross_revenue]]-Table1[[#This Row],[cost_of_goods]]</f>
        <v>515.88306000000011</v>
      </c>
      <c r="AO335" s="5">
        <f>Table1[[#This Row],[scenario_revenue]]-Table1[[#This Row],[Scenario_unit_cost]]</f>
        <v>1099.7447999999986</v>
      </c>
      <c r="AP335" s="5">
        <f>IF(Table1[[#This Row],[gross_revenue]]=0,0,Table1[[#This Row],[gross_profit]]/Table1[[#This Row],[gross_revenue]])</f>
        <v>5.5878167582959715E-2</v>
      </c>
    </row>
    <row r="336" spans="1:42" x14ac:dyDescent="0.35">
      <c r="A336" t="s">
        <v>104</v>
      </c>
      <c r="B336" t="str">
        <f>_xlfn.TEXTAFTER(Table1[[#This Row],[OrderID]],"-",2)</f>
        <v>258768</v>
      </c>
      <c r="C336">
        <f>YEAR(Table1[[#This Row],[OrderDate]])</f>
        <v>2023</v>
      </c>
      <c r="D336" s="9">
        <f>_xlfn.MINIFS(F:F,P:P,Table1[[#This Row],[Country]])</f>
        <v>44988</v>
      </c>
      <c r="E336" s="7">
        <f>DATEDIF(Table1[[#This Row],[first_time_orders]],Table1[[#This Row],[OrderDate]],"m")</f>
        <v>3</v>
      </c>
      <c r="F336" s="9">
        <v>45106</v>
      </c>
      <c r="G336" s="2" t="str">
        <f>TEXT(Table1[[#This Row],[OrderDate]],"MMM-YYYY")</f>
        <v>Jun-2023</v>
      </c>
      <c r="H336" s="7">
        <f>MONTH(Table1[[#This Row],[OrderDate]])</f>
        <v>6</v>
      </c>
      <c r="I336" s="7" t="str">
        <f>"Q"&amp;ROUNDUP(Table1[[#This Row],[months]]/3,0)&amp;"-"&amp;Table1[[#This Row],[order_year]]</f>
        <v>Q2-2023</v>
      </c>
      <c r="J336" s="7">
        <f>Table1[[#This Row],[RequiredDate]]-Table1[[#This Row],[OrderDate]]</f>
        <v>3</v>
      </c>
      <c r="K336" s="7">
        <f>IF(Table1[[#This Row],[lead_time]]&lt;0,MEDIAN(J:J),Table1[[#This Row],[lead_time]])</f>
        <v>3</v>
      </c>
      <c r="L336" s="7">
        <f>IF(Table1[[#This Row],[adj_lead_time]]&lt;=7,1,0)</f>
        <v>1</v>
      </c>
      <c r="M336" s="9">
        <v>45109</v>
      </c>
      <c r="N336" s="9">
        <f>IF(Table1[[#This Row],[lead_time]]&lt;0,(Table1[[#This Row],[OrderDate]]+Table1[[#This Row],[adj_lead_time]]),Table1[[#This Row],[RequiredDate]])</f>
        <v>45109</v>
      </c>
      <c r="O336" t="s">
        <v>647</v>
      </c>
      <c r="P336" t="s">
        <v>652</v>
      </c>
      <c r="Q336" t="s">
        <v>694</v>
      </c>
      <c r="R336" t="s">
        <v>702</v>
      </c>
      <c r="S336" t="s">
        <v>709</v>
      </c>
      <c r="T336" t="s">
        <v>721</v>
      </c>
      <c r="U336" t="s">
        <v>732</v>
      </c>
      <c r="V336" t="s">
        <v>823</v>
      </c>
      <c r="W336">
        <v>55.65</v>
      </c>
      <c r="X336">
        <f>Table1[[#This Row],[UnitCost]]*(1+'scenario modeling'!$B$3)</f>
        <v>61.215000000000003</v>
      </c>
      <c r="Y336">
        <v>83.57</v>
      </c>
      <c r="Z336" t="str">
        <f>IF(Table1[[#This Row],[UnitPrice]]&lt;=Quantiles!$B$2,Quantiles!$A$2,IF(Table1[[#This Row],[UnitPrice]]&lt;=Quantiles!$B$3,Quantiles!$A$3,Quantiles!$A$4))</f>
        <v>Low</v>
      </c>
      <c r="AA336">
        <v>6.6000000000000003E-2</v>
      </c>
      <c r="AB336" s="5">
        <f>MIN(Table1[[#This Row],[DiscountPct]],'scenario modeling'!$B$2)</f>
        <v>6.6000000000000003E-2</v>
      </c>
      <c r="AC336" t="str">
        <f>IF(Table1[[#This Row],[DiscountPct]]&gt;0.3, "&gt;0.3","")</f>
        <v/>
      </c>
      <c r="AD336">
        <v>8</v>
      </c>
      <c r="AE336">
        <f>Table1[[#This Row],[Quantity]]*(1+'scenario modeling'!$B$4)</f>
        <v>9.6</v>
      </c>
      <c r="AF336">
        <f>Table1[[#This Row],[UnitCost]]*Table1[[#This Row],[Quantity]]</f>
        <v>445.2</v>
      </c>
      <c r="AG336">
        <f>SUMIF($U:U,Table1[[#This Row],[ProductCategory]],$AM:AM)</f>
        <v>1549460.0077899997</v>
      </c>
      <c r="AH336">
        <f>SUMIFS($AM$2:AM336,$U$2:U336,U336)</f>
        <v>1259824.54553</v>
      </c>
      <c r="AI336" s="5">
        <f>Table1[[#This Row],[Cumulative_revenue]]/Table1[[#This Row],[Category_revenue]]</f>
        <v>0.81307328953064895</v>
      </c>
      <c r="AJ336" t="str">
        <f>IF(Table1[[#This Row],[cumulative_pct]]&lt;=0.8,"A",IF(Table1[[#This Row],[cumulative_pct]]&lt;=0.95,"B","C"))</f>
        <v>B</v>
      </c>
      <c r="AK336">
        <f>Table1[[#This Row],[adj_unit_cost]]*Table1[[#This Row],[scenario_quantity]]</f>
        <v>587.66399999999999</v>
      </c>
      <c r="AL336" s="5">
        <f>Table1[[#This Row],[UnitPrice]]*Table1[[#This Row],[scenario_quantity]]*(1-Table1[[#This Row],[cap_adjusted_discount]])</f>
        <v>749.32204799999988</v>
      </c>
      <c r="AM336" s="5">
        <f>Table1[[#This Row],[UnitPrice]]*Table1[[#This Row],[Quantity]]*(1-Table1[[#This Row],[DiscountPct]])</f>
        <v>624.43503999999996</v>
      </c>
      <c r="AN336" s="5">
        <f>Table1[[#This Row],[gross_revenue]]-Table1[[#This Row],[cost_of_goods]]</f>
        <v>179.23503999999997</v>
      </c>
      <c r="AO336" s="5">
        <f>Table1[[#This Row],[scenario_revenue]]-Table1[[#This Row],[Scenario_unit_cost]]</f>
        <v>161.65804799999989</v>
      </c>
      <c r="AP336" s="5">
        <f>IF(Table1[[#This Row],[gross_revenue]]=0,0,Table1[[#This Row],[gross_profit]]/Table1[[#This Row],[gross_revenue]])</f>
        <v>0.2870355257449998</v>
      </c>
    </row>
    <row r="337" spans="1:42" x14ac:dyDescent="0.35">
      <c r="A337" t="s">
        <v>150</v>
      </c>
      <c r="B337" t="str">
        <f>_xlfn.TEXTAFTER(Table1[[#This Row],[OrderID]],"-",2)</f>
        <v>867285</v>
      </c>
      <c r="C337">
        <f>YEAR(Table1[[#This Row],[OrderDate]])</f>
        <v>2023</v>
      </c>
      <c r="D337" s="9">
        <f>_xlfn.MINIFS(F:F,P:P,Table1[[#This Row],[Country]])</f>
        <v>44936</v>
      </c>
      <c r="E337" s="7">
        <f>DATEDIF(Table1[[#This Row],[first_time_orders]],Table1[[#This Row],[OrderDate]],"m")</f>
        <v>3</v>
      </c>
      <c r="F337" s="9">
        <v>45028</v>
      </c>
      <c r="G337" s="2" t="str">
        <f>TEXT(Table1[[#This Row],[OrderDate]],"MMM-YYYY")</f>
        <v>Apr-2023</v>
      </c>
      <c r="H337" s="7">
        <f>MONTH(Table1[[#This Row],[OrderDate]])</f>
        <v>4</v>
      </c>
      <c r="I337" s="7" t="str">
        <f>"Q"&amp;ROUNDUP(Table1[[#This Row],[months]]/3,0)&amp;"-"&amp;Table1[[#This Row],[order_year]]</f>
        <v>Q2-2023</v>
      </c>
      <c r="J337" s="7">
        <f>Table1[[#This Row],[RequiredDate]]-Table1[[#This Row],[OrderDate]]</f>
        <v>5</v>
      </c>
      <c r="K337" s="7">
        <f>IF(Table1[[#This Row],[lead_time]]&lt;0,MEDIAN(J:J),Table1[[#This Row],[lead_time]])</f>
        <v>5</v>
      </c>
      <c r="L337" s="7">
        <f>IF(Table1[[#This Row],[adj_lead_time]]&lt;=7,1,0)</f>
        <v>1</v>
      </c>
      <c r="M337" s="9">
        <v>45033</v>
      </c>
      <c r="N337" s="9">
        <f>IF(Table1[[#This Row],[lead_time]]&lt;0,(Table1[[#This Row],[OrderDate]]+Table1[[#This Row],[adj_lead_time]]),Table1[[#This Row],[RequiredDate]])</f>
        <v>45033</v>
      </c>
      <c r="O337" t="s">
        <v>649</v>
      </c>
      <c r="P337" t="s">
        <v>657</v>
      </c>
      <c r="Q337" t="s">
        <v>679</v>
      </c>
      <c r="R337" t="s">
        <v>706</v>
      </c>
      <c r="S337" t="s">
        <v>711</v>
      </c>
      <c r="T337" t="s">
        <v>718</v>
      </c>
      <c r="U337" t="s">
        <v>732</v>
      </c>
      <c r="V337" t="s">
        <v>869</v>
      </c>
      <c r="W337">
        <v>1087.81</v>
      </c>
      <c r="X337">
        <f>Table1[[#This Row],[UnitCost]]*(1+'scenario modeling'!$B$3)</f>
        <v>1196.5910000000001</v>
      </c>
      <c r="Y337">
        <v>2323.87</v>
      </c>
      <c r="Z337" t="str">
        <f>IF(Table1[[#This Row],[UnitPrice]]&lt;=Quantiles!$B$2,Quantiles!$A$2,IF(Table1[[#This Row],[UnitPrice]]&lt;=Quantiles!$B$3,Quantiles!$A$3,Quantiles!$A$4))</f>
        <v>High</v>
      </c>
      <c r="AA337">
        <v>9.4E-2</v>
      </c>
      <c r="AB337" s="5">
        <f>MIN(Table1[[#This Row],[DiscountPct]],'scenario modeling'!$B$2)</f>
        <v>9.4E-2</v>
      </c>
      <c r="AC337" t="str">
        <f>IF(Table1[[#This Row],[DiscountPct]]&gt;0.3, "&gt;0.3","")</f>
        <v/>
      </c>
      <c r="AD337">
        <v>13</v>
      </c>
      <c r="AE337">
        <f>Table1[[#This Row],[Quantity]]*(1+'scenario modeling'!$B$4)</f>
        <v>15.6</v>
      </c>
      <c r="AF337">
        <f>Table1[[#This Row],[UnitCost]]*Table1[[#This Row],[Quantity]]</f>
        <v>14141.529999999999</v>
      </c>
      <c r="AG337">
        <f>SUMIF($U:U,Table1[[#This Row],[ProductCategory]],$AM:AM)</f>
        <v>1549460.0077899997</v>
      </c>
      <c r="AH337">
        <f>SUMIFS($AM$2:AM337,$U$2:U337,U337)</f>
        <v>1287195.0863900001</v>
      </c>
      <c r="AI337" s="5">
        <f>Table1[[#This Row],[Cumulative_revenue]]/Table1[[#This Row],[Category_revenue]]</f>
        <v>0.83073785700731373</v>
      </c>
      <c r="AJ337" t="str">
        <f>IF(Table1[[#This Row],[cumulative_pct]]&lt;=0.8,"A",IF(Table1[[#This Row],[cumulative_pct]]&lt;=0.95,"B","C"))</f>
        <v>B</v>
      </c>
      <c r="AK337">
        <f>Table1[[#This Row],[adj_unit_cost]]*Table1[[#This Row],[scenario_quantity]]</f>
        <v>18666.819600000003</v>
      </c>
      <c r="AL337" s="5">
        <f>Table1[[#This Row],[UnitPrice]]*Table1[[#This Row],[scenario_quantity]]*(1-Table1[[#This Row],[cap_adjusted_discount]])</f>
        <v>32844.649031999994</v>
      </c>
      <c r="AM337" s="5">
        <f>Table1[[#This Row],[UnitPrice]]*Table1[[#This Row],[Quantity]]*(1-Table1[[#This Row],[DiscountPct]])</f>
        <v>27370.540859999997</v>
      </c>
      <c r="AN337" s="5">
        <f>Table1[[#This Row],[gross_revenue]]-Table1[[#This Row],[cost_of_goods]]</f>
        <v>13229.010859999999</v>
      </c>
      <c r="AO337" s="5">
        <f>Table1[[#This Row],[scenario_revenue]]-Table1[[#This Row],[Scenario_unit_cost]]</f>
        <v>14177.829431999991</v>
      </c>
      <c r="AP337" s="5">
        <f>IF(Table1[[#This Row],[gross_revenue]]=0,0,Table1[[#This Row],[gross_profit]]/Table1[[#This Row],[gross_revenue]])</f>
        <v>0.48333026839572651</v>
      </c>
    </row>
    <row r="338" spans="1:42" x14ac:dyDescent="0.35">
      <c r="A338" t="s">
        <v>565</v>
      </c>
      <c r="B338" t="str">
        <f>_xlfn.TEXTAFTER(Table1[[#This Row],[OrderID]],"-",2)</f>
        <v>419532</v>
      </c>
      <c r="C338">
        <f>YEAR(Table1[[#This Row],[OrderDate]])</f>
        <v>2025</v>
      </c>
      <c r="D338" s="9">
        <f>_xlfn.MINIFS(F:F,P:P,Table1[[#This Row],[Country]])</f>
        <v>44955</v>
      </c>
      <c r="E338" s="7">
        <f>DATEDIF(Table1[[#This Row],[first_time_orders]],Table1[[#This Row],[OrderDate]],"m")</f>
        <v>30</v>
      </c>
      <c r="F338" s="9">
        <v>45875</v>
      </c>
      <c r="G338" s="2" t="str">
        <f>TEXT(Table1[[#This Row],[OrderDate]],"MMM-YYYY")</f>
        <v>Aug-2025</v>
      </c>
      <c r="H338" s="7">
        <f>MONTH(Table1[[#This Row],[OrderDate]])</f>
        <v>8</v>
      </c>
      <c r="I338" s="7" t="str">
        <f>"Q"&amp;ROUNDUP(Table1[[#This Row],[months]]/3,0)&amp;"-"&amp;Table1[[#This Row],[order_year]]</f>
        <v>Q3-2025</v>
      </c>
      <c r="J338" s="7">
        <f>Table1[[#This Row],[RequiredDate]]-Table1[[#This Row],[OrderDate]]</f>
        <v>17</v>
      </c>
      <c r="K338" s="7">
        <f>IF(Table1[[#This Row],[lead_time]]&lt;0,MEDIAN(J:J),Table1[[#This Row],[lead_time]])</f>
        <v>17</v>
      </c>
      <c r="L338" s="7">
        <f>IF(Table1[[#This Row],[adj_lead_time]]&lt;=7,1,0)</f>
        <v>0</v>
      </c>
      <c r="M338" s="9">
        <v>45892</v>
      </c>
      <c r="N338" s="9">
        <f>IF(Table1[[#This Row],[lead_time]]&lt;0,(Table1[[#This Row],[OrderDate]]+Table1[[#This Row],[adj_lead_time]]),Table1[[#This Row],[RequiredDate]])</f>
        <v>45892</v>
      </c>
      <c r="O338" t="s">
        <v>648</v>
      </c>
      <c r="P338" t="s">
        <v>655</v>
      </c>
      <c r="Q338" t="s">
        <v>672</v>
      </c>
      <c r="R338" t="s">
        <v>704</v>
      </c>
      <c r="S338" t="s">
        <v>710</v>
      </c>
      <c r="T338" t="s">
        <v>720</v>
      </c>
      <c r="U338" t="s">
        <v>732</v>
      </c>
      <c r="V338" t="s">
        <v>1283</v>
      </c>
      <c r="W338">
        <v>86.64</v>
      </c>
      <c r="X338">
        <f>Table1[[#This Row],[UnitCost]]*(1+'scenario modeling'!$B$3)</f>
        <v>95.304000000000002</v>
      </c>
      <c r="Y338">
        <v>213.06</v>
      </c>
      <c r="Z338" t="str">
        <f>IF(Table1[[#This Row],[UnitPrice]]&lt;=Quantiles!$B$2,Quantiles!$A$2,IF(Table1[[#This Row],[UnitPrice]]&lt;=Quantiles!$B$3,Quantiles!$A$3,Quantiles!$A$4))</f>
        <v>Low</v>
      </c>
      <c r="AA338">
        <v>0.21199999999999999</v>
      </c>
      <c r="AB338" s="5">
        <f>MIN(Table1[[#This Row],[DiscountPct]],'scenario modeling'!$B$2)</f>
        <v>0.1</v>
      </c>
      <c r="AC338" t="str">
        <f>IF(Table1[[#This Row],[DiscountPct]]&gt;0.3, "&gt;0.3","")</f>
        <v/>
      </c>
      <c r="AD338">
        <v>11</v>
      </c>
      <c r="AE338">
        <f>Table1[[#This Row],[Quantity]]*(1+'scenario modeling'!$B$4)</f>
        <v>13.2</v>
      </c>
      <c r="AF338">
        <f>Table1[[#This Row],[UnitCost]]*Table1[[#This Row],[Quantity]]</f>
        <v>953.04</v>
      </c>
      <c r="AG338">
        <f>SUMIF($U:U,Table1[[#This Row],[ProductCategory]],$AM:AM)</f>
        <v>1549460.0077899997</v>
      </c>
      <c r="AH338">
        <f>SUMIFS($AM$2:AM338,$U$2:U338,U338)</f>
        <v>1289041.89047</v>
      </c>
      <c r="AI338" s="5">
        <f>Table1[[#This Row],[Cumulative_revenue]]/Table1[[#This Row],[Category_revenue]]</f>
        <v>0.83192975874773623</v>
      </c>
      <c r="AJ338" t="str">
        <f>IF(Table1[[#This Row],[cumulative_pct]]&lt;=0.8,"A",IF(Table1[[#This Row],[cumulative_pct]]&lt;=0.95,"B","C"))</f>
        <v>B</v>
      </c>
      <c r="AK338">
        <f>Table1[[#This Row],[adj_unit_cost]]*Table1[[#This Row],[scenario_quantity]]</f>
        <v>1258.0128</v>
      </c>
      <c r="AL338" s="5">
        <f>Table1[[#This Row],[UnitPrice]]*Table1[[#This Row],[scenario_quantity]]*(1-Table1[[#This Row],[cap_adjusted_discount]])</f>
        <v>2531.1527999999998</v>
      </c>
      <c r="AM338" s="5">
        <f>Table1[[#This Row],[UnitPrice]]*Table1[[#This Row],[Quantity]]*(1-Table1[[#This Row],[DiscountPct]])</f>
        <v>1846.8040799999999</v>
      </c>
      <c r="AN338" s="5">
        <f>Table1[[#This Row],[gross_revenue]]-Table1[[#This Row],[cost_of_goods]]</f>
        <v>893.76407999999992</v>
      </c>
      <c r="AO338" s="5">
        <f>Table1[[#This Row],[scenario_revenue]]-Table1[[#This Row],[Scenario_unit_cost]]</f>
        <v>1273.1399999999999</v>
      </c>
      <c r="AP338" s="5">
        <f>IF(Table1[[#This Row],[gross_revenue]]=0,0,Table1[[#This Row],[gross_profit]]/Table1[[#This Row],[gross_revenue]])</f>
        <v>0.48395175735154322</v>
      </c>
    </row>
    <row r="339" spans="1:42" x14ac:dyDescent="0.35">
      <c r="A339" t="s">
        <v>225</v>
      </c>
      <c r="B339" t="str">
        <f>_xlfn.TEXTAFTER(Table1[[#This Row],[OrderID]],"-",2)</f>
        <v>586799</v>
      </c>
      <c r="C339">
        <f>YEAR(Table1[[#This Row],[OrderDate]])</f>
        <v>2025</v>
      </c>
      <c r="D339" s="9">
        <f>_xlfn.MINIFS(F:F,P:P,Table1[[#This Row],[Country]])</f>
        <v>44928</v>
      </c>
      <c r="E339" s="7">
        <f>DATEDIF(Table1[[#This Row],[first_time_orders]],Table1[[#This Row],[OrderDate]],"m")</f>
        <v>30</v>
      </c>
      <c r="F339" s="9">
        <v>45852</v>
      </c>
      <c r="G339" s="2" t="str">
        <f>TEXT(Table1[[#This Row],[OrderDate]],"MMM-YYYY")</f>
        <v>Jul-2025</v>
      </c>
      <c r="H339" s="7">
        <f>MONTH(Table1[[#This Row],[OrderDate]])</f>
        <v>7</v>
      </c>
      <c r="I339" s="7" t="str">
        <f>"Q"&amp;ROUNDUP(Table1[[#This Row],[months]]/3,0)&amp;"-"&amp;Table1[[#This Row],[order_year]]</f>
        <v>Q3-2025</v>
      </c>
      <c r="J339" s="7">
        <f>Table1[[#This Row],[RequiredDate]]-Table1[[#This Row],[OrderDate]]</f>
        <v>21</v>
      </c>
      <c r="K339" s="7">
        <f>IF(Table1[[#This Row],[lead_time]]&lt;0,MEDIAN(J:J),Table1[[#This Row],[lead_time]])</f>
        <v>21</v>
      </c>
      <c r="L339" s="7">
        <f>IF(Table1[[#This Row],[adj_lead_time]]&lt;=7,1,0)</f>
        <v>0</v>
      </c>
      <c r="M339" s="9">
        <v>45873</v>
      </c>
      <c r="N339" s="9">
        <f>IF(Table1[[#This Row],[lead_time]]&lt;0,(Table1[[#This Row],[OrderDate]]+Table1[[#This Row],[adj_lead_time]]),Table1[[#This Row],[RequiredDate]])</f>
        <v>45873</v>
      </c>
      <c r="O339" t="s">
        <v>648</v>
      </c>
      <c r="P339" t="s">
        <v>653</v>
      </c>
      <c r="Q339" t="s">
        <v>681</v>
      </c>
      <c r="R339" t="s">
        <v>704</v>
      </c>
      <c r="S339" t="s">
        <v>708</v>
      </c>
      <c r="T339" t="s">
        <v>722</v>
      </c>
      <c r="U339" t="s">
        <v>732</v>
      </c>
      <c r="V339" t="s">
        <v>945</v>
      </c>
      <c r="W339">
        <v>90.3</v>
      </c>
      <c r="X339">
        <f>Table1[[#This Row],[UnitCost]]*(1+'scenario modeling'!$B$3)</f>
        <v>99.33</v>
      </c>
      <c r="Y339">
        <v>131.76</v>
      </c>
      <c r="Z339" t="str">
        <f>IF(Table1[[#This Row],[UnitPrice]]&lt;=Quantiles!$B$2,Quantiles!$A$2,IF(Table1[[#This Row],[UnitPrice]]&lt;=Quantiles!$B$3,Quantiles!$A$3,Quantiles!$A$4))</f>
        <v>Low</v>
      </c>
      <c r="AA339">
        <v>0.10199999999999999</v>
      </c>
      <c r="AB339" s="5">
        <f>MIN(Table1[[#This Row],[DiscountPct]],'scenario modeling'!$B$2)</f>
        <v>0.1</v>
      </c>
      <c r="AC339" t="str">
        <f>IF(Table1[[#This Row],[DiscountPct]]&gt;0.3, "&gt;0.3","")</f>
        <v/>
      </c>
      <c r="AD339">
        <v>15</v>
      </c>
      <c r="AE339">
        <f>Table1[[#This Row],[Quantity]]*(1+'scenario modeling'!$B$4)</f>
        <v>18</v>
      </c>
      <c r="AF339">
        <f>Table1[[#This Row],[UnitCost]]*Table1[[#This Row],[Quantity]]</f>
        <v>1354.5</v>
      </c>
      <c r="AG339">
        <f>SUMIF($U:U,Table1[[#This Row],[ProductCategory]],$AM:AM)</f>
        <v>1549460.0077899997</v>
      </c>
      <c r="AH339">
        <f>SUMIFS($AM$2:AM339,$U$2:U339,U339)</f>
        <v>1290816.6976699999</v>
      </c>
      <c r="AI339" s="5">
        <f>Table1[[#This Row],[Cumulative_revenue]]/Table1[[#This Row],[Category_revenue]]</f>
        <v>0.83307519470031133</v>
      </c>
      <c r="AJ339" t="str">
        <f>IF(Table1[[#This Row],[cumulative_pct]]&lt;=0.8,"A",IF(Table1[[#This Row],[cumulative_pct]]&lt;=0.95,"B","C"))</f>
        <v>B</v>
      </c>
      <c r="AK339">
        <f>Table1[[#This Row],[adj_unit_cost]]*Table1[[#This Row],[scenario_quantity]]</f>
        <v>1787.94</v>
      </c>
      <c r="AL339" s="5">
        <f>Table1[[#This Row],[UnitPrice]]*Table1[[#This Row],[scenario_quantity]]*(1-Table1[[#This Row],[cap_adjusted_discount]])</f>
        <v>2134.5119999999997</v>
      </c>
      <c r="AM339" s="5">
        <f>Table1[[#This Row],[UnitPrice]]*Table1[[#This Row],[Quantity]]*(1-Table1[[#This Row],[DiscountPct]])</f>
        <v>1774.8072</v>
      </c>
      <c r="AN339" s="5">
        <f>Table1[[#This Row],[gross_revenue]]-Table1[[#This Row],[cost_of_goods]]</f>
        <v>420.30719999999997</v>
      </c>
      <c r="AO339" s="5">
        <f>Table1[[#This Row],[scenario_revenue]]-Table1[[#This Row],[Scenario_unit_cost]]</f>
        <v>346.57199999999966</v>
      </c>
      <c r="AP339" s="5">
        <f>IF(Table1[[#This Row],[gross_revenue]]=0,0,Table1[[#This Row],[gross_profit]]/Table1[[#This Row],[gross_revenue]])</f>
        <v>0.23681851189244668</v>
      </c>
    </row>
    <row r="340" spans="1:42" x14ac:dyDescent="0.35">
      <c r="A340" t="s">
        <v>111</v>
      </c>
      <c r="B340" t="str">
        <f>_xlfn.TEXTAFTER(Table1[[#This Row],[OrderID]],"-",2)</f>
        <v>262491</v>
      </c>
      <c r="C340">
        <f>YEAR(Table1[[#This Row],[OrderDate]])</f>
        <v>2025</v>
      </c>
      <c r="D340" s="9">
        <f>_xlfn.MINIFS(F:F,P:P,Table1[[#This Row],[Country]])</f>
        <v>44955</v>
      </c>
      <c r="E340" s="7">
        <f>DATEDIF(Table1[[#This Row],[first_time_orders]],Table1[[#This Row],[OrderDate]],"m")</f>
        <v>30</v>
      </c>
      <c r="F340" s="9">
        <v>45870</v>
      </c>
      <c r="G340" s="2" t="str">
        <f>TEXT(Table1[[#This Row],[OrderDate]],"MMM-YYYY")</f>
        <v>Aug-2025</v>
      </c>
      <c r="H340" s="7">
        <f>MONTH(Table1[[#This Row],[OrderDate]])</f>
        <v>8</v>
      </c>
      <c r="I340" s="7" t="str">
        <f>"Q"&amp;ROUNDUP(Table1[[#This Row],[months]]/3,0)&amp;"-"&amp;Table1[[#This Row],[order_year]]</f>
        <v>Q3-2025</v>
      </c>
      <c r="J340" s="7">
        <f>Table1[[#This Row],[RequiredDate]]-Table1[[#This Row],[OrderDate]]</f>
        <v>15</v>
      </c>
      <c r="K340" s="7">
        <f>IF(Table1[[#This Row],[lead_time]]&lt;0,MEDIAN(J:J),Table1[[#This Row],[lead_time]])</f>
        <v>15</v>
      </c>
      <c r="L340" s="7">
        <f>IF(Table1[[#This Row],[adj_lead_time]]&lt;=7,1,0)</f>
        <v>0</v>
      </c>
      <c r="M340" s="9">
        <v>45885</v>
      </c>
      <c r="N340" s="9">
        <f>IF(Table1[[#This Row],[lead_time]]&lt;0,(Table1[[#This Row],[OrderDate]]+Table1[[#This Row],[adj_lead_time]]),Table1[[#This Row],[RequiredDate]])</f>
        <v>45885</v>
      </c>
      <c r="O340" t="s">
        <v>647</v>
      </c>
      <c r="P340" t="s">
        <v>654</v>
      </c>
      <c r="Q340" t="s">
        <v>680</v>
      </c>
      <c r="R340" t="s">
        <v>706</v>
      </c>
      <c r="S340" t="s">
        <v>711</v>
      </c>
      <c r="T340" t="s">
        <v>719</v>
      </c>
      <c r="U340" t="s">
        <v>732</v>
      </c>
      <c r="V340" t="s">
        <v>830</v>
      </c>
      <c r="W340">
        <v>24.44</v>
      </c>
      <c r="X340">
        <f>Table1[[#This Row],[UnitCost]]*(1+'scenario modeling'!$B$3)</f>
        <v>26.884000000000004</v>
      </c>
      <c r="Y340">
        <v>28.69</v>
      </c>
      <c r="Z340" t="str">
        <f>IF(Table1[[#This Row],[UnitPrice]]&lt;=Quantiles!$B$2,Quantiles!$A$2,IF(Table1[[#This Row],[UnitPrice]]&lt;=Quantiles!$B$3,Quantiles!$A$3,Quantiles!$A$4))</f>
        <v>Low</v>
      </c>
      <c r="AA340">
        <v>0.14599999999999999</v>
      </c>
      <c r="AB340" s="5">
        <f>MIN(Table1[[#This Row],[DiscountPct]],'scenario modeling'!$B$2)</f>
        <v>0.1</v>
      </c>
      <c r="AC340" t="str">
        <f>IF(Table1[[#This Row],[DiscountPct]]&gt;0.3, "&gt;0.3","")</f>
        <v/>
      </c>
      <c r="AD340">
        <v>6</v>
      </c>
      <c r="AE340">
        <f>Table1[[#This Row],[Quantity]]*(1+'scenario modeling'!$B$4)</f>
        <v>7.1999999999999993</v>
      </c>
      <c r="AF340">
        <f>Table1[[#This Row],[UnitCost]]*Table1[[#This Row],[Quantity]]</f>
        <v>146.64000000000001</v>
      </c>
      <c r="AG340">
        <f>SUMIF($U:U,Table1[[#This Row],[ProductCategory]],$AM:AM)</f>
        <v>1549460.0077899997</v>
      </c>
      <c r="AH340">
        <f>SUMIFS($AM$2:AM340,$U$2:U340,U340)</f>
        <v>1290963.70523</v>
      </c>
      <c r="AI340" s="5">
        <f>Table1[[#This Row],[Cumulative_revenue]]/Table1[[#This Row],[Category_revenue]]</f>
        <v>0.83317007134072862</v>
      </c>
      <c r="AJ340" t="str">
        <f>IF(Table1[[#This Row],[cumulative_pct]]&lt;=0.8,"A",IF(Table1[[#This Row],[cumulative_pct]]&lt;=0.95,"B","C"))</f>
        <v>B</v>
      </c>
      <c r="AK340">
        <f>Table1[[#This Row],[adj_unit_cost]]*Table1[[#This Row],[scenario_quantity]]</f>
        <v>193.56480000000002</v>
      </c>
      <c r="AL340" s="5">
        <f>Table1[[#This Row],[UnitPrice]]*Table1[[#This Row],[scenario_quantity]]*(1-Table1[[#This Row],[cap_adjusted_discount]])</f>
        <v>185.91119999999998</v>
      </c>
      <c r="AM340" s="5">
        <f>Table1[[#This Row],[UnitPrice]]*Table1[[#This Row],[Quantity]]*(1-Table1[[#This Row],[DiscountPct]])</f>
        <v>147.00756000000001</v>
      </c>
      <c r="AN340" s="5">
        <f>Table1[[#This Row],[gross_revenue]]-Table1[[#This Row],[cost_of_goods]]</f>
        <v>0.36755999999999744</v>
      </c>
      <c r="AO340" s="5">
        <f>Table1[[#This Row],[scenario_revenue]]-Table1[[#This Row],[Scenario_unit_cost]]</f>
        <v>-7.6536000000000399</v>
      </c>
      <c r="AP340" s="5">
        <f>IF(Table1[[#This Row],[gross_revenue]]=0,0,Table1[[#This Row],[gross_profit]]/Table1[[#This Row],[gross_revenue]])</f>
        <v>2.5002795774584476E-3</v>
      </c>
    </row>
    <row r="341" spans="1:42" x14ac:dyDescent="0.35">
      <c r="A341" t="s">
        <v>263</v>
      </c>
      <c r="B341" t="str">
        <f>_xlfn.TEXTAFTER(Table1[[#This Row],[OrderID]],"-",2)</f>
        <v>248586</v>
      </c>
      <c r="C341">
        <f>YEAR(Table1[[#This Row],[OrderDate]])</f>
        <v>2025</v>
      </c>
      <c r="D341" s="9">
        <f>_xlfn.MINIFS(F:F,P:P,Table1[[#This Row],[Country]])</f>
        <v>44988</v>
      </c>
      <c r="E341" s="7">
        <f>DATEDIF(Table1[[#This Row],[first_time_orders]],Table1[[#This Row],[OrderDate]],"m")</f>
        <v>30</v>
      </c>
      <c r="F341" s="9">
        <v>45912</v>
      </c>
      <c r="G341" s="2" t="str">
        <f>TEXT(Table1[[#This Row],[OrderDate]],"MMM-YYYY")</f>
        <v>Sept-2025</v>
      </c>
      <c r="H341" s="7">
        <f>MONTH(Table1[[#This Row],[OrderDate]])</f>
        <v>9</v>
      </c>
      <c r="I341" s="7" t="str">
        <f>"Q"&amp;ROUNDUP(Table1[[#This Row],[months]]/3,0)&amp;"-"&amp;Table1[[#This Row],[order_year]]</f>
        <v>Q3-2025</v>
      </c>
      <c r="J341" s="7">
        <f>Table1[[#This Row],[RequiredDate]]-Table1[[#This Row],[OrderDate]]</f>
        <v>18</v>
      </c>
      <c r="K341" s="7">
        <f>IF(Table1[[#This Row],[lead_time]]&lt;0,MEDIAN(J:J),Table1[[#This Row],[lead_time]])</f>
        <v>18</v>
      </c>
      <c r="L341" s="7">
        <f>IF(Table1[[#This Row],[adj_lead_time]]&lt;=7,1,0)</f>
        <v>0</v>
      </c>
      <c r="M341" s="9">
        <v>45930</v>
      </c>
      <c r="N341" s="9">
        <f>IF(Table1[[#This Row],[lead_time]]&lt;0,(Table1[[#This Row],[OrderDate]]+Table1[[#This Row],[adj_lead_time]]),Table1[[#This Row],[RequiredDate]])</f>
        <v>45930</v>
      </c>
      <c r="O341" t="s">
        <v>647</v>
      </c>
      <c r="P341" t="s">
        <v>652</v>
      </c>
      <c r="Q341" t="s">
        <v>694</v>
      </c>
      <c r="R341" t="s">
        <v>703</v>
      </c>
      <c r="S341" t="s">
        <v>709</v>
      </c>
      <c r="T341" t="s">
        <v>721</v>
      </c>
      <c r="U341" t="s">
        <v>732</v>
      </c>
      <c r="V341" t="s">
        <v>983</v>
      </c>
      <c r="W341">
        <v>1212.99</v>
      </c>
      <c r="X341">
        <f>Table1[[#This Row],[UnitCost]]*(1+'scenario modeling'!$B$3)</f>
        <v>1334.2890000000002</v>
      </c>
      <c r="Y341">
        <v>1653.64</v>
      </c>
      <c r="Z341" t="str">
        <f>IF(Table1[[#This Row],[UnitPrice]]&lt;=Quantiles!$B$2,Quantiles!$A$2,IF(Table1[[#This Row],[UnitPrice]]&lt;=Quantiles!$B$3,Quantiles!$A$3,Quantiles!$A$4))</f>
        <v>High</v>
      </c>
      <c r="AA341">
        <v>0.107</v>
      </c>
      <c r="AB341" s="5">
        <f>MIN(Table1[[#This Row],[DiscountPct]],'scenario modeling'!$B$2)</f>
        <v>0.1</v>
      </c>
      <c r="AC341" t="str">
        <f>IF(Table1[[#This Row],[DiscountPct]]&gt;0.3, "&gt;0.3","")</f>
        <v/>
      </c>
      <c r="AD341">
        <v>8</v>
      </c>
      <c r="AE341">
        <f>Table1[[#This Row],[Quantity]]*(1+'scenario modeling'!$B$4)</f>
        <v>9.6</v>
      </c>
      <c r="AF341">
        <f>Table1[[#This Row],[UnitCost]]*Table1[[#This Row],[Quantity]]</f>
        <v>9703.92</v>
      </c>
      <c r="AG341">
        <f>SUMIF($U:U,Table1[[#This Row],[ProductCategory]],$AM:AM)</f>
        <v>1549460.0077899997</v>
      </c>
      <c r="AH341">
        <f>SUMIFS($AM$2:AM341,$U$2:U341,U341)</f>
        <v>1302777.3093900001</v>
      </c>
      <c r="AI341" s="5">
        <f>Table1[[#This Row],[Cumulative_revenue]]/Table1[[#This Row],[Category_revenue]]</f>
        <v>0.84079440762601931</v>
      </c>
      <c r="AJ341" t="str">
        <f>IF(Table1[[#This Row],[cumulative_pct]]&lt;=0.8,"A",IF(Table1[[#This Row],[cumulative_pct]]&lt;=0.95,"B","C"))</f>
        <v>B</v>
      </c>
      <c r="AK341">
        <f>Table1[[#This Row],[adj_unit_cost]]*Table1[[#This Row],[scenario_quantity]]</f>
        <v>12809.174400000002</v>
      </c>
      <c r="AL341" s="5">
        <f>Table1[[#This Row],[UnitPrice]]*Table1[[#This Row],[scenario_quantity]]*(1-Table1[[#This Row],[cap_adjusted_discount]])</f>
        <v>14287.4496</v>
      </c>
      <c r="AM341" s="5">
        <f>Table1[[#This Row],[UnitPrice]]*Table1[[#This Row],[Quantity]]*(1-Table1[[#This Row],[DiscountPct]])</f>
        <v>11813.604160000001</v>
      </c>
      <c r="AN341" s="5">
        <f>Table1[[#This Row],[gross_revenue]]-Table1[[#This Row],[cost_of_goods]]</f>
        <v>2109.6841600000007</v>
      </c>
      <c r="AO341" s="5">
        <f>Table1[[#This Row],[scenario_revenue]]-Table1[[#This Row],[Scenario_unit_cost]]</f>
        <v>1478.2751999999982</v>
      </c>
      <c r="AP341" s="5">
        <f>IF(Table1[[#This Row],[gross_revenue]]=0,0,Table1[[#This Row],[gross_profit]]/Table1[[#This Row],[gross_revenue]])</f>
        <v>0.17858090819931455</v>
      </c>
    </row>
    <row r="342" spans="1:42" x14ac:dyDescent="0.35">
      <c r="A342" t="s">
        <v>410</v>
      </c>
      <c r="B342" t="str">
        <f>_xlfn.TEXTAFTER(Table1[[#This Row],[OrderID]],"-",2)</f>
        <v>677880</v>
      </c>
      <c r="C342">
        <f>YEAR(Table1[[#This Row],[OrderDate]])</f>
        <v>2025</v>
      </c>
      <c r="D342" s="9">
        <f>_xlfn.MINIFS(F:F,P:P,Table1[[#This Row],[Country]])</f>
        <v>44948</v>
      </c>
      <c r="E342" s="7">
        <f>DATEDIF(Table1[[#This Row],[first_time_orders]],Table1[[#This Row],[OrderDate]],"m")</f>
        <v>30</v>
      </c>
      <c r="F342" s="9">
        <v>45890</v>
      </c>
      <c r="G342" s="2" t="str">
        <f>TEXT(Table1[[#This Row],[OrderDate]],"MMM-YYYY")</f>
        <v>Aug-2025</v>
      </c>
      <c r="H342" s="7">
        <f>MONTH(Table1[[#This Row],[OrderDate]])</f>
        <v>8</v>
      </c>
      <c r="I342" s="7" t="str">
        <f>"Q"&amp;ROUNDUP(Table1[[#This Row],[months]]/3,0)&amp;"-"&amp;Table1[[#This Row],[order_year]]</f>
        <v>Q3-2025</v>
      </c>
      <c r="J342" s="7">
        <f>Table1[[#This Row],[RequiredDate]]-Table1[[#This Row],[OrderDate]]</f>
        <v>24</v>
      </c>
      <c r="K342" s="7">
        <f>IF(Table1[[#This Row],[lead_time]]&lt;0,MEDIAN(J:J),Table1[[#This Row],[lead_time]])</f>
        <v>24</v>
      </c>
      <c r="L342" s="7">
        <f>IF(Table1[[#This Row],[adj_lead_time]]&lt;=7,1,0)</f>
        <v>0</v>
      </c>
      <c r="M342" s="9">
        <v>45914</v>
      </c>
      <c r="N342" s="9">
        <f>IF(Table1[[#This Row],[lead_time]]&lt;0,(Table1[[#This Row],[OrderDate]]+Table1[[#This Row],[adj_lead_time]]),Table1[[#This Row],[RequiredDate]])</f>
        <v>45914</v>
      </c>
      <c r="O342" t="s">
        <v>649</v>
      </c>
      <c r="P342" t="s">
        <v>656</v>
      </c>
      <c r="Q342" t="s">
        <v>671</v>
      </c>
      <c r="R342" t="s">
        <v>703</v>
      </c>
      <c r="S342" t="s">
        <v>708</v>
      </c>
      <c r="T342" t="s">
        <v>720</v>
      </c>
      <c r="U342" t="s">
        <v>732</v>
      </c>
      <c r="V342" t="s">
        <v>1129</v>
      </c>
      <c r="W342">
        <v>1397.67</v>
      </c>
      <c r="X342">
        <f>Table1[[#This Row],[UnitCost]]*(1+'scenario modeling'!$B$3)</f>
        <v>1537.4370000000001</v>
      </c>
      <c r="Y342">
        <v>3131.37</v>
      </c>
      <c r="Z342" t="str">
        <f>IF(Table1[[#This Row],[UnitPrice]]&lt;=Quantiles!$B$2,Quantiles!$A$2,IF(Table1[[#This Row],[UnitPrice]]&lt;=Quantiles!$B$3,Quantiles!$A$3,Quantiles!$A$4))</f>
        <v>High</v>
      </c>
      <c r="AA342">
        <v>0.10299999999999999</v>
      </c>
      <c r="AB342" s="5">
        <f>MIN(Table1[[#This Row],[DiscountPct]],'scenario modeling'!$B$2)</f>
        <v>0.1</v>
      </c>
      <c r="AC342" t="str">
        <f>IF(Table1[[#This Row],[DiscountPct]]&gt;0.3, "&gt;0.3","")</f>
        <v/>
      </c>
      <c r="AD342">
        <v>20</v>
      </c>
      <c r="AE342">
        <f>Table1[[#This Row],[Quantity]]*(1+'scenario modeling'!$B$4)</f>
        <v>24</v>
      </c>
      <c r="AF342">
        <f>Table1[[#This Row],[UnitCost]]*Table1[[#This Row],[Quantity]]</f>
        <v>27953.4</v>
      </c>
      <c r="AG342">
        <f>SUMIF($U:U,Table1[[#This Row],[ProductCategory]],$AM:AM)</f>
        <v>1549460.0077899997</v>
      </c>
      <c r="AH342">
        <f>SUMIFS($AM$2:AM342,$U$2:U342,U342)</f>
        <v>1358954.0871900001</v>
      </c>
      <c r="AI342" s="5">
        <f>Table1[[#This Row],[Cumulative_revenue]]/Table1[[#This Row],[Category_revenue]]</f>
        <v>0.87705012091811341</v>
      </c>
      <c r="AJ342" t="str">
        <f>IF(Table1[[#This Row],[cumulative_pct]]&lt;=0.8,"A",IF(Table1[[#This Row],[cumulative_pct]]&lt;=0.95,"B","C"))</f>
        <v>B</v>
      </c>
      <c r="AK342">
        <f>Table1[[#This Row],[adj_unit_cost]]*Table1[[#This Row],[scenario_quantity]]</f>
        <v>36898.488000000005</v>
      </c>
      <c r="AL342" s="5">
        <f>Table1[[#This Row],[UnitPrice]]*Table1[[#This Row],[scenario_quantity]]*(1-Table1[[#This Row],[cap_adjusted_discount]])</f>
        <v>67637.592000000004</v>
      </c>
      <c r="AM342" s="5">
        <f>Table1[[#This Row],[UnitPrice]]*Table1[[#This Row],[Quantity]]*(1-Table1[[#This Row],[DiscountPct]])</f>
        <v>56176.777799999996</v>
      </c>
      <c r="AN342" s="5">
        <f>Table1[[#This Row],[gross_revenue]]-Table1[[#This Row],[cost_of_goods]]</f>
        <v>28223.377799999995</v>
      </c>
      <c r="AO342" s="5">
        <f>Table1[[#This Row],[scenario_revenue]]-Table1[[#This Row],[Scenario_unit_cost]]</f>
        <v>30739.103999999999</v>
      </c>
      <c r="AP342" s="5">
        <f>IF(Table1[[#This Row],[gross_revenue]]=0,0,Table1[[#This Row],[gross_profit]]/Table1[[#This Row],[gross_revenue]])</f>
        <v>0.50240293062874808</v>
      </c>
    </row>
    <row r="343" spans="1:42" x14ac:dyDescent="0.35">
      <c r="A343" t="s">
        <v>513</v>
      </c>
      <c r="B343" t="str">
        <f>_xlfn.TEXTAFTER(Table1[[#This Row],[OrderID]],"-",2)</f>
        <v>823055</v>
      </c>
      <c r="C343">
        <f>YEAR(Table1[[#This Row],[OrderDate]])</f>
        <v>2025</v>
      </c>
      <c r="D343" s="9">
        <f>_xlfn.MINIFS(F:F,P:P,Table1[[#This Row],[Country]])</f>
        <v>44955</v>
      </c>
      <c r="E343" s="7">
        <f>DATEDIF(Table1[[#This Row],[first_time_orders]],Table1[[#This Row],[OrderDate]],"m")</f>
        <v>31</v>
      </c>
      <c r="F343" s="9">
        <v>45908</v>
      </c>
      <c r="G343" s="2" t="str">
        <f>TEXT(Table1[[#This Row],[OrderDate]],"MMM-YYYY")</f>
        <v>Sept-2025</v>
      </c>
      <c r="H343" s="7">
        <f>MONTH(Table1[[#This Row],[OrderDate]])</f>
        <v>9</v>
      </c>
      <c r="I343" s="7" t="str">
        <f>"Q"&amp;ROUNDUP(Table1[[#This Row],[months]]/3,0)&amp;"-"&amp;Table1[[#This Row],[order_year]]</f>
        <v>Q3-2025</v>
      </c>
      <c r="J343" s="7">
        <f>Table1[[#This Row],[RequiredDate]]-Table1[[#This Row],[OrderDate]]</f>
        <v>27</v>
      </c>
      <c r="K343" s="7">
        <f>IF(Table1[[#This Row],[lead_time]]&lt;0,MEDIAN(J:J),Table1[[#This Row],[lead_time]])</f>
        <v>27</v>
      </c>
      <c r="L343" s="7">
        <f>IF(Table1[[#This Row],[adj_lead_time]]&lt;=7,1,0)</f>
        <v>0</v>
      </c>
      <c r="M343" s="9">
        <v>45935</v>
      </c>
      <c r="N343" s="9">
        <f>IF(Table1[[#This Row],[lead_time]]&lt;0,(Table1[[#This Row],[OrderDate]]+Table1[[#This Row],[adj_lead_time]]),Table1[[#This Row],[RequiredDate]])</f>
        <v>45935</v>
      </c>
      <c r="O343" t="s">
        <v>648</v>
      </c>
      <c r="P343" t="s">
        <v>655</v>
      </c>
      <c r="Q343" t="s">
        <v>692</v>
      </c>
      <c r="R343" t="s">
        <v>702</v>
      </c>
      <c r="S343" t="s">
        <v>708</v>
      </c>
      <c r="T343" t="s">
        <v>712</v>
      </c>
      <c r="U343" t="s">
        <v>732</v>
      </c>
      <c r="V343" t="s">
        <v>1232</v>
      </c>
      <c r="W343">
        <v>660.78</v>
      </c>
      <c r="X343">
        <f>Table1[[#This Row],[UnitCost]]*(1+'scenario modeling'!$B$3)</f>
        <v>726.85800000000006</v>
      </c>
      <c r="Y343">
        <v>1630.39</v>
      </c>
      <c r="Z343" t="str">
        <f>IF(Table1[[#This Row],[UnitPrice]]&lt;=Quantiles!$B$2,Quantiles!$A$2,IF(Table1[[#This Row],[UnitPrice]]&lt;=Quantiles!$B$3,Quantiles!$A$3,Quantiles!$A$4))</f>
        <v>Medium</v>
      </c>
      <c r="AA343">
        <v>0.218</v>
      </c>
      <c r="AB343" s="5">
        <f>MIN(Table1[[#This Row],[DiscountPct]],'scenario modeling'!$B$2)</f>
        <v>0.1</v>
      </c>
      <c r="AC343" t="str">
        <f>IF(Table1[[#This Row],[DiscountPct]]&gt;0.3, "&gt;0.3","")</f>
        <v/>
      </c>
      <c r="AD343">
        <v>13</v>
      </c>
      <c r="AE343">
        <f>Table1[[#This Row],[Quantity]]*(1+'scenario modeling'!$B$4)</f>
        <v>15.6</v>
      </c>
      <c r="AF343">
        <f>Table1[[#This Row],[UnitCost]]*Table1[[#This Row],[Quantity]]</f>
        <v>8590.14</v>
      </c>
      <c r="AG343">
        <f>SUMIF($U:U,Table1[[#This Row],[ProductCategory]],$AM:AM)</f>
        <v>1549460.0077899997</v>
      </c>
      <c r="AH343">
        <f>SUMIFS($AM$2:AM343,$U$2:U343,U343)</f>
        <v>1375528.6319300001</v>
      </c>
      <c r="AI343" s="5">
        <f>Table1[[#This Row],[Cumulative_revenue]]/Table1[[#This Row],[Category_revenue]]</f>
        <v>0.88774710222558217</v>
      </c>
      <c r="AJ343" t="str">
        <f>IF(Table1[[#This Row],[cumulative_pct]]&lt;=0.8,"A",IF(Table1[[#This Row],[cumulative_pct]]&lt;=0.95,"B","C"))</f>
        <v>B</v>
      </c>
      <c r="AK343">
        <f>Table1[[#This Row],[adj_unit_cost]]*Table1[[#This Row],[scenario_quantity]]</f>
        <v>11338.9848</v>
      </c>
      <c r="AL343" s="5">
        <f>Table1[[#This Row],[UnitPrice]]*Table1[[#This Row],[scenario_quantity]]*(1-Table1[[#This Row],[cap_adjusted_discount]])</f>
        <v>22890.675600000002</v>
      </c>
      <c r="AM343" s="5">
        <f>Table1[[#This Row],[UnitPrice]]*Table1[[#This Row],[Quantity]]*(1-Table1[[#This Row],[DiscountPct]])</f>
        <v>16574.544740000001</v>
      </c>
      <c r="AN343" s="5">
        <f>Table1[[#This Row],[gross_revenue]]-Table1[[#This Row],[cost_of_goods]]</f>
        <v>7984.4047400000018</v>
      </c>
      <c r="AO343" s="5">
        <f>Table1[[#This Row],[scenario_revenue]]-Table1[[#This Row],[Scenario_unit_cost]]</f>
        <v>11551.690800000002</v>
      </c>
      <c r="AP343" s="5">
        <f>IF(Table1[[#This Row],[gross_revenue]]=0,0,Table1[[#This Row],[gross_profit]]/Table1[[#This Row],[gross_revenue]])</f>
        <v>0.48172694123724097</v>
      </c>
    </row>
    <row r="344" spans="1:42" x14ac:dyDescent="0.35">
      <c r="A344" t="s">
        <v>468</v>
      </c>
      <c r="B344" t="str">
        <f>_xlfn.TEXTAFTER(Table1[[#This Row],[OrderID]],"-",2)</f>
        <v>172095</v>
      </c>
      <c r="C344">
        <f>YEAR(Table1[[#This Row],[OrderDate]])</f>
        <v>2023</v>
      </c>
      <c r="D344" s="9">
        <f>_xlfn.MINIFS(F:F,P:P,Table1[[#This Row],[Country]])</f>
        <v>44939</v>
      </c>
      <c r="E344" s="7">
        <f>DATEDIF(Table1[[#This Row],[first_time_orders]],Table1[[#This Row],[OrderDate]],"m")</f>
        <v>4</v>
      </c>
      <c r="F344" s="9">
        <v>45070</v>
      </c>
      <c r="G344" s="2" t="str">
        <f>TEXT(Table1[[#This Row],[OrderDate]],"MMM-YYYY")</f>
        <v>May-2023</v>
      </c>
      <c r="H344" s="7">
        <f>MONTH(Table1[[#This Row],[OrderDate]])</f>
        <v>5</v>
      </c>
      <c r="I344" s="7" t="str">
        <f>"Q"&amp;ROUNDUP(Table1[[#This Row],[months]]/3,0)&amp;"-"&amp;Table1[[#This Row],[order_year]]</f>
        <v>Q2-2023</v>
      </c>
      <c r="J344" s="7">
        <f>Table1[[#This Row],[RequiredDate]]-Table1[[#This Row],[OrderDate]]</f>
        <v>28</v>
      </c>
      <c r="K344" s="7">
        <f>IF(Table1[[#This Row],[lead_time]]&lt;0,MEDIAN(J:J),Table1[[#This Row],[lead_time]])</f>
        <v>28</v>
      </c>
      <c r="L344" s="7">
        <f>IF(Table1[[#This Row],[adj_lead_time]]&lt;=7,1,0)</f>
        <v>0</v>
      </c>
      <c r="M344" s="9">
        <v>45098</v>
      </c>
      <c r="N344" s="9">
        <f>IF(Table1[[#This Row],[lead_time]]&lt;0,(Table1[[#This Row],[OrderDate]]+Table1[[#This Row],[adj_lead_time]]),Table1[[#This Row],[RequiredDate]])</f>
        <v>45098</v>
      </c>
      <c r="O344" t="s">
        <v>648</v>
      </c>
      <c r="P344" t="s">
        <v>660</v>
      </c>
      <c r="Q344" t="s">
        <v>697</v>
      </c>
      <c r="R344" t="s">
        <v>705</v>
      </c>
      <c r="S344" t="s">
        <v>709</v>
      </c>
      <c r="T344" t="s">
        <v>715</v>
      </c>
      <c r="U344" t="s">
        <v>732</v>
      </c>
      <c r="V344" t="s">
        <v>1187</v>
      </c>
      <c r="W344">
        <v>813.97</v>
      </c>
      <c r="X344">
        <f>Table1[[#This Row],[UnitCost]]*(1+'scenario modeling'!$B$3)</f>
        <v>895.36700000000008</v>
      </c>
      <c r="Y344">
        <v>1568.83</v>
      </c>
      <c r="Z344" t="str">
        <f>IF(Table1[[#This Row],[UnitPrice]]&lt;=Quantiles!$B$2,Quantiles!$A$2,IF(Table1[[#This Row],[UnitPrice]]&lt;=Quantiles!$B$3,Quantiles!$A$3,Quantiles!$A$4))</f>
        <v>Medium</v>
      </c>
      <c r="AA344">
        <v>1.7000000000000001E-2</v>
      </c>
      <c r="AB344" s="5">
        <f>MIN(Table1[[#This Row],[DiscountPct]],'scenario modeling'!$B$2)</f>
        <v>1.7000000000000001E-2</v>
      </c>
      <c r="AC344" t="str">
        <f>IF(Table1[[#This Row],[DiscountPct]]&gt;0.3, "&gt;0.3","")</f>
        <v/>
      </c>
      <c r="AD344">
        <v>15</v>
      </c>
      <c r="AE344">
        <f>Table1[[#This Row],[Quantity]]*(1+'scenario modeling'!$B$4)</f>
        <v>18</v>
      </c>
      <c r="AF344">
        <f>Table1[[#This Row],[UnitCost]]*Table1[[#This Row],[Quantity]]</f>
        <v>12209.550000000001</v>
      </c>
      <c r="AG344">
        <f>SUMIF($U:U,Table1[[#This Row],[ProductCategory]],$AM:AM)</f>
        <v>1549460.0077899997</v>
      </c>
      <c r="AH344">
        <f>SUMIFS($AM$2:AM344,$U$2:U344,U344)</f>
        <v>1398661.0302800001</v>
      </c>
      <c r="AI344" s="5">
        <f>Table1[[#This Row],[Cumulative_revenue]]/Table1[[#This Row],[Category_revenue]]</f>
        <v>0.90267643130390651</v>
      </c>
      <c r="AJ344" t="str">
        <f>IF(Table1[[#This Row],[cumulative_pct]]&lt;=0.8,"A",IF(Table1[[#This Row],[cumulative_pct]]&lt;=0.95,"B","C"))</f>
        <v>B</v>
      </c>
      <c r="AK344">
        <f>Table1[[#This Row],[adj_unit_cost]]*Table1[[#This Row],[scenario_quantity]]</f>
        <v>16116.606000000002</v>
      </c>
      <c r="AL344" s="5">
        <f>Table1[[#This Row],[UnitPrice]]*Table1[[#This Row],[scenario_quantity]]*(1-Table1[[#This Row],[cap_adjusted_discount]])</f>
        <v>27758.878019999996</v>
      </c>
      <c r="AM344" s="5">
        <f>Table1[[#This Row],[UnitPrice]]*Table1[[#This Row],[Quantity]]*(1-Table1[[#This Row],[DiscountPct]])</f>
        <v>23132.398349999996</v>
      </c>
      <c r="AN344" s="5">
        <f>Table1[[#This Row],[gross_revenue]]-Table1[[#This Row],[cost_of_goods]]</f>
        <v>10922.848349999995</v>
      </c>
      <c r="AO344" s="5">
        <f>Table1[[#This Row],[scenario_revenue]]-Table1[[#This Row],[Scenario_unit_cost]]</f>
        <v>11642.272019999995</v>
      </c>
      <c r="AP344" s="5">
        <f>IF(Table1[[#This Row],[gross_revenue]]=0,0,Table1[[#This Row],[gross_profit]]/Table1[[#This Row],[gross_revenue]])</f>
        <v>0.4721883215364911</v>
      </c>
    </row>
    <row r="345" spans="1:42" x14ac:dyDescent="0.35">
      <c r="A345" t="s">
        <v>133</v>
      </c>
      <c r="B345" t="str">
        <f>_xlfn.TEXTAFTER(Table1[[#This Row],[OrderID]],"-",2)</f>
        <v>427304</v>
      </c>
      <c r="C345">
        <f>YEAR(Table1[[#This Row],[OrderDate]])</f>
        <v>2023</v>
      </c>
      <c r="D345" s="9">
        <f>_xlfn.MINIFS(F:F,P:P,Table1[[#This Row],[Country]])</f>
        <v>44938</v>
      </c>
      <c r="E345" s="7">
        <f>DATEDIF(Table1[[#This Row],[first_time_orders]],Table1[[#This Row],[OrderDate]],"m")</f>
        <v>4</v>
      </c>
      <c r="F345" s="9">
        <v>45086</v>
      </c>
      <c r="G345" s="2" t="str">
        <f>TEXT(Table1[[#This Row],[OrderDate]],"MMM-YYYY")</f>
        <v>Jun-2023</v>
      </c>
      <c r="H345" s="7">
        <f>MONTH(Table1[[#This Row],[OrderDate]])</f>
        <v>6</v>
      </c>
      <c r="I345" s="7" t="str">
        <f>"Q"&amp;ROUNDUP(Table1[[#This Row],[months]]/3,0)&amp;"-"&amp;Table1[[#This Row],[order_year]]</f>
        <v>Q2-2023</v>
      </c>
      <c r="J345" s="7">
        <f>Table1[[#This Row],[RequiredDate]]-Table1[[#This Row],[OrderDate]]</f>
        <v>10</v>
      </c>
      <c r="K345" s="7">
        <f>IF(Table1[[#This Row],[lead_time]]&lt;0,MEDIAN(J:J),Table1[[#This Row],[lead_time]])</f>
        <v>10</v>
      </c>
      <c r="L345" s="7">
        <f>IF(Table1[[#This Row],[adj_lead_time]]&lt;=7,1,0)</f>
        <v>0</v>
      </c>
      <c r="M345" s="9">
        <v>45096</v>
      </c>
      <c r="N345" s="9">
        <f>IF(Table1[[#This Row],[lead_time]]&lt;0,(Table1[[#This Row],[OrderDate]]+Table1[[#This Row],[adj_lead_time]]),Table1[[#This Row],[RequiredDate]])</f>
        <v>45096</v>
      </c>
      <c r="O345" t="s">
        <v>647</v>
      </c>
      <c r="P345" t="s">
        <v>659</v>
      </c>
      <c r="Q345" t="s">
        <v>699</v>
      </c>
      <c r="R345" t="s">
        <v>706</v>
      </c>
      <c r="S345" t="s">
        <v>707</v>
      </c>
      <c r="T345" t="s">
        <v>721</v>
      </c>
      <c r="U345" t="s">
        <v>732</v>
      </c>
      <c r="V345" t="s">
        <v>852</v>
      </c>
      <c r="W345">
        <v>339.61</v>
      </c>
      <c r="X345">
        <f>Table1[[#This Row],[UnitCost]]*(1+'scenario modeling'!$B$3)</f>
        <v>373.57100000000003</v>
      </c>
      <c r="Y345">
        <v>621.02</v>
      </c>
      <c r="Z345" t="str">
        <f>IF(Table1[[#This Row],[UnitPrice]]&lt;=Quantiles!$B$2,Quantiles!$A$2,IF(Table1[[#This Row],[UnitPrice]]&lt;=Quantiles!$B$3,Quantiles!$A$3,Quantiles!$A$4))</f>
        <v>Low</v>
      </c>
      <c r="AA345">
        <v>7.0999999999999994E-2</v>
      </c>
      <c r="AB345" s="5">
        <f>MIN(Table1[[#This Row],[DiscountPct]],'scenario modeling'!$B$2)</f>
        <v>7.0999999999999994E-2</v>
      </c>
      <c r="AC345" t="str">
        <f>IF(Table1[[#This Row],[DiscountPct]]&gt;0.3, "&gt;0.3","")</f>
        <v/>
      </c>
      <c r="AD345">
        <v>10</v>
      </c>
      <c r="AE345">
        <f>Table1[[#This Row],[Quantity]]*(1+'scenario modeling'!$B$4)</f>
        <v>12</v>
      </c>
      <c r="AF345">
        <f>Table1[[#This Row],[UnitCost]]*Table1[[#This Row],[Quantity]]</f>
        <v>3396.1000000000004</v>
      </c>
      <c r="AG345">
        <f>SUMIF($U:U,Table1[[#This Row],[ProductCategory]],$AM:AM)</f>
        <v>1549460.0077899997</v>
      </c>
      <c r="AH345">
        <f>SUMIFS($AM$2:AM345,$U$2:U345,U345)</f>
        <v>1404430.30608</v>
      </c>
      <c r="AI345" s="5">
        <f>Table1[[#This Row],[Cumulative_revenue]]/Table1[[#This Row],[Category_revenue]]</f>
        <v>0.90639984189275324</v>
      </c>
      <c r="AJ345" t="str">
        <f>IF(Table1[[#This Row],[cumulative_pct]]&lt;=0.8,"A",IF(Table1[[#This Row],[cumulative_pct]]&lt;=0.95,"B","C"))</f>
        <v>B</v>
      </c>
      <c r="AK345">
        <f>Table1[[#This Row],[adj_unit_cost]]*Table1[[#This Row],[scenario_quantity]]</f>
        <v>4482.8520000000008</v>
      </c>
      <c r="AL345" s="5">
        <f>Table1[[#This Row],[UnitPrice]]*Table1[[#This Row],[scenario_quantity]]*(1-Table1[[#This Row],[cap_adjusted_discount]])</f>
        <v>6923.1309600000004</v>
      </c>
      <c r="AM345" s="5">
        <f>Table1[[#This Row],[UnitPrice]]*Table1[[#This Row],[Quantity]]*(1-Table1[[#This Row],[DiscountPct]])</f>
        <v>5769.2758000000003</v>
      </c>
      <c r="AN345" s="5">
        <f>Table1[[#This Row],[gross_revenue]]-Table1[[#This Row],[cost_of_goods]]</f>
        <v>2373.1758</v>
      </c>
      <c r="AO345" s="5">
        <f>Table1[[#This Row],[scenario_revenue]]-Table1[[#This Row],[Scenario_unit_cost]]</f>
        <v>2440.2789599999996</v>
      </c>
      <c r="AP345" s="5">
        <f>IF(Table1[[#This Row],[gross_revenue]]=0,0,Table1[[#This Row],[gross_profit]]/Table1[[#This Row],[gross_revenue]])</f>
        <v>0.41134726129750981</v>
      </c>
    </row>
    <row r="346" spans="1:42" x14ac:dyDescent="0.35">
      <c r="A346" t="s">
        <v>202</v>
      </c>
      <c r="B346" t="str">
        <f>_xlfn.TEXTAFTER(Table1[[#This Row],[OrderID]],"-",2)</f>
        <v>825836</v>
      </c>
      <c r="C346">
        <f>YEAR(Table1[[#This Row],[OrderDate]])</f>
        <v>2023</v>
      </c>
      <c r="D346" s="9">
        <f>_xlfn.MINIFS(F:F,P:P,Table1[[#This Row],[Country]])</f>
        <v>44955</v>
      </c>
      <c r="E346" s="7">
        <f>DATEDIF(Table1[[#This Row],[first_time_orders]],Table1[[#This Row],[OrderDate]],"m")</f>
        <v>5</v>
      </c>
      <c r="F346" s="9">
        <v>45126</v>
      </c>
      <c r="G346" s="2" t="str">
        <f>TEXT(Table1[[#This Row],[OrderDate]],"MMM-YYYY")</f>
        <v>Jul-2023</v>
      </c>
      <c r="H346" s="7">
        <f>MONTH(Table1[[#This Row],[OrderDate]])</f>
        <v>7</v>
      </c>
      <c r="I346" s="7" t="str">
        <f>"Q"&amp;ROUNDUP(Table1[[#This Row],[months]]/3,0)&amp;"-"&amp;Table1[[#This Row],[order_year]]</f>
        <v>Q3-2023</v>
      </c>
      <c r="J346" s="7">
        <f>Table1[[#This Row],[RequiredDate]]-Table1[[#This Row],[OrderDate]]</f>
        <v>12</v>
      </c>
      <c r="K346" s="7">
        <f>IF(Table1[[#This Row],[lead_time]]&lt;0,MEDIAN(J:J),Table1[[#This Row],[lead_time]])</f>
        <v>12</v>
      </c>
      <c r="L346" s="7">
        <f>IF(Table1[[#This Row],[adj_lead_time]]&lt;=7,1,0)</f>
        <v>0</v>
      </c>
      <c r="M346" s="9">
        <v>45138</v>
      </c>
      <c r="N346" s="9">
        <f>IF(Table1[[#This Row],[lead_time]]&lt;0,(Table1[[#This Row],[OrderDate]]+Table1[[#This Row],[adj_lead_time]]),Table1[[#This Row],[RequiredDate]])</f>
        <v>45138</v>
      </c>
      <c r="O346" t="s">
        <v>648</v>
      </c>
      <c r="P346" t="s">
        <v>655</v>
      </c>
      <c r="Q346" t="s">
        <v>692</v>
      </c>
      <c r="R346" t="s">
        <v>701</v>
      </c>
      <c r="S346" t="s">
        <v>707</v>
      </c>
      <c r="T346" t="s">
        <v>712</v>
      </c>
      <c r="U346" t="s">
        <v>732</v>
      </c>
      <c r="V346" t="s">
        <v>922</v>
      </c>
      <c r="W346">
        <v>1334.64</v>
      </c>
      <c r="X346">
        <f>Table1[[#This Row],[UnitCost]]*(1+'scenario modeling'!$B$3)</f>
        <v>1468.1040000000003</v>
      </c>
      <c r="Y346">
        <v>2273.42</v>
      </c>
      <c r="Z346" t="str">
        <f>IF(Table1[[#This Row],[UnitPrice]]&lt;=Quantiles!$B$2,Quantiles!$A$2,IF(Table1[[#This Row],[UnitPrice]]&lt;=Quantiles!$B$3,Quantiles!$A$3,Quantiles!$A$4))</f>
        <v>High</v>
      </c>
      <c r="AA346">
        <v>0.11799999999999999</v>
      </c>
      <c r="AB346" s="5">
        <f>MIN(Table1[[#This Row],[DiscountPct]],'scenario modeling'!$B$2)</f>
        <v>0.1</v>
      </c>
      <c r="AC346" t="str">
        <f>IF(Table1[[#This Row],[DiscountPct]]&gt;0.3, "&gt;0.3","")</f>
        <v/>
      </c>
      <c r="AD346">
        <v>14</v>
      </c>
      <c r="AE346">
        <f>Table1[[#This Row],[Quantity]]*(1+'scenario modeling'!$B$4)</f>
        <v>16.8</v>
      </c>
      <c r="AF346">
        <f>Table1[[#This Row],[UnitCost]]*Table1[[#This Row],[Quantity]]</f>
        <v>18684.960000000003</v>
      </c>
      <c r="AG346">
        <f>SUMIF($U:U,Table1[[#This Row],[ProductCategory]],$AM:AM)</f>
        <v>1549460.0077899997</v>
      </c>
      <c r="AH346">
        <f>SUMIFS($AM$2:AM346,$U$2:U346,U346)</f>
        <v>1432502.49624</v>
      </c>
      <c r="AI346" s="5">
        <f>Table1[[#This Row],[Cumulative_revenue]]/Table1[[#This Row],[Category_revenue]]</f>
        <v>0.92451724409666014</v>
      </c>
      <c r="AJ346" t="str">
        <f>IF(Table1[[#This Row],[cumulative_pct]]&lt;=0.8,"A",IF(Table1[[#This Row],[cumulative_pct]]&lt;=0.95,"B","C"))</f>
        <v>B</v>
      </c>
      <c r="AK346">
        <f>Table1[[#This Row],[adj_unit_cost]]*Table1[[#This Row],[scenario_quantity]]</f>
        <v>24664.147200000007</v>
      </c>
      <c r="AL346" s="5">
        <f>Table1[[#This Row],[UnitPrice]]*Table1[[#This Row],[scenario_quantity]]*(1-Table1[[#This Row],[cap_adjusted_discount]])</f>
        <v>34374.110400000005</v>
      </c>
      <c r="AM346" s="5">
        <f>Table1[[#This Row],[UnitPrice]]*Table1[[#This Row],[Quantity]]*(1-Table1[[#This Row],[DiscountPct]])</f>
        <v>28072.190160000002</v>
      </c>
      <c r="AN346" s="5">
        <f>Table1[[#This Row],[gross_revenue]]-Table1[[#This Row],[cost_of_goods]]</f>
        <v>9387.2301599999992</v>
      </c>
      <c r="AO346" s="5">
        <f>Table1[[#This Row],[scenario_revenue]]-Table1[[#This Row],[Scenario_unit_cost]]</f>
        <v>9709.9631999999983</v>
      </c>
      <c r="AP346" s="5">
        <f>IF(Table1[[#This Row],[gross_revenue]]=0,0,Table1[[#This Row],[gross_profit]]/Table1[[#This Row],[gross_revenue]])</f>
        <v>0.33439607335575267</v>
      </c>
    </row>
    <row r="347" spans="1:42" x14ac:dyDescent="0.35">
      <c r="A347" t="s">
        <v>311</v>
      </c>
      <c r="B347" t="str">
        <f>_xlfn.TEXTAFTER(Table1[[#This Row],[OrderID]],"-",2)</f>
        <v>602648</v>
      </c>
      <c r="C347">
        <f>YEAR(Table1[[#This Row],[OrderDate]])</f>
        <v>2023</v>
      </c>
      <c r="D347" s="9">
        <f>_xlfn.MINIFS(F:F,P:P,Table1[[#This Row],[Country]])</f>
        <v>44939</v>
      </c>
      <c r="E347" s="7">
        <f>DATEDIF(Table1[[#This Row],[first_time_orders]],Table1[[#This Row],[OrderDate]],"m")</f>
        <v>5</v>
      </c>
      <c r="F347" s="9">
        <v>45097</v>
      </c>
      <c r="G347" s="2" t="str">
        <f>TEXT(Table1[[#This Row],[OrderDate]],"MMM-YYYY")</f>
        <v>Jun-2023</v>
      </c>
      <c r="H347" s="7">
        <f>MONTH(Table1[[#This Row],[OrderDate]])</f>
        <v>6</v>
      </c>
      <c r="I347" s="7" t="str">
        <f>"Q"&amp;ROUNDUP(Table1[[#This Row],[months]]/3,0)&amp;"-"&amp;Table1[[#This Row],[order_year]]</f>
        <v>Q2-2023</v>
      </c>
      <c r="J347" s="7">
        <f>Table1[[#This Row],[RequiredDate]]-Table1[[#This Row],[OrderDate]]</f>
        <v>18</v>
      </c>
      <c r="K347" s="7">
        <f>IF(Table1[[#This Row],[lead_time]]&lt;0,MEDIAN(J:J),Table1[[#This Row],[lead_time]])</f>
        <v>18</v>
      </c>
      <c r="L347" s="7">
        <f>IF(Table1[[#This Row],[adj_lead_time]]&lt;=7,1,0)</f>
        <v>0</v>
      </c>
      <c r="M347" s="9">
        <v>45115</v>
      </c>
      <c r="N347" s="9">
        <f>IF(Table1[[#This Row],[lead_time]]&lt;0,(Table1[[#This Row],[OrderDate]]+Table1[[#This Row],[adj_lead_time]]),Table1[[#This Row],[RequiredDate]])</f>
        <v>45115</v>
      </c>
      <c r="O347" t="s">
        <v>648</v>
      </c>
      <c r="P347" t="s">
        <v>660</v>
      </c>
      <c r="Q347" t="s">
        <v>697</v>
      </c>
      <c r="R347" t="s">
        <v>703</v>
      </c>
      <c r="S347" t="s">
        <v>711</v>
      </c>
      <c r="T347" t="s">
        <v>721</v>
      </c>
      <c r="U347" t="s">
        <v>732</v>
      </c>
      <c r="V347" t="s">
        <v>1031</v>
      </c>
      <c r="W347">
        <v>337</v>
      </c>
      <c r="X347">
        <f>Table1[[#This Row],[UnitCost]]*(1+'scenario modeling'!$B$3)</f>
        <v>370.70000000000005</v>
      </c>
      <c r="Y347">
        <v>511.03</v>
      </c>
      <c r="Z347" t="str">
        <f>IF(Table1[[#This Row],[UnitPrice]]&lt;=Quantiles!$B$2,Quantiles!$A$2,IF(Table1[[#This Row],[UnitPrice]]&lt;=Quantiles!$B$3,Quantiles!$A$3,Quantiles!$A$4))</f>
        <v>Low</v>
      </c>
      <c r="AA347">
        <v>0.108</v>
      </c>
      <c r="AB347" s="5">
        <f>MIN(Table1[[#This Row],[DiscountPct]],'scenario modeling'!$B$2)</f>
        <v>0.1</v>
      </c>
      <c r="AC347" t="str">
        <f>IF(Table1[[#This Row],[DiscountPct]]&gt;0.3, "&gt;0.3","")</f>
        <v/>
      </c>
      <c r="AD347">
        <v>7</v>
      </c>
      <c r="AE347">
        <f>Table1[[#This Row],[Quantity]]*(1+'scenario modeling'!$B$4)</f>
        <v>8.4</v>
      </c>
      <c r="AF347">
        <f>Table1[[#This Row],[UnitCost]]*Table1[[#This Row],[Quantity]]</f>
        <v>2359</v>
      </c>
      <c r="AG347">
        <f>SUMIF($U:U,Table1[[#This Row],[ProductCategory]],$AM:AM)</f>
        <v>1549460.0077899997</v>
      </c>
      <c r="AH347">
        <f>SUMIFS($AM$2:AM347,$U$2:U347,U347)</f>
        <v>1435693.3675599999</v>
      </c>
      <c r="AI347" s="5">
        <f>Table1[[#This Row],[Cumulative_revenue]]/Table1[[#This Row],[Category_revenue]]</f>
        <v>0.92657658819328581</v>
      </c>
      <c r="AJ347" t="str">
        <f>IF(Table1[[#This Row],[cumulative_pct]]&lt;=0.8,"A",IF(Table1[[#This Row],[cumulative_pct]]&lt;=0.95,"B","C"))</f>
        <v>B</v>
      </c>
      <c r="AK347">
        <f>Table1[[#This Row],[adj_unit_cost]]*Table1[[#This Row],[scenario_quantity]]</f>
        <v>3113.8800000000006</v>
      </c>
      <c r="AL347" s="5">
        <f>Table1[[#This Row],[UnitPrice]]*Table1[[#This Row],[scenario_quantity]]*(1-Table1[[#This Row],[cap_adjusted_discount]])</f>
        <v>3863.3868000000002</v>
      </c>
      <c r="AM347" s="5">
        <f>Table1[[#This Row],[UnitPrice]]*Table1[[#This Row],[Quantity]]*(1-Table1[[#This Row],[DiscountPct]])</f>
        <v>3190.8713200000002</v>
      </c>
      <c r="AN347" s="5">
        <f>Table1[[#This Row],[gross_revenue]]-Table1[[#This Row],[cost_of_goods]]</f>
        <v>831.8713200000002</v>
      </c>
      <c r="AO347" s="5">
        <f>Table1[[#This Row],[scenario_revenue]]-Table1[[#This Row],[Scenario_unit_cost]]</f>
        <v>749.50679999999966</v>
      </c>
      <c r="AP347" s="5">
        <f>IF(Table1[[#This Row],[gross_revenue]]=0,0,Table1[[#This Row],[gross_profit]]/Table1[[#This Row],[gross_revenue]])</f>
        <v>0.26070349963219458</v>
      </c>
    </row>
    <row r="348" spans="1:42" x14ac:dyDescent="0.35">
      <c r="A348" t="s">
        <v>294</v>
      </c>
      <c r="B348" t="str">
        <f>_xlfn.TEXTAFTER(Table1[[#This Row],[OrderID]],"-",2)</f>
        <v>715175</v>
      </c>
      <c r="C348">
        <f>YEAR(Table1[[#This Row],[OrderDate]])</f>
        <v>2023</v>
      </c>
      <c r="D348" s="9">
        <f>_xlfn.MINIFS(F:F,P:P,Table1[[#This Row],[Country]])</f>
        <v>44939</v>
      </c>
      <c r="E348" s="7">
        <f>DATEDIF(Table1[[#This Row],[first_time_orders]],Table1[[#This Row],[OrderDate]],"m")</f>
        <v>5</v>
      </c>
      <c r="F348" s="9">
        <v>45092</v>
      </c>
      <c r="G348" s="2" t="str">
        <f>TEXT(Table1[[#This Row],[OrderDate]],"MMM-YYYY")</f>
        <v>Jun-2023</v>
      </c>
      <c r="H348" s="7">
        <f>MONTH(Table1[[#This Row],[OrderDate]])</f>
        <v>6</v>
      </c>
      <c r="I348" s="7" t="str">
        <f>"Q"&amp;ROUNDUP(Table1[[#This Row],[months]]/3,0)&amp;"-"&amp;Table1[[#This Row],[order_year]]</f>
        <v>Q2-2023</v>
      </c>
      <c r="J348" s="7">
        <f>Table1[[#This Row],[RequiredDate]]-Table1[[#This Row],[OrderDate]]</f>
        <v>8</v>
      </c>
      <c r="K348" s="7">
        <f>IF(Table1[[#This Row],[lead_time]]&lt;0,MEDIAN(J:J),Table1[[#This Row],[lead_time]])</f>
        <v>8</v>
      </c>
      <c r="L348" s="7">
        <f>IF(Table1[[#This Row],[adj_lead_time]]&lt;=7,1,0)</f>
        <v>0</v>
      </c>
      <c r="M348" s="9">
        <v>45100</v>
      </c>
      <c r="N348" s="9">
        <f>IF(Table1[[#This Row],[lead_time]]&lt;0,(Table1[[#This Row],[OrderDate]]+Table1[[#This Row],[adj_lead_time]]),Table1[[#This Row],[RequiredDate]])</f>
        <v>45100</v>
      </c>
      <c r="O348" t="s">
        <v>648</v>
      </c>
      <c r="P348" t="s">
        <v>660</v>
      </c>
      <c r="Q348" t="s">
        <v>686</v>
      </c>
      <c r="R348" t="s">
        <v>704</v>
      </c>
      <c r="S348" t="s">
        <v>710</v>
      </c>
      <c r="T348" t="s">
        <v>719</v>
      </c>
      <c r="U348" t="s">
        <v>732</v>
      </c>
      <c r="V348" t="s">
        <v>1014</v>
      </c>
      <c r="W348">
        <v>1097.0899999999999</v>
      </c>
      <c r="X348">
        <f>Table1[[#This Row],[UnitCost]]*(1+'scenario modeling'!$B$3)</f>
        <v>1206.799</v>
      </c>
      <c r="Y348">
        <v>2182.31</v>
      </c>
      <c r="Z348" t="str">
        <f>IF(Table1[[#This Row],[UnitPrice]]&lt;=Quantiles!$B$2,Quantiles!$A$2,IF(Table1[[#This Row],[UnitPrice]]&lt;=Quantiles!$B$3,Quantiles!$A$3,Quantiles!$A$4))</f>
        <v>High</v>
      </c>
      <c r="AA348">
        <v>0.112</v>
      </c>
      <c r="AB348" s="5">
        <f>MIN(Table1[[#This Row],[DiscountPct]],'scenario modeling'!$B$2)</f>
        <v>0.1</v>
      </c>
      <c r="AC348" t="str">
        <f>IF(Table1[[#This Row],[DiscountPct]]&gt;0.3, "&gt;0.3","")</f>
        <v/>
      </c>
      <c r="AD348">
        <v>9</v>
      </c>
      <c r="AE348">
        <f>Table1[[#This Row],[Quantity]]*(1+'scenario modeling'!$B$4)</f>
        <v>10.799999999999999</v>
      </c>
      <c r="AF348">
        <f>Table1[[#This Row],[UnitCost]]*Table1[[#This Row],[Quantity]]</f>
        <v>9873.81</v>
      </c>
      <c r="AG348">
        <f>SUMIF($U:U,Table1[[#This Row],[ProductCategory]],$AM:AM)</f>
        <v>1549460.0077899997</v>
      </c>
      <c r="AH348">
        <f>SUMIFS($AM$2:AM348,$U$2:U348,U348)</f>
        <v>1453134.3890799999</v>
      </c>
      <c r="AI348" s="5">
        <f>Table1[[#This Row],[Cumulative_revenue]]/Table1[[#This Row],[Category_revenue]]</f>
        <v>0.93783278159764227</v>
      </c>
      <c r="AJ348" t="str">
        <f>IF(Table1[[#This Row],[cumulative_pct]]&lt;=0.8,"A",IF(Table1[[#This Row],[cumulative_pct]]&lt;=0.95,"B","C"))</f>
        <v>B</v>
      </c>
      <c r="AK348">
        <f>Table1[[#This Row],[adj_unit_cost]]*Table1[[#This Row],[scenario_quantity]]</f>
        <v>13033.429199999999</v>
      </c>
      <c r="AL348" s="5">
        <f>Table1[[#This Row],[UnitPrice]]*Table1[[#This Row],[scenario_quantity]]*(1-Table1[[#This Row],[cap_adjusted_discount]])</f>
        <v>21212.053199999998</v>
      </c>
      <c r="AM348" s="5">
        <f>Table1[[#This Row],[UnitPrice]]*Table1[[#This Row],[Quantity]]*(1-Table1[[#This Row],[DiscountPct]])</f>
        <v>17441.021520000002</v>
      </c>
      <c r="AN348" s="5">
        <f>Table1[[#This Row],[gross_revenue]]-Table1[[#This Row],[cost_of_goods]]</f>
        <v>7567.2115200000026</v>
      </c>
      <c r="AO348" s="5">
        <f>Table1[[#This Row],[scenario_revenue]]-Table1[[#This Row],[Scenario_unit_cost]]</f>
        <v>8178.6239999999998</v>
      </c>
      <c r="AP348" s="5">
        <f>IF(Table1[[#This Row],[gross_revenue]]=0,0,Table1[[#This Row],[gross_profit]]/Table1[[#This Row],[gross_revenue]])</f>
        <v>0.43387432962699546</v>
      </c>
    </row>
    <row r="349" spans="1:42" x14ac:dyDescent="0.35">
      <c r="A349" t="s">
        <v>353</v>
      </c>
      <c r="B349" t="str">
        <f>_xlfn.TEXTAFTER(Table1[[#This Row],[OrderID]],"-",2)</f>
        <v>825084</v>
      </c>
      <c r="C349">
        <f>YEAR(Table1[[#This Row],[OrderDate]])</f>
        <v>2023</v>
      </c>
      <c r="D349" s="9">
        <f>_xlfn.MINIFS(F:F,P:P,Table1[[#This Row],[Country]])</f>
        <v>44933</v>
      </c>
      <c r="E349" s="7">
        <f>DATEDIF(Table1[[#This Row],[first_time_orders]],Table1[[#This Row],[OrderDate]],"m")</f>
        <v>6</v>
      </c>
      <c r="F349" s="9">
        <v>45121</v>
      </c>
      <c r="G349" s="2" t="str">
        <f>TEXT(Table1[[#This Row],[OrderDate]],"MMM-YYYY")</f>
        <v>Jul-2023</v>
      </c>
      <c r="H349" s="7">
        <f>MONTH(Table1[[#This Row],[OrderDate]])</f>
        <v>7</v>
      </c>
      <c r="I349" s="7" t="str">
        <f>"Q"&amp;ROUNDUP(Table1[[#This Row],[months]]/3,0)&amp;"-"&amp;Table1[[#This Row],[order_year]]</f>
        <v>Q3-2023</v>
      </c>
      <c r="J349" s="7">
        <f>Table1[[#This Row],[RequiredDate]]-Table1[[#This Row],[OrderDate]]</f>
        <v>7</v>
      </c>
      <c r="K349" s="7">
        <f>IF(Table1[[#This Row],[lead_time]]&lt;0,MEDIAN(J:J),Table1[[#This Row],[lead_time]])</f>
        <v>7</v>
      </c>
      <c r="L349" s="7">
        <f>IF(Table1[[#This Row],[adj_lead_time]]&lt;=7,1,0)</f>
        <v>1</v>
      </c>
      <c r="M349" s="9">
        <v>45128</v>
      </c>
      <c r="N349" s="9">
        <f>IF(Table1[[#This Row],[lead_time]]&lt;0,(Table1[[#This Row],[OrderDate]]+Table1[[#This Row],[adj_lead_time]]),Table1[[#This Row],[RequiredDate]])</f>
        <v>45128</v>
      </c>
      <c r="O349" t="s">
        <v>646</v>
      </c>
      <c r="P349" t="s">
        <v>661</v>
      </c>
      <c r="Q349" t="s">
        <v>687</v>
      </c>
      <c r="R349" t="s">
        <v>706</v>
      </c>
      <c r="S349" t="s">
        <v>709</v>
      </c>
      <c r="T349" t="s">
        <v>720</v>
      </c>
      <c r="U349" t="s">
        <v>732</v>
      </c>
      <c r="V349" t="s">
        <v>1073</v>
      </c>
      <c r="W349">
        <v>620.74</v>
      </c>
      <c r="X349">
        <f>Table1[[#This Row],[UnitCost]]*(1+'scenario modeling'!$B$3)</f>
        <v>682.81400000000008</v>
      </c>
      <c r="Y349">
        <v>1330.07</v>
      </c>
      <c r="Z349" t="str">
        <f>IF(Table1[[#This Row],[UnitPrice]]&lt;=Quantiles!$B$2,Quantiles!$A$2,IF(Table1[[#This Row],[UnitPrice]]&lt;=Quantiles!$B$3,Quantiles!$A$3,Quantiles!$A$4))</f>
        <v>Medium</v>
      </c>
      <c r="AA349">
        <v>0.29899999999999999</v>
      </c>
      <c r="AB349" s="5">
        <f>MIN(Table1[[#This Row],[DiscountPct]],'scenario modeling'!$B$2)</f>
        <v>0.1</v>
      </c>
      <c r="AC349" t="str">
        <f>IF(Table1[[#This Row],[DiscountPct]]&gt;0.3, "&gt;0.3","")</f>
        <v/>
      </c>
      <c r="AD349">
        <v>28</v>
      </c>
      <c r="AE349">
        <f>Table1[[#This Row],[Quantity]]*(1+'scenario modeling'!$B$4)</f>
        <v>33.6</v>
      </c>
      <c r="AF349">
        <f>Table1[[#This Row],[UnitCost]]*Table1[[#This Row],[Quantity]]</f>
        <v>17380.72</v>
      </c>
      <c r="AG349">
        <f>SUMIF($U:U,Table1[[#This Row],[ProductCategory]],$AM:AM)</f>
        <v>1549460.0077899997</v>
      </c>
      <c r="AH349">
        <f>SUMIFS($AM$2:AM349,$U$2:U349,U349)</f>
        <v>1479241.0030399999</v>
      </c>
      <c r="AI349" s="5">
        <f>Table1[[#This Row],[Cumulative_revenue]]/Table1[[#This Row],[Category_revenue]]</f>
        <v>0.9546816281820959</v>
      </c>
      <c r="AJ349" t="str">
        <f>IF(Table1[[#This Row],[cumulative_pct]]&lt;=0.8,"A",IF(Table1[[#This Row],[cumulative_pct]]&lt;=0.95,"B","C"))</f>
        <v>C</v>
      </c>
      <c r="AK349">
        <f>Table1[[#This Row],[adj_unit_cost]]*Table1[[#This Row],[scenario_quantity]]</f>
        <v>22942.550400000004</v>
      </c>
      <c r="AL349" s="5">
        <f>Table1[[#This Row],[UnitPrice]]*Table1[[#This Row],[scenario_quantity]]*(1-Table1[[#This Row],[cap_adjusted_discount]])</f>
        <v>40221.316800000001</v>
      </c>
      <c r="AM349" s="5">
        <f>Table1[[#This Row],[UnitPrice]]*Table1[[#This Row],[Quantity]]*(1-Table1[[#This Row],[DiscountPct]])</f>
        <v>26106.613960000002</v>
      </c>
      <c r="AN349" s="5">
        <f>Table1[[#This Row],[gross_revenue]]-Table1[[#This Row],[cost_of_goods]]</f>
        <v>8725.8939600000012</v>
      </c>
      <c r="AO349" s="5">
        <f>Table1[[#This Row],[scenario_revenue]]-Table1[[#This Row],[Scenario_unit_cost]]</f>
        <v>17278.766399999997</v>
      </c>
      <c r="AP349" s="5">
        <f>IF(Table1[[#This Row],[gross_revenue]]=0,0,Table1[[#This Row],[gross_profit]]/Table1[[#This Row],[gross_revenue]])</f>
        <v>0.33424073965967516</v>
      </c>
    </row>
    <row r="350" spans="1:42" x14ac:dyDescent="0.35">
      <c r="A350" t="s">
        <v>287</v>
      </c>
      <c r="B350" t="str">
        <f>_xlfn.TEXTAFTER(Table1[[#This Row],[OrderID]],"-",2)</f>
        <v>369160</v>
      </c>
      <c r="C350">
        <f>YEAR(Table1[[#This Row],[OrderDate]])</f>
        <v>2023</v>
      </c>
      <c r="D350" s="9">
        <f>_xlfn.MINIFS(F:F,P:P,Table1[[#This Row],[Country]])</f>
        <v>44928</v>
      </c>
      <c r="E350" s="7">
        <f>DATEDIF(Table1[[#This Row],[first_time_orders]],Table1[[#This Row],[OrderDate]],"m")</f>
        <v>6</v>
      </c>
      <c r="F350" s="9">
        <v>45131</v>
      </c>
      <c r="G350" s="2" t="str">
        <f>TEXT(Table1[[#This Row],[OrderDate]],"MMM-YYYY")</f>
        <v>Jul-2023</v>
      </c>
      <c r="H350" s="7">
        <f>MONTH(Table1[[#This Row],[OrderDate]])</f>
        <v>7</v>
      </c>
      <c r="I350" s="7" t="str">
        <f>"Q"&amp;ROUNDUP(Table1[[#This Row],[months]]/3,0)&amp;"-"&amp;Table1[[#This Row],[order_year]]</f>
        <v>Q3-2023</v>
      </c>
      <c r="J350" s="7">
        <f>Table1[[#This Row],[RequiredDate]]-Table1[[#This Row],[OrderDate]]</f>
        <v>20</v>
      </c>
      <c r="K350" s="7">
        <f>IF(Table1[[#This Row],[lead_time]]&lt;0,MEDIAN(J:J),Table1[[#This Row],[lead_time]])</f>
        <v>20</v>
      </c>
      <c r="L350" s="7">
        <f>IF(Table1[[#This Row],[adj_lead_time]]&lt;=7,1,0)</f>
        <v>0</v>
      </c>
      <c r="M350" s="9">
        <v>45151</v>
      </c>
      <c r="N350" s="9">
        <f>IF(Table1[[#This Row],[lead_time]]&lt;0,(Table1[[#This Row],[OrderDate]]+Table1[[#This Row],[adj_lead_time]]),Table1[[#This Row],[RequiredDate]])</f>
        <v>45151</v>
      </c>
      <c r="O350" t="s">
        <v>648</v>
      </c>
      <c r="P350" t="s">
        <v>653</v>
      </c>
      <c r="Q350" t="s">
        <v>681</v>
      </c>
      <c r="R350" t="s">
        <v>702</v>
      </c>
      <c r="S350" t="s">
        <v>711</v>
      </c>
      <c r="T350" t="s">
        <v>712</v>
      </c>
      <c r="U350" t="s">
        <v>732</v>
      </c>
      <c r="V350" t="s">
        <v>1007</v>
      </c>
      <c r="W350">
        <v>1082.3800000000001</v>
      </c>
      <c r="X350">
        <f>Table1[[#This Row],[UnitCost]]*(1+'scenario modeling'!$B$3)</f>
        <v>1190.6180000000002</v>
      </c>
      <c r="Y350">
        <v>1766.55</v>
      </c>
      <c r="Z350" t="str">
        <f>IF(Table1[[#This Row],[UnitPrice]]&lt;=Quantiles!$B$2,Quantiles!$A$2,IF(Table1[[#This Row],[UnitPrice]]&lt;=Quantiles!$B$3,Quantiles!$A$3,Quantiles!$A$4))</f>
        <v>High</v>
      </c>
      <c r="AA350">
        <v>0.16400000000000001</v>
      </c>
      <c r="AB350" s="5">
        <f>MIN(Table1[[#This Row],[DiscountPct]],'scenario modeling'!$B$2)</f>
        <v>0.1</v>
      </c>
      <c r="AC350" t="str">
        <f>IF(Table1[[#This Row],[DiscountPct]]&gt;0.3, "&gt;0.3","")</f>
        <v/>
      </c>
      <c r="AD350">
        <v>20</v>
      </c>
      <c r="AE350">
        <f>Table1[[#This Row],[Quantity]]*(1+'scenario modeling'!$B$4)</f>
        <v>24</v>
      </c>
      <c r="AF350">
        <f>Table1[[#This Row],[UnitCost]]*Table1[[#This Row],[Quantity]]</f>
        <v>21647.600000000002</v>
      </c>
      <c r="AG350">
        <f>SUMIF($U:U,Table1[[#This Row],[ProductCategory]],$AM:AM)</f>
        <v>1549460.0077899997</v>
      </c>
      <c r="AH350">
        <f>SUMIFS($AM$2:AM350,$U$2:U350,U350)</f>
        <v>1508777.7190399999</v>
      </c>
      <c r="AI350" s="5">
        <f>Table1[[#This Row],[Cumulative_revenue]]/Table1[[#This Row],[Category_revenue]]</f>
        <v>0.97374421505203923</v>
      </c>
      <c r="AJ350" t="str">
        <f>IF(Table1[[#This Row],[cumulative_pct]]&lt;=0.8,"A",IF(Table1[[#This Row],[cumulative_pct]]&lt;=0.95,"B","C"))</f>
        <v>C</v>
      </c>
      <c r="AK350">
        <f>Table1[[#This Row],[adj_unit_cost]]*Table1[[#This Row],[scenario_quantity]]</f>
        <v>28574.832000000002</v>
      </c>
      <c r="AL350" s="5">
        <f>Table1[[#This Row],[UnitPrice]]*Table1[[#This Row],[scenario_quantity]]*(1-Table1[[#This Row],[cap_adjusted_discount]])</f>
        <v>38157.479999999996</v>
      </c>
      <c r="AM350" s="5">
        <f>Table1[[#This Row],[UnitPrice]]*Table1[[#This Row],[Quantity]]*(1-Table1[[#This Row],[DiscountPct]])</f>
        <v>29536.716</v>
      </c>
      <c r="AN350" s="5">
        <f>Table1[[#This Row],[gross_revenue]]-Table1[[#This Row],[cost_of_goods]]</f>
        <v>7889.1159999999982</v>
      </c>
      <c r="AO350" s="5">
        <f>Table1[[#This Row],[scenario_revenue]]-Table1[[#This Row],[Scenario_unit_cost]]</f>
        <v>9582.6479999999938</v>
      </c>
      <c r="AP350" s="5">
        <f>IF(Table1[[#This Row],[gross_revenue]]=0,0,Table1[[#This Row],[gross_profit]]/Table1[[#This Row],[gross_revenue]])</f>
        <v>0.26709523157550752</v>
      </c>
    </row>
    <row r="351" spans="1:42" x14ac:dyDescent="0.35">
      <c r="A351" t="s">
        <v>641</v>
      </c>
      <c r="B351" t="str">
        <f>_xlfn.TEXTAFTER(Table1[[#This Row],[OrderID]],"-",2)</f>
        <v>548934</v>
      </c>
      <c r="C351">
        <f>YEAR(Table1[[#This Row],[OrderDate]])</f>
        <v>2023</v>
      </c>
      <c r="D351" s="9">
        <f>_xlfn.MINIFS(F:F,P:P,Table1[[#This Row],[Country]])</f>
        <v>44938</v>
      </c>
      <c r="E351" s="7">
        <f>DATEDIF(Table1[[#This Row],[first_time_orders]],Table1[[#This Row],[OrderDate]],"m")</f>
        <v>6</v>
      </c>
      <c r="F351" s="9">
        <v>45141</v>
      </c>
      <c r="G351" s="2" t="str">
        <f>TEXT(Table1[[#This Row],[OrderDate]],"MMM-YYYY")</f>
        <v>Aug-2023</v>
      </c>
      <c r="H351" s="7">
        <f>MONTH(Table1[[#This Row],[OrderDate]])</f>
        <v>8</v>
      </c>
      <c r="I351" s="7" t="str">
        <f>"Q"&amp;ROUNDUP(Table1[[#This Row],[months]]/3,0)&amp;"-"&amp;Table1[[#This Row],[order_year]]</f>
        <v>Q3-2023</v>
      </c>
      <c r="J351" s="7">
        <f>Table1[[#This Row],[RequiredDate]]-Table1[[#This Row],[OrderDate]]</f>
        <v>27</v>
      </c>
      <c r="K351" s="7">
        <f>IF(Table1[[#This Row],[lead_time]]&lt;0,MEDIAN(J:J),Table1[[#This Row],[lead_time]])</f>
        <v>27</v>
      </c>
      <c r="L351" s="7">
        <f>IF(Table1[[#This Row],[adj_lead_time]]&lt;=7,1,0)</f>
        <v>0</v>
      </c>
      <c r="M351" s="9">
        <v>45168</v>
      </c>
      <c r="N351" s="9">
        <f>IF(Table1[[#This Row],[lead_time]]&lt;0,(Table1[[#This Row],[OrderDate]]+Table1[[#This Row],[adj_lead_time]]),Table1[[#This Row],[RequiredDate]])</f>
        <v>45168</v>
      </c>
      <c r="O351" t="s">
        <v>647</v>
      </c>
      <c r="P351" t="s">
        <v>659</v>
      </c>
      <c r="Q351" t="s">
        <v>685</v>
      </c>
      <c r="R351" t="s">
        <v>704</v>
      </c>
      <c r="S351" t="s">
        <v>710</v>
      </c>
      <c r="T351" t="s">
        <v>725</v>
      </c>
      <c r="U351" t="s">
        <v>732</v>
      </c>
      <c r="V351" t="s">
        <v>1359</v>
      </c>
      <c r="W351">
        <v>226.04</v>
      </c>
      <c r="X351">
        <f>Table1[[#This Row],[UnitCost]]*(1+'scenario modeling'!$B$3)</f>
        <v>248.64400000000001</v>
      </c>
      <c r="Y351">
        <v>545.72</v>
      </c>
      <c r="Z351" t="str">
        <f>IF(Table1[[#This Row],[UnitPrice]]&lt;=Quantiles!$B$2,Quantiles!$A$2,IF(Table1[[#This Row],[UnitPrice]]&lt;=Quantiles!$B$3,Quantiles!$A$3,Quantiles!$A$4))</f>
        <v>Low</v>
      </c>
      <c r="AA351">
        <v>0.151</v>
      </c>
      <c r="AB351" s="5">
        <f>MIN(Table1[[#This Row],[DiscountPct]],'scenario modeling'!$B$2)</f>
        <v>0.1</v>
      </c>
      <c r="AC351" t="str">
        <f>IF(Table1[[#This Row],[DiscountPct]]&gt;0.3, "&gt;0.3","")</f>
        <v/>
      </c>
      <c r="AD351">
        <v>11</v>
      </c>
      <c r="AE351">
        <f>Table1[[#This Row],[Quantity]]*(1+'scenario modeling'!$B$4)</f>
        <v>13.2</v>
      </c>
      <c r="AF351">
        <f>Table1[[#This Row],[UnitCost]]*Table1[[#This Row],[Quantity]]</f>
        <v>2486.44</v>
      </c>
      <c r="AG351">
        <f>SUMIF($U:U,Table1[[#This Row],[ProductCategory]],$AM:AM)</f>
        <v>1549460.0077899997</v>
      </c>
      <c r="AH351">
        <f>SUMIFS($AM$2:AM351,$U$2:U351,U351)</f>
        <v>1513874.1981199998</v>
      </c>
      <c r="AI351" s="5">
        <f>Table1[[#This Row],[Cumulative_revenue]]/Table1[[#This Row],[Category_revenue]]</f>
        <v>0.9770334119686277</v>
      </c>
      <c r="AJ351" t="str">
        <f>IF(Table1[[#This Row],[cumulative_pct]]&lt;=0.8,"A",IF(Table1[[#This Row],[cumulative_pct]]&lt;=0.95,"B","C"))</f>
        <v>C</v>
      </c>
      <c r="AK351">
        <f>Table1[[#This Row],[adj_unit_cost]]*Table1[[#This Row],[scenario_quantity]]</f>
        <v>3282.1007999999997</v>
      </c>
      <c r="AL351" s="5">
        <f>Table1[[#This Row],[UnitPrice]]*Table1[[#This Row],[scenario_quantity]]*(1-Table1[[#This Row],[cap_adjusted_discount]])</f>
        <v>6483.1535999999996</v>
      </c>
      <c r="AM351" s="5">
        <f>Table1[[#This Row],[UnitPrice]]*Table1[[#This Row],[Quantity]]*(1-Table1[[#This Row],[DiscountPct]])</f>
        <v>5096.4790800000001</v>
      </c>
      <c r="AN351" s="5">
        <f>Table1[[#This Row],[gross_revenue]]-Table1[[#This Row],[cost_of_goods]]</f>
        <v>2610.03908</v>
      </c>
      <c r="AO351" s="5">
        <f>Table1[[#This Row],[scenario_revenue]]-Table1[[#This Row],[Scenario_unit_cost]]</f>
        <v>3201.0527999999999</v>
      </c>
      <c r="AP351" s="5">
        <f>IF(Table1[[#This Row],[gross_revenue]]=0,0,Table1[[#This Row],[gross_profit]]/Table1[[#This Row],[gross_revenue]])</f>
        <v>0.51212592831834014</v>
      </c>
    </row>
    <row r="352" spans="1:42" x14ac:dyDescent="0.35">
      <c r="A352" t="s">
        <v>205</v>
      </c>
      <c r="B352" t="str">
        <f>_xlfn.TEXTAFTER(Table1[[#This Row],[OrderID]],"-",2)</f>
        <v>197661</v>
      </c>
      <c r="C352">
        <f>YEAR(Table1[[#This Row],[OrderDate]])</f>
        <v>2023</v>
      </c>
      <c r="D352" s="9">
        <f>_xlfn.MINIFS(F:F,P:P,Table1[[#This Row],[Country]])</f>
        <v>44945</v>
      </c>
      <c r="E352" s="7">
        <f>DATEDIF(Table1[[#This Row],[first_time_orders]],Table1[[#This Row],[OrderDate]],"m")</f>
        <v>6</v>
      </c>
      <c r="F352" s="9">
        <v>45146</v>
      </c>
      <c r="G352" s="2" t="str">
        <f>TEXT(Table1[[#This Row],[OrderDate]],"MMM-YYYY")</f>
        <v>Aug-2023</v>
      </c>
      <c r="H352" s="7">
        <f>MONTH(Table1[[#This Row],[OrderDate]])</f>
        <v>8</v>
      </c>
      <c r="I352" s="7" t="str">
        <f>"Q"&amp;ROUNDUP(Table1[[#This Row],[months]]/3,0)&amp;"-"&amp;Table1[[#This Row],[order_year]]</f>
        <v>Q3-2023</v>
      </c>
      <c r="J352" s="7">
        <f>Table1[[#This Row],[RequiredDate]]-Table1[[#This Row],[OrderDate]]</f>
        <v>14</v>
      </c>
      <c r="K352" s="7">
        <f>IF(Table1[[#This Row],[lead_time]]&lt;0,MEDIAN(J:J),Table1[[#This Row],[lead_time]])</f>
        <v>14</v>
      </c>
      <c r="L352" s="7">
        <f>IF(Table1[[#This Row],[adj_lead_time]]&lt;=7,1,0)</f>
        <v>0</v>
      </c>
      <c r="M352" s="9">
        <v>45160</v>
      </c>
      <c r="N352" s="9">
        <f>IF(Table1[[#This Row],[lead_time]]&lt;0,(Table1[[#This Row],[OrderDate]]+Table1[[#This Row],[adj_lead_time]]),Table1[[#This Row],[RequiredDate]])</f>
        <v>45160</v>
      </c>
      <c r="O352" t="s">
        <v>649</v>
      </c>
      <c r="P352" t="s">
        <v>658</v>
      </c>
      <c r="Q352" t="s">
        <v>674</v>
      </c>
      <c r="R352" t="s">
        <v>703</v>
      </c>
      <c r="S352" t="s">
        <v>711</v>
      </c>
      <c r="T352" t="s">
        <v>725</v>
      </c>
      <c r="U352" t="s">
        <v>732</v>
      </c>
      <c r="V352" t="s">
        <v>925</v>
      </c>
      <c r="W352">
        <v>446.69</v>
      </c>
      <c r="X352">
        <f>Table1[[#This Row],[UnitCost]]*(1+'scenario modeling'!$B$3)</f>
        <v>491.35900000000004</v>
      </c>
      <c r="Y352">
        <v>967.25</v>
      </c>
      <c r="Z352" t="str">
        <f>IF(Table1[[#This Row],[UnitPrice]]&lt;=Quantiles!$B$2,Quantiles!$A$2,IF(Table1[[#This Row],[UnitPrice]]&lt;=Quantiles!$B$3,Quantiles!$A$3,Quantiles!$A$4))</f>
        <v>Medium</v>
      </c>
      <c r="AA352">
        <v>9.4E-2</v>
      </c>
      <c r="AB352" s="5">
        <f>MIN(Table1[[#This Row],[DiscountPct]],'scenario modeling'!$B$2)</f>
        <v>9.4E-2</v>
      </c>
      <c r="AC352" t="str">
        <f>IF(Table1[[#This Row],[DiscountPct]]&gt;0.3, "&gt;0.3","")</f>
        <v/>
      </c>
      <c r="AD352">
        <v>10</v>
      </c>
      <c r="AE352">
        <f>Table1[[#This Row],[Quantity]]*(1+'scenario modeling'!$B$4)</f>
        <v>12</v>
      </c>
      <c r="AF352">
        <f>Table1[[#This Row],[UnitCost]]*Table1[[#This Row],[Quantity]]</f>
        <v>4466.8999999999996</v>
      </c>
      <c r="AG352">
        <f>SUMIF($U:U,Table1[[#This Row],[ProductCategory]],$AM:AM)</f>
        <v>1549460.0077899997</v>
      </c>
      <c r="AH352">
        <f>SUMIFS($AM$2:AM352,$U$2:U352,U352)</f>
        <v>1522637.4831199998</v>
      </c>
      <c r="AI352" s="5">
        <f>Table1[[#This Row],[Cumulative_revenue]]/Table1[[#This Row],[Category_revenue]]</f>
        <v>0.98268911457207786</v>
      </c>
      <c r="AJ352" t="str">
        <f>IF(Table1[[#This Row],[cumulative_pct]]&lt;=0.8,"A",IF(Table1[[#This Row],[cumulative_pct]]&lt;=0.95,"B","C"))</f>
        <v>C</v>
      </c>
      <c r="AK352">
        <f>Table1[[#This Row],[adj_unit_cost]]*Table1[[#This Row],[scenario_quantity]]</f>
        <v>5896.3080000000009</v>
      </c>
      <c r="AL352" s="5">
        <f>Table1[[#This Row],[UnitPrice]]*Table1[[#This Row],[scenario_quantity]]*(1-Table1[[#This Row],[cap_adjusted_discount]])</f>
        <v>10515.942000000001</v>
      </c>
      <c r="AM352" s="5">
        <f>Table1[[#This Row],[UnitPrice]]*Table1[[#This Row],[Quantity]]*(1-Table1[[#This Row],[DiscountPct]])</f>
        <v>8763.2849999999999</v>
      </c>
      <c r="AN352" s="5">
        <f>Table1[[#This Row],[gross_revenue]]-Table1[[#This Row],[cost_of_goods]]</f>
        <v>4296.3850000000002</v>
      </c>
      <c r="AO352" s="5">
        <f>Table1[[#This Row],[scenario_revenue]]-Table1[[#This Row],[Scenario_unit_cost]]</f>
        <v>4619.634</v>
      </c>
      <c r="AP352" s="5">
        <f>IF(Table1[[#This Row],[gross_revenue]]=0,0,Table1[[#This Row],[gross_profit]]/Table1[[#This Row],[gross_revenue]])</f>
        <v>0.49027105702941309</v>
      </c>
    </row>
    <row r="353" spans="1:42" x14ac:dyDescent="0.35">
      <c r="A353" t="s">
        <v>198</v>
      </c>
      <c r="B353" t="str">
        <f>_xlfn.TEXTAFTER(Table1[[#This Row],[OrderID]],"-",2)</f>
        <v>334213</v>
      </c>
      <c r="C353">
        <f>YEAR(Table1[[#This Row],[OrderDate]])</f>
        <v>2023</v>
      </c>
      <c r="D353" s="9">
        <f>_xlfn.MINIFS(F:F,P:P,Table1[[#This Row],[Country]])</f>
        <v>44941</v>
      </c>
      <c r="E353" s="7">
        <f>DATEDIF(Table1[[#This Row],[first_time_orders]],Table1[[#This Row],[OrderDate]],"m")</f>
        <v>7</v>
      </c>
      <c r="F353" s="9">
        <v>45157</v>
      </c>
      <c r="G353" s="2" t="str">
        <f>TEXT(Table1[[#This Row],[OrderDate]],"MMM-YYYY")</f>
        <v>Aug-2023</v>
      </c>
      <c r="H353" s="7">
        <f>MONTH(Table1[[#This Row],[OrderDate]])</f>
        <v>8</v>
      </c>
      <c r="I353" s="7" t="str">
        <f>"Q"&amp;ROUNDUP(Table1[[#This Row],[months]]/3,0)&amp;"-"&amp;Table1[[#This Row],[order_year]]</f>
        <v>Q3-2023</v>
      </c>
      <c r="J353" s="7">
        <f>Table1[[#This Row],[RequiredDate]]-Table1[[#This Row],[OrderDate]]</f>
        <v>4</v>
      </c>
      <c r="K353" s="7">
        <f>IF(Table1[[#This Row],[lead_time]]&lt;0,MEDIAN(J:J),Table1[[#This Row],[lead_time]])</f>
        <v>4</v>
      </c>
      <c r="L353" s="7">
        <f>IF(Table1[[#This Row],[adj_lead_time]]&lt;=7,1,0)</f>
        <v>1</v>
      </c>
      <c r="M353" s="9">
        <v>45161</v>
      </c>
      <c r="N353" s="9">
        <f>IF(Table1[[#This Row],[lead_time]]&lt;0,(Table1[[#This Row],[OrderDate]]+Table1[[#This Row],[adj_lead_time]]),Table1[[#This Row],[RequiredDate]])</f>
        <v>45161</v>
      </c>
      <c r="O353" t="s">
        <v>646</v>
      </c>
      <c r="P353" t="s">
        <v>651</v>
      </c>
      <c r="Q353" t="s">
        <v>669</v>
      </c>
      <c r="R353" t="s">
        <v>705</v>
      </c>
      <c r="S353" t="s">
        <v>708</v>
      </c>
      <c r="T353" t="s">
        <v>713</v>
      </c>
      <c r="U353" t="s">
        <v>732</v>
      </c>
      <c r="V353" t="s">
        <v>917</v>
      </c>
      <c r="W353">
        <v>790.63</v>
      </c>
      <c r="X353">
        <f>Table1[[#This Row],[UnitCost]]*(1+'scenario modeling'!$B$3)</f>
        <v>869.6930000000001</v>
      </c>
      <c r="Y353">
        <v>1382.31</v>
      </c>
      <c r="Z353" t="str">
        <f>IF(Table1[[#This Row],[UnitPrice]]&lt;=Quantiles!$B$2,Quantiles!$A$2,IF(Table1[[#This Row],[UnitPrice]]&lt;=Quantiles!$B$3,Quantiles!$A$3,Quantiles!$A$4))</f>
        <v>Medium</v>
      </c>
      <c r="AA353">
        <v>0.10100000000000001</v>
      </c>
      <c r="AB353" s="5">
        <f>MIN(Table1[[#This Row],[DiscountPct]],'scenario modeling'!$B$2)</f>
        <v>0.1</v>
      </c>
      <c r="AC353" t="str">
        <f>IF(Table1[[#This Row],[DiscountPct]]&gt;0.3, "&gt;0.3","")</f>
        <v/>
      </c>
      <c r="AD353">
        <v>7</v>
      </c>
      <c r="AE353">
        <f>Table1[[#This Row],[Quantity]]*(1+'scenario modeling'!$B$4)</f>
        <v>8.4</v>
      </c>
      <c r="AF353">
        <f>Table1[[#This Row],[UnitCost]]*Table1[[#This Row],[Quantity]]</f>
        <v>5534.41</v>
      </c>
      <c r="AG353">
        <f>SUMIF($U:U,Table1[[#This Row],[ProductCategory]],$AM:AM)</f>
        <v>1549460.0077899997</v>
      </c>
      <c r="AH353">
        <f>SUMIFS($AM$2:AM353,$U$2:U353,U353)</f>
        <v>1531336.3599499997</v>
      </c>
      <c r="AI353" s="5">
        <f>Table1[[#This Row],[Cumulative_revenue]]/Table1[[#This Row],[Category_revenue]]</f>
        <v>0.98830324903586908</v>
      </c>
      <c r="AJ353" t="str">
        <f>IF(Table1[[#This Row],[cumulative_pct]]&lt;=0.8,"A",IF(Table1[[#This Row],[cumulative_pct]]&lt;=0.95,"B","C"))</f>
        <v>C</v>
      </c>
      <c r="AK353">
        <f>Table1[[#This Row],[adj_unit_cost]]*Table1[[#This Row],[scenario_quantity]]</f>
        <v>7305.4212000000007</v>
      </c>
      <c r="AL353" s="5">
        <f>Table1[[#This Row],[UnitPrice]]*Table1[[#This Row],[scenario_quantity]]*(1-Table1[[#This Row],[cap_adjusted_discount]])</f>
        <v>10450.2636</v>
      </c>
      <c r="AM353" s="5">
        <f>Table1[[#This Row],[UnitPrice]]*Table1[[#This Row],[Quantity]]*(1-Table1[[#This Row],[DiscountPct]])</f>
        <v>8698.8768300000011</v>
      </c>
      <c r="AN353" s="5">
        <f>Table1[[#This Row],[gross_revenue]]-Table1[[#This Row],[cost_of_goods]]</f>
        <v>3164.4668300000012</v>
      </c>
      <c r="AO353" s="5">
        <f>Table1[[#This Row],[scenario_revenue]]-Table1[[#This Row],[Scenario_unit_cost]]</f>
        <v>3144.8423999999995</v>
      </c>
      <c r="AP353" s="5">
        <f>IF(Table1[[#This Row],[gross_revenue]]=0,0,Table1[[#This Row],[gross_profit]]/Table1[[#This Row],[gross_revenue]])</f>
        <v>0.36377878338116448</v>
      </c>
    </row>
    <row r="354" spans="1:42" x14ac:dyDescent="0.35">
      <c r="A354" t="s">
        <v>83</v>
      </c>
      <c r="B354" t="str">
        <f>_xlfn.TEXTAFTER(Table1[[#This Row],[OrderID]],"-",2)</f>
        <v>749324</v>
      </c>
      <c r="C354">
        <f>YEAR(Table1[[#This Row],[OrderDate]])</f>
        <v>2023</v>
      </c>
      <c r="D354" s="9">
        <f>_xlfn.MINIFS(F:F,P:P,Table1[[#This Row],[Country]])</f>
        <v>44933</v>
      </c>
      <c r="E354" s="7">
        <f>DATEDIF(Table1[[#This Row],[first_time_orders]],Table1[[#This Row],[OrderDate]],"m")</f>
        <v>7</v>
      </c>
      <c r="F354" s="9">
        <v>45157</v>
      </c>
      <c r="G354" s="2" t="str">
        <f>TEXT(Table1[[#This Row],[OrderDate]],"MMM-YYYY")</f>
        <v>Aug-2023</v>
      </c>
      <c r="H354" s="7">
        <f>MONTH(Table1[[#This Row],[OrderDate]])</f>
        <v>8</v>
      </c>
      <c r="I354" s="7" t="str">
        <f>"Q"&amp;ROUNDUP(Table1[[#This Row],[months]]/3,0)&amp;"-"&amp;Table1[[#This Row],[order_year]]</f>
        <v>Q3-2023</v>
      </c>
      <c r="J354" s="7">
        <f>Table1[[#This Row],[RequiredDate]]-Table1[[#This Row],[OrderDate]]</f>
        <v>19</v>
      </c>
      <c r="K354" s="7">
        <f>IF(Table1[[#This Row],[lead_time]]&lt;0,MEDIAN(J:J),Table1[[#This Row],[lead_time]])</f>
        <v>19</v>
      </c>
      <c r="L354" s="7">
        <f>IF(Table1[[#This Row],[adj_lead_time]]&lt;=7,1,0)</f>
        <v>0</v>
      </c>
      <c r="M354" s="9">
        <v>45176</v>
      </c>
      <c r="N354" s="9">
        <f>IF(Table1[[#This Row],[lead_time]]&lt;0,(Table1[[#This Row],[OrderDate]]+Table1[[#This Row],[adj_lead_time]]),Table1[[#This Row],[RequiredDate]])</f>
        <v>45176</v>
      </c>
      <c r="O354" t="s">
        <v>646</v>
      </c>
      <c r="P354" t="s">
        <v>661</v>
      </c>
      <c r="Q354" t="s">
        <v>682</v>
      </c>
      <c r="R354" t="s">
        <v>706</v>
      </c>
      <c r="S354" t="s">
        <v>707</v>
      </c>
      <c r="T354" t="s">
        <v>726</v>
      </c>
      <c r="U354" t="s">
        <v>732</v>
      </c>
      <c r="V354" t="s">
        <v>802</v>
      </c>
      <c r="W354">
        <v>494.61</v>
      </c>
      <c r="X354">
        <f>Table1[[#This Row],[UnitCost]]*(1+'scenario modeling'!$B$3)</f>
        <v>544.07100000000003</v>
      </c>
      <c r="Y354">
        <v>605.23</v>
      </c>
      <c r="Z354" t="str">
        <f>IF(Table1[[#This Row],[UnitPrice]]&lt;=Quantiles!$B$2,Quantiles!$A$2,IF(Table1[[#This Row],[UnitPrice]]&lt;=Quantiles!$B$3,Quantiles!$A$3,Quantiles!$A$4))</f>
        <v>Low</v>
      </c>
      <c r="AA354">
        <v>0.20399999999999999</v>
      </c>
      <c r="AB354" s="5">
        <f>MIN(Table1[[#This Row],[DiscountPct]],'scenario modeling'!$B$2)</f>
        <v>0.1</v>
      </c>
      <c r="AC354" t="str">
        <f>IF(Table1[[#This Row],[DiscountPct]]&gt;0.3, "&gt;0.3","")</f>
        <v/>
      </c>
      <c r="AD354">
        <v>18</v>
      </c>
      <c r="AE354">
        <f>Table1[[#This Row],[Quantity]]*(1+'scenario modeling'!$B$4)</f>
        <v>21.599999999999998</v>
      </c>
      <c r="AF354">
        <f>Table1[[#This Row],[UnitCost]]*Table1[[#This Row],[Quantity]]</f>
        <v>8902.98</v>
      </c>
      <c r="AG354">
        <f>SUMIF($U:U,Table1[[#This Row],[ProductCategory]],$AM:AM)</f>
        <v>1549460.0077899997</v>
      </c>
      <c r="AH354">
        <f>SUMIFS($AM$2:AM354,$U$2:U354,U354)</f>
        <v>1540008.0953899997</v>
      </c>
      <c r="AI354" s="5">
        <f>Table1[[#This Row],[Cumulative_revenue]]/Table1[[#This Row],[Category_revenue]]</f>
        <v>0.9938998668229706</v>
      </c>
      <c r="AJ354" t="str">
        <f>IF(Table1[[#This Row],[cumulative_pct]]&lt;=0.8,"A",IF(Table1[[#This Row],[cumulative_pct]]&lt;=0.95,"B","C"))</f>
        <v>C</v>
      </c>
      <c r="AK354">
        <f>Table1[[#This Row],[adj_unit_cost]]*Table1[[#This Row],[scenario_quantity]]</f>
        <v>11751.9336</v>
      </c>
      <c r="AL354" s="5">
        <f>Table1[[#This Row],[UnitPrice]]*Table1[[#This Row],[scenario_quantity]]*(1-Table1[[#This Row],[cap_adjusted_discount]])</f>
        <v>11765.671199999999</v>
      </c>
      <c r="AM354" s="5">
        <f>Table1[[#This Row],[UnitPrice]]*Table1[[#This Row],[Quantity]]*(1-Table1[[#This Row],[DiscountPct]])</f>
        <v>8671.7354400000004</v>
      </c>
      <c r="AN354" s="5">
        <f>Table1[[#This Row],[gross_revenue]]-Table1[[#This Row],[cost_of_goods]]</f>
        <v>-231.24455999999918</v>
      </c>
      <c r="AO354" s="5">
        <f>Table1[[#This Row],[scenario_revenue]]-Table1[[#This Row],[Scenario_unit_cost]]</f>
        <v>13.737599999998565</v>
      </c>
      <c r="AP354" s="5">
        <f>IF(Table1[[#This Row],[gross_revenue]]=0,0,Table1[[#This Row],[gross_profit]]/Table1[[#This Row],[gross_revenue]])</f>
        <v>-2.6666468505639647E-2</v>
      </c>
    </row>
    <row r="355" spans="1:42" x14ac:dyDescent="0.35">
      <c r="A355" t="s">
        <v>183</v>
      </c>
      <c r="B355" t="str">
        <f>_xlfn.TEXTAFTER(Table1[[#This Row],[OrderID]],"-",2)</f>
        <v>304451</v>
      </c>
      <c r="C355">
        <f>YEAR(Table1[[#This Row],[OrderDate]])</f>
        <v>2023</v>
      </c>
      <c r="D355" s="9">
        <f>_xlfn.MINIFS(F:F,P:P,Table1[[#This Row],[Country]])</f>
        <v>44955</v>
      </c>
      <c r="E355" s="7">
        <f>DATEDIF(Table1[[#This Row],[first_time_orders]],Table1[[#This Row],[OrderDate]],"m")</f>
        <v>8</v>
      </c>
      <c r="F355" s="9">
        <v>45206</v>
      </c>
      <c r="G355" s="2" t="str">
        <f>TEXT(Table1[[#This Row],[OrderDate]],"MMM-YYYY")</f>
        <v>Oct-2023</v>
      </c>
      <c r="H355" s="7">
        <f>MONTH(Table1[[#This Row],[OrderDate]])</f>
        <v>10</v>
      </c>
      <c r="I355" s="7" t="str">
        <f>"Q"&amp;ROUNDUP(Table1[[#This Row],[months]]/3,0)&amp;"-"&amp;Table1[[#This Row],[order_year]]</f>
        <v>Q4-2023</v>
      </c>
      <c r="J355" s="7">
        <f>Table1[[#This Row],[RequiredDate]]-Table1[[#This Row],[OrderDate]]</f>
        <v>16</v>
      </c>
      <c r="K355" s="7">
        <f>IF(Table1[[#This Row],[lead_time]]&lt;0,MEDIAN(J:J),Table1[[#This Row],[lead_time]])</f>
        <v>16</v>
      </c>
      <c r="L355" s="7">
        <f>IF(Table1[[#This Row],[adj_lead_time]]&lt;=7,1,0)</f>
        <v>0</v>
      </c>
      <c r="M355" s="9">
        <v>45222</v>
      </c>
      <c r="N355" s="9">
        <f>IF(Table1[[#This Row],[lead_time]]&lt;0,(Table1[[#This Row],[OrderDate]]+Table1[[#This Row],[adj_lead_time]]),Table1[[#This Row],[RequiredDate]])</f>
        <v>45222</v>
      </c>
      <c r="O355" t="s">
        <v>647</v>
      </c>
      <c r="P355" t="s">
        <v>654</v>
      </c>
      <c r="Q355" t="s">
        <v>696</v>
      </c>
      <c r="R355" t="s">
        <v>704</v>
      </c>
      <c r="S355" t="s">
        <v>707</v>
      </c>
      <c r="T355" t="s">
        <v>715</v>
      </c>
      <c r="U355" t="s">
        <v>732</v>
      </c>
      <c r="V355" t="s">
        <v>902</v>
      </c>
      <c r="W355">
        <v>906.81</v>
      </c>
      <c r="X355">
        <f>Table1[[#This Row],[UnitCost]]*(1+'scenario modeling'!$B$3)</f>
        <v>997.49099999999999</v>
      </c>
      <c r="Y355">
        <v>1395.56</v>
      </c>
      <c r="Z355" t="str">
        <f>IF(Table1[[#This Row],[UnitPrice]]&lt;=Quantiles!$B$2,Quantiles!$A$2,IF(Table1[[#This Row],[UnitPrice]]&lt;=Quantiles!$B$3,Quantiles!$A$3,Quantiles!$A$4))</f>
        <v>Medium</v>
      </c>
      <c r="AA355">
        <v>0.185</v>
      </c>
      <c r="AB355" s="5">
        <f>MIN(Table1[[#This Row],[DiscountPct]],'scenario modeling'!$B$2)</f>
        <v>0.1</v>
      </c>
      <c r="AC355" t="str">
        <f>IF(Table1[[#This Row],[DiscountPct]]&gt;0.3, "&gt;0.3","")</f>
        <v/>
      </c>
      <c r="AD355">
        <v>6</v>
      </c>
      <c r="AE355">
        <f>Table1[[#This Row],[Quantity]]*(1+'scenario modeling'!$B$4)</f>
        <v>7.1999999999999993</v>
      </c>
      <c r="AF355">
        <f>Table1[[#This Row],[UnitCost]]*Table1[[#This Row],[Quantity]]</f>
        <v>5440.86</v>
      </c>
      <c r="AG355">
        <f>SUMIF($U:U,Table1[[#This Row],[ProductCategory]],$AM:AM)</f>
        <v>1549460.0077899997</v>
      </c>
      <c r="AH355">
        <f>SUMIFS($AM$2:AM355,$U$2:U355,U355)</f>
        <v>1546832.3837899996</v>
      </c>
      <c r="AI355" s="5">
        <f>Table1[[#This Row],[Cumulative_revenue]]/Table1[[#This Row],[Category_revenue]]</f>
        <v>0.99830416791218257</v>
      </c>
      <c r="AJ355" t="str">
        <f>IF(Table1[[#This Row],[cumulative_pct]]&lt;=0.8,"A",IF(Table1[[#This Row],[cumulative_pct]]&lt;=0.95,"B","C"))</f>
        <v>C</v>
      </c>
      <c r="AK355">
        <f>Table1[[#This Row],[adj_unit_cost]]*Table1[[#This Row],[scenario_quantity]]</f>
        <v>7181.935199999999</v>
      </c>
      <c r="AL355" s="5">
        <f>Table1[[#This Row],[UnitPrice]]*Table1[[#This Row],[scenario_quantity]]*(1-Table1[[#This Row],[cap_adjusted_discount]])</f>
        <v>9043.228799999999</v>
      </c>
      <c r="AM355" s="5">
        <f>Table1[[#This Row],[UnitPrice]]*Table1[[#This Row],[Quantity]]*(1-Table1[[#This Row],[DiscountPct]])</f>
        <v>6824.2884000000004</v>
      </c>
      <c r="AN355" s="5">
        <f>Table1[[#This Row],[gross_revenue]]-Table1[[#This Row],[cost_of_goods]]</f>
        <v>1383.4284000000007</v>
      </c>
      <c r="AO355" s="5">
        <f>Table1[[#This Row],[scenario_revenue]]-Table1[[#This Row],[Scenario_unit_cost]]</f>
        <v>1861.2936</v>
      </c>
      <c r="AP355" s="5">
        <f>IF(Table1[[#This Row],[gross_revenue]]=0,0,Table1[[#This Row],[gross_profit]]/Table1[[#This Row],[gross_revenue]])</f>
        <v>0.20272126834498974</v>
      </c>
    </row>
    <row r="356" spans="1:42" x14ac:dyDescent="0.35">
      <c r="A356" t="s">
        <v>446</v>
      </c>
      <c r="B356" t="str">
        <f>_xlfn.TEXTAFTER(Table1[[#This Row],[OrderID]],"-",2)</f>
        <v>659070</v>
      </c>
      <c r="C356">
        <f>YEAR(Table1[[#This Row],[OrderDate]])</f>
        <v>2023</v>
      </c>
      <c r="D356" s="9">
        <f>_xlfn.MINIFS(F:F,P:P,Table1[[#This Row],[Country]])</f>
        <v>44945</v>
      </c>
      <c r="E356" s="7">
        <f>DATEDIF(Table1[[#This Row],[first_time_orders]],Table1[[#This Row],[OrderDate]],"m")</f>
        <v>9</v>
      </c>
      <c r="F356" s="9">
        <v>45220</v>
      </c>
      <c r="G356" s="2" t="str">
        <f>TEXT(Table1[[#This Row],[OrderDate]],"MMM-YYYY")</f>
        <v>Oct-2023</v>
      </c>
      <c r="H356" s="7">
        <f>MONTH(Table1[[#This Row],[OrderDate]])</f>
        <v>10</v>
      </c>
      <c r="I356" s="7" t="str">
        <f>"Q"&amp;ROUNDUP(Table1[[#This Row],[months]]/3,0)&amp;"-"&amp;Table1[[#This Row],[order_year]]</f>
        <v>Q4-2023</v>
      </c>
      <c r="J356" s="7">
        <f>Table1[[#This Row],[RequiredDate]]-Table1[[#This Row],[OrderDate]]</f>
        <v>0</v>
      </c>
      <c r="K356" s="7">
        <f>IF(Table1[[#This Row],[lead_time]]&lt;0,MEDIAN(J:J),Table1[[#This Row],[lead_time]])</f>
        <v>0</v>
      </c>
      <c r="L356" s="7">
        <f>IF(Table1[[#This Row],[adj_lead_time]]&lt;=7,1,0)</f>
        <v>1</v>
      </c>
      <c r="M356" s="9">
        <v>45220</v>
      </c>
      <c r="N356" s="9">
        <f>IF(Table1[[#This Row],[lead_time]]&lt;0,(Table1[[#This Row],[OrderDate]]+Table1[[#This Row],[adj_lead_time]]),Table1[[#This Row],[RequiredDate]])</f>
        <v>45220</v>
      </c>
      <c r="O356" t="s">
        <v>649</v>
      </c>
      <c r="P356" t="s">
        <v>658</v>
      </c>
      <c r="Q356" t="s">
        <v>693</v>
      </c>
      <c r="R356" t="s">
        <v>706</v>
      </c>
      <c r="S356" t="s">
        <v>710</v>
      </c>
      <c r="T356" t="s">
        <v>713</v>
      </c>
      <c r="U356" t="s">
        <v>732</v>
      </c>
      <c r="V356" t="s">
        <v>1165</v>
      </c>
      <c r="W356">
        <v>384.19</v>
      </c>
      <c r="X356">
        <f>Table1[[#This Row],[UnitCost]]*(1+'scenario modeling'!$B$3)</f>
        <v>422.60900000000004</v>
      </c>
      <c r="Y356">
        <v>278.35000000000002</v>
      </c>
      <c r="Z356" t="str">
        <f>IF(Table1[[#This Row],[UnitPrice]]&lt;=Quantiles!$B$2,Quantiles!$A$2,IF(Table1[[#This Row],[UnitPrice]]&lt;=Quantiles!$B$3,Quantiles!$A$3,Quantiles!$A$4))</f>
        <v>Low</v>
      </c>
      <c r="AA356">
        <v>5.6000000000000001E-2</v>
      </c>
      <c r="AB356" s="5">
        <f>MIN(Table1[[#This Row],[DiscountPct]],'scenario modeling'!$B$2)</f>
        <v>5.6000000000000001E-2</v>
      </c>
      <c r="AC356" t="str">
        <f>IF(Table1[[#This Row],[DiscountPct]]&gt;0.3, "&gt;0.3","")</f>
        <v/>
      </c>
      <c r="AD356">
        <v>10</v>
      </c>
      <c r="AE356">
        <f>Table1[[#This Row],[Quantity]]*(1+'scenario modeling'!$B$4)</f>
        <v>12</v>
      </c>
      <c r="AF356">
        <f>Table1[[#This Row],[UnitCost]]*Table1[[#This Row],[Quantity]]</f>
        <v>3841.9</v>
      </c>
      <c r="AG356">
        <f>SUMIF($U:U,Table1[[#This Row],[ProductCategory]],$AM:AM)</f>
        <v>1549460.0077899997</v>
      </c>
      <c r="AH356">
        <f>SUMIFS($AM$2:AM356,$U$2:U356,U356)</f>
        <v>1549460.0077899997</v>
      </c>
      <c r="AI356" s="5">
        <f>Table1[[#This Row],[Cumulative_revenue]]/Table1[[#This Row],[Category_revenue]]</f>
        <v>1</v>
      </c>
      <c r="AJ356" t="str">
        <f>IF(Table1[[#This Row],[cumulative_pct]]&lt;=0.8,"A",IF(Table1[[#This Row],[cumulative_pct]]&lt;=0.95,"B","C"))</f>
        <v>C</v>
      </c>
      <c r="AK356">
        <f>Table1[[#This Row],[adj_unit_cost]]*Table1[[#This Row],[scenario_quantity]]</f>
        <v>5071.3080000000009</v>
      </c>
      <c r="AL356" s="5">
        <f>Table1[[#This Row],[UnitPrice]]*Table1[[#This Row],[scenario_quantity]]*(1-Table1[[#This Row],[cap_adjusted_discount]])</f>
        <v>3153.1487999999999</v>
      </c>
      <c r="AM356" s="5">
        <f>Table1[[#This Row],[UnitPrice]]*Table1[[#This Row],[Quantity]]*(1-Table1[[#This Row],[DiscountPct]])</f>
        <v>2627.6239999999998</v>
      </c>
      <c r="AN356" s="5">
        <f>Table1[[#This Row],[gross_revenue]]-Table1[[#This Row],[cost_of_goods]]</f>
        <v>-1214.2760000000003</v>
      </c>
      <c r="AO356" s="5">
        <f>Table1[[#This Row],[scenario_revenue]]-Table1[[#This Row],[Scenario_unit_cost]]</f>
        <v>-1918.159200000001</v>
      </c>
      <c r="AP356" s="5">
        <f>IF(Table1[[#This Row],[gross_revenue]]=0,0,Table1[[#This Row],[gross_profit]]/Table1[[#This Row],[gross_revenue]])</f>
        <v>-0.46211938998882657</v>
      </c>
    </row>
    <row r="357" spans="1:42" x14ac:dyDescent="0.35">
      <c r="A357" t="s">
        <v>217</v>
      </c>
      <c r="B357" t="str">
        <f>_xlfn.TEXTAFTER(Table1[[#This Row],[OrderID]],"-",2)</f>
        <v>586275</v>
      </c>
      <c r="C357">
        <f>YEAR(Table1[[#This Row],[OrderDate]])</f>
        <v>2023</v>
      </c>
      <c r="D357" s="9">
        <f>_xlfn.MINIFS(F:F,P:P,Table1[[#This Row],[Country]])</f>
        <v>44946</v>
      </c>
      <c r="E357" s="7">
        <f>DATEDIF(Table1[[#This Row],[first_time_orders]],Table1[[#This Row],[OrderDate]],"m")</f>
        <v>0</v>
      </c>
      <c r="F357" s="9">
        <v>44946</v>
      </c>
      <c r="G357" s="2" t="str">
        <f>TEXT(Table1[[#This Row],[OrderDate]],"MMM-YYYY")</f>
        <v>Jan-2023</v>
      </c>
      <c r="H357" s="7">
        <f>MONTH(Table1[[#This Row],[OrderDate]])</f>
        <v>1</v>
      </c>
      <c r="I357" s="7" t="str">
        <f>"Q"&amp;ROUNDUP(Table1[[#This Row],[months]]/3,0)&amp;"-"&amp;Table1[[#This Row],[order_year]]</f>
        <v>Q1-2023</v>
      </c>
      <c r="J357" s="7">
        <f>Table1[[#This Row],[RequiredDate]]-Table1[[#This Row],[OrderDate]]</f>
        <v>14</v>
      </c>
      <c r="K357" s="7">
        <f>IF(Table1[[#This Row],[lead_time]]&lt;0,MEDIAN(J:J),Table1[[#This Row],[lead_time]])</f>
        <v>14</v>
      </c>
      <c r="L357" s="7">
        <f>IF(Table1[[#This Row],[adj_lead_time]]&lt;=7,1,0)</f>
        <v>0</v>
      </c>
      <c r="M357" s="9">
        <v>44960</v>
      </c>
      <c r="N357" s="9">
        <f>IF(Table1[[#This Row],[lead_time]]&lt;0,(Table1[[#This Row],[OrderDate]]+Table1[[#This Row],[adj_lead_time]]),Table1[[#This Row],[RequiredDate]])</f>
        <v>44960</v>
      </c>
      <c r="O357" t="s">
        <v>646</v>
      </c>
      <c r="P357" t="s">
        <v>650</v>
      </c>
      <c r="Q357" t="s">
        <v>662</v>
      </c>
      <c r="R357" t="s">
        <v>701</v>
      </c>
      <c r="S357" t="s">
        <v>707</v>
      </c>
      <c r="T357" t="s">
        <v>724</v>
      </c>
      <c r="U357" t="s">
        <v>729</v>
      </c>
      <c r="V357" t="s">
        <v>937</v>
      </c>
      <c r="W357">
        <v>884.36</v>
      </c>
      <c r="X357">
        <f>Table1[[#This Row],[UnitCost]]*(1+'scenario modeling'!$B$3)</f>
        <v>972.79600000000005</v>
      </c>
      <c r="Y357">
        <v>1545.34</v>
      </c>
      <c r="Z357" t="str">
        <f>IF(Table1[[#This Row],[UnitPrice]]&lt;=Quantiles!$B$2,Quantiles!$A$2,IF(Table1[[#This Row],[UnitPrice]]&lt;=Quantiles!$B$3,Quantiles!$A$3,Quantiles!$A$4))</f>
        <v>Medium</v>
      </c>
      <c r="AA357">
        <v>0.24299999999999999</v>
      </c>
      <c r="AB357" s="5">
        <f>MIN(Table1[[#This Row],[DiscountPct]],'scenario modeling'!$B$2)</f>
        <v>0.1</v>
      </c>
      <c r="AC357" t="str">
        <f>IF(Table1[[#This Row],[DiscountPct]]&gt;0.3, "&gt;0.3","")</f>
        <v/>
      </c>
      <c r="AD357">
        <v>41</v>
      </c>
      <c r="AE357">
        <f>Table1[[#This Row],[Quantity]]*(1+'scenario modeling'!$B$4)</f>
        <v>49.199999999999996</v>
      </c>
      <c r="AF357">
        <f>Table1[[#This Row],[UnitCost]]*Table1[[#This Row],[Quantity]]</f>
        <v>36258.76</v>
      </c>
      <c r="AG357">
        <f>SUMIF($U:U,Table1[[#This Row],[ProductCategory]],$AM:AM)</f>
        <v>1773719.1704599999</v>
      </c>
      <c r="AH357">
        <f>SUMIFS($AM$2:AM357,$U$2:U357,U357)</f>
        <v>47962.717579999997</v>
      </c>
      <c r="AI357" s="5">
        <f>Table1[[#This Row],[Cumulative_revenue]]/Table1[[#This Row],[Category_revenue]]</f>
        <v>2.7040761795206425E-2</v>
      </c>
      <c r="AJ357" t="str">
        <f>IF(Table1[[#This Row],[cumulative_pct]]&lt;=0.8,"A",IF(Table1[[#This Row],[cumulative_pct]]&lt;=0.95,"B","C"))</f>
        <v>A</v>
      </c>
      <c r="AK357">
        <f>Table1[[#This Row],[adj_unit_cost]]*Table1[[#This Row],[scenario_quantity]]</f>
        <v>47861.563199999997</v>
      </c>
      <c r="AL357" s="5">
        <f>Table1[[#This Row],[UnitPrice]]*Table1[[#This Row],[scenario_quantity]]*(1-Table1[[#This Row],[cap_adjusted_discount]])</f>
        <v>68427.655199999994</v>
      </c>
      <c r="AM357" s="5">
        <f>Table1[[#This Row],[UnitPrice]]*Table1[[#This Row],[Quantity]]*(1-Table1[[#This Row],[DiscountPct]])</f>
        <v>47962.717579999997</v>
      </c>
      <c r="AN357" s="5">
        <f>Table1[[#This Row],[gross_revenue]]-Table1[[#This Row],[cost_of_goods]]</f>
        <v>11703.957579999995</v>
      </c>
      <c r="AO357" s="5">
        <f>Table1[[#This Row],[scenario_revenue]]-Table1[[#This Row],[Scenario_unit_cost]]</f>
        <v>20566.091999999997</v>
      </c>
      <c r="AP357" s="5">
        <f>IF(Table1[[#This Row],[gross_revenue]]=0,0,Table1[[#This Row],[gross_profit]]/Table1[[#This Row],[gross_revenue]])</f>
        <v>0.24402198562827965</v>
      </c>
    </row>
    <row r="358" spans="1:42" x14ac:dyDescent="0.35">
      <c r="A358" t="s">
        <v>144</v>
      </c>
      <c r="B358" t="str">
        <f>_xlfn.TEXTAFTER(Table1[[#This Row],[OrderID]],"-",2)</f>
        <v>521818</v>
      </c>
      <c r="C358">
        <f>YEAR(Table1[[#This Row],[OrderDate]])</f>
        <v>2023</v>
      </c>
      <c r="D358" s="9">
        <f>_xlfn.MINIFS(F:F,P:P,Table1[[#This Row],[Country]])</f>
        <v>44939</v>
      </c>
      <c r="E358" s="7">
        <f>DATEDIF(Table1[[#This Row],[first_time_orders]],Table1[[#This Row],[OrderDate]],"m")</f>
        <v>0</v>
      </c>
      <c r="F358" s="9">
        <v>44948</v>
      </c>
      <c r="G358" s="2" t="str">
        <f>TEXT(Table1[[#This Row],[OrderDate]],"MMM-YYYY")</f>
        <v>Jan-2023</v>
      </c>
      <c r="H358" s="7">
        <f>MONTH(Table1[[#This Row],[OrderDate]])</f>
        <v>1</v>
      </c>
      <c r="I358" s="7" t="str">
        <f>"Q"&amp;ROUNDUP(Table1[[#This Row],[months]]/3,0)&amp;"-"&amp;Table1[[#This Row],[order_year]]</f>
        <v>Q1-2023</v>
      </c>
      <c r="J358" s="7">
        <f>Table1[[#This Row],[RequiredDate]]-Table1[[#This Row],[OrderDate]]</f>
        <v>8</v>
      </c>
      <c r="K358" s="7">
        <f>IF(Table1[[#This Row],[lead_time]]&lt;0,MEDIAN(J:J),Table1[[#This Row],[lead_time]])</f>
        <v>8</v>
      </c>
      <c r="L358" s="7">
        <f>IF(Table1[[#This Row],[adj_lead_time]]&lt;=7,1,0)</f>
        <v>0</v>
      </c>
      <c r="M358" s="9">
        <v>44956</v>
      </c>
      <c r="N358" s="9">
        <f>IF(Table1[[#This Row],[lead_time]]&lt;0,(Table1[[#This Row],[OrderDate]]+Table1[[#This Row],[adj_lead_time]]),Table1[[#This Row],[RequiredDate]])</f>
        <v>44956</v>
      </c>
      <c r="O358" t="s">
        <v>648</v>
      </c>
      <c r="P358" t="s">
        <v>660</v>
      </c>
      <c r="Q358" t="s">
        <v>686</v>
      </c>
      <c r="R358" t="s">
        <v>705</v>
      </c>
      <c r="S358" t="s">
        <v>708</v>
      </c>
      <c r="T358" t="s">
        <v>720</v>
      </c>
      <c r="U358" t="s">
        <v>729</v>
      </c>
      <c r="V358" t="s">
        <v>863</v>
      </c>
      <c r="W358">
        <v>413.52</v>
      </c>
      <c r="X358">
        <f>Table1[[#This Row],[UnitCost]]*(1+'scenario modeling'!$B$3)</f>
        <v>454.87200000000001</v>
      </c>
      <c r="Y358">
        <v>1004.34</v>
      </c>
      <c r="Z358" t="str">
        <f>IF(Table1[[#This Row],[UnitPrice]]&lt;=Quantiles!$B$2,Quantiles!$A$2,IF(Table1[[#This Row],[UnitPrice]]&lt;=Quantiles!$B$3,Quantiles!$A$3,Quantiles!$A$4))</f>
        <v>Medium</v>
      </c>
      <c r="AA358">
        <v>0.111</v>
      </c>
      <c r="AB358" s="5">
        <f>MIN(Table1[[#This Row],[DiscountPct]],'scenario modeling'!$B$2)</f>
        <v>0.1</v>
      </c>
      <c r="AC358" t="str">
        <f>IF(Table1[[#This Row],[DiscountPct]]&gt;0.3, "&gt;0.3","")</f>
        <v/>
      </c>
      <c r="AD358">
        <v>18</v>
      </c>
      <c r="AE358">
        <f>Table1[[#This Row],[Quantity]]*(1+'scenario modeling'!$B$4)</f>
        <v>21.599999999999998</v>
      </c>
      <c r="AF358">
        <f>Table1[[#This Row],[UnitCost]]*Table1[[#This Row],[Quantity]]</f>
        <v>7443.36</v>
      </c>
      <c r="AG358">
        <f>SUMIF($U:U,Table1[[#This Row],[ProductCategory]],$AM:AM)</f>
        <v>1773719.1704599999</v>
      </c>
      <c r="AH358">
        <f>SUMIFS($AM$2:AM358,$U$2:U358,U358)</f>
        <v>64034.166259999998</v>
      </c>
      <c r="AI358" s="5">
        <f>Table1[[#This Row],[Cumulative_revenue]]/Table1[[#This Row],[Category_revenue]]</f>
        <v>3.6101637354121426E-2</v>
      </c>
      <c r="AJ358" t="str">
        <f>IF(Table1[[#This Row],[cumulative_pct]]&lt;=0.8,"A",IF(Table1[[#This Row],[cumulative_pct]]&lt;=0.95,"B","C"))</f>
        <v>A</v>
      </c>
      <c r="AK358">
        <f>Table1[[#This Row],[adj_unit_cost]]*Table1[[#This Row],[scenario_quantity]]</f>
        <v>9825.2351999999992</v>
      </c>
      <c r="AL358" s="5">
        <f>Table1[[#This Row],[UnitPrice]]*Table1[[#This Row],[scenario_quantity]]*(1-Table1[[#This Row],[cap_adjusted_discount]])</f>
        <v>19524.369599999998</v>
      </c>
      <c r="AM358" s="5">
        <f>Table1[[#This Row],[UnitPrice]]*Table1[[#This Row],[Quantity]]*(1-Table1[[#This Row],[DiscountPct]])</f>
        <v>16071.44868</v>
      </c>
      <c r="AN358" s="5">
        <f>Table1[[#This Row],[gross_revenue]]-Table1[[#This Row],[cost_of_goods]]</f>
        <v>8628.0886800000007</v>
      </c>
      <c r="AO358" s="5">
        <f>Table1[[#This Row],[scenario_revenue]]-Table1[[#This Row],[Scenario_unit_cost]]</f>
        <v>9699.134399999999</v>
      </c>
      <c r="AP358" s="5">
        <f>IF(Table1[[#This Row],[gross_revenue]]=0,0,Table1[[#This Row],[gross_profit]]/Table1[[#This Row],[gross_revenue]])</f>
        <v>0.53685817948304593</v>
      </c>
    </row>
    <row r="359" spans="1:42" x14ac:dyDescent="0.35">
      <c r="A359" t="s">
        <v>566</v>
      </c>
      <c r="B359" t="str">
        <f>_xlfn.TEXTAFTER(Table1[[#This Row],[OrderID]],"-",2)</f>
        <v>139236</v>
      </c>
      <c r="C359">
        <f>YEAR(Table1[[#This Row],[OrderDate]])</f>
        <v>2023</v>
      </c>
      <c r="D359" s="9">
        <f>_xlfn.MINIFS(F:F,P:P,Table1[[#This Row],[Country]])</f>
        <v>44988</v>
      </c>
      <c r="E359" s="7">
        <f>DATEDIF(Table1[[#This Row],[first_time_orders]],Table1[[#This Row],[OrderDate]],"m")</f>
        <v>0</v>
      </c>
      <c r="F359" s="9">
        <v>44988</v>
      </c>
      <c r="G359" s="2" t="str">
        <f>TEXT(Table1[[#This Row],[OrderDate]],"MMM-YYYY")</f>
        <v>Mar-2023</v>
      </c>
      <c r="H359" s="7">
        <f>MONTH(Table1[[#This Row],[OrderDate]])</f>
        <v>3</v>
      </c>
      <c r="I359" s="7" t="str">
        <f>"Q"&amp;ROUNDUP(Table1[[#This Row],[months]]/3,0)&amp;"-"&amp;Table1[[#This Row],[order_year]]</f>
        <v>Q1-2023</v>
      </c>
      <c r="J359" s="7">
        <f>Table1[[#This Row],[RequiredDate]]-Table1[[#This Row],[OrderDate]]</f>
        <v>17</v>
      </c>
      <c r="K359" s="7">
        <f>IF(Table1[[#This Row],[lead_time]]&lt;0,MEDIAN(J:J),Table1[[#This Row],[lead_time]])</f>
        <v>17</v>
      </c>
      <c r="L359" s="7">
        <f>IF(Table1[[#This Row],[adj_lead_time]]&lt;=7,1,0)</f>
        <v>0</v>
      </c>
      <c r="M359" s="9">
        <v>45005</v>
      </c>
      <c r="N359" s="9">
        <f>IF(Table1[[#This Row],[lead_time]]&lt;0,(Table1[[#This Row],[OrderDate]]+Table1[[#This Row],[adj_lead_time]]),Table1[[#This Row],[RequiredDate]])</f>
        <v>45005</v>
      </c>
      <c r="O359" t="s">
        <v>647</v>
      </c>
      <c r="P359" t="s">
        <v>652</v>
      </c>
      <c r="Q359" t="s">
        <v>694</v>
      </c>
      <c r="R359" t="s">
        <v>705</v>
      </c>
      <c r="S359" t="s">
        <v>708</v>
      </c>
      <c r="T359" t="s">
        <v>726</v>
      </c>
      <c r="U359" t="s">
        <v>729</v>
      </c>
      <c r="V359" t="s">
        <v>1284</v>
      </c>
      <c r="W359">
        <v>1171.17</v>
      </c>
      <c r="X359">
        <f>Table1[[#This Row],[UnitCost]]*(1+'scenario modeling'!$B$3)</f>
        <v>1288.2870000000003</v>
      </c>
      <c r="Y359">
        <v>2030.64</v>
      </c>
      <c r="Z359" t="str">
        <f>IF(Table1[[#This Row],[UnitPrice]]&lt;=Quantiles!$B$2,Quantiles!$A$2,IF(Table1[[#This Row],[UnitPrice]]&lt;=Quantiles!$B$3,Quantiles!$A$3,Quantiles!$A$4))</f>
        <v>High</v>
      </c>
      <c r="AA359">
        <v>0.157</v>
      </c>
      <c r="AB359" s="5">
        <f>MIN(Table1[[#This Row],[DiscountPct]],'scenario modeling'!$B$2)</f>
        <v>0.1</v>
      </c>
      <c r="AC359" t="str">
        <f>IF(Table1[[#This Row],[DiscountPct]]&gt;0.3, "&gt;0.3","")</f>
        <v/>
      </c>
      <c r="AD359">
        <v>11</v>
      </c>
      <c r="AE359">
        <f>Table1[[#This Row],[Quantity]]*(1+'scenario modeling'!$B$4)</f>
        <v>13.2</v>
      </c>
      <c r="AF359">
        <f>Table1[[#This Row],[UnitCost]]*Table1[[#This Row],[Quantity]]</f>
        <v>12882.87</v>
      </c>
      <c r="AG359">
        <f>SUMIF($U:U,Table1[[#This Row],[ProductCategory]],$AM:AM)</f>
        <v>1773719.1704599999</v>
      </c>
      <c r="AH359">
        <f>SUMIFS($AM$2:AM359,$U$2:U359,U359)</f>
        <v>82864.290979999991</v>
      </c>
      <c r="AI359" s="5">
        <f>Table1[[#This Row],[Cumulative_revenue]]/Table1[[#This Row],[Category_revenue]]</f>
        <v>4.6717818897176265E-2</v>
      </c>
      <c r="AJ359" t="str">
        <f>IF(Table1[[#This Row],[cumulative_pct]]&lt;=0.8,"A",IF(Table1[[#This Row],[cumulative_pct]]&lt;=0.95,"B","C"))</f>
        <v>A</v>
      </c>
      <c r="AK359">
        <f>Table1[[#This Row],[adj_unit_cost]]*Table1[[#This Row],[scenario_quantity]]</f>
        <v>17005.388400000003</v>
      </c>
      <c r="AL359" s="5">
        <f>Table1[[#This Row],[UnitPrice]]*Table1[[#This Row],[scenario_quantity]]*(1-Table1[[#This Row],[cap_adjusted_discount]])</f>
        <v>24124.003199999999</v>
      </c>
      <c r="AM359" s="5">
        <f>Table1[[#This Row],[UnitPrice]]*Table1[[#This Row],[Quantity]]*(1-Table1[[#This Row],[DiscountPct]])</f>
        <v>18830.12472</v>
      </c>
      <c r="AN359" s="5">
        <f>Table1[[#This Row],[gross_revenue]]-Table1[[#This Row],[cost_of_goods]]</f>
        <v>5947.254719999999</v>
      </c>
      <c r="AO359" s="5">
        <f>Table1[[#This Row],[scenario_revenue]]-Table1[[#This Row],[Scenario_unit_cost]]</f>
        <v>7118.6147999999957</v>
      </c>
      <c r="AP359" s="5">
        <f>IF(Table1[[#This Row],[gross_revenue]]=0,0,Table1[[#This Row],[gross_profit]]/Table1[[#This Row],[gross_revenue]])</f>
        <v>0.31583724528830415</v>
      </c>
    </row>
    <row r="360" spans="1:42" x14ac:dyDescent="0.35">
      <c r="A360" t="s">
        <v>554</v>
      </c>
      <c r="B360" t="str">
        <f>_xlfn.TEXTAFTER(Table1[[#This Row],[OrderID]],"-",2)</f>
        <v>811823</v>
      </c>
      <c r="C360">
        <f>YEAR(Table1[[#This Row],[OrderDate]])</f>
        <v>2023</v>
      </c>
      <c r="D360" s="9">
        <f>_xlfn.MINIFS(F:F,P:P,Table1[[#This Row],[Country]])</f>
        <v>44948</v>
      </c>
      <c r="E360" s="7">
        <f>DATEDIF(Table1[[#This Row],[first_time_orders]],Table1[[#This Row],[OrderDate]],"m")</f>
        <v>0</v>
      </c>
      <c r="F360" s="9">
        <v>44952</v>
      </c>
      <c r="G360" s="2" t="str">
        <f>TEXT(Table1[[#This Row],[OrderDate]],"MMM-YYYY")</f>
        <v>Jan-2023</v>
      </c>
      <c r="H360" s="7">
        <f>MONTH(Table1[[#This Row],[OrderDate]])</f>
        <v>1</v>
      </c>
      <c r="I360" s="7" t="str">
        <f>"Q"&amp;ROUNDUP(Table1[[#This Row],[months]]/3,0)&amp;"-"&amp;Table1[[#This Row],[order_year]]</f>
        <v>Q1-2023</v>
      </c>
      <c r="J360" s="7">
        <f>Table1[[#This Row],[RequiredDate]]-Table1[[#This Row],[OrderDate]]</f>
        <v>20</v>
      </c>
      <c r="K360" s="7">
        <f>IF(Table1[[#This Row],[lead_time]]&lt;0,MEDIAN(J:J),Table1[[#This Row],[lead_time]])</f>
        <v>20</v>
      </c>
      <c r="L360" s="7">
        <f>IF(Table1[[#This Row],[adj_lead_time]]&lt;=7,1,0)</f>
        <v>0</v>
      </c>
      <c r="M360" s="9">
        <v>44972</v>
      </c>
      <c r="N360" s="9">
        <f>IF(Table1[[#This Row],[lead_time]]&lt;0,(Table1[[#This Row],[OrderDate]]+Table1[[#This Row],[adj_lead_time]]),Table1[[#This Row],[RequiredDate]])</f>
        <v>44972</v>
      </c>
      <c r="O360" t="s">
        <v>649</v>
      </c>
      <c r="P360" t="s">
        <v>656</v>
      </c>
      <c r="Q360" t="s">
        <v>671</v>
      </c>
      <c r="R360" t="s">
        <v>705</v>
      </c>
      <c r="S360" t="s">
        <v>708</v>
      </c>
      <c r="T360" t="s">
        <v>719</v>
      </c>
      <c r="U360" t="s">
        <v>729</v>
      </c>
      <c r="V360" t="s">
        <v>1272</v>
      </c>
      <c r="W360">
        <v>492.62</v>
      </c>
      <c r="X360">
        <f>Table1[[#This Row],[UnitCost]]*(1+'scenario modeling'!$B$3)</f>
        <v>541.88200000000006</v>
      </c>
      <c r="Y360">
        <v>366.7</v>
      </c>
      <c r="Z360" t="str">
        <f>IF(Table1[[#This Row],[UnitPrice]]&lt;=Quantiles!$B$2,Quantiles!$A$2,IF(Table1[[#This Row],[UnitPrice]]&lt;=Quantiles!$B$3,Quantiles!$A$3,Quantiles!$A$4))</f>
        <v>Low</v>
      </c>
      <c r="AA360">
        <v>8.8999999999999996E-2</v>
      </c>
      <c r="AB360" s="5">
        <f>MIN(Table1[[#This Row],[DiscountPct]],'scenario modeling'!$B$2)</f>
        <v>8.8999999999999996E-2</v>
      </c>
      <c r="AC360" t="str">
        <f>IF(Table1[[#This Row],[DiscountPct]]&gt;0.3, "&gt;0.3","")</f>
        <v/>
      </c>
      <c r="AD360">
        <v>10</v>
      </c>
      <c r="AE360">
        <f>Table1[[#This Row],[Quantity]]*(1+'scenario modeling'!$B$4)</f>
        <v>12</v>
      </c>
      <c r="AF360">
        <f>Table1[[#This Row],[UnitCost]]*Table1[[#This Row],[Quantity]]</f>
        <v>4926.2</v>
      </c>
      <c r="AG360">
        <f>SUMIF($U:U,Table1[[#This Row],[ProductCategory]],$AM:AM)</f>
        <v>1773719.1704599999</v>
      </c>
      <c r="AH360">
        <f>SUMIFS($AM$2:AM360,$U$2:U360,U360)</f>
        <v>86204.927979999993</v>
      </c>
      <c r="AI360" s="5">
        <f>Table1[[#This Row],[Cumulative_revenue]]/Table1[[#This Row],[Category_revenue]]</f>
        <v>4.8601226967425422E-2</v>
      </c>
      <c r="AJ360" t="str">
        <f>IF(Table1[[#This Row],[cumulative_pct]]&lt;=0.8,"A",IF(Table1[[#This Row],[cumulative_pct]]&lt;=0.95,"B","C"))</f>
        <v>A</v>
      </c>
      <c r="AK360">
        <f>Table1[[#This Row],[adj_unit_cost]]*Table1[[#This Row],[scenario_quantity]]</f>
        <v>6502.5840000000007</v>
      </c>
      <c r="AL360" s="5">
        <f>Table1[[#This Row],[UnitPrice]]*Table1[[#This Row],[scenario_quantity]]*(1-Table1[[#This Row],[cap_adjusted_discount]])</f>
        <v>4008.7644</v>
      </c>
      <c r="AM360" s="5">
        <f>Table1[[#This Row],[UnitPrice]]*Table1[[#This Row],[Quantity]]*(1-Table1[[#This Row],[DiscountPct]])</f>
        <v>3340.6370000000002</v>
      </c>
      <c r="AN360" s="5">
        <f>Table1[[#This Row],[gross_revenue]]-Table1[[#This Row],[cost_of_goods]]</f>
        <v>-1585.5629999999996</v>
      </c>
      <c r="AO360" s="5">
        <f>Table1[[#This Row],[scenario_revenue]]-Table1[[#This Row],[Scenario_unit_cost]]</f>
        <v>-2493.8196000000007</v>
      </c>
      <c r="AP360" s="5">
        <f>IF(Table1[[#This Row],[gross_revenue]]=0,0,Table1[[#This Row],[gross_profit]]/Table1[[#This Row],[gross_revenue]])</f>
        <v>-0.47462894052840809</v>
      </c>
    </row>
    <row r="361" spans="1:42" x14ac:dyDescent="0.35">
      <c r="A361" t="s">
        <v>212</v>
      </c>
      <c r="B361" t="str">
        <f>_xlfn.TEXTAFTER(Table1[[#This Row],[OrderID]],"-",2)</f>
        <v>575584</v>
      </c>
      <c r="C361">
        <f>YEAR(Table1[[#This Row],[OrderDate]])</f>
        <v>2023</v>
      </c>
      <c r="D361" s="9">
        <f>_xlfn.MINIFS(F:F,P:P,Table1[[#This Row],[Country]])</f>
        <v>44948</v>
      </c>
      <c r="E361" s="7">
        <f>DATEDIF(Table1[[#This Row],[first_time_orders]],Table1[[#This Row],[OrderDate]],"m")</f>
        <v>0</v>
      </c>
      <c r="F361" s="9">
        <v>44956</v>
      </c>
      <c r="G361" s="2" t="str">
        <f>TEXT(Table1[[#This Row],[OrderDate]],"MMM-YYYY")</f>
        <v>Jan-2023</v>
      </c>
      <c r="H361" s="7">
        <f>MONTH(Table1[[#This Row],[OrderDate]])</f>
        <v>1</v>
      </c>
      <c r="I361" s="7" t="str">
        <f>"Q"&amp;ROUNDUP(Table1[[#This Row],[months]]/3,0)&amp;"-"&amp;Table1[[#This Row],[order_year]]</f>
        <v>Q1-2023</v>
      </c>
      <c r="J361" s="7">
        <f>Table1[[#This Row],[RequiredDate]]-Table1[[#This Row],[OrderDate]]</f>
        <v>22</v>
      </c>
      <c r="K361" s="7">
        <f>IF(Table1[[#This Row],[lead_time]]&lt;0,MEDIAN(J:J),Table1[[#This Row],[lead_time]])</f>
        <v>22</v>
      </c>
      <c r="L361" s="7">
        <f>IF(Table1[[#This Row],[adj_lead_time]]&lt;=7,1,0)</f>
        <v>0</v>
      </c>
      <c r="M361" s="9">
        <v>44978</v>
      </c>
      <c r="N361" s="9">
        <f>IF(Table1[[#This Row],[lead_time]]&lt;0,(Table1[[#This Row],[OrderDate]]+Table1[[#This Row],[adj_lead_time]]),Table1[[#This Row],[RequiredDate]])</f>
        <v>44978</v>
      </c>
      <c r="O361" t="s">
        <v>649</v>
      </c>
      <c r="P361" t="s">
        <v>656</v>
      </c>
      <c r="Q361" t="s">
        <v>684</v>
      </c>
      <c r="R361" t="s">
        <v>705</v>
      </c>
      <c r="S361" t="s">
        <v>709</v>
      </c>
      <c r="T361" t="s">
        <v>715</v>
      </c>
      <c r="U361" t="s">
        <v>729</v>
      </c>
      <c r="V361" t="s">
        <v>932</v>
      </c>
      <c r="W361">
        <v>1142.8800000000001</v>
      </c>
      <c r="X361">
        <f>Table1[[#This Row],[UnitCost]]*(1+'scenario modeling'!$B$3)</f>
        <v>1257.1680000000001</v>
      </c>
      <c r="Y361">
        <v>1465.29</v>
      </c>
      <c r="Z361" t="str">
        <f>IF(Table1[[#This Row],[UnitPrice]]&lt;=Quantiles!$B$2,Quantiles!$A$2,IF(Table1[[#This Row],[UnitPrice]]&lt;=Quantiles!$B$3,Quantiles!$A$3,Quantiles!$A$4))</f>
        <v>Medium</v>
      </c>
      <c r="AA361">
        <v>0.186</v>
      </c>
      <c r="AB361" s="5">
        <f>MIN(Table1[[#This Row],[DiscountPct]],'scenario modeling'!$B$2)</f>
        <v>0.1</v>
      </c>
      <c r="AC361" t="str">
        <f>IF(Table1[[#This Row],[DiscountPct]]&gt;0.3, "&gt;0.3","")</f>
        <v/>
      </c>
      <c r="AD361">
        <v>7</v>
      </c>
      <c r="AE361">
        <f>Table1[[#This Row],[Quantity]]*(1+'scenario modeling'!$B$4)</f>
        <v>8.4</v>
      </c>
      <c r="AF361">
        <f>Table1[[#This Row],[UnitCost]]*Table1[[#This Row],[Quantity]]</f>
        <v>8000.1600000000008</v>
      </c>
      <c r="AG361">
        <f>SUMIF($U:U,Table1[[#This Row],[ProductCategory]],$AM:AM)</f>
        <v>1773719.1704599999</v>
      </c>
      <c r="AH361">
        <f>SUMIFS($AM$2:AM361,$U$2:U361,U361)</f>
        <v>94554.150399999999</v>
      </c>
      <c r="AI361" s="5">
        <f>Table1[[#This Row],[Cumulative_revenue]]/Table1[[#This Row],[Category_revenue]]</f>
        <v>5.3308410922501409E-2</v>
      </c>
      <c r="AJ361" t="str">
        <f>IF(Table1[[#This Row],[cumulative_pct]]&lt;=0.8,"A",IF(Table1[[#This Row],[cumulative_pct]]&lt;=0.95,"B","C"))</f>
        <v>A</v>
      </c>
      <c r="AK361">
        <f>Table1[[#This Row],[adj_unit_cost]]*Table1[[#This Row],[scenario_quantity]]</f>
        <v>10560.211200000002</v>
      </c>
      <c r="AL361" s="5">
        <f>Table1[[#This Row],[UnitPrice]]*Table1[[#This Row],[scenario_quantity]]*(1-Table1[[#This Row],[cap_adjusted_discount]])</f>
        <v>11077.5924</v>
      </c>
      <c r="AM361" s="5">
        <f>Table1[[#This Row],[UnitPrice]]*Table1[[#This Row],[Quantity]]*(1-Table1[[#This Row],[DiscountPct]])</f>
        <v>8349.2224200000001</v>
      </c>
      <c r="AN361" s="5">
        <f>Table1[[#This Row],[gross_revenue]]-Table1[[#This Row],[cost_of_goods]]</f>
        <v>349.06241999999929</v>
      </c>
      <c r="AO361" s="5">
        <f>Table1[[#This Row],[scenario_revenue]]-Table1[[#This Row],[Scenario_unit_cost]]</f>
        <v>517.38119999999799</v>
      </c>
      <c r="AP361" s="5">
        <f>IF(Table1[[#This Row],[gross_revenue]]=0,0,Table1[[#This Row],[gross_profit]]/Table1[[#This Row],[gross_revenue]])</f>
        <v>4.1807775915017401E-2</v>
      </c>
    </row>
    <row r="362" spans="1:42" x14ac:dyDescent="0.35">
      <c r="A362" t="s">
        <v>17</v>
      </c>
      <c r="B362" t="str">
        <f>_xlfn.TEXTAFTER(Table1[[#This Row],[OrderID]],"-",2)</f>
        <v>373538</v>
      </c>
      <c r="C362">
        <f>YEAR(Table1[[#This Row],[OrderDate]])</f>
        <v>2023</v>
      </c>
      <c r="D362" s="9">
        <f>_xlfn.MINIFS(F:F,P:P,Table1[[#This Row],[Country]])</f>
        <v>44946</v>
      </c>
      <c r="E362" s="7">
        <f>DATEDIF(Table1[[#This Row],[first_time_orders]],Table1[[#This Row],[OrderDate]],"m")</f>
        <v>1</v>
      </c>
      <c r="F362" s="9">
        <v>44985</v>
      </c>
      <c r="G362" s="2" t="str">
        <f>TEXT(Table1[[#This Row],[OrderDate]],"MMM-YYYY")</f>
        <v>Feb-2023</v>
      </c>
      <c r="H362" s="7">
        <f>MONTH(Table1[[#This Row],[OrderDate]])</f>
        <v>2</v>
      </c>
      <c r="I362" s="7" t="str">
        <f>"Q"&amp;ROUNDUP(Table1[[#This Row],[months]]/3,0)&amp;"-"&amp;Table1[[#This Row],[order_year]]</f>
        <v>Q1-2023</v>
      </c>
      <c r="J362" s="7">
        <f>Table1[[#This Row],[RequiredDate]]-Table1[[#This Row],[OrderDate]]</f>
        <v>25</v>
      </c>
      <c r="K362" s="7">
        <f>IF(Table1[[#This Row],[lead_time]]&lt;0,MEDIAN(J:J),Table1[[#This Row],[lead_time]])</f>
        <v>25</v>
      </c>
      <c r="L362" s="7">
        <f>IF(Table1[[#This Row],[adj_lead_time]]&lt;=7,1,0)</f>
        <v>0</v>
      </c>
      <c r="M362" s="9">
        <v>45010</v>
      </c>
      <c r="N362" s="9">
        <f>IF(Table1[[#This Row],[lead_time]]&lt;0,(Table1[[#This Row],[OrderDate]]+Table1[[#This Row],[adj_lead_time]]),Table1[[#This Row],[RequiredDate]])</f>
        <v>45010</v>
      </c>
      <c r="O362" t="s">
        <v>646</v>
      </c>
      <c r="P362" t="s">
        <v>650</v>
      </c>
      <c r="Q362" t="s">
        <v>664</v>
      </c>
      <c r="R362" t="s">
        <v>701</v>
      </c>
      <c r="S362" t="s">
        <v>707</v>
      </c>
      <c r="T362" t="s">
        <v>714</v>
      </c>
      <c r="U362" t="s">
        <v>729</v>
      </c>
      <c r="V362" t="s">
        <v>736</v>
      </c>
      <c r="W362">
        <v>1460.76</v>
      </c>
      <c r="X362">
        <f>Table1[[#This Row],[UnitCost]]*(1+'scenario modeling'!$B$3)</f>
        <v>1606.836</v>
      </c>
      <c r="Y362">
        <v>-30.66</v>
      </c>
      <c r="Z362" t="str">
        <f>IF(Table1[[#This Row],[UnitPrice]]&lt;=Quantiles!$B$2,Quantiles!$A$2,IF(Table1[[#This Row],[UnitPrice]]&lt;=Quantiles!$B$3,Quantiles!$A$3,Quantiles!$A$4))</f>
        <v>Low</v>
      </c>
      <c r="AA362">
        <v>0.13100000000000001</v>
      </c>
      <c r="AB362" s="5">
        <f>MIN(Table1[[#This Row],[DiscountPct]],'scenario modeling'!$B$2)</f>
        <v>0.1</v>
      </c>
      <c r="AC362" t="str">
        <f>IF(Table1[[#This Row],[DiscountPct]]&gt;0.3, "&gt;0.3","")</f>
        <v/>
      </c>
      <c r="AD362">
        <v>12</v>
      </c>
      <c r="AE362">
        <f>Table1[[#This Row],[Quantity]]*(1+'scenario modeling'!$B$4)</f>
        <v>14.399999999999999</v>
      </c>
      <c r="AF362">
        <f>Table1[[#This Row],[UnitCost]]*Table1[[#This Row],[Quantity]]</f>
        <v>17529.12</v>
      </c>
      <c r="AG362">
        <f>SUMIF($U:U,Table1[[#This Row],[ProductCategory]],$AM:AM)</f>
        <v>1773719.1704599999</v>
      </c>
      <c r="AH362">
        <f>SUMIFS($AM$2:AM362,$U$2:U362,U362)</f>
        <v>94234.427920000002</v>
      </c>
      <c r="AI362" s="5">
        <f>Table1[[#This Row],[Cumulative_revenue]]/Table1[[#This Row],[Category_revenue]]</f>
        <v>5.3128155510413215E-2</v>
      </c>
      <c r="AJ362" t="str">
        <f>IF(Table1[[#This Row],[cumulative_pct]]&lt;=0.8,"A",IF(Table1[[#This Row],[cumulative_pct]]&lt;=0.95,"B","C"))</f>
        <v>A</v>
      </c>
      <c r="AK362">
        <f>Table1[[#This Row],[adj_unit_cost]]*Table1[[#This Row],[scenario_quantity]]</f>
        <v>23138.438399999999</v>
      </c>
      <c r="AL362" s="5">
        <f>Table1[[#This Row],[UnitPrice]]*Table1[[#This Row],[scenario_quantity]]*(1-Table1[[#This Row],[cap_adjusted_discount]])</f>
        <v>-397.35359999999997</v>
      </c>
      <c r="AM362" s="5">
        <f>Table1[[#This Row],[UnitPrice]]*Table1[[#This Row],[Quantity]]*(1-Table1[[#This Row],[DiscountPct]])</f>
        <v>-319.72248000000002</v>
      </c>
      <c r="AN362" s="5">
        <f>Table1[[#This Row],[gross_revenue]]-Table1[[#This Row],[cost_of_goods]]</f>
        <v>-17848.842479999999</v>
      </c>
      <c r="AO362" s="5">
        <f>Table1[[#This Row],[scenario_revenue]]-Table1[[#This Row],[Scenario_unit_cost]]</f>
        <v>-23535.791999999998</v>
      </c>
      <c r="AP362" s="5">
        <f>IF(Table1[[#This Row],[gross_revenue]]=0,0,Table1[[#This Row],[gross_profit]]/Table1[[#This Row],[gross_revenue]])</f>
        <v>55.826047890032626</v>
      </c>
    </row>
    <row r="363" spans="1:42" x14ac:dyDescent="0.35">
      <c r="A363" t="s">
        <v>453</v>
      </c>
      <c r="B363" t="str">
        <f>_xlfn.TEXTAFTER(Table1[[#This Row],[OrderID]],"-",2)</f>
        <v>156396</v>
      </c>
      <c r="C363">
        <f>YEAR(Table1[[#This Row],[OrderDate]])</f>
        <v>2023</v>
      </c>
      <c r="D363" s="9">
        <f>_xlfn.MINIFS(F:F,P:P,Table1[[#This Row],[Country]])</f>
        <v>44946</v>
      </c>
      <c r="E363" s="7">
        <f>DATEDIF(Table1[[#This Row],[first_time_orders]],Table1[[#This Row],[OrderDate]],"m")</f>
        <v>1</v>
      </c>
      <c r="F363" s="9">
        <v>44978</v>
      </c>
      <c r="G363" s="2" t="str">
        <f>TEXT(Table1[[#This Row],[OrderDate]],"MMM-YYYY")</f>
        <v>Feb-2023</v>
      </c>
      <c r="H363" s="7">
        <f>MONTH(Table1[[#This Row],[OrderDate]])</f>
        <v>2</v>
      </c>
      <c r="I363" s="7" t="str">
        <f>"Q"&amp;ROUNDUP(Table1[[#This Row],[months]]/3,0)&amp;"-"&amp;Table1[[#This Row],[order_year]]</f>
        <v>Q1-2023</v>
      </c>
      <c r="J363" s="7">
        <f>Table1[[#This Row],[RequiredDate]]-Table1[[#This Row],[OrderDate]]</f>
        <v>19</v>
      </c>
      <c r="K363" s="7">
        <f>IF(Table1[[#This Row],[lead_time]]&lt;0,MEDIAN(J:J),Table1[[#This Row],[lead_time]])</f>
        <v>19</v>
      </c>
      <c r="L363" s="7">
        <f>IF(Table1[[#This Row],[adj_lead_time]]&lt;=7,1,0)</f>
        <v>0</v>
      </c>
      <c r="M363" s="9">
        <v>44997</v>
      </c>
      <c r="N363" s="9">
        <f>IF(Table1[[#This Row],[lead_time]]&lt;0,(Table1[[#This Row],[OrderDate]]+Table1[[#This Row],[adj_lead_time]]),Table1[[#This Row],[RequiredDate]])</f>
        <v>44997</v>
      </c>
      <c r="O363" t="s">
        <v>646</v>
      </c>
      <c r="P363" t="s">
        <v>650</v>
      </c>
      <c r="Q363" t="s">
        <v>678</v>
      </c>
      <c r="R363" t="s">
        <v>701</v>
      </c>
      <c r="S363" t="s">
        <v>708</v>
      </c>
      <c r="T363" t="s">
        <v>721</v>
      </c>
      <c r="U363" t="s">
        <v>729</v>
      </c>
      <c r="V363" t="s">
        <v>1172</v>
      </c>
      <c r="W363">
        <v>352.65</v>
      </c>
      <c r="X363">
        <f>Table1[[#This Row],[UnitCost]]*(1+'scenario modeling'!$B$3)</f>
        <v>387.91500000000002</v>
      </c>
      <c r="Y363">
        <v>485.86</v>
      </c>
      <c r="Z363" t="str">
        <f>IF(Table1[[#This Row],[UnitPrice]]&lt;=Quantiles!$B$2,Quantiles!$A$2,IF(Table1[[#This Row],[UnitPrice]]&lt;=Quantiles!$B$3,Quantiles!$A$3,Quantiles!$A$4))</f>
        <v>Low</v>
      </c>
      <c r="AA363">
        <v>4.1000000000000002E-2</v>
      </c>
      <c r="AB363" s="5">
        <f>MIN(Table1[[#This Row],[DiscountPct]],'scenario modeling'!$B$2)</f>
        <v>4.1000000000000002E-2</v>
      </c>
      <c r="AC363" t="str">
        <f>IF(Table1[[#This Row],[DiscountPct]]&gt;0.3, "&gt;0.3","")</f>
        <v/>
      </c>
      <c r="AD363">
        <v>6</v>
      </c>
      <c r="AE363">
        <f>Table1[[#This Row],[Quantity]]*(1+'scenario modeling'!$B$4)</f>
        <v>7.1999999999999993</v>
      </c>
      <c r="AF363">
        <f>Table1[[#This Row],[UnitCost]]*Table1[[#This Row],[Quantity]]</f>
        <v>2115.8999999999996</v>
      </c>
      <c r="AG363">
        <f>SUMIF($U:U,Table1[[#This Row],[ProductCategory]],$AM:AM)</f>
        <v>1773719.1704599999</v>
      </c>
      <c r="AH363">
        <f>SUMIFS($AM$2:AM363,$U$2:U363,U363)</f>
        <v>97030.066359999997</v>
      </c>
      <c r="AI363" s="5">
        <f>Table1[[#This Row],[Cumulative_revenue]]/Table1[[#This Row],[Category_revenue]]</f>
        <v>5.4704300419122165E-2</v>
      </c>
      <c r="AJ363" t="str">
        <f>IF(Table1[[#This Row],[cumulative_pct]]&lt;=0.8,"A",IF(Table1[[#This Row],[cumulative_pct]]&lt;=0.95,"B","C"))</f>
        <v>A</v>
      </c>
      <c r="AK363">
        <f>Table1[[#This Row],[adj_unit_cost]]*Table1[[#This Row],[scenario_quantity]]</f>
        <v>2792.9879999999998</v>
      </c>
      <c r="AL363" s="5">
        <f>Table1[[#This Row],[UnitPrice]]*Table1[[#This Row],[scenario_quantity]]*(1-Table1[[#This Row],[cap_adjusted_discount]])</f>
        <v>3354.7661279999993</v>
      </c>
      <c r="AM363" s="5">
        <f>Table1[[#This Row],[UnitPrice]]*Table1[[#This Row],[Quantity]]*(1-Table1[[#This Row],[DiscountPct]])</f>
        <v>2795.6384399999997</v>
      </c>
      <c r="AN363" s="5">
        <f>Table1[[#This Row],[gross_revenue]]-Table1[[#This Row],[cost_of_goods]]</f>
        <v>679.73844000000008</v>
      </c>
      <c r="AO363" s="5">
        <f>Table1[[#This Row],[scenario_revenue]]-Table1[[#This Row],[Scenario_unit_cost]]</f>
        <v>561.77812799999947</v>
      </c>
      <c r="AP363" s="5">
        <f>IF(Table1[[#This Row],[gross_revenue]]=0,0,Table1[[#This Row],[gross_profit]]/Table1[[#This Row],[gross_revenue]])</f>
        <v>0.24314247159943908</v>
      </c>
    </row>
    <row r="364" spans="1:42" x14ac:dyDescent="0.35">
      <c r="A364" t="s">
        <v>95</v>
      </c>
      <c r="B364" t="str">
        <f>_xlfn.TEXTAFTER(Table1[[#This Row],[OrderID]],"-",2)</f>
        <v>159379</v>
      </c>
      <c r="C364">
        <f>YEAR(Table1[[#This Row],[OrderDate]])</f>
        <v>2023</v>
      </c>
      <c r="D364" s="9">
        <f>_xlfn.MINIFS(F:F,P:P,Table1[[#This Row],[Country]])</f>
        <v>44933</v>
      </c>
      <c r="E364" s="7">
        <f>DATEDIF(Table1[[#This Row],[first_time_orders]],Table1[[#This Row],[OrderDate]],"m")</f>
        <v>1</v>
      </c>
      <c r="F364" s="9">
        <v>44965</v>
      </c>
      <c r="G364" s="2" t="str">
        <f>TEXT(Table1[[#This Row],[OrderDate]],"MMM-YYYY")</f>
        <v>Feb-2023</v>
      </c>
      <c r="H364" s="7">
        <f>MONTH(Table1[[#This Row],[OrderDate]])</f>
        <v>2</v>
      </c>
      <c r="I364" s="7" t="str">
        <f>"Q"&amp;ROUNDUP(Table1[[#This Row],[months]]/3,0)&amp;"-"&amp;Table1[[#This Row],[order_year]]</f>
        <v>Q1-2023</v>
      </c>
      <c r="J364" s="7">
        <f>Table1[[#This Row],[RequiredDate]]-Table1[[#This Row],[OrderDate]]</f>
        <v>3</v>
      </c>
      <c r="K364" s="7">
        <f>IF(Table1[[#This Row],[lead_time]]&lt;0,MEDIAN(J:J),Table1[[#This Row],[lead_time]])</f>
        <v>3</v>
      </c>
      <c r="L364" s="7">
        <f>IF(Table1[[#This Row],[adj_lead_time]]&lt;=7,1,0)</f>
        <v>1</v>
      </c>
      <c r="M364" s="9">
        <v>44968</v>
      </c>
      <c r="N364" s="9">
        <f>IF(Table1[[#This Row],[lead_time]]&lt;0,(Table1[[#This Row],[OrderDate]]+Table1[[#This Row],[adj_lead_time]]),Table1[[#This Row],[RequiredDate]])</f>
        <v>44968</v>
      </c>
      <c r="O364" t="s">
        <v>646</v>
      </c>
      <c r="P364" t="s">
        <v>661</v>
      </c>
      <c r="Q364" t="s">
        <v>695</v>
      </c>
      <c r="R364" t="s">
        <v>701</v>
      </c>
      <c r="S364" t="s">
        <v>711</v>
      </c>
      <c r="T364" t="s">
        <v>724</v>
      </c>
      <c r="U364" t="s">
        <v>729</v>
      </c>
      <c r="V364" t="s">
        <v>814</v>
      </c>
      <c r="W364">
        <v>1410.05</v>
      </c>
      <c r="X364">
        <f>Table1[[#This Row],[UnitCost]]*(1+'scenario modeling'!$B$3)</f>
        <v>1551.0550000000001</v>
      </c>
      <c r="Y364">
        <v>2763.95</v>
      </c>
      <c r="Z364" t="str">
        <f>IF(Table1[[#This Row],[UnitPrice]]&lt;=Quantiles!$B$2,Quantiles!$A$2,IF(Table1[[#This Row],[UnitPrice]]&lt;=Quantiles!$B$3,Quantiles!$A$3,Quantiles!$A$4))</f>
        <v>High</v>
      </c>
      <c r="AA364">
        <v>0.161</v>
      </c>
      <c r="AB364" s="5">
        <f>MIN(Table1[[#This Row],[DiscountPct]],'scenario modeling'!$B$2)</f>
        <v>0.1</v>
      </c>
      <c r="AC364" t="str">
        <f>IF(Table1[[#This Row],[DiscountPct]]&gt;0.3, "&gt;0.3","")</f>
        <v/>
      </c>
      <c r="AD364">
        <v>26</v>
      </c>
      <c r="AE364">
        <f>Table1[[#This Row],[Quantity]]*(1+'scenario modeling'!$B$4)</f>
        <v>31.2</v>
      </c>
      <c r="AF364">
        <f>Table1[[#This Row],[UnitCost]]*Table1[[#This Row],[Quantity]]</f>
        <v>36661.299999999996</v>
      </c>
      <c r="AG364">
        <f>SUMIF($U:U,Table1[[#This Row],[ProductCategory]],$AM:AM)</f>
        <v>1773719.1704599999</v>
      </c>
      <c r="AH364">
        <f>SUMIFS($AM$2:AM364,$U$2:U364,U364)</f>
        <v>157322.87166</v>
      </c>
      <c r="AI364" s="5">
        <f>Table1[[#This Row],[Cumulative_revenue]]/Table1[[#This Row],[Category_revenue]]</f>
        <v>8.8696606700822633E-2</v>
      </c>
      <c r="AJ364" t="str">
        <f>IF(Table1[[#This Row],[cumulative_pct]]&lt;=0.8,"A",IF(Table1[[#This Row],[cumulative_pct]]&lt;=0.95,"B","C"))</f>
        <v>A</v>
      </c>
      <c r="AK364">
        <f>Table1[[#This Row],[adj_unit_cost]]*Table1[[#This Row],[scenario_quantity]]</f>
        <v>48392.915999999997</v>
      </c>
      <c r="AL364" s="5">
        <f>Table1[[#This Row],[UnitPrice]]*Table1[[#This Row],[scenario_quantity]]*(1-Table1[[#This Row],[cap_adjusted_discount]])</f>
        <v>77611.716</v>
      </c>
      <c r="AM364" s="5">
        <f>Table1[[#This Row],[UnitPrice]]*Table1[[#This Row],[Quantity]]*(1-Table1[[#This Row],[DiscountPct]])</f>
        <v>60292.805299999993</v>
      </c>
      <c r="AN364" s="5">
        <f>Table1[[#This Row],[gross_revenue]]-Table1[[#This Row],[cost_of_goods]]</f>
        <v>23631.505299999997</v>
      </c>
      <c r="AO364" s="5">
        <f>Table1[[#This Row],[scenario_revenue]]-Table1[[#This Row],[Scenario_unit_cost]]</f>
        <v>29218.800000000003</v>
      </c>
      <c r="AP364" s="5">
        <f>IF(Table1[[#This Row],[gross_revenue]]=0,0,Table1[[#This Row],[gross_profit]]/Table1[[#This Row],[gross_revenue]])</f>
        <v>0.39194569206750779</v>
      </c>
    </row>
    <row r="365" spans="1:42" x14ac:dyDescent="0.35">
      <c r="A365" t="s">
        <v>606</v>
      </c>
      <c r="B365" t="str">
        <f>_xlfn.TEXTAFTER(Table1[[#This Row],[OrderID]],"-",2)</f>
        <v>619493</v>
      </c>
      <c r="C365">
        <f>YEAR(Table1[[#This Row],[OrderDate]])</f>
        <v>2023</v>
      </c>
      <c r="D365" s="9">
        <f>_xlfn.MINIFS(F:F,P:P,Table1[[#This Row],[Country]])</f>
        <v>44939</v>
      </c>
      <c r="E365" s="7">
        <f>DATEDIF(Table1[[#This Row],[first_time_orders]],Table1[[#This Row],[OrderDate]],"m")</f>
        <v>1</v>
      </c>
      <c r="F365" s="9">
        <v>44984</v>
      </c>
      <c r="G365" s="2" t="str">
        <f>TEXT(Table1[[#This Row],[OrderDate]],"MMM-YYYY")</f>
        <v>Feb-2023</v>
      </c>
      <c r="H365" s="7">
        <f>MONTH(Table1[[#This Row],[OrderDate]])</f>
        <v>2</v>
      </c>
      <c r="I365" s="7" t="str">
        <f>"Q"&amp;ROUNDUP(Table1[[#This Row],[months]]/3,0)&amp;"-"&amp;Table1[[#This Row],[order_year]]</f>
        <v>Q1-2023</v>
      </c>
      <c r="J365" s="7">
        <f>Table1[[#This Row],[RequiredDate]]-Table1[[#This Row],[OrderDate]]</f>
        <v>-1</v>
      </c>
      <c r="K365" s="7">
        <f>IF(Table1[[#This Row],[lead_time]]&lt;0,MEDIAN(J:J),Table1[[#This Row],[lead_time]])</f>
        <v>15</v>
      </c>
      <c r="L365" s="7">
        <f>IF(Table1[[#This Row],[adj_lead_time]]&lt;=7,1,0)</f>
        <v>0</v>
      </c>
      <c r="M365" s="9">
        <v>44983</v>
      </c>
      <c r="N365" s="9">
        <f>IF(Table1[[#This Row],[lead_time]]&lt;0,(Table1[[#This Row],[OrderDate]]+Table1[[#This Row],[adj_lead_time]]),Table1[[#This Row],[RequiredDate]])</f>
        <v>44999</v>
      </c>
      <c r="O365" t="s">
        <v>648</v>
      </c>
      <c r="P365" t="s">
        <v>660</v>
      </c>
      <c r="Q365" t="s">
        <v>686</v>
      </c>
      <c r="R365" t="s">
        <v>703</v>
      </c>
      <c r="S365" t="s">
        <v>708</v>
      </c>
      <c r="T365" t="s">
        <v>716</v>
      </c>
      <c r="U365" t="s">
        <v>729</v>
      </c>
      <c r="V365" t="s">
        <v>1324</v>
      </c>
      <c r="W365">
        <v>1015.91</v>
      </c>
      <c r="X365">
        <f>Table1[[#This Row],[UnitCost]]*(1+'scenario modeling'!$B$3)</f>
        <v>1117.501</v>
      </c>
      <c r="Y365">
        <v>2331.48</v>
      </c>
      <c r="Z365" t="str">
        <f>IF(Table1[[#This Row],[UnitPrice]]&lt;=Quantiles!$B$2,Quantiles!$A$2,IF(Table1[[#This Row],[UnitPrice]]&lt;=Quantiles!$B$3,Quantiles!$A$3,Quantiles!$A$4))</f>
        <v>High</v>
      </c>
      <c r="AA365">
        <v>0.14599999999999999</v>
      </c>
      <c r="AB365" s="5">
        <f>MIN(Table1[[#This Row],[DiscountPct]],'scenario modeling'!$B$2)</f>
        <v>0.1</v>
      </c>
      <c r="AC365" t="str">
        <f>IF(Table1[[#This Row],[DiscountPct]]&gt;0.3, "&gt;0.3","")</f>
        <v/>
      </c>
      <c r="AD365">
        <v>26</v>
      </c>
      <c r="AE365">
        <f>Table1[[#This Row],[Quantity]]*(1+'scenario modeling'!$B$4)</f>
        <v>31.2</v>
      </c>
      <c r="AF365">
        <f>Table1[[#This Row],[UnitCost]]*Table1[[#This Row],[Quantity]]</f>
        <v>26413.66</v>
      </c>
      <c r="AG365">
        <f>SUMIF($U:U,Table1[[#This Row],[ProductCategory]],$AM:AM)</f>
        <v>1773719.1704599999</v>
      </c>
      <c r="AH365">
        <f>SUMIFS($AM$2:AM365,$U$2:U365,U365)</f>
        <v>209091.05358000001</v>
      </c>
      <c r="AI365" s="5">
        <f>Table1[[#This Row],[Cumulative_revenue]]/Table1[[#This Row],[Category_revenue]]</f>
        <v>0.1178828402276184</v>
      </c>
      <c r="AJ365" t="str">
        <f>IF(Table1[[#This Row],[cumulative_pct]]&lt;=0.8,"A",IF(Table1[[#This Row],[cumulative_pct]]&lt;=0.95,"B","C"))</f>
        <v>A</v>
      </c>
      <c r="AK365">
        <f>Table1[[#This Row],[adj_unit_cost]]*Table1[[#This Row],[scenario_quantity]]</f>
        <v>34866.031199999998</v>
      </c>
      <c r="AL365" s="5">
        <f>Table1[[#This Row],[UnitPrice]]*Table1[[#This Row],[scenario_quantity]]*(1-Table1[[#This Row],[cap_adjusted_discount]])</f>
        <v>65467.958399999996</v>
      </c>
      <c r="AM365" s="5">
        <f>Table1[[#This Row],[UnitPrice]]*Table1[[#This Row],[Quantity]]*(1-Table1[[#This Row],[DiscountPct]])</f>
        <v>51768.181920000003</v>
      </c>
      <c r="AN365" s="5">
        <f>Table1[[#This Row],[gross_revenue]]-Table1[[#This Row],[cost_of_goods]]</f>
        <v>25354.521920000003</v>
      </c>
      <c r="AO365" s="5">
        <f>Table1[[#This Row],[scenario_revenue]]-Table1[[#This Row],[Scenario_unit_cost]]</f>
        <v>30601.927199999998</v>
      </c>
      <c r="AP365" s="5">
        <f>IF(Table1[[#This Row],[gross_revenue]]=0,0,Table1[[#This Row],[gross_profit]]/Table1[[#This Row],[gross_revenue]])</f>
        <v>0.48977037592669626</v>
      </c>
    </row>
    <row r="366" spans="1:42" x14ac:dyDescent="0.35">
      <c r="A366" t="s">
        <v>336</v>
      </c>
      <c r="B366" t="str">
        <f>_xlfn.TEXTAFTER(Table1[[#This Row],[OrderID]],"-",2)</f>
        <v>888245</v>
      </c>
      <c r="C366">
        <f>YEAR(Table1[[#This Row],[OrderDate]])</f>
        <v>2023</v>
      </c>
      <c r="D366" s="9">
        <f>_xlfn.MINIFS(F:F,P:P,Table1[[#This Row],[Country]])</f>
        <v>44936</v>
      </c>
      <c r="E366" s="7">
        <f>DATEDIF(Table1[[#This Row],[first_time_orders]],Table1[[#This Row],[OrderDate]],"m")</f>
        <v>1</v>
      </c>
      <c r="F366" s="9">
        <v>44985</v>
      </c>
      <c r="G366" s="2" t="str">
        <f>TEXT(Table1[[#This Row],[OrderDate]],"MMM-YYYY")</f>
        <v>Feb-2023</v>
      </c>
      <c r="H366" s="7">
        <f>MONTH(Table1[[#This Row],[OrderDate]])</f>
        <v>2</v>
      </c>
      <c r="I366" s="7" t="str">
        <f>"Q"&amp;ROUNDUP(Table1[[#This Row],[months]]/3,0)&amp;"-"&amp;Table1[[#This Row],[order_year]]</f>
        <v>Q1-2023</v>
      </c>
      <c r="J366" s="7">
        <f>Table1[[#This Row],[RequiredDate]]-Table1[[#This Row],[OrderDate]]</f>
        <v>-1</v>
      </c>
      <c r="K366" s="7">
        <f>IF(Table1[[#This Row],[lead_time]]&lt;0,MEDIAN(J:J),Table1[[#This Row],[lead_time]])</f>
        <v>15</v>
      </c>
      <c r="L366" s="7">
        <f>IF(Table1[[#This Row],[adj_lead_time]]&lt;=7,1,0)</f>
        <v>0</v>
      </c>
      <c r="M366" s="9">
        <v>44984</v>
      </c>
      <c r="N366" s="9">
        <f>IF(Table1[[#This Row],[lead_time]]&lt;0,(Table1[[#This Row],[OrderDate]]+Table1[[#This Row],[adj_lead_time]]),Table1[[#This Row],[RequiredDate]])</f>
        <v>45000</v>
      </c>
      <c r="O366" t="s">
        <v>649</v>
      </c>
      <c r="P366" t="s">
        <v>657</v>
      </c>
      <c r="Q366" t="s">
        <v>673</v>
      </c>
      <c r="R366" t="s">
        <v>701</v>
      </c>
      <c r="S366" t="s">
        <v>707</v>
      </c>
      <c r="T366" t="s">
        <v>723</v>
      </c>
      <c r="U366" t="s">
        <v>729</v>
      </c>
      <c r="V366" t="s">
        <v>1056</v>
      </c>
      <c r="W366">
        <v>1299.81</v>
      </c>
      <c r="X366">
        <f>Table1[[#This Row],[UnitCost]]*(1+'scenario modeling'!$B$3)</f>
        <v>1429.7910000000002</v>
      </c>
      <c r="Y366">
        <v>3149.13</v>
      </c>
      <c r="Z366" t="str">
        <f>IF(Table1[[#This Row],[UnitPrice]]&lt;=Quantiles!$B$2,Quantiles!$A$2,IF(Table1[[#This Row],[UnitPrice]]&lt;=Quantiles!$B$3,Quantiles!$A$3,Quantiles!$A$4))</f>
        <v>High</v>
      </c>
      <c r="AA366">
        <v>0.10299999999999999</v>
      </c>
      <c r="AB366" s="5">
        <f>MIN(Table1[[#This Row],[DiscountPct]],'scenario modeling'!$B$2)</f>
        <v>0.1</v>
      </c>
      <c r="AC366" t="str">
        <f>IF(Table1[[#This Row],[DiscountPct]]&gt;0.3, "&gt;0.3","")</f>
        <v/>
      </c>
      <c r="AD366">
        <v>14</v>
      </c>
      <c r="AE366">
        <f>Table1[[#This Row],[Quantity]]*(1+'scenario modeling'!$B$4)</f>
        <v>16.8</v>
      </c>
      <c r="AF366">
        <f>Table1[[#This Row],[UnitCost]]*Table1[[#This Row],[Quantity]]</f>
        <v>18197.34</v>
      </c>
      <c r="AG366">
        <f>SUMIF($U:U,Table1[[#This Row],[ProductCategory]],$AM:AM)</f>
        <v>1773719.1704599999</v>
      </c>
      <c r="AH366">
        <f>SUMIFS($AM$2:AM366,$U$2:U366,U366)</f>
        <v>248637.82812000002</v>
      </c>
      <c r="AI366" s="5">
        <f>Table1[[#This Row],[Cumulative_revenue]]/Table1[[#This Row],[Category_revenue]]</f>
        <v>0.14017880184241216</v>
      </c>
      <c r="AJ366" t="str">
        <f>IF(Table1[[#This Row],[cumulative_pct]]&lt;=0.8,"A",IF(Table1[[#This Row],[cumulative_pct]]&lt;=0.95,"B","C"))</f>
        <v>A</v>
      </c>
      <c r="AK366">
        <f>Table1[[#This Row],[adj_unit_cost]]*Table1[[#This Row],[scenario_quantity]]</f>
        <v>24020.488800000003</v>
      </c>
      <c r="AL366" s="5">
        <f>Table1[[#This Row],[UnitPrice]]*Table1[[#This Row],[scenario_quantity]]*(1-Table1[[#This Row],[cap_adjusted_discount]])</f>
        <v>47614.845600000008</v>
      </c>
      <c r="AM366" s="5">
        <f>Table1[[#This Row],[UnitPrice]]*Table1[[#This Row],[Quantity]]*(1-Table1[[#This Row],[DiscountPct]])</f>
        <v>39546.774539999999</v>
      </c>
      <c r="AN366" s="5">
        <f>Table1[[#This Row],[gross_revenue]]-Table1[[#This Row],[cost_of_goods]]</f>
        <v>21349.434539999998</v>
      </c>
      <c r="AO366" s="5">
        <f>Table1[[#This Row],[scenario_revenue]]-Table1[[#This Row],[Scenario_unit_cost]]</f>
        <v>23594.356800000005</v>
      </c>
      <c r="AP366" s="5">
        <f>IF(Table1[[#This Row],[gross_revenue]]=0,0,Table1[[#This Row],[gross_profit]]/Table1[[#This Row],[gross_revenue]])</f>
        <v>0.53985273864511729</v>
      </c>
    </row>
    <row r="367" spans="1:42" x14ac:dyDescent="0.35">
      <c r="A367" t="s">
        <v>481</v>
      </c>
      <c r="B367" t="str">
        <f>_xlfn.TEXTAFTER(Table1[[#This Row],[OrderID]],"-",2)</f>
        <v>728177</v>
      </c>
      <c r="C367">
        <f>YEAR(Table1[[#This Row],[OrderDate]])</f>
        <v>2023</v>
      </c>
      <c r="D367" s="9">
        <f>_xlfn.MINIFS(F:F,P:P,Table1[[#This Row],[Country]])</f>
        <v>44955</v>
      </c>
      <c r="E367" s="7">
        <f>DATEDIF(Table1[[#This Row],[first_time_orders]],Table1[[#This Row],[OrderDate]],"m")</f>
        <v>10</v>
      </c>
      <c r="F367" s="9">
        <v>45278</v>
      </c>
      <c r="G367" s="2" t="str">
        <f>TEXT(Table1[[#This Row],[OrderDate]],"MMM-YYYY")</f>
        <v>Dec-2023</v>
      </c>
      <c r="H367" s="7">
        <f>MONTH(Table1[[#This Row],[OrderDate]])</f>
        <v>12</v>
      </c>
      <c r="I367" s="7" t="str">
        <f>"Q"&amp;ROUNDUP(Table1[[#This Row],[months]]/3,0)&amp;"-"&amp;Table1[[#This Row],[order_year]]</f>
        <v>Q4-2023</v>
      </c>
      <c r="J367" s="7">
        <f>Table1[[#This Row],[RequiredDate]]-Table1[[#This Row],[OrderDate]]</f>
        <v>27</v>
      </c>
      <c r="K367" s="7">
        <f>IF(Table1[[#This Row],[lead_time]]&lt;0,MEDIAN(J:J),Table1[[#This Row],[lead_time]])</f>
        <v>27</v>
      </c>
      <c r="L367" s="7">
        <f>IF(Table1[[#This Row],[adj_lead_time]]&lt;=7,1,0)</f>
        <v>0</v>
      </c>
      <c r="M367" s="9">
        <v>45305</v>
      </c>
      <c r="N367" s="9">
        <f>IF(Table1[[#This Row],[lead_time]]&lt;0,(Table1[[#This Row],[OrderDate]]+Table1[[#This Row],[adj_lead_time]]),Table1[[#This Row],[RequiredDate]])</f>
        <v>45305</v>
      </c>
      <c r="O367" t="s">
        <v>647</v>
      </c>
      <c r="P367" t="s">
        <v>654</v>
      </c>
      <c r="Q367" t="s">
        <v>691</v>
      </c>
      <c r="R367" t="s">
        <v>704</v>
      </c>
      <c r="S367" t="s">
        <v>710</v>
      </c>
      <c r="T367" t="s">
        <v>726</v>
      </c>
      <c r="U367" t="s">
        <v>729</v>
      </c>
      <c r="V367" t="s">
        <v>1200</v>
      </c>
      <c r="W367">
        <v>1408.3</v>
      </c>
      <c r="X367">
        <f>Table1[[#This Row],[UnitCost]]*(1+'scenario modeling'!$B$3)</f>
        <v>1549.13</v>
      </c>
      <c r="Y367">
        <v>2193.13</v>
      </c>
      <c r="Z367" t="str">
        <f>IF(Table1[[#This Row],[UnitPrice]]&lt;=Quantiles!$B$2,Quantiles!$A$2,IF(Table1[[#This Row],[UnitPrice]]&lt;=Quantiles!$B$3,Quantiles!$A$3,Quantiles!$A$4))</f>
        <v>High</v>
      </c>
      <c r="AA367">
        <v>7.0999999999999994E-2</v>
      </c>
      <c r="AB367" s="5">
        <f>MIN(Table1[[#This Row],[DiscountPct]],'scenario modeling'!$B$2)</f>
        <v>7.0999999999999994E-2</v>
      </c>
      <c r="AC367" t="str">
        <f>IF(Table1[[#This Row],[DiscountPct]]&gt;0.3, "&gt;0.3","")</f>
        <v/>
      </c>
      <c r="AD367">
        <v>7</v>
      </c>
      <c r="AE367">
        <f>Table1[[#This Row],[Quantity]]*(1+'scenario modeling'!$B$4)</f>
        <v>8.4</v>
      </c>
      <c r="AF367">
        <f>Table1[[#This Row],[UnitCost]]*Table1[[#This Row],[Quantity]]</f>
        <v>9858.1</v>
      </c>
      <c r="AG367">
        <f>SUMIF($U:U,Table1[[#This Row],[ProductCategory]],$AM:AM)</f>
        <v>1773719.1704599999</v>
      </c>
      <c r="AH367">
        <f>SUMIFS($AM$2:AM367,$U$2:U367,U367)</f>
        <v>262899.75251000002</v>
      </c>
      <c r="AI367" s="5">
        <f>Table1[[#This Row],[Cumulative_revenue]]/Table1[[#This Row],[Category_revenue]]</f>
        <v>0.14821949093656075</v>
      </c>
      <c r="AJ367" t="str">
        <f>IF(Table1[[#This Row],[cumulative_pct]]&lt;=0.8,"A",IF(Table1[[#This Row],[cumulative_pct]]&lt;=0.95,"B","C"))</f>
        <v>A</v>
      </c>
      <c r="AK367">
        <f>Table1[[#This Row],[adj_unit_cost]]*Table1[[#This Row],[scenario_quantity]]</f>
        <v>13012.692000000001</v>
      </c>
      <c r="AL367" s="5">
        <f>Table1[[#This Row],[UnitPrice]]*Table1[[#This Row],[scenario_quantity]]*(1-Table1[[#This Row],[cap_adjusted_discount]])</f>
        <v>17114.309268000001</v>
      </c>
      <c r="AM367" s="5">
        <f>Table1[[#This Row],[UnitPrice]]*Table1[[#This Row],[Quantity]]*(1-Table1[[#This Row],[DiscountPct]])</f>
        <v>14261.92439</v>
      </c>
      <c r="AN367" s="5">
        <f>Table1[[#This Row],[gross_revenue]]-Table1[[#This Row],[cost_of_goods]]</f>
        <v>4403.8243899999998</v>
      </c>
      <c r="AO367" s="5">
        <f>Table1[[#This Row],[scenario_revenue]]-Table1[[#This Row],[Scenario_unit_cost]]</f>
        <v>4101.617268</v>
      </c>
      <c r="AP367" s="5">
        <f>IF(Table1[[#This Row],[gross_revenue]]=0,0,Table1[[#This Row],[gross_profit]]/Table1[[#This Row],[gross_revenue]])</f>
        <v>0.30878191957656281</v>
      </c>
    </row>
    <row r="368" spans="1:42" x14ac:dyDescent="0.35">
      <c r="A368" t="s">
        <v>544</v>
      </c>
      <c r="B368" t="str">
        <f>_xlfn.TEXTAFTER(Table1[[#This Row],[OrderID]],"-",2)</f>
        <v>532184</v>
      </c>
      <c r="C368">
        <f>YEAR(Table1[[#This Row],[OrderDate]])</f>
        <v>2024</v>
      </c>
      <c r="D368" s="9">
        <f>_xlfn.MINIFS(F:F,P:P,Table1[[#This Row],[Country]])</f>
        <v>44988</v>
      </c>
      <c r="E368" s="7">
        <f>DATEDIF(Table1[[#This Row],[first_time_orders]],Table1[[#This Row],[OrderDate]],"m")</f>
        <v>10</v>
      </c>
      <c r="F368" s="9">
        <v>45316</v>
      </c>
      <c r="G368" s="2" t="str">
        <f>TEXT(Table1[[#This Row],[OrderDate]],"MMM-YYYY")</f>
        <v>Jan-2024</v>
      </c>
      <c r="H368" s="7">
        <f>MONTH(Table1[[#This Row],[OrderDate]])</f>
        <v>1</v>
      </c>
      <c r="I368" s="7" t="str">
        <f>"Q"&amp;ROUNDUP(Table1[[#This Row],[months]]/3,0)&amp;"-"&amp;Table1[[#This Row],[order_year]]</f>
        <v>Q1-2024</v>
      </c>
      <c r="J368" s="7">
        <f>Table1[[#This Row],[RequiredDate]]-Table1[[#This Row],[OrderDate]]</f>
        <v>14</v>
      </c>
      <c r="K368" s="7">
        <f>IF(Table1[[#This Row],[lead_time]]&lt;0,MEDIAN(J:J),Table1[[#This Row],[lead_time]])</f>
        <v>14</v>
      </c>
      <c r="L368" s="7">
        <f>IF(Table1[[#This Row],[adj_lead_time]]&lt;=7,1,0)</f>
        <v>0</v>
      </c>
      <c r="M368" s="9">
        <v>45330</v>
      </c>
      <c r="N368" s="9">
        <f>IF(Table1[[#This Row],[lead_time]]&lt;0,(Table1[[#This Row],[OrderDate]]+Table1[[#This Row],[adj_lead_time]]),Table1[[#This Row],[RequiredDate]])</f>
        <v>45330</v>
      </c>
      <c r="O368" t="s">
        <v>647</v>
      </c>
      <c r="P368" t="s">
        <v>652</v>
      </c>
      <c r="Q368" t="s">
        <v>666</v>
      </c>
      <c r="R368" t="s">
        <v>704</v>
      </c>
      <c r="S368" t="s">
        <v>709</v>
      </c>
      <c r="T368" t="s">
        <v>714</v>
      </c>
      <c r="U368" t="s">
        <v>729</v>
      </c>
      <c r="V368" t="s">
        <v>1263</v>
      </c>
      <c r="W368">
        <v>937.16</v>
      </c>
      <c r="X368">
        <f>Table1[[#This Row],[UnitCost]]*(1+'scenario modeling'!$B$3)</f>
        <v>1030.876</v>
      </c>
      <c r="Y368">
        <v>1069.77</v>
      </c>
      <c r="Z368" t="str">
        <f>IF(Table1[[#This Row],[UnitPrice]]&lt;=Quantiles!$B$2,Quantiles!$A$2,IF(Table1[[#This Row],[UnitPrice]]&lt;=Quantiles!$B$3,Quantiles!$A$3,Quantiles!$A$4))</f>
        <v>Medium</v>
      </c>
      <c r="AA368">
        <v>3.7999999999999999E-2</v>
      </c>
      <c r="AB368" s="5">
        <f>MIN(Table1[[#This Row],[DiscountPct]],'scenario modeling'!$B$2)</f>
        <v>3.7999999999999999E-2</v>
      </c>
      <c r="AC368" t="str">
        <f>IF(Table1[[#This Row],[DiscountPct]]&gt;0.3, "&gt;0.3","")</f>
        <v/>
      </c>
      <c r="AD368">
        <v>9</v>
      </c>
      <c r="AE368">
        <f>Table1[[#This Row],[Quantity]]*(1+'scenario modeling'!$B$4)</f>
        <v>10.799999999999999</v>
      </c>
      <c r="AF368">
        <f>Table1[[#This Row],[UnitCost]]*Table1[[#This Row],[Quantity]]</f>
        <v>8434.44</v>
      </c>
      <c r="AG368">
        <f>SUMIF($U:U,Table1[[#This Row],[ProductCategory]],$AM:AM)</f>
        <v>1773719.1704599999</v>
      </c>
      <c r="AH368">
        <f>SUMIFS($AM$2:AM368,$U$2:U368,U368)</f>
        <v>272161.82117000001</v>
      </c>
      <c r="AI368" s="5">
        <f>Table1[[#This Row],[Cumulative_revenue]]/Table1[[#This Row],[Category_revenue]]</f>
        <v>0.15344132583255388</v>
      </c>
      <c r="AJ368" t="str">
        <f>IF(Table1[[#This Row],[cumulative_pct]]&lt;=0.8,"A",IF(Table1[[#This Row],[cumulative_pct]]&lt;=0.95,"B","C"))</f>
        <v>A</v>
      </c>
      <c r="AK368">
        <f>Table1[[#This Row],[adj_unit_cost]]*Table1[[#This Row],[scenario_quantity]]</f>
        <v>11133.460799999999</v>
      </c>
      <c r="AL368" s="5">
        <f>Table1[[#This Row],[UnitPrice]]*Table1[[#This Row],[scenario_quantity]]*(1-Table1[[#This Row],[cap_adjusted_discount]])</f>
        <v>11114.482391999998</v>
      </c>
      <c r="AM368" s="5">
        <f>Table1[[#This Row],[UnitPrice]]*Table1[[#This Row],[Quantity]]*(1-Table1[[#This Row],[DiscountPct]])</f>
        <v>9262.0686600000008</v>
      </c>
      <c r="AN368" s="5">
        <f>Table1[[#This Row],[gross_revenue]]-Table1[[#This Row],[cost_of_goods]]</f>
        <v>827.62866000000031</v>
      </c>
      <c r="AO368" s="5">
        <f>Table1[[#This Row],[scenario_revenue]]-Table1[[#This Row],[Scenario_unit_cost]]</f>
        <v>-18.978408000000854</v>
      </c>
      <c r="AP368" s="5">
        <f>IF(Table1[[#This Row],[gross_revenue]]=0,0,Table1[[#This Row],[gross_profit]]/Table1[[#This Row],[gross_revenue]])</f>
        <v>8.9356783066645962E-2</v>
      </c>
    </row>
    <row r="369" spans="1:42" x14ac:dyDescent="0.35">
      <c r="A369" t="s">
        <v>335</v>
      </c>
      <c r="B369" t="str">
        <f>_xlfn.TEXTAFTER(Table1[[#This Row],[OrderID]],"-",2)</f>
        <v>719055</v>
      </c>
      <c r="C369">
        <f>YEAR(Table1[[#This Row],[OrderDate]])</f>
        <v>2024</v>
      </c>
      <c r="D369" s="9">
        <f>_xlfn.MINIFS(F:F,P:P,Table1[[#This Row],[Country]])</f>
        <v>44939</v>
      </c>
      <c r="E369" s="7">
        <f>DATEDIF(Table1[[#This Row],[first_time_orders]],Table1[[#This Row],[OrderDate]],"m")</f>
        <v>11</v>
      </c>
      <c r="F369" s="9">
        <v>45293</v>
      </c>
      <c r="G369" s="2" t="str">
        <f>TEXT(Table1[[#This Row],[OrderDate]],"MMM-YYYY")</f>
        <v>Jan-2024</v>
      </c>
      <c r="H369" s="7">
        <f>MONTH(Table1[[#This Row],[OrderDate]])</f>
        <v>1</v>
      </c>
      <c r="I369" s="7" t="str">
        <f>"Q"&amp;ROUNDUP(Table1[[#This Row],[months]]/3,0)&amp;"-"&amp;Table1[[#This Row],[order_year]]</f>
        <v>Q1-2024</v>
      </c>
      <c r="J369" s="7">
        <f>Table1[[#This Row],[RequiredDate]]-Table1[[#This Row],[OrderDate]]</f>
        <v>-1</v>
      </c>
      <c r="K369" s="7">
        <f>IF(Table1[[#This Row],[lead_time]]&lt;0,MEDIAN(J:J),Table1[[#This Row],[lead_time]])</f>
        <v>15</v>
      </c>
      <c r="L369" s="7">
        <f>IF(Table1[[#This Row],[adj_lead_time]]&lt;=7,1,0)</f>
        <v>0</v>
      </c>
      <c r="M369" s="9">
        <v>45292</v>
      </c>
      <c r="N369" s="9">
        <f>IF(Table1[[#This Row],[lead_time]]&lt;0,(Table1[[#This Row],[OrderDate]]+Table1[[#This Row],[adj_lead_time]]),Table1[[#This Row],[RequiredDate]])</f>
        <v>45308</v>
      </c>
      <c r="O369" t="s">
        <v>648</v>
      </c>
      <c r="P369" t="s">
        <v>660</v>
      </c>
      <c r="Q369" t="s">
        <v>677</v>
      </c>
      <c r="R369" t="s">
        <v>702</v>
      </c>
      <c r="S369" t="s">
        <v>709</v>
      </c>
      <c r="T369" t="s">
        <v>717</v>
      </c>
      <c r="U369" t="s">
        <v>729</v>
      </c>
      <c r="V369" t="s">
        <v>1055</v>
      </c>
      <c r="W369">
        <v>404.77</v>
      </c>
      <c r="X369">
        <f>Table1[[#This Row],[UnitCost]]*(1+'scenario modeling'!$B$3)</f>
        <v>445.24700000000001</v>
      </c>
      <c r="Y369">
        <v>433.88</v>
      </c>
      <c r="Z369" t="str">
        <f>IF(Table1[[#This Row],[UnitPrice]]&lt;=Quantiles!$B$2,Quantiles!$A$2,IF(Table1[[#This Row],[UnitPrice]]&lt;=Quantiles!$B$3,Quantiles!$A$3,Quantiles!$A$4))</f>
        <v>Low</v>
      </c>
      <c r="AA369">
        <v>0.215</v>
      </c>
      <c r="AB369" s="5">
        <f>MIN(Table1[[#This Row],[DiscountPct]],'scenario modeling'!$B$2)</f>
        <v>0.1</v>
      </c>
      <c r="AC369" t="str">
        <f>IF(Table1[[#This Row],[DiscountPct]]&gt;0.3, "&gt;0.3","")</f>
        <v/>
      </c>
      <c r="AD369">
        <v>22</v>
      </c>
      <c r="AE369">
        <f>Table1[[#This Row],[Quantity]]*(1+'scenario modeling'!$B$4)</f>
        <v>26.4</v>
      </c>
      <c r="AF369">
        <f>Table1[[#This Row],[UnitCost]]*Table1[[#This Row],[Quantity]]</f>
        <v>8904.9399999999987</v>
      </c>
      <c r="AG369">
        <f>SUMIF($U:U,Table1[[#This Row],[ProductCategory]],$AM:AM)</f>
        <v>1773719.1704599999</v>
      </c>
      <c r="AH369">
        <f>SUMIFS($AM$2:AM369,$U$2:U369,U369)</f>
        <v>279654.92877</v>
      </c>
      <c r="AI369" s="5">
        <f>Table1[[#This Row],[Cumulative_revenue]]/Table1[[#This Row],[Category_revenue]]</f>
        <v>0.1576658432898787</v>
      </c>
      <c r="AJ369" t="str">
        <f>IF(Table1[[#This Row],[cumulative_pct]]&lt;=0.8,"A",IF(Table1[[#This Row],[cumulative_pct]]&lt;=0.95,"B","C"))</f>
        <v>A</v>
      </c>
      <c r="AK369">
        <f>Table1[[#This Row],[adj_unit_cost]]*Table1[[#This Row],[scenario_quantity]]</f>
        <v>11754.5208</v>
      </c>
      <c r="AL369" s="5">
        <f>Table1[[#This Row],[UnitPrice]]*Table1[[#This Row],[scenario_quantity]]*(1-Table1[[#This Row],[cap_adjusted_discount]])</f>
        <v>10308.988799999999</v>
      </c>
      <c r="AM369" s="5">
        <f>Table1[[#This Row],[UnitPrice]]*Table1[[#This Row],[Quantity]]*(1-Table1[[#This Row],[DiscountPct]])</f>
        <v>7493.1076000000012</v>
      </c>
      <c r="AN369" s="5">
        <f>Table1[[#This Row],[gross_revenue]]-Table1[[#This Row],[cost_of_goods]]</f>
        <v>-1411.8323999999975</v>
      </c>
      <c r="AO369" s="5">
        <f>Table1[[#This Row],[scenario_revenue]]-Table1[[#This Row],[Scenario_unit_cost]]</f>
        <v>-1445.5320000000011</v>
      </c>
      <c r="AP369" s="5">
        <f>IF(Table1[[#This Row],[gross_revenue]]=0,0,Table1[[#This Row],[gross_profit]]/Table1[[#This Row],[gross_revenue]])</f>
        <v>-0.18841747314558746</v>
      </c>
    </row>
    <row r="370" spans="1:42" x14ac:dyDescent="0.35">
      <c r="A370" t="s">
        <v>229</v>
      </c>
      <c r="B370" t="str">
        <f>_xlfn.TEXTAFTER(Table1[[#This Row],[OrderID]],"-",2)</f>
        <v>197852</v>
      </c>
      <c r="C370">
        <f>YEAR(Table1[[#This Row],[OrderDate]])</f>
        <v>2024</v>
      </c>
      <c r="D370" s="9">
        <f>_xlfn.MINIFS(F:F,P:P,Table1[[#This Row],[Country]])</f>
        <v>44988</v>
      </c>
      <c r="E370" s="7">
        <f>DATEDIF(Table1[[#This Row],[first_time_orders]],Table1[[#This Row],[OrderDate]],"m")</f>
        <v>11</v>
      </c>
      <c r="F370" s="9">
        <v>45351</v>
      </c>
      <c r="G370" s="2" t="str">
        <f>TEXT(Table1[[#This Row],[OrderDate]],"MMM-YYYY")</f>
        <v>Feb-2024</v>
      </c>
      <c r="H370" s="7">
        <f>MONTH(Table1[[#This Row],[OrderDate]])</f>
        <v>2</v>
      </c>
      <c r="I370" s="7" t="str">
        <f>"Q"&amp;ROUNDUP(Table1[[#This Row],[months]]/3,0)&amp;"-"&amp;Table1[[#This Row],[order_year]]</f>
        <v>Q1-2024</v>
      </c>
      <c r="J370" s="7">
        <f>Table1[[#This Row],[RequiredDate]]-Table1[[#This Row],[OrderDate]]</f>
        <v>30</v>
      </c>
      <c r="K370" s="7">
        <f>IF(Table1[[#This Row],[lead_time]]&lt;0,MEDIAN(J:J),Table1[[#This Row],[lead_time]])</f>
        <v>30</v>
      </c>
      <c r="L370" s="7">
        <f>IF(Table1[[#This Row],[adj_lead_time]]&lt;=7,1,0)</f>
        <v>0</v>
      </c>
      <c r="M370" s="9">
        <v>45381</v>
      </c>
      <c r="N370" s="9">
        <f>IF(Table1[[#This Row],[lead_time]]&lt;0,(Table1[[#This Row],[OrderDate]]+Table1[[#This Row],[adj_lead_time]]),Table1[[#This Row],[RequiredDate]])</f>
        <v>45381</v>
      </c>
      <c r="O370" t="s">
        <v>647</v>
      </c>
      <c r="P370" t="s">
        <v>652</v>
      </c>
      <c r="Q370" t="s">
        <v>694</v>
      </c>
      <c r="R370" t="s">
        <v>705</v>
      </c>
      <c r="S370" t="s">
        <v>711</v>
      </c>
      <c r="T370" t="s">
        <v>714</v>
      </c>
      <c r="U370" t="s">
        <v>729</v>
      </c>
      <c r="V370" t="s">
        <v>949</v>
      </c>
      <c r="W370">
        <v>231.11</v>
      </c>
      <c r="X370">
        <f>Table1[[#This Row],[UnitCost]]*(1+'scenario modeling'!$B$3)</f>
        <v>254.22100000000003</v>
      </c>
      <c r="Y370">
        <v>318.17</v>
      </c>
      <c r="Z370" t="str">
        <f>IF(Table1[[#This Row],[UnitPrice]]&lt;=Quantiles!$B$2,Quantiles!$A$2,IF(Table1[[#This Row],[UnitPrice]]&lt;=Quantiles!$B$3,Quantiles!$A$3,Quantiles!$A$4))</f>
        <v>Low</v>
      </c>
      <c r="AA370">
        <v>0.20100000000000001</v>
      </c>
      <c r="AB370" s="5">
        <f>MIN(Table1[[#This Row],[DiscountPct]],'scenario modeling'!$B$2)</f>
        <v>0.1</v>
      </c>
      <c r="AC370" t="str">
        <f>IF(Table1[[#This Row],[DiscountPct]]&gt;0.3, "&gt;0.3","")</f>
        <v/>
      </c>
      <c r="AD370">
        <v>60</v>
      </c>
      <c r="AE370">
        <f>Table1[[#This Row],[Quantity]]*(1+'scenario modeling'!$B$4)</f>
        <v>72</v>
      </c>
      <c r="AF370">
        <f>Table1[[#This Row],[UnitCost]]*Table1[[#This Row],[Quantity]]</f>
        <v>13866.6</v>
      </c>
      <c r="AG370">
        <f>SUMIF($U:U,Table1[[#This Row],[ProductCategory]],$AM:AM)</f>
        <v>1773719.1704599999</v>
      </c>
      <c r="AH370">
        <f>SUMIFS($AM$2:AM370,$U$2:U370,U370)</f>
        <v>294907.99857</v>
      </c>
      <c r="AI370" s="5">
        <f>Table1[[#This Row],[Cumulative_revenue]]/Table1[[#This Row],[Category_revenue]]</f>
        <v>0.16626532738749053</v>
      </c>
      <c r="AJ370" t="str">
        <f>IF(Table1[[#This Row],[cumulative_pct]]&lt;=0.8,"A",IF(Table1[[#This Row],[cumulative_pct]]&lt;=0.95,"B","C"))</f>
        <v>A</v>
      </c>
      <c r="AK370">
        <f>Table1[[#This Row],[adj_unit_cost]]*Table1[[#This Row],[scenario_quantity]]</f>
        <v>18303.912000000004</v>
      </c>
      <c r="AL370" s="5">
        <f>Table1[[#This Row],[UnitPrice]]*Table1[[#This Row],[scenario_quantity]]*(1-Table1[[#This Row],[cap_adjusted_discount]])</f>
        <v>20617.416000000001</v>
      </c>
      <c r="AM370" s="5">
        <f>Table1[[#This Row],[UnitPrice]]*Table1[[#This Row],[Quantity]]*(1-Table1[[#This Row],[DiscountPct]])</f>
        <v>15253.069799999999</v>
      </c>
      <c r="AN370" s="5">
        <f>Table1[[#This Row],[gross_revenue]]-Table1[[#This Row],[cost_of_goods]]</f>
        <v>1386.4697999999989</v>
      </c>
      <c r="AO370" s="5">
        <f>Table1[[#This Row],[scenario_revenue]]-Table1[[#This Row],[Scenario_unit_cost]]</f>
        <v>2313.5039999999972</v>
      </c>
      <c r="AP370" s="5">
        <f>IF(Table1[[#This Row],[gross_revenue]]=0,0,Table1[[#This Row],[gross_profit]]/Table1[[#This Row],[gross_revenue]])</f>
        <v>9.0897754889969692E-2</v>
      </c>
    </row>
    <row r="371" spans="1:42" x14ac:dyDescent="0.35">
      <c r="A371" t="s">
        <v>56</v>
      </c>
      <c r="B371" t="str">
        <f>_xlfn.TEXTAFTER(Table1[[#This Row],[OrderID]],"-",2)</f>
        <v>296582</v>
      </c>
      <c r="C371">
        <f>YEAR(Table1[[#This Row],[OrderDate]])</f>
        <v>2024</v>
      </c>
      <c r="D371" s="9">
        <f>_xlfn.MINIFS(F:F,P:P,Table1[[#This Row],[Country]])</f>
        <v>44933</v>
      </c>
      <c r="E371" s="7">
        <f>DATEDIF(Table1[[#This Row],[first_time_orders]],Table1[[#This Row],[OrderDate]],"m")</f>
        <v>12</v>
      </c>
      <c r="F371" s="9">
        <v>45302</v>
      </c>
      <c r="G371" s="2" t="str">
        <f>TEXT(Table1[[#This Row],[OrderDate]],"MMM-YYYY")</f>
        <v>Jan-2024</v>
      </c>
      <c r="H371" s="7">
        <f>MONTH(Table1[[#This Row],[OrderDate]])</f>
        <v>1</v>
      </c>
      <c r="I371" s="7" t="str">
        <f>"Q"&amp;ROUNDUP(Table1[[#This Row],[months]]/3,0)&amp;"-"&amp;Table1[[#This Row],[order_year]]</f>
        <v>Q1-2024</v>
      </c>
      <c r="J371" s="7">
        <f>Table1[[#This Row],[RequiredDate]]-Table1[[#This Row],[OrderDate]]</f>
        <v>22</v>
      </c>
      <c r="K371" s="7">
        <f>IF(Table1[[#This Row],[lead_time]]&lt;0,MEDIAN(J:J),Table1[[#This Row],[lead_time]])</f>
        <v>22</v>
      </c>
      <c r="L371" s="7">
        <f>IF(Table1[[#This Row],[adj_lead_time]]&lt;=7,1,0)</f>
        <v>0</v>
      </c>
      <c r="M371" s="9">
        <v>45324</v>
      </c>
      <c r="N371" s="9">
        <f>IF(Table1[[#This Row],[lead_time]]&lt;0,(Table1[[#This Row],[OrderDate]]+Table1[[#This Row],[adj_lead_time]]),Table1[[#This Row],[RequiredDate]])</f>
        <v>45324</v>
      </c>
      <c r="O371" t="s">
        <v>646</v>
      </c>
      <c r="P371" t="s">
        <v>661</v>
      </c>
      <c r="Q371" t="s">
        <v>687</v>
      </c>
      <c r="R371" t="s">
        <v>704</v>
      </c>
      <c r="S371" t="s">
        <v>708</v>
      </c>
      <c r="T371" t="s">
        <v>723</v>
      </c>
      <c r="U371" t="s">
        <v>729</v>
      </c>
      <c r="V371" t="s">
        <v>775</v>
      </c>
      <c r="W371">
        <v>1206.2</v>
      </c>
      <c r="X371">
        <f>Table1[[#This Row],[UnitCost]]*(1+'scenario modeling'!$B$3)</f>
        <v>1326.8200000000002</v>
      </c>
      <c r="Y371">
        <v>1759.79</v>
      </c>
      <c r="Z371" t="str">
        <f>IF(Table1[[#This Row],[UnitPrice]]&lt;=Quantiles!$B$2,Quantiles!$A$2,IF(Table1[[#This Row],[UnitPrice]]&lt;=Quantiles!$B$3,Quantiles!$A$3,Quantiles!$A$4))</f>
        <v>High</v>
      </c>
      <c r="AA371">
        <v>0</v>
      </c>
      <c r="AB371" s="5">
        <f>MIN(Table1[[#This Row],[DiscountPct]],'scenario modeling'!$B$2)</f>
        <v>0</v>
      </c>
      <c r="AC371" t="str">
        <f>IF(Table1[[#This Row],[DiscountPct]]&gt;0.3, "&gt;0.3","")</f>
        <v/>
      </c>
      <c r="AD371">
        <v>6</v>
      </c>
      <c r="AE371">
        <f>Table1[[#This Row],[Quantity]]*(1+'scenario modeling'!$B$4)</f>
        <v>7.1999999999999993</v>
      </c>
      <c r="AF371">
        <f>Table1[[#This Row],[UnitCost]]*Table1[[#This Row],[Quantity]]</f>
        <v>7237.2000000000007</v>
      </c>
      <c r="AG371">
        <f>SUMIF($U:U,Table1[[#This Row],[ProductCategory]],$AM:AM)</f>
        <v>1773719.1704599999</v>
      </c>
      <c r="AH371">
        <f>SUMIFS($AM$2:AM371,$U$2:U371,U371)</f>
        <v>305466.73856999999</v>
      </c>
      <c r="AI371" s="5">
        <f>Table1[[#This Row],[Cumulative_revenue]]/Table1[[#This Row],[Category_revenue]]</f>
        <v>0.17221820886717915</v>
      </c>
      <c r="AJ371" t="str">
        <f>IF(Table1[[#This Row],[cumulative_pct]]&lt;=0.8,"A",IF(Table1[[#This Row],[cumulative_pct]]&lt;=0.95,"B","C"))</f>
        <v>A</v>
      </c>
      <c r="AK371">
        <f>Table1[[#This Row],[adj_unit_cost]]*Table1[[#This Row],[scenario_quantity]]</f>
        <v>9553.1039999999994</v>
      </c>
      <c r="AL371" s="5">
        <f>Table1[[#This Row],[UnitPrice]]*Table1[[#This Row],[scenario_quantity]]*(1-Table1[[#This Row],[cap_adjusted_discount]])</f>
        <v>12670.487999999999</v>
      </c>
      <c r="AM371" s="5">
        <f>Table1[[#This Row],[UnitPrice]]*Table1[[#This Row],[Quantity]]*(1-Table1[[#This Row],[DiscountPct]])</f>
        <v>10558.74</v>
      </c>
      <c r="AN371" s="5">
        <f>Table1[[#This Row],[gross_revenue]]-Table1[[#This Row],[cost_of_goods]]</f>
        <v>3321.5399999999991</v>
      </c>
      <c r="AO371" s="5">
        <f>Table1[[#This Row],[scenario_revenue]]-Table1[[#This Row],[Scenario_unit_cost]]</f>
        <v>3117.384</v>
      </c>
      <c r="AP371" s="5">
        <f>IF(Table1[[#This Row],[gross_revenue]]=0,0,Table1[[#This Row],[gross_profit]]/Table1[[#This Row],[gross_revenue]])</f>
        <v>0.31457730751964713</v>
      </c>
    </row>
    <row r="372" spans="1:42" x14ac:dyDescent="0.35">
      <c r="A372" t="s">
        <v>171</v>
      </c>
      <c r="B372" t="str">
        <f>_xlfn.TEXTAFTER(Table1[[#This Row],[OrderID]],"-",2)</f>
        <v>764468</v>
      </c>
      <c r="C372">
        <f>YEAR(Table1[[#This Row],[OrderDate]])</f>
        <v>2024</v>
      </c>
      <c r="D372" s="9">
        <f>_xlfn.MINIFS(F:F,P:P,Table1[[#This Row],[Country]])</f>
        <v>44936</v>
      </c>
      <c r="E372" s="7">
        <f>DATEDIF(Table1[[#This Row],[first_time_orders]],Table1[[#This Row],[OrderDate]],"m")</f>
        <v>12</v>
      </c>
      <c r="F372" s="9">
        <v>45323</v>
      </c>
      <c r="G372" s="2" t="str">
        <f>TEXT(Table1[[#This Row],[OrderDate]],"MMM-YYYY")</f>
        <v>Feb-2024</v>
      </c>
      <c r="H372" s="7">
        <f>MONTH(Table1[[#This Row],[OrderDate]])</f>
        <v>2</v>
      </c>
      <c r="I372" s="7" t="str">
        <f>"Q"&amp;ROUNDUP(Table1[[#This Row],[months]]/3,0)&amp;"-"&amp;Table1[[#This Row],[order_year]]</f>
        <v>Q1-2024</v>
      </c>
      <c r="J372" s="7">
        <f>Table1[[#This Row],[RequiredDate]]-Table1[[#This Row],[OrderDate]]</f>
        <v>20</v>
      </c>
      <c r="K372" s="7">
        <f>IF(Table1[[#This Row],[lead_time]]&lt;0,MEDIAN(J:J),Table1[[#This Row],[lead_time]])</f>
        <v>20</v>
      </c>
      <c r="L372" s="7">
        <f>IF(Table1[[#This Row],[adj_lead_time]]&lt;=7,1,0)</f>
        <v>0</v>
      </c>
      <c r="M372" s="9">
        <v>45343</v>
      </c>
      <c r="N372" s="9">
        <f>IF(Table1[[#This Row],[lead_time]]&lt;0,(Table1[[#This Row],[OrderDate]]+Table1[[#This Row],[adj_lead_time]]),Table1[[#This Row],[RequiredDate]])</f>
        <v>45343</v>
      </c>
      <c r="O372" t="s">
        <v>649</v>
      </c>
      <c r="P372" t="s">
        <v>657</v>
      </c>
      <c r="Q372" t="s">
        <v>690</v>
      </c>
      <c r="R372" t="s">
        <v>705</v>
      </c>
      <c r="S372" t="s">
        <v>709</v>
      </c>
      <c r="T372" t="s">
        <v>720</v>
      </c>
      <c r="U372" t="s">
        <v>729</v>
      </c>
      <c r="V372" t="s">
        <v>890</v>
      </c>
      <c r="W372">
        <v>656.2</v>
      </c>
      <c r="X372">
        <f>Table1[[#This Row],[UnitCost]]*(1+'scenario modeling'!$B$3)</f>
        <v>721.82000000000016</v>
      </c>
      <c r="Y372">
        <v>1467.17</v>
      </c>
      <c r="Z372" t="str">
        <f>IF(Table1[[#This Row],[UnitPrice]]&lt;=Quantiles!$B$2,Quantiles!$A$2,IF(Table1[[#This Row],[UnitPrice]]&lt;=Quantiles!$B$3,Quantiles!$A$3,Quantiles!$A$4))</f>
        <v>Medium</v>
      </c>
      <c r="AA372">
        <v>1.7999999999999999E-2</v>
      </c>
      <c r="AB372" s="5">
        <f>MIN(Table1[[#This Row],[DiscountPct]],'scenario modeling'!$B$2)</f>
        <v>1.7999999999999999E-2</v>
      </c>
      <c r="AC372" t="str">
        <f>IF(Table1[[#This Row],[DiscountPct]]&gt;0.3, "&gt;0.3","")</f>
        <v/>
      </c>
      <c r="AD372">
        <v>5</v>
      </c>
      <c r="AE372">
        <f>Table1[[#This Row],[Quantity]]*(1+'scenario modeling'!$B$4)</f>
        <v>6</v>
      </c>
      <c r="AF372">
        <f>Table1[[#This Row],[UnitCost]]*Table1[[#This Row],[Quantity]]</f>
        <v>3281</v>
      </c>
      <c r="AG372">
        <f>SUMIF($U:U,Table1[[#This Row],[ProductCategory]],$AM:AM)</f>
        <v>1773719.1704599999</v>
      </c>
      <c r="AH372">
        <f>SUMIFS($AM$2:AM372,$U$2:U372,U372)</f>
        <v>312670.54326999997</v>
      </c>
      <c r="AI372" s="5">
        <f>Table1[[#This Row],[Cumulative_revenue]]/Table1[[#This Row],[Category_revenue]]</f>
        <v>0.17627962107942452</v>
      </c>
      <c r="AJ372" t="str">
        <f>IF(Table1[[#This Row],[cumulative_pct]]&lt;=0.8,"A",IF(Table1[[#This Row],[cumulative_pct]]&lt;=0.95,"B","C"))</f>
        <v>A</v>
      </c>
      <c r="AK372">
        <f>Table1[[#This Row],[adj_unit_cost]]*Table1[[#This Row],[scenario_quantity]]</f>
        <v>4330.920000000001</v>
      </c>
      <c r="AL372" s="5">
        <f>Table1[[#This Row],[UnitPrice]]*Table1[[#This Row],[scenario_quantity]]*(1-Table1[[#This Row],[cap_adjusted_discount]])</f>
        <v>8644.5656400000007</v>
      </c>
      <c r="AM372" s="5">
        <f>Table1[[#This Row],[UnitPrice]]*Table1[[#This Row],[Quantity]]*(1-Table1[[#This Row],[DiscountPct]])</f>
        <v>7203.8047000000006</v>
      </c>
      <c r="AN372" s="5">
        <f>Table1[[#This Row],[gross_revenue]]-Table1[[#This Row],[cost_of_goods]]</f>
        <v>3922.8047000000006</v>
      </c>
      <c r="AO372" s="5">
        <f>Table1[[#This Row],[scenario_revenue]]-Table1[[#This Row],[Scenario_unit_cost]]</f>
        <v>4313.6456399999997</v>
      </c>
      <c r="AP372" s="5">
        <f>IF(Table1[[#This Row],[gross_revenue]]=0,0,Table1[[#This Row],[gross_profit]]/Table1[[#This Row],[gross_revenue]])</f>
        <v>0.54454623124360946</v>
      </c>
    </row>
    <row r="373" spans="1:42" x14ac:dyDescent="0.35">
      <c r="A373" t="s">
        <v>583</v>
      </c>
      <c r="B373" t="str">
        <f>_xlfn.TEXTAFTER(Table1[[#This Row],[OrderID]],"-",2)</f>
        <v>437164</v>
      </c>
      <c r="C373">
        <f>YEAR(Table1[[#This Row],[OrderDate]])</f>
        <v>2024</v>
      </c>
      <c r="D373" s="9">
        <f>_xlfn.MINIFS(F:F,P:P,Table1[[#This Row],[Country]])</f>
        <v>44939</v>
      </c>
      <c r="E373" s="7">
        <f>DATEDIF(Table1[[#This Row],[first_time_orders]],Table1[[#This Row],[OrderDate]],"m")</f>
        <v>13</v>
      </c>
      <c r="F373" s="9">
        <v>45342</v>
      </c>
      <c r="G373" s="2" t="str">
        <f>TEXT(Table1[[#This Row],[OrderDate]],"MMM-YYYY")</f>
        <v>Feb-2024</v>
      </c>
      <c r="H373" s="7">
        <f>MONTH(Table1[[#This Row],[OrderDate]])</f>
        <v>2</v>
      </c>
      <c r="I373" s="7" t="str">
        <f>"Q"&amp;ROUNDUP(Table1[[#This Row],[months]]/3,0)&amp;"-"&amp;Table1[[#This Row],[order_year]]</f>
        <v>Q1-2024</v>
      </c>
      <c r="J373" s="7">
        <f>Table1[[#This Row],[RequiredDate]]-Table1[[#This Row],[OrderDate]]</f>
        <v>0</v>
      </c>
      <c r="K373" s="7">
        <f>IF(Table1[[#This Row],[lead_time]]&lt;0,MEDIAN(J:J),Table1[[#This Row],[lead_time]])</f>
        <v>0</v>
      </c>
      <c r="L373" s="7">
        <f>IF(Table1[[#This Row],[adj_lead_time]]&lt;=7,1,0)</f>
        <v>1</v>
      </c>
      <c r="M373" s="9">
        <v>45342</v>
      </c>
      <c r="N373" s="9">
        <f>IF(Table1[[#This Row],[lead_time]]&lt;0,(Table1[[#This Row],[OrderDate]]+Table1[[#This Row],[adj_lead_time]]),Table1[[#This Row],[RequiredDate]])</f>
        <v>45342</v>
      </c>
      <c r="O373" t="s">
        <v>648</v>
      </c>
      <c r="P373" t="s">
        <v>660</v>
      </c>
      <c r="Q373" t="s">
        <v>700</v>
      </c>
      <c r="R373" t="s">
        <v>706</v>
      </c>
      <c r="S373" t="s">
        <v>708</v>
      </c>
      <c r="T373" t="s">
        <v>712</v>
      </c>
      <c r="U373" t="s">
        <v>729</v>
      </c>
      <c r="V373" t="s">
        <v>1301</v>
      </c>
      <c r="W373">
        <v>1407.05</v>
      </c>
      <c r="X373">
        <f>Table1[[#This Row],[UnitCost]]*(1+'scenario modeling'!$B$3)</f>
        <v>1547.7550000000001</v>
      </c>
      <c r="Y373">
        <v>2858.93</v>
      </c>
      <c r="Z373" t="str">
        <f>IF(Table1[[#This Row],[UnitPrice]]&lt;=Quantiles!$B$2,Quantiles!$A$2,IF(Table1[[#This Row],[UnitPrice]]&lt;=Quantiles!$B$3,Quantiles!$A$3,Quantiles!$A$4))</f>
        <v>High</v>
      </c>
      <c r="AA373">
        <v>0</v>
      </c>
      <c r="AB373" s="5">
        <f>MIN(Table1[[#This Row],[DiscountPct]],'scenario modeling'!$B$2)</f>
        <v>0</v>
      </c>
      <c r="AC373" t="str">
        <f>IF(Table1[[#This Row],[DiscountPct]]&gt;0.3, "&gt;0.3","")</f>
        <v/>
      </c>
      <c r="AD373">
        <v>12</v>
      </c>
      <c r="AE373">
        <f>Table1[[#This Row],[Quantity]]*(1+'scenario modeling'!$B$4)</f>
        <v>14.399999999999999</v>
      </c>
      <c r="AF373">
        <f>Table1[[#This Row],[UnitCost]]*Table1[[#This Row],[Quantity]]</f>
        <v>16884.599999999999</v>
      </c>
      <c r="AG373">
        <f>SUMIF($U:U,Table1[[#This Row],[ProductCategory]],$AM:AM)</f>
        <v>1773719.1704599999</v>
      </c>
      <c r="AH373">
        <f>SUMIFS($AM$2:AM373,$U$2:U373,U373)</f>
        <v>346977.70326999994</v>
      </c>
      <c r="AI373" s="5">
        <f>Table1[[#This Row],[Cumulative_revenue]]/Table1[[#This Row],[Category_revenue]]</f>
        <v>0.19562155557016053</v>
      </c>
      <c r="AJ373" t="str">
        <f>IF(Table1[[#This Row],[cumulative_pct]]&lt;=0.8,"A",IF(Table1[[#This Row],[cumulative_pct]]&lt;=0.95,"B","C"))</f>
        <v>A</v>
      </c>
      <c r="AK373">
        <f>Table1[[#This Row],[adj_unit_cost]]*Table1[[#This Row],[scenario_quantity]]</f>
        <v>22287.671999999999</v>
      </c>
      <c r="AL373" s="5">
        <f>Table1[[#This Row],[UnitPrice]]*Table1[[#This Row],[scenario_quantity]]*(1-Table1[[#This Row],[cap_adjusted_discount]])</f>
        <v>41168.591999999997</v>
      </c>
      <c r="AM373" s="5">
        <f>Table1[[#This Row],[UnitPrice]]*Table1[[#This Row],[Quantity]]*(1-Table1[[#This Row],[DiscountPct]])</f>
        <v>34307.159999999996</v>
      </c>
      <c r="AN373" s="5">
        <f>Table1[[#This Row],[gross_revenue]]-Table1[[#This Row],[cost_of_goods]]</f>
        <v>17422.559999999998</v>
      </c>
      <c r="AO373" s="5">
        <f>Table1[[#This Row],[scenario_revenue]]-Table1[[#This Row],[Scenario_unit_cost]]</f>
        <v>18880.919999999998</v>
      </c>
      <c r="AP373" s="5">
        <f>IF(Table1[[#This Row],[gross_revenue]]=0,0,Table1[[#This Row],[gross_profit]]/Table1[[#This Row],[gross_revenue]])</f>
        <v>0.50784034586366222</v>
      </c>
    </row>
    <row r="374" spans="1:42" x14ac:dyDescent="0.35">
      <c r="A374" t="s">
        <v>371</v>
      </c>
      <c r="B374" t="str">
        <f>_xlfn.TEXTAFTER(Table1[[#This Row],[OrderID]],"-",2)</f>
        <v>510591</v>
      </c>
      <c r="C374">
        <f>YEAR(Table1[[#This Row],[OrderDate]])</f>
        <v>2024</v>
      </c>
      <c r="D374" s="9">
        <f>_xlfn.MINIFS(F:F,P:P,Table1[[#This Row],[Country]])</f>
        <v>44955</v>
      </c>
      <c r="E374" s="7">
        <f>DATEDIF(Table1[[#This Row],[first_time_orders]],Table1[[#This Row],[OrderDate]],"m")</f>
        <v>14</v>
      </c>
      <c r="F374" s="9">
        <v>45385</v>
      </c>
      <c r="G374" s="2" t="str">
        <f>TEXT(Table1[[#This Row],[OrderDate]],"MMM-YYYY")</f>
        <v>Apr-2024</v>
      </c>
      <c r="H374" s="7">
        <f>MONTH(Table1[[#This Row],[OrderDate]])</f>
        <v>4</v>
      </c>
      <c r="I374" s="7" t="str">
        <f>"Q"&amp;ROUNDUP(Table1[[#This Row],[months]]/3,0)&amp;"-"&amp;Table1[[#This Row],[order_year]]</f>
        <v>Q2-2024</v>
      </c>
      <c r="J374" s="7">
        <f>Table1[[#This Row],[RequiredDate]]-Table1[[#This Row],[OrderDate]]</f>
        <v>18</v>
      </c>
      <c r="K374" s="7">
        <f>IF(Table1[[#This Row],[lead_time]]&lt;0,MEDIAN(J:J),Table1[[#This Row],[lead_time]])</f>
        <v>18</v>
      </c>
      <c r="L374" s="7">
        <f>IF(Table1[[#This Row],[adj_lead_time]]&lt;=7,1,0)</f>
        <v>0</v>
      </c>
      <c r="M374" s="9">
        <v>45403</v>
      </c>
      <c r="N374" s="9">
        <f>IF(Table1[[#This Row],[lead_time]]&lt;0,(Table1[[#This Row],[OrderDate]]+Table1[[#This Row],[adj_lead_time]]),Table1[[#This Row],[RequiredDate]])</f>
        <v>45403</v>
      </c>
      <c r="O374" t="s">
        <v>648</v>
      </c>
      <c r="P374" t="s">
        <v>655</v>
      </c>
      <c r="Q374" t="s">
        <v>672</v>
      </c>
      <c r="R374" t="s">
        <v>705</v>
      </c>
      <c r="S374" t="s">
        <v>710</v>
      </c>
      <c r="T374" t="s">
        <v>717</v>
      </c>
      <c r="U374" t="s">
        <v>729</v>
      </c>
      <c r="V374" t="s">
        <v>1091</v>
      </c>
      <c r="W374">
        <v>1176.69</v>
      </c>
      <c r="X374">
        <f>Table1[[#This Row],[UnitCost]]*(1+'scenario modeling'!$B$3)</f>
        <v>1294.3590000000002</v>
      </c>
      <c r="Y374">
        <v>2201.54</v>
      </c>
      <c r="Z374" t="str">
        <f>IF(Table1[[#This Row],[UnitPrice]]&lt;=Quantiles!$B$2,Quantiles!$A$2,IF(Table1[[#This Row],[UnitPrice]]&lt;=Quantiles!$B$3,Quantiles!$A$3,Quantiles!$A$4))</f>
        <v>High</v>
      </c>
      <c r="AA374">
        <v>0.17</v>
      </c>
      <c r="AB374" s="5">
        <f>MIN(Table1[[#This Row],[DiscountPct]],'scenario modeling'!$B$2)</f>
        <v>0.1</v>
      </c>
      <c r="AC374" t="str">
        <f>IF(Table1[[#This Row],[DiscountPct]]&gt;0.3, "&gt;0.3","")</f>
        <v/>
      </c>
      <c r="AD374">
        <v>27</v>
      </c>
      <c r="AE374">
        <f>Table1[[#This Row],[Quantity]]*(1+'scenario modeling'!$B$4)</f>
        <v>32.4</v>
      </c>
      <c r="AF374">
        <f>Table1[[#This Row],[UnitCost]]*Table1[[#This Row],[Quantity]]</f>
        <v>31770.63</v>
      </c>
      <c r="AG374">
        <f>SUMIF($U:U,Table1[[#This Row],[ProductCategory]],$AM:AM)</f>
        <v>1773719.1704599999</v>
      </c>
      <c r="AH374">
        <f>SUMIFS($AM$2:AM374,$U$2:U374,U374)</f>
        <v>396314.21466999996</v>
      </c>
      <c r="AI374" s="5">
        <f>Table1[[#This Row],[Cumulative_revenue]]/Table1[[#This Row],[Category_revenue]]</f>
        <v>0.22343684460895746</v>
      </c>
      <c r="AJ374" t="str">
        <f>IF(Table1[[#This Row],[cumulative_pct]]&lt;=0.8,"A",IF(Table1[[#This Row],[cumulative_pct]]&lt;=0.95,"B","C"))</f>
        <v>A</v>
      </c>
      <c r="AK374">
        <f>Table1[[#This Row],[adj_unit_cost]]*Table1[[#This Row],[scenario_quantity]]</f>
        <v>41937.231600000006</v>
      </c>
      <c r="AL374" s="5">
        <f>Table1[[#This Row],[UnitPrice]]*Table1[[#This Row],[scenario_quantity]]*(1-Table1[[#This Row],[cap_adjusted_discount]])</f>
        <v>64196.906399999993</v>
      </c>
      <c r="AM374" s="5">
        <f>Table1[[#This Row],[UnitPrice]]*Table1[[#This Row],[Quantity]]*(1-Table1[[#This Row],[DiscountPct]])</f>
        <v>49336.511399999996</v>
      </c>
      <c r="AN374" s="5">
        <f>Table1[[#This Row],[gross_revenue]]-Table1[[#This Row],[cost_of_goods]]</f>
        <v>17565.881399999995</v>
      </c>
      <c r="AO374" s="5">
        <f>Table1[[#This Row],[scenario_revenue]]-Table1[[#This Row],[Scenario_unit_cost]]</f>
        <v>22259.674799999986</v>
      </c>
      <c r="AP374" s="5">
        <f>IF(Table1[[#This Row],[gross_revenue]]=0,0,Table1[[#This Row],[gross_profit]]/Table1[[#This Row],[gross_revenue]])</f>
        <v>0.35604222717701106</v>
      </c>
    </row>
    <row r="375" spans="1:42" x14ac:dyDescent="0.35">
      <c r="A375" t="s">
        <v>290</v>
      </c>
      <c r="B375" t="str">
        <f>_xlfn.TEXTAFTER(Table1[[#This Row],[OrderID]],"-",2)</f>
        <v>948800</v>
      </c>
      <c r="C375">
        <f>YEAR(Table1[[#This Row],[OrderDate]])</f>
        <v>2024</v>
      </c>
      <c r="D375" s="9">
        <f>_xlfn.MINIFS(F:F,P:P,Table1[[#This Row],[Country]])</f>
        <v>44939</v>
      </c>
      <c r="E375" s="7">
        <f>DATEDIF(Table1[[#This Row],[first_time_orders]],Table1[[#This Row],[OrderDate]],"m")</f>
        <v>14</v>
      </c>
      <c r="F375" s="9">
        <v>45378</v>
      </c>
      <c r="G375" s="2" t="str">
        <f>TEXT(Table1[[#This Row],[OrderDate]],"MMM-YYYY")</f>
        <v>Mar-2024</v>
      </c>
      <c r="H375" s="7">
        <f>MONTH(Table1[[#This Row],[OrderDate]])</f>
        <v>3</v>
      </c>
      <c r="I375" s="7" t="str">
        <f>"Q"&amp;ROUNDUP(Table1[[#This Row],[months]]/3,0)&amp;"-"&amp;Table1[[#This Row],[order_year]]</f>
        <v>Q1-2024</v>
      </c>
      <c r="J375" s="7">
        <f>Table1[[#This Row],[RequiredDate]]-Table1[[#This Row],[OrderDate]]</f>
        <v>15</v>
      </c>
      <c r="K375" s="7">
        <f>IF(Table1[[#This Row],[lead_time]]&lt;0,MEDIAN(J:J),Table1[[#This Row],[lead_time]])</f>
        <v>15</v>
      </c>
      <c r="L375" s="7">
        <f>IF(Table1[[#This Row],[adj_lead_time]]&lt;=7,1,0)</f>
        <v>0</v>
      </c>
      <c r="M375" s="9">
        <v>45393</v>
      </c>
      <c r="N375" s="9">
        <f>IF(Table1[[#This Row],[lead_time]]&lt;0,(Table1[[#This Row],[OrderDate]]+Table1[[#This Row],[adj_lead_time]]),Table1[[#This Row],[RequiredDate]])</f>
        <v>45393</v>
      </c>
      <c r="O375" t="s">
        <v>648</v>
      </c>
      <c r="P375" t="s">
        <v>660</v>
      </c>
      <c r="Q375" t="s">
        <v>686</v>
      </c>
      <c r="R375" t="s">
        <v>705</v>
      </c>
      <c r="S375" t="s">
        <v>711</v>
      </c>
      <c r="T375" t="s">
        <v>719</v>
      </c>
      <c r="U375" t="s">
        <v>729</v>
      </c>
      <c r="V375" t="s">
        <v>1010</v>
      </c>
      <c r="W375">
        <v>1338.35</v>
      </c>
      <c r="X375">
        <f>Table1[[#This Row],[UnitCost]]*(1+'scenario modeling'!$B$3)</f>
        <v>1472.1849999999999</v>
      </c>
      <c r="Y375">
        <v>2247.14</v>
      </c>
      <c r="Z375" t="str">
        <f>IF(Table1[[#This Row],[UnitPrice]]&lt;=Quantiles!$B$2,Quantiles!$A$2,IF(Table1[[#This Row],[UnitPrice]]&lt;=Quantiles!$B$3,Quantiles!$A$3,Quantiles!$A$4))</f>
        <v>High</v>
      </c>
      <c r="AA375">
        <v>0.115</v>
      </c>
      <c r="AB375" s="5">
        <f>MIN(Table1[[#This Row],[DiscountPct]],'scenario modeling'!$B$2)</f>
        <v>0.1</v>
      </c>
      <c r="AC375" t="str">
        <f>IF(Table1[[#This Row],[DiscountPct]]&gt;0.3, "&gt;0.3","")</f>
        <v/>
      </c>
      <c r="AD375">
        <v>40</v>
      </c>
      <c r="AE375">
        <f>Table1[[#This Row],[Quantity]]*(1+'scenario modeling'!$B$4)</f>
        <v>48</v>
      </c>
      <c r="AF375">
        <f>Table1[[#This Row],[UnitCost]]*Table1[[#This Row],[Quantity]]</f>
        <v>53534</v>
      </c>
      <c r="AG375">
        <f>SUMIF($U:U,Table1[[#This Row],[ProductCategory]],$AM:AM)</f>
        <v>1773719.1704599999</v>
      </c>
      <c r="AH375">
        <f>SUMIFS($AM$2:AM375,$U$2:U375,U375)</f>
        <v>475862.97066999995</v>
      </c>
      <c r="AI375" s="5">
        <f>Table1[[#This Row],[Cumulative_revenue]]/Table1[[#This Row],[Category_revenue]]</f>
        <v>0.26828540763112385</v>
      </c>
      <c r="AJ375" t="str">
        <f>IF(Table1[[#This Row],[cumulative_pct]]&lt;=0.8,"A",IF(Table1[[#This Row],[cumulative_pct]]&lt;=0.95,"B","C"))</f>
        <v>A</v>
      </c>
      <c r="AK375">
        <f>Table1[[#This Row],[adj_unit_cost]]*Table1[[#This Row],[scenario_quantity]]</f>
        <v>70664.88</v>
      </c>
      <c r="AL375" s="5">
        <f>Table1[[#This Row],[UnitPrice]]*Table1[[#This Row],[scenario_quantity]]*(1-Table1[[#This Row],[cap_adjusted_discount]])</f>
        <v>97076.448000000004</v>
      </c>
      <c r="AM375" s="5">
        <f>Table1[[#This Row],[UnitPrice]]*Table1[[#This Row],[Quantity]]*(1-Table1[[#This Row],[DiscountPct]])</f>
        <v>79548.755999999994</v>
      </c>
      <c r="AN375" s="5">
        <f>Table1[[#This Row],[gross_revenue]]-Table1[[#This Row],[cost_of_goods]]</f>
        <v>26014.755999999994</v>
      </c>
      <c r="AO375" s="5">
        <f>Table1[[#This Row],[scenario_revenue]]-Table1[[#This Row],[Scenario_unit_cost]]</f>
        <v>26411.567999999999</v>
      </c>
      <c r="AP375" s="5">
        <f>IF(Table1[[#This Row],[gross_revenue]]=0,0,Table1[[#This Row],[gross_profit]]/Table1[[#This Row],[gross_revenue]])</f>
        <v>0.32702907384246205</v>
      </c>
    </row>
    <row r="376" spans="1:42" x14ac:dyDescent="0.35">
      <c r="A376" t="s">
        <v>325</v>
      </c>
      <c r="B376" t="str">
        <f>_xlfn.TEXTAFTER(Table1[[#This Row],[OrderID]],"-",2)</f>
        <v>403664</v>
      </c>
      <c r="C376">
        <f>YEAR(Table1[[#This Row],[OrderDate]])</f>
        <v>2024</v>
      </c>
      <c r="D376" s="9">
        <f>_xlfn.MINIFS(F:F,P:P,Table1[[#This Row],[Country]])</f>
        <v>44955</v>
      </c>
      <c r="E376" s="7">
        <f>DATEDIF(Table1[[#This Row],[first_time_orders]],Table1[[#This Row],[OrderDate]],"m")</f>
        <v>15</v>
      </c>
      <c r="F376" s="9">
        <v>45435</v>
      </c>
      <c r="G376" s="2" t="str">
        <f>TEXT(Table1[[#This Row],[OrderDate]],"MMM-YYYY")</f>
        <v>May-2024</v>
      </c>
      <c r="H376" s="7">
        <f>MONTH(Table1[[#This Row],[OrderDate]])</f>
        <v>5</v>
      </c>
      <c r="I376" s="7" t="str">
        <f>"Q"&amp;ROUNDUP(Table1[[#This Row],[months]]/3,0)&amp;"-"&amp;Table1[[#This Row],[order_year]]</f>
        <v>Q2-2024</v>
      </c>
      <c r="J376" s="7">
        <f>Table1[[#This Row],[RequiredDate]]-Table1[[#This Row],[OrderDate]]</f>
        <v>14</v>
      </c>
      <c r="K376" s="7">
        <f>IF(Table1[[#This Row],[lead_time]]&lt;0,MEDIAN(J:J),Table1[[#This Row],[lead_time]])</f>
        <v>14</v>
      </c>
      <c r="L376" s="7">
        <f>IF(Table1[[#This Row],[adj_lead_time]]&lt;=7,1,0)</f>
        <v>0</v>
      </c>
      <c r="M376" s="9">
        <v>45449</v>
      </c>
      <c r="N376" s="9">
        <f>IF(Table1[[#This Row],[lead_time]]&lt;0,(Table1[[#This Row],[OrderDate]]+Table1[[#This Row],[adj_lead_time]]),Table1[[#This Row],[RequiredDate]])</f>
        <v>45449</v>
      </c>
      <c r="O376" t="s">
        <v>648</v>
      </c>
      <c r="P376" t="s">
        <v>655</v>
      </c>
      <c r="Q376" t="s">
        <v>692</v>
      </c>
      <c r="R376" t="s">
        <v>703</v>
      </c>
      <c r="S376" t="s">
        <v>708</v>
      </c>
      <c r="T376" t="s">
        <v>714</v>
      </c>
      <c r="U376" t="s">
        <v>729</v>
      </c>
      <c r="V376" t="s">
        <v>1045</v>
      </c>
      <c r="W376">
        <v>51.13</v>
      </c>
      <c r="X376">
        <f>Table1[[#This Row],[UnitCost]]*(1+'scenario modeling'!$B$3)</f>
        <v>56.243000000000009</v>
      </c>
      <c r="Y376">
        <v>57.53</v>
      </c>
      <c r="Z376" t="str">
        <f>IF(Table1[[#This Row],[UnitPrice]]&lt;=Quantiles!$B$2,Quantiles!$A$2,IF(Table1[[#This Row],[UnitPrice]]&lt;=Quantiles!$B$3,Quantiles!$A$3,Quantiles!$A$4))</f>
        <v>Low</v>
      </c>
      <c r="AA376">
        <v>4.4999999999999998E-2</v>
      </c>
      <c r="AB376" s="5">
        <f>MIN(Table1[[#This Row],[DiscountPct]],'scenario modeling'!$B$2)</f>
        <v>4.4999999999999998E-2</v>
      </c>
      <c r="AC376" t="str">
        <f>IF(Table1[[#This Row],[DiscountPct]]&gt;0.3, "&gt;0.3","")</f>
        <v/>
      </c>
      <c r="AD376">
        <v>16</v>
      </c>
      <c r="AE376">
        <f>Table1[[#This Row],[Quantity]]*(1+'scenario modeling'!$B$4)</f>
        <v>19.2</v>
      </c>
      <c r="AF376">
        <f>Table1[[#This Row],[UnitCost]]*Table1[[#This Row],[Quantity]]</f>
        <v>818.08</v>
      </c>
      <c r="AG376">
        <f>SUMIF($U:U,Table1[[#This Row],[ProductCategory]],$AM:AM)</f>
        <v>1773719.1704599999</v>
      </c>
      <c r="AH376">
        <f>SUMIFS($AM$2:AM376,$U$2:U376,U376)</f>
        <v>476742.02906999993</v>
      </c>
      <c r="AI376" s="5">
        <f>Table1[[#This Row],[Cumulative_revenue]]/Table1[[#This Row],[Category_revenue]]</f>
        <v>0.26878100942347072</v>
      </c>
      <c r="AJ376" t="str">
        <f>IF(Table1[[#This Row],[cumulative_pct]]&lt;=0.8,"A",IF(Table1[[#This Row],[cumulative_pct]]&lt;=0.95,"B","C"))</f>
        <v>A</v>
      </c>
      <c r="AK376">
        <f>Table1[[#This Row],[adj_unit_cost]]*Table1[[#This Row],[scenario_quantity]]</f>
        <v>1079.8656000000001</v>
      </c>
      <c r="AL376" s="5">
        <f>Table1[[#This Row],[UnitPrice]]*Table1[[#This Row],[scenario_quantity]]*(1-Table1[[#This Row],[cap_adjusted_discount]])</f>
        <v>1054.8700799999999</v>
      </c>
      <c r="AM376" s="5">
        <f>Table1[[#This Row],[UnitPrice]]*Table1[[#This Row],[Quantity]]*(1-Table1[[#This Row],[DiscountPct]])</f>
        <v>879.05840000000001</v>
      </c>
      <c r="AN376" s="5">
        <f>Table1[[#This Row],[gross_revenue]]-Table1[[#This Row],[cost_of_goods]]</f>
        <v>60.978399999999965</v>
      </c>
      <c r="AO376" s="5">
        <f>Table1[[#This Row],[scenario_revenue]]-Table1[[#This Row],[Scenario_unit_cost]]</f>
        <v>-24.99552000000017</v>
      </c>
      <c r="AP376" s="5">
        <f>IF(Table1[[#This Row],[gross_revenue]]=0,0,Table1[[#This Row],[gross_profit]]/Table1[[#This Row],[gross_revenue]])</f>
        <v>6.9367859973808302E-2</v>
      </c>
    </row>
    <row r="377" spans="1:42" x14ac:dyDescent="0.35">
      <c r="A377" t="s">
        <v>532</v>
      </c>
      <c r="B377" t="str">
        <f>_xlfn.TEXTAFTER(Table1[[#This Row],[OrderID]],"-",2)</f>
        <v>402240</v>
      </c>
      <c r="C377">
        <f>YEAR(Table1[[#This Row],[OrderDate]])</f>
        <v>2024</v>
      </c>
      <c r="D377" s="9">
        <f>_xlfn.MINIFS(F:F,P:P,Table1[[#This Row],[Country]])</f>
        <v>44948</v>
      </c>
      <c r="E377" s="7">
        <f>DATEDIF(Table1[[#This Row],[first_time_orders]],Table1[[#This Row],[OrderDate]],"m")</f>
        <v>15</v>
      </c>
      <c r="F377" s="9">
        <v>45413</v>
      </c>
      <c r="G377" s="2" t="str">
        <f>TEXT(Table1[[#This Row],[OrderDate]],"MMM-YYYY")</f>
        <v>May-2024</v>
      </c>
      <c r="H377" s="7">
        <f>MONTH(Table1[[#This Row],[OrderDate]])</f>
        <v>5</v>
      </c>
      <c r="I377" s="7" t="str">
        <f>"Q"&amp;ROUNDUP(Table1[[#This Row],[months]]/3,0)&amp;"-"&amp;Table1[[#This Row],[order_year]]</f>
        <v>Q2-2024</v>
      </c>
      <c r="J377" s="7">
        <f>Table1[[#This Row],[RequiredDate]]-Table1[[#This Row],[OrderDate]]</f>
        <v>25</v>
      </c>
      <c r="K377" s="7">
        <f>IF(Table1[[#This Row],[lead_time]]&lt;0,MEDIAN(J:J),Table1[[#This Row],[lead_time]])</f>
        <v>25</v>
      </c>
      <c r="L377" s="7">
        <f>IF(Table1[[#This Row],[adj_lead_time]]&lt;=7,1,0)</f>
        <v>0</v>
      </c>
      <c r="M377" s="9">
        <v>45438</v>
      </c>
      <c r="N377" s="9">
        <f>IF(Table1[[#This Row],[lead_time]]&lt;0,(Table1[[#This Row],[OrderDate]]+Table1[[#This Row],[adj_lead_time]]),Table1[[#This Row],[RequiredDate]])</f>
        <v>45438</v>
      </c>
      <c r="O377" t="s">
        <v>649</v>
      </c>
      <c r="P377" t="s">
        <v>656</v>
      </c>
      <c r="Q377" t="s">
        <v>671</v>
      </c>
      <c r="R377" t="s">
        <v>703</v>
      </c>
      <c r="S377" t="s">
        <v>707</v>
      </c>
      <c r="T377" t="s">
        <v>717</v>
      </c>
      <c r="U377" t="s">
        <v>729</v>
      </c>
      <c r="V377" t="s">
        <v>1251</v>
      </c>
      <c r="W377">
        <v>930.71</v>
      </c>
      <c r="X377">
        <f>Table1[[#This Row],[UnitCost]]*(1+'scenario modeling'!$B$3)</f>
        <v>1023.7810000000002</v>
      </c>
      <c r="Y377">
        <v>1625.42</v>
      </c>
      <c r="Z377" t="str">
        <f>IF(Table1[[#This Row],[UnitPrice]]&lt;=Quantiles!$B$2,Quantiles!$A$2,IF(Table1[[#This Row],[UnitPrice]]&lt;=Quantiles!$B$3,Quantiles!$A$3,Quantiles!$A$4))</f>
        <v>Medium</v>
      </c>
      <c r="AA377">
        <v>0.13800000000000001</v>
      </c>
      <c r="AB377" s="5">
        <f>MIN(Table1[[#This Row],[DiscountPct]],'scenario modeling'!$B$2)</f>
        <v>0.1</v>
      </c>
      <c r="AC377" t="str">
        <f>IF(Table1[[#This Row],[DiscountPct]]&gt;0.3, "&gt;0.3","")</f>
        <v/>
      </c>
      <c r="AD377">
        <v>7</v>
      </c>
      <c r="AE377">
        <f>Table1[[#This Row],[Quantity]]*(1+'scenario modeling'!$B$4)</f>
        <v>8.4</v>
      </c>
      <c r="AF377">
        <f>Table1[[#This Row],[UnitCost]]*Table1[[#This Row],[Quantity]]</f>
        <v>6514.97</v>
      </c>
      <c r="AG377">
        <f>SUMIF($U:U,Table1[[#This Row],[ProductCategory]],$AM:AM)</f>
        <v>1773719.1704599999</v>
      </c>
      <c r="AH377">
        <f>SUMIFS($AM$2:AM377,$U$2:U377,U377)</f>
        <v>486549.81334999995</v>
      </c>
      <c r="AI377" s="5">
        <f>Table1[[#This Row],[Cumulative_revenue]]/Table1[[#This Row],[Category_revenue]]</f>
        <v>0.27431051175018711</v>
      </c>
      <c r="AJ377" t="str">
        <f>IF(Table1[[#This Row],[cumulative_pct]]&lt;=0.8,"A",IF(Table1[[#This Row],[cumulative_pct]]&lt;=0.95,"B","C"))</f>
        <v>A</v>
      </c>
      <c r="AK377">
        <f>Table1[[#This Row],[adj_unit_cost]]*Table1[[#This Row],[scenario_quantity]]</f>
        <v>8599.760400000001</v>
      </c>
      <c r="AL377" s="5">
        <f>Table1[[#This Row],[UnitPrice]]*Table1[[#This Row],[scenario_quantity]]*(1-Table1[[#This Row],[cap_adjusted_discount]])</f>
        <v>12288.175200000001</v>
      </c>
      <c r="AM377" s="5">
        <f>Table1[[#This Row],[UnitPrice]]*Table1[[#This Row],[Quantity]]*(1-Table1[[#This Row],[DiscountPct]])</f>
        <v>9807.7842799999999</v>
      </c>
      <c r="AN377" s="5">
        <f>Table1[[#This Row],[gross_revenue]]-Table1[[#This Row],[cost_of_goods]]</f>
        <v>3292.8142799999996</v>
      </c>
      <c r="AO377" s="5">
        <f>Table1[[#This Row],[scenario_revenue]]-Table1[[#This Row],[Scenario_unit_cost]]</f>
        <v>3688.4148000000005</v>
      </c>
      <c r="AP377" s="5">
        <f>IF(Table1[[#This Row],[gross_revenue]]=0,0,Table1[[#This Row],[gross_profit]]/Table1[[#This Row],[gross_revenue]])</f>
        <v>0.33573477821231196</v>
      </c>
    </row>
    <row r="378" spans="1:42" x14ac:dyDescent="0.35">
      <c r="A378" t="s">
        <v>62</v>
      </c>
      <c r="B378" t="str">
        <f>_xlfn.TEXTAFTER(Table1[[#This Row],[OrderID]],"-",2)</f>
        <v>548345</v>
      </c>
      <c r="C378">
        <f>YEAR(Table1[[#This Row],[OrderDate]])</f>
        <v>2024</v>
      </c>
      <c r="D378" s="9">
        <f>_xlfn.MINIFS(F:F,P:P,Table1[[#This Row],[Country]])</f>
        <v>44945</v>
      </c>
      <c r="E378" s="7">
        <f>DATEDIF(Table1[[#This Row],[first_time_orders]],Table1[[#This Row],[OrderDate]],"m")</f>
        <v>15</v>
      </c>
      <c r="F378" s="9">
        <v>45426</v>
      </c>
      <c r="G378" s="2" t="str">
        <f>TEXT(Table1[[#This Row],[OrderDate]],"MMM-YYYY")</f>
        <v>May-2024</v>
      </c>
      <c r="H378" s="7">
        <f>MONTH(Table1[[#This Row],[OrderDate]])</f>
        <v>5</v>
      </c>
      <c r="I378" s="7" t="str">
        <f>"Q"&amp;ROUNDUP(Table1[[#This Row],[months]]/3,0)&amp;"-"&amp;Table1[[#This Row],[order_year]]</f>
        <v>Q2-2024</v>
      </c>
      <c r="J378" s="7">
        <f>Table1[[#This Row],[RequiredDate]]-Table1[[#This Row],[OrderDate]]</f>
        <v>14</v>
      </c>
      <c r="K378" s="7">
        <f>IF(Table1[[#This Row],[lead_time]]&lt;0,MEDIAN(J:J),Table1[[#This Row],[lead_time]])</f>
        <v>14</v>
      </c>
      <c r="L378" s="7">
        <f>IF(Table1[[#This Row],[adj_lead_time]]&lt;=7,1,0)</f>
        <v>0</v>
      </c>
      <c r="M378" s="9">
        <v>45440</v>
      </c>
      <c r="N378" s="9">
        <f>IF(Table1[[#This Row],[lead_time]]&lt;0,(Table1[[#This Row],[OrderDate]]+Table1[[#This Row],[adj_lead_time]]),Table1[[#This Row],[RequiredDate]])</f>
        <v>45440</v>
      </c>
      <c r="O378" t="s">
        <v>649</v>
      </c>
      <c r="P378" t="s">
        <v>658</v>
      </c>
      <c r="Q378" t="s">
        <v>674</v>
      </c>
      <c r="R378" t="s">
        <v>704</v>
      </c>
      <c r="S378" t="s">
        <v>707</v>
      </c>
      <c r="T378" t="s">
        <v>717</v>
      </c>
      <c r="U378" t="s">
        <v>729</v>
      </c>
      <c r="V378" t="s">
        <v>781</v>
      </c>
      <c r="W378">
        <v>1421.14</v>
      </c>
      <c r="X378">
        <f>Table1[[#This Row],[UnitCost]]*(1+'scenario modeling'!$B$3)</f>
        <v>1563.2540000000001</v>
      </c>
      <c r="Y378">
        <v>3524</v>
      </c>
      <c r="Z378" t="str">
        <f>IF(Table1[[#This Row],[UnitPrice]]&lt;=Quantiles!$B$2,Quantiles!$A$2,IF(Table1[[#This Row],[UnitPrice]]&lt;=Quantiles!$B$3,Quantiles!$A$3,Quantiles!$A$4))</f>
        <v>High</v>
      </c>
      <c r="AA378">
        <v>0</v>
      </c>
      <c r="AB378" s="5">
        <f>MIN(Table1[[#This Row],[DiscountPct]],'scenario modeling'!$B$2)</f>
        <v>0</v>
      </c>
      <c r="AC378" t="str">
        <f>IF(Table1[[#This Row],[DiscountPct]]&gt;0.3, "&gt;0.3","")</f>
        <v/>
      </c>
      <c r="AD378">
        <v>31</v>
      </c>
      <c r="AE378">
        <f>Table1[[#This Row],[Quantity]]*(1+'scenario modeling'!$B$4)</f>
        <v>37.199999999999996</v>
      </c>
      <c r="AF378">
        <f>Table1[[#This Row],[UnitCost]]*Table1[[#This Row],[Quantity]]</f>
        <v>44055.340000000004</v>
      </c>
      <c r="AG378">
        <f>SUMIF($U:U,Table1[[#This Row],[ProductCategory]],$AM:AM)</f>
        <v>1773719.1704599999</v>
      </c>
      <c r="AH378">
        <f>SUMIFS($AM$2:AM378,$U$2:U378,U378)</f>
        <v>595793.81334999995</v>
      </c>
      <c r="AI378" s="5">
        <f>Table1[[#This Row],[Cumulative_revenue]]/Table1[[#This Row],[Category_revenue]]</f>
        <v>0.33590087048305711</v>
      </c>
      <c r="AJ378" t="str">
        <f>IF(Table1[[#This Row],[cumulative_pct]]&lt;=0.8,"A",IF(Table1[[#This Row],[cumulative_pct]]&lt;=0.95,"B","C"))</f>
        <v>A</v>
      </c>
      <c r="AK378">
        <f>Table1[[#This Row],[adj_unit_cost]]*Table1[[#This Row],[scenario_quantity]]</f>
        <v>58153.048799999997</v>
      </c>
      <c r="AL378" s="5">
        <f>Table1[[#This Row],[UnitPrice]]*Table1[[#This Row],[scenario_quantity]]*(1-Table1[[#This Row],[cap_adjusted_discount]])</f>
        <v>131092.79999999999</v>
      </c>
      <c r="AM378" s="5">
        <f>Table1[[#This Row],[UnitPrice]]*Table1[[#This Row],[Quantity]]*(1-Table1[[#This Row],[DiscountPct]])</f>
        <v>109244</v>
      </c>
      <c r="AN378" s="5">
        <f>Table1[[#This Row],[gross_revenue]]-Table1[[#This Row],[cost_of_goods]]</f>
        <v>65188.659999999996</v>
      </c>
      <c r="AO378" s="5">
        <f>Table1[[#This Row],[scenario_revenue]]-Table1[[#This Row],[Scenario_unit_cost]]</f>
        <v>72939.751199999999</v>
      </c>
      <c r="AP378" s="5">
        <f>IF(Table1[[#This Row],[gross_revenue]]=0,0,Table1[[#This Row],[gross_profit]]/Table1[[#This Row],[gross_revenue]])</f>
        <v>0.59672531214528945</v>
      </c>
    </row>
    <row r="379" spans="1:42" x14ac:dyDescent="0.35">
      <c r="A379" t="s">
        <v>428</v>
      </c>
      <c r="B379" t="str">
        <f>_xlfn.TEXTAFTER(Table1[[#This Row],[OrderID]],"-",2)</f>
        <v>465898</v>
      </c>
      <c r="C379">
        <f>YEAR(Table1[[#This Row],[OrderDate]])</f>
        <v>2024</v>
      </c>
      <c r="D379" s="9">
        <f>_xlfn.MINIFS(F:F,P:P,Table1[[#This Row],[Country]])</f>
        <v>44955</v>
      </c>
      <c r="E379" s="7">
        <f>DATEDIF(Table1[[#This Row],[first_time_orders]],Table1[[#This Row],[OrderDate]],"m")</f>
        <v>16</v>
      </c>
      <c r="F379" s="9">
        <v>45449</v>
      </c>
      <c r="G379" s="2" t="str">
        <f>TEXT(Table1[[#This Row],[OrderDate]],"MMM-YYYY")</f>
        <v>Jun-2024</v>
      </c>
      <c r="H379" s="7">
        <f>MONTH(Table1[[#This Row],[OrderDate]])</f>
        <v>6</v>
      </c>
      <c r="I379" s="7" t="str">
        <f>"Q"&amp;ROUNDUP(Table1[[#This Row],[months]]/3,0)&amp;"-"&amp;Table1[[#This Row],[order_year]]</f>
        <v>Q2-2024</v>
      </c>
      <c r="J379" s="7">
        <f>Table1[[#This Row],[RequiredDate]]-Table1[[#This Row],[OrderDate]]</f>
        <v>18</v>
      </c>
      <c r="K379" s="7">
        <f>IF(Table1[[#This Row],[lead_time]]&lt;0,MEDIAN(J:J),Table1[[#This Row],[lead_time]])</f>
        <v>18</v>
      </c>
      <c r="L379" s="7">
        <f>IF(Table1[[#This Row],[adj_lead_time]]&lt;=7,1,0)</f>
        <v>0</v>
      </c>
      <c r="M379" s="9">
        <v>45467</v>
      </c>
      <c r="N379" s="9">
        <f>IF(Table1[[#This Row],[lead_time]]&lt;0,(Table1[[#This Row],[OrderDate]]+Table1[[#This Row],[adj_lead_time]]),Table1[[#This Row],[RequiredDate]])</f>
        <v>45467</v>
      </c>
      <c r="O379" t="s">
        <v>647</v>
      </c>
      <c r="P379" t="s">
        <v>654</v>
      </c>
      <c r="Q379" t="s">
        <v>668</v>
      </c>
      <c r="R379" t="s">
        <v>705</v>
      </c>
      <c r="S379" t="s">
        <v>711</v>
      </c>
      <c r="T379" t="s">
        <v>722</v>
      </c>
      <c r="U379" t="s">
        <v>729</v>
      </c>
      <c r="V379" t="s">
        <v>1147</v>
      </c>
      <c r="W379">
        <v>1253.25</v>
      </c>
      <c r="X379">
        <f>Table1[[#This Row],[UnitCost]]*(1+'scenario modeling'!$B$3)</f>
        <v>1378.575</v>
      </c>
      <c r="Y379">
        <v>3087.13</v>
      </c>
      <c r="Z379" t="str">
        <f>IF(Table1[[#This Row],[UnitPrice]]&lt;=Quantiles!$B$2,Quantiles!$A$2,IF(Table1[[#This Row],[UnitPrice]]&lt;=Quantiles!$B$3,Quantiles!$A$3,Quantiles!$A$4))</f>
        <v>High</v>
      </c>
      <c r="AA379">
        <v>7.1999999999999995E-2</v>
      </c>
      <c r="AB379" s="5">
        <f>MIN(Table1[[#This Row],[DiscountPct]],'scenario modeling'!$B$2)</f>
        <v>7.1999999999999995E-2</v>
      </c>
      <c r="AC379" t="str">
        <f>IF(Table1[[#This Row],[DiscountPct]]&gt;0.3, "&gt;0.3","")</f>
        <v/>
      </c>
      <c r="AD379">
        <v>11</v>
      </c>
      <c r="AE379">
        <f>Table1[[#This Row],[Quantity]]*(1+'scenario modeling'!$B$4)</f>
        <v>13.2</v>
      </c>
      <c r="AF379">
        <f>Table1[[#This Row],[UnitCost]]*Table1[[#This Row],[Quantity]]</f>
        <v>13785.75</v>
      </c>
      <c r="AG379">
        <f>SUMIF($U:U,Table1[[#This Row],[ProductCategory]],$AM:AM)</f>
        <v>1773719.1704599999</v>
      </c>
      <c r="AH379">
        <f>SUMIFS($AM$2:AM379,$U$2:U379,U379)</f>
        <v>627307.23638999998</v>
      </c>
      <c r="AI379" s="5">
        <f>Table1[[#This Row],[Cumulative_revenue]]/Table1[[#This Row],[Category_revenue]]</f>
        <v>0.35366773209499269</v>
      </c>
      <c r="AJ379" t="str">
        <f>IF(Table1[[#This Row],[cumulative_pct]]&lt;=0.8,"A",IF(Table1[[#This Row],[cumulative_pct]]&lt;=0.95,"B","C"))</f>
        <v>A</v>
      </c>
      <c r="AK379">
        <f>Table1[[#This Row],[adj_unit_cost]]*Table1[[#This Row],[scenario_quantity]]</f>
        <v>18197.189999999999</v>
      </c>
      <c r="AL379" s="5">
        <f>Table1[[#This Row],[UnitPrice]]*Table1[[#This Row],[scenario_quantity]]*(1-Table1[[#This Row],[cap_adjusted_discount]])</f>
        <v>37816.107648000005</v>
      </c>
      <c r="AM379" s="5">
        <f>Table1[[#This Row],[UnitPrice]]*Table1[[#This Row],[Quantity]]*(1-Table1[[#This Row],[DiscountPct]])</f>
        <v>31513.423040000001</v>
      </c>
      <c r="AN379" s="5">
        <f>Table1[[#This Row],[gross_revenue]]-Table1[[#This Row],[cost_of_goods]]</f>
        <v>17727.673040000001</v>
      </c>
      <c r="AO379" s="5">
        <f>Table1[[#This Row],[scenario_revenue]]-Table1[[#This Row],[Scenario_unit_cost]]</f>
        <v>19618.917648000006</v>
      </c>
      <c r="AP379" s="5">
        <f>IF(Table1[[#This Row],[gross_revenue]]=0,0,Table1[[#This Row],[gross_profit]]/Table1[[#This Row],[gross_revenue]])</f>
        <v>0.562543555408064</v>
      </c>
    </row>
    <row r="380" spans="1:42" x14ac:dyDescent="0.35">
      <c r="A380" t="s">
        <v>358</v>
      </c>
      <c r="B380" t="str">
        <f>_xlfn.TEXTAFTER(Table1[[#This Row],[OrderID]],"-",2)</f>
        <v>892908</v>
      </c>
      <c r="C380">
        <f>YEAR(Table1[[#This Row],[OrderDate]])</f>
        <v>2024</v>
      </c>
      <c r="D380" s="9">
        <f>_xlfn.MINIFS(F:F,P:P,Table1[[#This Row],[Country]])</f>
        <v>44988</v>
      </c>
      <c r="E380" s="7">
        <f>DATEDIF(Table1[[#This Row],[first_time_orders]],Table1[[#This Row],[OrderDate]],"m")</f>
        <v>16</v>
      </c>
      <c r="F380" s="9">
        <v>45486</v>
      </c>
      <c r="G380" s="2" t="str">
        <f>TEXT(Table1[[#This Row],[OrderDate]],"MMM-YYYY")</f>
        <v>Jul-2024</v>
      </c>
      <c r="H380" s="7">
        <f>MONTH(Table1[[#This Row],[OrderDate]])</f>
        <v>7</v>
      </c>
      <c r="I380" s="7" t="str">
        <f>"Q"&amp;ROUNDUP(Table1[[#This Row],[months]]/3,0)&amp;"-"&amp;Table1[[#This Row],[order_year]]</f>
        <v>Q3-2024</v>
      </c>
      <c r="J380" s="7">
        <f>Table1[[#This Row],[RequiredDate]]-Table1[[#This Row],[OrderDate]]</f>
        <v>-1</v>
      </c>
      <c r="K380" s="7">
        <f>IF(Table1[[#This Row],[lead_time]]&lt;0,MEDIAN(J:J),Table1[[#This Row],[lead_time]])</f>
        <v>15</v>
      </c>
      <c r="L380" s="7">
        <f>IF(Table1[[#This Row],[adj_lead_time]]&lt;=7,1,0)</f>
        <v>0</v>
      </c>
      <c r="M380" s="9">
        <v>45485</v>
      </c>
      <c r="N380" s="9">
        <f>IF(Table1[[#This Row],[lead_time]]&lt;0,(Table1[[#This Row],[OrderDate]]+Table1[[#This Row],[adj_lead_time]]),Table1[[#This Row],[RequiredDate]])</f>
        <v>45501</v>
      </c>
      <c r="O380" t="s">
        <v>647</v>
      </c>
      <c r="P380" t="s">
        <v>652</v>
      </c>
      <c r="Q380" t="s">
        <v>694</v>
      </c>
      <c r="R380" t="s">
        <v>705</v>
      </c>
      <c r="S380" t="s">
        <v>709</v>
      </c>
      <c r="T380" t="s">
        <v>721</v>
      </c>
      <c r="U380" t="s">
        <v>729</v>
      </c>
      <c r="V380" t="s">
        <v>1078</v>
      </c>
      <c r="W380">
        <v>105.13</v>
      </c>
      <c r="X380">
        <f>Table1[[#This Row],[UnitCost]]*(1+'scenario modeling'!$B$3)</f>
        <v>115.643</v>
      </c>
      <c r="Y380">
        <v>244.13</v>
      </c>
      <c r="Z380" t="str">
        <f>IF(Table1[[#This Row],[UnitPrice]]&lt;=Quantiles!$B$2,Quantiles!$A$2,IF(Table1[[#This Row],[UnitPrice]]&lt;=Quantiles!$B$3,Quantiles!$A$3,Quantiles!$A$4))</f>
        <v>Low</v>
      </c>
      <c r="AA380">
        <v>7.0999999999999994E-2</v>
      </c>
      <c r="AB380" s="5">
        <f>MIN(Table1[[#This Row],[DiscountPct]],'scenario modeling'!$B$2)</f>
        <v>7.0999999999999994E-2</v>
      </c>
      <c r="AC380" t="str">
        <f>IF(Table1[[#This Row],[DiscountPct]]&gt;0.3, "&gt;0.3","")</f>
        <v/>
      </c>
      <c r="AD380">
        <v>14</v>
      </c>
      <c r="AE380">
        <f>Table1[[#This Row],[Quantity]]*(1+'scenario modeling'!$B$4)</f>
        <v>16.8</v>
      </c>
      <c r="AF380">
        <f>Table1[[#This Row],[UnitCost]]*Table1[[#This Row],[Quantity]]</f>
        <v>1471.82</v>
      </c>
      <c r="AG380">
        <f>SUMIF($U:U,Table1[[#This Row],[ProductCategory]],$AM:AM)</f>
        <v>1773719.1704599999</v>
      </c>
      <c r="AH380">
        <f>SUMIFS($AM$2:AM380,$U$2:U380,U380)</f>
        <v>630482.39116999996</v>
      </c>
      <c r="AI380" s="5">
        <f>Table1[[#This Row],[Cumulative_revenue]]/Table1[[#This Row],[Category_revenue]]</f>
        <v>0.35545784342314424</v>
      </c>
      <c r="AJ380" t="str">
        <f>IF(Table1[[#This Row],[cumulative_pct]]&lt;=0.8,"A",IF(Table1[[#This Row],[cumulative_pct]]&lt;=0.95,"B","C"))</f>
        <v>A</v>
      </c>
      <c r="AK380">
        <f>Table1[[#This Row],[adj_unit_cost]]*Table1[[#This Row],[scenario_quantity]]</f>
        <v>1942.8024</v>
      </c>
      <c r="AL380" s="5">
        <f>Table1[[#This Row],[UnitPrice]]*Table1[[#This Row],[scenario_quantity]]*(1-Table1[[#This Row],[cap_adjusted_discount]])</f>
        <v>3810.1857360000004</v>
      </c>
      <c r="AM380" s="5">
        <f>Table1[[#This Row],[UnitPrice]]*Table1[[#This Row],[Quantity]]*(1-Table1[[#This Row],[DiscountPct]])</f>
        <v>3175.1547799999998</v>
      </c>
      <c r="AN380" s="5">
        <f>Table1[[#This Row],[gross_revenue]]-Table1[[#This Row],[cost_of_goods]]</f>
        <v>1703.3347799999999</v>
      </c>
      <c r="AO380" s="5">
        <f>Table1[[#This Row],[scenario_revenue]]-Table1[[#This Row],[Scenario_unit_cost]]</f>
        <v>1867.3833360000003</v>
      </c>
      <c r="AP380" s="5">
        <f>IF(Table1[[#This Row],[gross_revenue]]=0,0,Table1[[#This Row],[gross_profit]]/Table1[[#This Row],[gross_revenue]])</f>
        <v>0.53645724319618837</v>
      </c>
    </row>
    <row r="381" spans="1:42" x14ac:dyDescent="0.35">
      <c r="A381" t="s">
        <v>627</v>
      </c>
      <c r="B381" t="str">
        <f>_xlfn.TEXTAFTER(Table1[[#This Row],[OrderID]],"-",2)</f>
        <v>341535</v>
      </c>
      <c r="C381">
        <f>YEAR(Table1[[#This Row],[OrderDate]])</f>
        <v>2024</v>
      </c>
      <c r="D381" s="9">
        <f>_xlfn.MINIFS(F:F,P:P,Table1[[#This Row],[Country]])</f>
        <v>44946</v>
      </c>
      <c r="E381" s="7">
        <f>DATEDIF(Table1[[#This Row],[first_time_orders]],Table1[[#This Row],[OrderDate]],"m")</f>
        <v>17</v>
      </c>
      <c r="F381" s="9">
        <v>45468</v>
      </c>
      <c r="G381" s="2" t="str">
        <f>TEXT(Table1[[#This Row],[OrderDate]],"MMM-YYYY")</f>
        <v>Jun-2024</v>
      </c>
      <c r="H381" s="7">
        <f>MONTH(Table1[[#This Row],[OrderDate]])</f>
        <v>6</v>
      </c>
      <c r="I381" s="7" t="str">
        <f>"Q"&amp;ROUNDUP(Table1[[#This Row],[months]]/3,0)&amp;"-"&amp;Table1[[#This Row],[order_year]]</f>
        <v>Q2-2024</v>
      </c>
      <c r="J381" s="7">
        <f>Table1[[#This Row],[RequiredDate]]-Table1[[#This Row],[OrderDate]]</f>
        <v>5</v>
      </c>
      <c r="K381" s="7">
        <f>IF(Table1[[#This Row],[lead_time]]&lt;0,MEDIAN(J:J),Table1[[#This Row],[lead_time]])</f>
        <v>5</v>
      </c>
      <c r="L381" s="7">
        <f>IF(Table1[[#This Row],[adj_lead_time]]&lt;=7,1,0)</f>
        <v>1</v>
      </c>
      <c r="M381" s="9">
        <v>45473</v>
      </c>
      <c r="N381" s="9">
        <f>IF(Table1[[#This Row],[lead_time]]&lt;0,(Table1[[#This Row],[OrderDate]]+Table1[[#This Row],[adj_lead_time]]),Table1[[#This Row],[RequiredDate]])</f>
        <v>45473</v>
      </c>
      <c r="O381" t="s">
        <v>646</v>
      </c>
      <c r="P381" t="s">
        <v>650</v>
      </c>
      <c r="Q381" t="s">
        <v>662</v>
      </c>
      <c r="R381" t="s">
        <v>702</v>
      </c>
      <c r="S381" t="s">
        <v>711</v>
      </c>
      <c r="T381" t="s">
        <v>724</v>
      </c>
      <c r="U381" t="s">
        <v>729</v>
      </c>
      <c r="V381" t="s">
        <v>1345</v>
      </c>
      <c r="W381">
        <v>1323.55</v>
      </c>
      <c r="X381">
        <f>Table1[[#This Row],[UnitCost]]*(1+'scenario modeling'!$B$3)</f>
        <v>1455.905</v>
      </c>
      <c r="Y381">
        <v>3230.35</v>
      </c>
      <c r="Z381" t="str">
        <f>IF(Table1[[#This Row],[UnitPrice]]&lt;=Quantiles!$B$2,Quantiles!$A$2,IF(Table1[[#This Row],[UnitPrice]]&lt;=Quantiles!$B$3,Quantiles!$A$3,Quantiles!$A$4))</f>
        <v>High</v>
      </c>
      <c r="AA381">
        <v>2.1999999999999999E-2</v>
      </c>
      <c r="AB381" s="5">
        <f>MIN(Table1[[#This Row],[DiscountPct]],'scenario modeling'!$B$2)</f>
        <v>2.1999999999999999E-2</v>
      </c>
      <c r="AC381" t="str">
        <f>IF(Table1[[#This Row],[DiscountPct]]&gt;0.3, "&gt;0.3","")</f>
        <v/>
      </c>
      <c r="AD381">
        <v>26</v>
      </c>
      <c r="AE381">
        <f>Table1[[#This Row],[Quantity]]*(1+'scenario modeling'!$B$4)</f>
        <v>31.2</v>
      </c>
      <c r="AF381">
        <f>Table1[[#This Row],[UnitCost]]*Table1[[#This Row],[Quantity]]</f>
        <v>34412.299999999996</v>
      </c>
      <c r="AG381">
        <f>SUMIF($U:U,Table1[[#This Row],[ProductCategory]],$AM:AM)</f>
        <v>1773719.1704599999</v>
      </c>
      <c r="AH381">
        <f>SUMIFS($AM$2:AM381,$U$2:U381,U381)</f>
        <v>712623.73096999992</v>
      </c>
      <c r="AI381" s="5">
        <f>Table1[[#This Row],[Cumulative_revenue]]/Table1[[#This Row],[Category_revenue]]</f>
        <v>0.40176807176594176</v>
      </c>
      <c r="AJ381" t="str">
        <f>IF(Table1[[#This Row],[cumulative_pct]]&lt;=0.8,"A",IF(Table1[[#This Row],[cumulative_pct]]&lt;=0.95,"B","C"))</f>
        <v>A</v>
      </c>
      <c r="AK381">
        <f>Table1[[#This Row],[adj_unit_cost]]*Table1[[#This Row],[scenario_quantity]]</f>
        <v>45424.235999999997</v>
      </c>
      <c r="AL381" s="5">
        <f>Table1[[#This Row],[UnitPrice]]*Table1[[#This Row],[scenario_quantity]]*(1-Table1[[#This Row],[cap_adjusted_discount]])</f>
        <v>98569.607759999999</v>
      </c>
      <c r="AM381" s="5">
        <f>Table1[[#This Row],[UnitPrice]]*Table1[[#This Row],[Quantity]]*(1-Table1[[#This Row],[DiscountPct]])</f>
        <v>82141.339799999987</v>
      </c>
      <c r="AN381" s="5">
        <f>Table1[[#This Row],[gross_revenue]]-Table1[[#This Row],[cost_of_goods]]</f>
        <v>47729.039799999991</v>
      </c>
      <c r="AO381" s="5">
        <f>Table1[[#This Row],[scenario_revenue]]-Table1[[#This Row],[Scenario_unit_cost]]</f>
        <v>53145.371760000002</v>
      </c>
      <c r="AP381" s="5">
        <f>IF(Table1[[#This Row],[gross_revenue]]=0,0,Table1[[#This Row],[gross_profit]]/Table1[[#This Row],[gross_revenue]])</f>
        <v>0.58105991351263542</v>
      </c>
    </row>
    <row r="382" spans="1:42" x14ac:dyDescent="0.35">
      <c r="A382" t="s">
        <v>127</v>
      </c>
      <c r="B382" t="str">
        <f>_xlfn.TEXTAFTER(Table1[[#This Row],[OrderID]],"-",2)</f>
        <v>919471</v>
      </c>
      <c r="C382">
        <f>YEAR(Table1[[#This Row],[OrderDate]])</f>
        <v>2024</v>
      </c>
      <c r="D382" s="9">
        <f>_xlfn.MINIFS(F:F,P:P,Table1[[#This Row],[Country]])</f>
        <v>44933</v>
      </c>
      <c r="E382" s="7">
        <f>DATEDIF(Table1[[#This Row],[first_time_orders]],Table1[[#This Row],[OrderDate]],"m")</f>
        <v>17</v>
      </c>
      <c r="F382" s="9">
        <v>45472</v>
      </c>
      <c r="G382" s="2" t="str">
        <f>TEXT(Table1[[#This Row],[OrderDate]],"MMM-YYYY")</f>
        <v>Jun-2024</v>
      </c>
      <c r="H382" s="7">
        <f>MONTH(Table1[[#This Row],[OrderDate]])</f>
        <v>6</v>
      </c>
      <c r="I382" s="7" t="str">
        <f>"Q"&amp;ROUNDUP(Table1[[#This Row],[months]]/3,0)&amp;"-"&amp;Table1[[#This Row],[order_year]]</f>
        <v>Q2-2024</v>
      </c>
      <c r="J382" s="7">
        <f>Table1[[#This Row],[RequiredDate]]-Table1[[#This Row],[OrderDate]]</f>
        <v>27</v>
      </c>
      <c r="K382" s="7">
        <f>IF(Table1[[#This Row],[lead_time]]&lt;0,MEDIAN(J:J),Table1[[#This Row],[lead_time]])</f>
        <v>27</v>
      </c>
      <c r="L382" s="7">
        <f>IF(Table1[[#This Row],[adj_lead_time]]&lt;=7,1,0)</f>
        <v>0</v>
      </c>
      <c r="M382" s="9">
        <v>45499</v>
      </c>
      <c r="N382" s="9">
        <f>IF(Table1[[#This Row],[lead_time]]&lt;0,(Table1[[#This Row],[OrderDate]]+Table1[[#This Row],[adj_lead_time]]),Table1[[#This Row],[RequiredDate]])</f>
        <v>45499</v>
      </c>
      <c r="O382" t="s">
        <v>646</v>
      </c>
      <c r="P382" t="s">
        <v>661</v>
      </c>
      <c r="Q382" t="s">
        <v>687</v>
      </c>
      <c r="R382" t="s">
        <v>706</v>
      </c>
      <c r="S382" t="s">
        <v>710</v>
      </c>
      <c r="T382" t="s">
        <v>717</v>
      </c>
      <c r="U382" t="s">
        <v>729</v>
      </c>
      <c r="V382" t="s">
        <v>846</v>
      </c>
      <c r="W382">
        <v>5.36</v>
      </c>
      <c r="X382">
        <f>Table1[[#This Row],[UnitCost]]*(1+'scenario modeling'!$B$3)</f>
        <v>5.8960000000000008</v>
      </c>
      <c r="Y382">
        <v>4.37</v>
      </c>
      <c r="Z382" t="str">
        <f>IF(Table1[[#This Row],[UnitPrice]]&lt;=Quantiles!$B$2,Quantiles!$A$2,IF(Table1[[#This Row],[UnitPrice]]&lt;=Quantiles!$B$3,Quantiles!$A$3,Quantiles!$A$4))</f>
        <v>Low</v>
      </c>
      <c r="AA382">
        <v>0.11799999999999999</v>
      </c>
      <c r="AB382" s="5">
        <f>MIN(Table1[[#This Row],[DiscountPct]],'scenario modeling'!$B$2)</f>
        <v>0.1</v>
      </c>
      <c r="AC382" t="str">
        <f>IF(Table1[[#This Row],[DiscountPct]]&gt;0.3, "&gt;0.3","")</f>
        <v/>
      </c>
      <c r="AD382">
        <v>9</v>
      </c>
      <c r="AE382">
        <f>Table1[[#This Row],[Quantity]]*(1+'scenario modeling'!$B$4)</f>
        <v>10.799999999999999</v>
      </c>
      <c r="AF382">
        <f>Table1[[#This Row],[UnitCost]]*Table1[[#This Row],[Quantity]]</f>
        <v>48.24</v>
      </c>
      <c r="AG382">
        <f>SUMIF($U:U,Table1[[#This Row],[ProductCategory]],$AM:AM)</f>
        <v>1773719.1704599999</v>
      </c>
      <c r="AH382">
        <f>SUMIFS($AM$2:AM382,$U$2:U382,U382)</f>
        <v>712658.42002999992</v>
      </c>
      <c r="AI382" s="5">
        <f>Table1[[#This Row],[Cumulative_revenue]]/Table1[[#This Row],[Category_revenue]]</f>
        <v>0.40178762901072873</v>
      </c>
      <c r="AJ382" t="str">
        <f>IF(Table1[[#This Row],[cumulative_pct]]&lt;=0.8,"A",IF(Table1[[#This Row],[cumulative_pct]]&lt;=0.95,"B","C"))</f>
        <v>A</v>
      </c>
      <c r="AK382">
        <f>Table1[[#This Row],[adj_unit_cost]]*Table1[[#This Row],[scenario_quantity]]</f>
        <v>63.6768</v>
      </c>
      <c r="AL382" s="5">
        <f>Table1[[#This Row],[UnitPrice]]*Table1[[#This Row],[scenario_quantity]]*(1-Table1[[#This Row],[cap_adjusted_discount]])</f>
        <v>42.476399999999998</v>
      </c>
      <c r="AM382" s="5">
        <f>Table1[[#This Row],[UnitPrice]]*Table1[[#This Row],[Quantity]]*(1-Table1[[#This Row],[DiscountPct]])</f>
        <v>34.689059999999998</v>
      </c>
      <c r="AN382" s="5">
        <f>Table1[[#This Row],[gross_revenue]]-Table1[[#This Row],[cost_of_goods]]</f>
        <v>-13.550940000000004</v>
      </c>
      <c r="AO382" s="5">
        <f>Table1[[#This Row],[scenario_revenue]]-Table1[[#This Row],[Scenario_unit_cost]]</f>
        <v>-21.200400000000002</v>
      </c>
      <c r="AP382" s="5">
        <f>IF(Table1[[#This Row],[gross_revenue]]=0,0,Table1[[#This Row],[gross_profit]]/Table1[[#This Row],[gross_revenue]])</f>
        <v>-0.39064016148030545</v>
      </c>
    </row>
    <row r="383" spans="1:42" x14ac:dyDescent="0.35">
      <c r="A383" t="s">
        <v>636</v>
      </c>
      <c r="B383" t="str">
        <f>_xlfn.TEXTAFTER(Table1[[#This Row],[OrderID]],"-",2)</f>
        <v>817997</v>
      </c>
      <c r="C383">
        <f>YEAR(Table1[[#This Row],[OrderDate]])</f>
        <v>2024</v>
      </c>
      <c r="D383" s="9">
        <f>_xlfn.MINIFS(F:F,P:P,Table1[[#This Row],[Country]])</f>
        <v>44955</v>
      </c>
      <c r="E383" s="7">
        <f>DATEDIF(Table1[[#This Row],[first_time_orders]],Table1[[#This Row],[OrderDate]],"m")</f>
        <v>17</v>
      </c>
      <c r="F383" s="9">
        <v>45501</v>
      </c>
      <c r="G383" s="2" t="str">
        <f>TEXT(Table1[[#This Row],[OrderDate]],"MMM-YYYY")</f>
        <v>Jul-2024</v>
      </c>
      <c r="H383" s="7">
        <f>MONTH(Table1[[#This Row],[OrderDate]])</f>
        <v>7</v>
      </c>
      <c r="I383" s="7" t="str">
        <f>"Q"&amp;ROUNDUP(Table1[[#This Row],[months]]/3,0)&amp;"-"&amp;Table1[[#This Row],[order_year]]</f>
        <v>Q3-2024</v>
      </c>
      <c r="J383" s="7">
        <f>Table1[[#This Row],[RequiredDate]]-Table1[[#This Row],[OrderDate]]</f>
        <v>26</v>
      </c>
      <c r="K383" s="7">
        <f>IF(Table1[[#This Row],[lead_time]]&lt;0,MEDIAN(J:J),Table1[[#This Row],[lead_time]])</f>
        <v>26</v>
      </c>
      <c r="L383" s="7">
        <f>IF(Table1[[#This Row],[adj_lead_time]]&lt;=7,1,0)</f>
        <v>0</v>
      </c>
      <c r="M383" s="9">
        <v>45527</v>
      </c>
      <c r="N383" s="9">
        <f>IF(Table1[[#This Row],[lead_time]]&lt;0,(Table1[[#This Row],[OrderDate]]+Table1[[#This Row],[adj_lead_time]]),Table1[[#This Row],[RequiredDate]])</f>
        <v>45527</v>
      </c>
      <c r="O383" t="s">
        <v>647</v>
      </c>
      <c r="P383" t="s">
        <v>654</v>
      </c>
      <c r="Q383" t="s">
        <v>696</v>
      </c>
      <c r="R383" t="s">
        <v>701</v>
      </c>
      <c r="S383" t="s">
        <v>707</v>
      </c>
      <c r="T383" t="s">
        <v>713</v>
      </c>
      <c r="U383" t="s">
        <v>729</v>
      </c>
      <c r="V383" t="s">
        <v>1354</v>
      </c>
      <c r="W383">
        <v>1339.24</v>
      </c>
      <c r="X383">
        <f>Table1[[#This Row],[UnitCost]]*(1+'scenario modeling'!$B$3)</f>
        <v>1473.1640000000002</v>
      </c>
      <c r="Y383">
        <v>1558.89</v>
      </c>
      <c r="Z383" t="str">
        <f>IF(Table1[[#This Row],[UnitPrice]]&lt;=Quantiles!$B$2,Quantiles!$A$2,IF(Table1[[#This Row],[UnitPrice]]&lt;=Quantiles!$B$3,Quantiles!$A$3,Quantiles!$A$4))</f>
        <v>Medium</v>
      </c>
      <c r="AA383">
        <v>0.192</v>
      </c>
      <c r="AB383" s="5">
        <f>MIN(Table1[[#This Row],[DiscountPct]],'scenario modeling'!$B$2)</f>
        <v>0.1</v>
      </c>
      <c r="AC383" t="str">
        <f>IF(Table1[[#This Row],[DiscountPct]]&gt;0.3, "&gt;0.3","")</f>
        <v/>
      </c>
      <c r="AD383">
        <v>24</v>
      </c>
      <c r="AE383">
        <f>Table1[[#This Row],[Quantity]]*(1+'scenario modeling'!$B$4)</f>
        <v>28.799999999999997</v>
      </c>
      <c r="AF383">
        <f>Table1[[#This Row],[UnitCost]]*Table1[[#This Row],[Quantity]]</f>
        <v>32141.760000000002</v>
      </c>
      <c r="AG383">
        <f>SUMIF($U:U,Table1[[#This Row],[ProductCategory]],$AM:AM)</f>
        <v>1773719.1704599999</v>
      </c>
      <c r="AH383">
        <f>SUMIFS($AM$2:AM383,$U$2:U383,U383)</f>
        <v>742888.41490999993</v>
      </c>
      <c r="AI383" s="5">
        <f>Table1[[#This Row],[Cumulative_revenue]]/Table1[[#This Row],[Category_revenue]]</f>
        <v>0.41883091037311038</v>
      </c>
      <c r="AJ383" t="str">
        <f>IF(Table1[[#This Row],[cumulative_pct]]&lt;=0.8,"A",IF(Table1[[#This Row],[cumulative_pct]]&lt;=0.95,"B","C"))</f>
        <v>A</v>
      </c>
      <c r="AK383">
        <f>Table1[[#This Row],[adj_unit_cost]]*Table1[[#This Row],[scenario_quantity]]</f>
        <v>42427.123200000002</v>
      </c>
      <c r="AL383" s="5">
        <f>Table1[[#This Row],[UnitPrice]]*Table1[[#This Row],[scenario_quantity]]*(1-Table1[[#This Row],[cap_adjusted_discount]])</f>
        <v>40406.428800000002</v>
      </c>
      <c r="AM383" s="5">
        <f>Table1[[#This Row],[UnitPrice]]*Table1[[#This Row],[Quantity]]*(1-Table1[[#This Row],[DiscountPct]])</f>
        <v>30229.994880000002</v>
      </c>
      <c r="AN383" s="5">
        <f>Table1[[#This Row],[gross_revenue]]-Table1[[#This Row],[cost_of_goods]]</f>
        <v>-1911.76512</v>
      </c>
      <c r="AO383" s="5">
        <f>Table1[[#This Row],[scenario_revenue]]-Table1[[#This Row],[Scenario_unit_cost]]</f>
        <v>-2020.6944000000003</v>
      </c>
      <c r="AP383" s="5">
        <f>IF(Table1[[#This Row],[gross_revenue]]=0,0,Table1[[#This Row],[gross_profit]]/Table1[[#This Row],[gross_revenue]])</f>
        <v>-6.3240669659021781E-2</v>
      </c>
    </row>
    <row r="384" spans="1:42" x14ac:dyDescent="0.35">
      <c r="A384" t="s">
        <v>170</v>
      </c>
      <c r="B384" t="str">
        <f>_xlfn.TEXTAFTER(Table1[[#This Row],[OrderID]],"-",2)</f>
        <v>136321</v>
      </c>
      <c r="C384">
        <f>YEAR(Table1[[#This Row],[OrderDate]])</f>
        <v>2024</v>
      </c>
      <c r="D384" s="9">
        <f>_xlfn.MINIFS(F:F,P:P,Table1[[#This Row],[Country]])</f>
        <v>44988</v>
      </c>
      <c r="E384" s="7">
        <f>DATEDIF(Table1[[#This Row],[first_time_orders]],Table1[[#This Row],[OrderDate]],"m")</f>
        <v>17</v>
      </c>
      <c r="F384" s="9">
        <v>45511</v>
      </c>
      <c r="G384" s="2" t="str">
        <f>TEXT(Table1[[#This Row],[OrderDate]],"MMM-YYYY")</f>
        <v>Aug-2024</v>
      </c>
      <c r="H384" s="7">
        <f>MONTH(Table1[[#This Row],[OrderDate]])</f>
        <v>8</v>
      </c>
      <c r="I384" s="7" t="str">
        <f>"Q"&amp;ROUNDUP(Table1[[#This Row],[months]]/3,0)&amp;"-"&amp;Table1[[#This Row],[order_year]]</f>
        <v>Q3-2024</v>
      </c>
      <c r="J384" s="7">
        <f>Table1[[#This Row],[RequiredDate]]-Table1[[#This Row],[OrderDate]]</f>
        <v>10</v>
      </c>
      <c r="K384" s="7">
        <f>IF(Table1[[#This Row],[lead_time]]&lt;0,MEDIAN(J:J),Table1[[#This Row],[lead_time]])</f>
        <v>10</v>
      </c>
      <c r="L384" s="7">
        <f>IF(Table1[[#This Row],[adj_lead_time]]&lt;=7,1,0)</f>
        <v>0</v>
      </c>
      <c r="M384" s="9">
        <v>45521</v>
      </c>
      <c r="N384" s="9">
        <f>IF(Table1[[#This Row],[lead_time]]&lt;0,(Table1[[#This Row],[OrderDate]]+Table1[[#This Row],[adj_lead_time]]),Table1[[#This Row],[RequiredDate]])</f>
        <v>45521</v>
      </c>
      <c r="O384" t="s">
        <v>647</v>
      </c>
      <c r="P384" t="s">
        <v>652</v>
      </c>
      <c r="Q384" t="s">
        <v>666</v>
      </c>
      <c r="R384" t="s">
        <v>704</v>
      </c>
      <c r="S384" t="s">
        <v>708</v>
      </c>
      <c r="T384" t="s">
        <v>723</v>
      </c>
      <c r="U384" t="s">
        <v>729</v>
      </c>
      <c r="V384" t="s">
        <v>889</v>
      </c>
      <c r="W384">
        <v>436.58</v>
      </c>
      <c r="X384">
        <f>Table1[[#This Row],[UnitCost]]*(1+'scenario modeling'!$B$3)</f>
        <v>480.238</v>
      </c>
      <c r="Y384">
        <v>527.48</v>
      </c>
      <c r="Z384" t="str">
        <f>IF(Table1[[#This Row],[UnitPrice]]&lt;=Quantiles!$B$2,Quantiles!$A$2,IF(Table1[[#This Row],[UnitPrice]]&lt;=Quantiles!$B$3,Quantiles!$A$3,Quantiles!$A$4))</f>
        <v>Low</v>
      </c>
      <c r="AA384">
        <v>0.111</v>
      </c>
      <c r="AB384" s="5">
        <f>MIN(Table1[[#This Row],[DiscountPct]],'scenario modeling'!$B$2)</f>
        <v>0.1</v>
      </c>
      <c r="AC384" t="str">
        <f>IF(Table1[[#This Row],[DiscountPct]]&gt;0.3, "&gt;0.3","")</f>
        <v/>
      </c>
      <c r="AD384">
        <v>19</v>
      </c>
      <c r="AE384">
        <f>Table1[[#This Row],[Quantity]]*(1+'scenario modeling'!$B$4)</f>
        <v>22.8</v>
      </c>
      <c r="AF384">
        <f>Table1[[#This Row],[UnitCost]]*Table1[[#This Row],[Quantity]]</f>
        <v>8295.02</v>
      </c>
      <c r="AG384">
        <f>SUMIF($U:U,Table1[[#This Row],[ProductCategory]],$AM:AM)</f>
        <v>1773719.1704599999</v>
      </c>
      <c r="AH384">
        <f>SUMIFS($AM$2:AM384,$U$2:U384,U384)</f>
        <v>751798.07958999998</v>
      </c>
      <c r="AI384" s="5">
        <f>Table1[[#This Row],[Cumulative_revenue]]/Table1[[#This Row],[Category_revenue]]</f>
        <v>0.42385406444867318</v>
      </c>
      <c r="AJ384" t="str">
        <f>IF(Table1[[#This Row],[cumulative_pct]]&lt;=0.8,"A",IF(Table1[[#This Row],[cumulative_pct]]&lt;=0.95,"B","C"))</f>
        <v>A</v>
      </c>
      <c r="AK384">
        <f>Table1[[#This Row],[adj_unit_cost]]*Table1[[#This Row],[scenario_quantity]]</f>
        <v>10949.4264</v>
      </c>
      <c r="AL384" s="5">
        <f>Table1[[#This Row],[UnitPrice]]*Table1[[#This Row],[scenario_quantity]]*(1-Table1[[#This Row],[cap_adjusted_discount]])</f>
        <v>10823.889600000002</v>
      </c>
      <c r="AM384" s="5">
        <f>Table1[[#This Row],[UnitPrice]]*Table1[[#This Row],[Quantity]]*(1-Table1[[#This Row],[DiscountPct]])</f>
        <v>8909.6646800000017</v>
      </c>
      <c r="AN384" s="5">
        <f>Table1[[#This Row],[gross_revenue]]-Table1[[#This Row],[cost_of_goods]]</f>
        <v>614.64468000000124</v>
      </c>
      <c r="AO384" s="5">
        <f>Table1[[#This Row],[scenario_revenue]]-Table1[[#This Row],[Scenario_unit_cost]]</f>
        <v>-125.53679999999804</v>
      </c>
      <c r="AP384" s="5">
        <f>IF(Table1[[#This Row],[gross_revenue]]=0,0,Table1[[#This Row],[gross_profit]]/Table1[[#This Row],[gross_revenue]])</f>
        <v>6.8986286473802644E-2</v>
      </c>
    </row>
    <row r="385" spans="1:42" x14ac:dyDescent="0.35">
      <c r="A385" t="s">
        <v>367</v>
      </c>
      <c r="B385" t="str">
        <f>_xlfn.TEXTAFTER(Table1[[#This Row],[OrderID]],"-",2)</f>
        <v>915495</v>
      </c>
      <c r="C385">
        <f>YEAR(Table1[[#This Row],[OrderDate]])</f>
        <v>2024</v>
      </c>
      <c r="D385" s="9">
        <f>_xlfn.MINIFS(F:F,P:P,Table1[[#This Row],[Country]])</f>
        <v>44988</v>
      </c>
      <c r="E385" s="7">
        <f>DATEDIF(Table1[[#This Row],[first_time_orders]],Table1[[#This Row],[OrderDate]],"m")</f>
        <v>17</v>
      </c>
      <c r="F385" s="9">
        <v>45512</v>
      </c>
      <c r="G385" s="2" t="str">
        <f>TEXT(Table1[[#This Row],[OrderDate]],"MMM-YYYY")</f>
        <v>Aug-2024</v>
      </c>
      <c r="H385" s="7">
        <f>MONTH(Table1[[#This Row],[OrderDate]])</f>
        <v>8</v>
      </c>
      <c r="I385" s="7" t="str">
        <f>"Q"&amp;ROUNDUP(Table1[[#This Row],[months]]/3,0)&amp;"-"&amp;Table1[[#This Row],[order_year]]</f>
        <v>Q3-2024</v>
      </c>
      <c r="J385" s="7">
        <f>Table1[[#This Row],[RequiredDate]]-Table1[[#This Row],[OrderDate]]</f>
        <v>12</v>
      </c>
      <c r="K385" s="7">
        <f>IF(Table1[[#This Row],[lead_time]]&lt;0,MEDIAN(J:J),Table1[[#This Row],[lead_time]])</f>
        <v>12</v>
      </c>
      <c r="L385" s="7">
        <f>IF(Table1[[#This Row],[adj_lead_time]]&lt;=7,1,0)</f>
        <v>0</v>
      </c>
      <c r="M385" s="9">
        <v>45524</v>
      </c>
      <c r="N385" s="9">
        <f>IF(Table1[[#This Row],[lead_time]]&lt;0,(Table1[[#This Row],[OrderDate]]+Table1[[#This Row],[adj_lead_time]]),Table1[[#This Row],[RequiredDate]])</f>
        <v>45524</v>
      </c>
      <c r="O385" t="s">
        <v>647</v>
      </c>
      <c r="P385" t="s">
        <v>652</v>
      </c>
      <c r="Q385" t="s">
        <v>666</v>
      </c>
      <c r="R385" t="s">
        <v>705</v>
      </c>
      <c r="S385" t="s">
        <v>707</v>
      </c>
      <c r="T385" t="s">
        <v>722</v>
      </c>
      <c r="U385" t="s">
        <v>729</v>
      </c>
      <c r="V385" t="s">
        <v>1087</v>
      </c>
      <c r="W385">
        <v>1233.3599999999999</v>
      </c>
      <c r="X385">
        <f>Table1[[#This Row],[UnitCost]]*(1+'scenario modeling'!$B$3)</f>
        <v>1356.6959999999999</v>
      </c>
      <c r="Y385">
        <v>2120.4</v>
      </c>
      <c r="Z385" t="str">
        <f>IF(Table1[[#This Row],[UnitPrice]]&lt;=Quantiles!$B$2,Quantiles!$A$2,IF(Table1[[#This Row],[UnitPrice]]&lt;=Quantiles!$B$3,Quantiles!$A$3,Quantiles!$A$4))</f>
        <v>High</v>
      </c>
      <c r="AA385">
        <v>0.17899999999999999</v>
      </c>
      <c r="AB385" s="5">
        <f>MIN(Table1[[#This Row],[DiscountPct]],'scenario modeling'!$B$2)</f>
        <v>0.1</v>
      </c>
      <c r="AC385" t="str">
        <f>IF(Table1[[#This Row],[DiscountPct]]&gt;0.3, "&gt;0.3","")</f>
        <v/>
      </c>
      <c r="AD385">
        <v>20</v>
      </c>
      <c r="AE385">
        <f>Table1[[#This Row],[Quantity]]*(1+'scenario modeling'!$B$4)</f>
        <v>24</v>
      </c>
      <c r="AF385">
        <f>Table1[[#This Row],[UnitCost]]*Table1[[#This Row],[Quantity]]</f>
        <v>24667.199999999997</v>
      </c>
      <c r="AG385">
        <f>SUMIF($U:U,Table1[[#This Row],[ProductCategory]],$AM:AM)</f>
        <v>1773719.1704599999</v>
      </c>
      <c r="AH385">
        <f>SUMIFS($AM$2:AM385,$U$2:U385,U385)</f>
        <v>786615.04758999997</v>
      </c>
      <c r="AI385" s="5">
        <f>Table1[[#This Row],[Cumulative_revenue]]/Table1[[#This Row],[Category_revenue]]</f>
        <v>0.44348342211692826</v>
      </c>
      <c r="AJ385" t="str">
        <f>IF(Table1[[#This Row],[cumulative_pct]]&lt;=0.8,"A",IF(Table1[[#This Row],[cumulative_pct]]&lt;=0.95,"B","C"))</f>
        <v>A</v>
      </c>
      <c r="AK385">
        <f>Table1[[#This Row],[adj_unit_cost]]*Table1[[#This Row],[scenario_quantity]]</f>
        <v>32560.703999999998</v>
      </c>
      <c r="AL385" s="5">
        <f>Table1[[#This Row],[UnitPrice]]*Table1[[#This Row],[scenario_quantity]]*(1-Table1[[#This Row],[cap_adjusted_discount]])</f>
        <v>45800.640000000007</v>
      </c>
      <c r="AM385" s="5">
        <f>Table1[[#This Row],[UnitPrice]]*Table1[[#This Row],[Quantity]]*(1-Table1[[#This Row],[DiscountPct]])</f>
        <v>34816.968000000001</v>
      </c>
      <c r="AN385" s="5">
        <f>Table1[[#This Row],[gross_revenue]]-Table1[[#This Row],[cost_of_goods]]</f>
        <v>10149.768000000004</v>
      </c>
      <c r="AO385" s="5">
        <f>Table1[[#This Row],[scenario_revenue]]-Table1[[#This Row],[Scenario_unit_cost]]</f>
        <v>13239.936000000009</v>
      </c>
      <c r="AP385" s="5">
        <f>IF(Table1[[#This Row],[gross_revenue]]=0,0,Table1[[#This Row],[gross_profit]]/Table1[[#This Row],[gross_revenue]])</f>
        <v>0.29151785991244278</v>
      </c>
    </row>
    <row r="386" spans="1:42" x14ac:dyDescent="0.35">
      <c r="A386" t="s">
        <v>448</v>
      </c>
      <c r="B386" t="str">
        <f>_xlfn.TEXTAFTER(Table1[[#This Row],[OrderID]],"-",2)</f>
        <v>581530</v>
      </c>
      <c r="C386">
        <f>YEAR(Table1[[#This Row],[OrderDate]])</f>
        <v>2024</v>
      </c>
      <c r="D386" s="9">
        <f>_xlfn.MINIFS(F:F,P:P,Table1[[#This Row],[Country]])</f>
        <v>44938</v>
      </c>
      <c r="E386" s="7">
        <f>DATEDIF(Table1[[#This Row],[first_time_orders]],Table1[[#This Row],[OrderDate]],"m")</f>
        <v>19</v>
      </c>
      <c r="F386" s="9">
        <v>45542</v>
      </c>
      <c r="G386" s="2" t="str">
        <f>TEXT(Table1[[#This Row],[OrderDate]],"MMM-YYYY")</f>
        <v>Sept-2024</v>
      </c>
      <c r="H386" s="7">
        <f>MONTH(Table1[[#This Row],[OrderDate]])</f>
        <v>9</v>
      </c>
      <c r="I386" s="7" t="str">
        <f>"Q"&amp;ROUNDUP(Table1[[#This Row],[months]]/3,0)&amp;"-"&amp;Table1[[#This Row],[order_year]]</f>
        <v>Q3-2024</v>
      </c>
      <c r="J386" s="7">
        <f>Table1[[#This Row],[RequiredDate]]-Table1[[#This Row],[OrderDate]]</f>
        <v>11</v>
      </c>
      <c r="K386" s="7">
        <f>IF(Table1[[#This Row],[lead_time]]&lt;0,MEDIAN(J:J),Table1[[#This Row],[lead_time]])</f>
        <v>11</v>
      </c>
      <c r="L386" s="7">
        <f>IF(Table1[[#This Row],[adj_lead_time]]&lt;=7,1,0)</f>
        <v>0</v>
      </c>
      <c r="M386" s="9">
        <v>45553</v>
      </c>
      <c r="N386" s="9">
        <f>IF(Table1[[#This Row],[lead_time]]&lt;0,(Table1[[#This Row],[OrderDate]]+Table1[[#This Row],[adj_lead_time]]),Table1[[#This Row],[RequiredDate]])</f>
        <v>45553</v>
      </c>
      <c r="O386" t="s">
        <v>647</v>
      </c>
      <c r="P386" t="s">
        <v>659</v>
      </c>
      <c r="Q386" t="s">
        <v>699</v>
      </c>
      <c r="R386" t="s">
        <v>704</v>
      </c>
      <c r="S386" t="s">
        <v>710</v>
      </c>
      <c r="T386" t="s">
        <v>719</v>
      </c>
      <c r="U386" t="s">
        <v>729</v>
      </c>
      <c r="V386" t="s">
        <v>1167</v>
      </c>
      <c r="W386">
        <v>181.74</v>
      </c>
      <c r="X386">
        <f>Table1[[#This Row],[UnitCost]]*(1+'scenario modeling'!$B$3)</f>
        <v>199.91400000000002</v>
      </c>
      <c r="Y386">
        <v>190.84</v>
      </c>
      <c r="Z386" t="str">
        <f>IF(Table1[[#This Row],[UnitPrice]]&lt;=Quantiles!$B$2,Quantiles!$A$2,IF(Table1[[#This Row],[UnitPrice]]&lt;=Quantiles!$B$3,Quantiles!$A$3,Quantiles!$A$4))</f>
        <v>Low</v>
      </c>
      <c r="AA386">
        <v>0.214</v>
      </c>
      <c r="AB386" s="5">
        <f>MIN(Table1[[#This Row],[DiscountPct]],'scenario modeling'!$B$2)</f>
        <v>0.1</v>
      </c>
      <c r="AC386" t="str">
        <f>IF(Table1[[#This Row],[DiscountPct]]&gt;0.3, "&gt;0.3","")</f>
        <v/>
      </c>
      <c r="AD386">
        <v>13</v>
      </c>
      <c r="AE386">
        <f>Table1[[#This Row],[Quantity]]*(1+'scenario modeling'!$B$4)</f>
        <v>15.6</v>
      </c>
      <c r="AF386">
        <f>Table1[[#This Row],[UnitCost]]*Table1[[#This Row],[Quantity]]</f>
        <v>2362.62</v>
      </c>
      <c r="AG386">
        <f>SUMIF($U:U,Table1[[#This Row],[ProductCategory]],$AM:AM)</f>
        <v>1773719.1704599999</v>
      </c>
      <c r="AH386">
        <f>SUMIFS($AM$2:AM386,$U$2:U386,U386)</f>
        <v>788565.05070999998</v>
      </c>
      <c r="AI386" s="5">
        <f>Table1[[#This Row],[Cumulative_revenue]]/Table1[[#This Row],[Category_revenue]]</f>
        <v>0.44458280873487538</v>
      </c>
      <c r="AJ386" t="str">
        <f>IF(Table1[[#This Row],[cumulative_pct]]&lt;=0.8,"A",IF(Table1[[#This Row],[cumulative_pct]]&lt;=0.95,"B","C"))</f>
        <v>A</v>
      </c>
      <c r="AK386">
        <f>Table1[[#This Row],[adj_unit_cost]]*Table1[[#This Row],[scenario_quantity]]</f>
        <v>3118.6584000000003</v>
      </c>
      <c r="AL386" s="5">
        <f>Table1[[#This Row],[UnitPrice]]*Table1[[#This Row],[scenario_quantity]]*(1-Table1[[#This Row],[cap_adjusted_discount]])</f>
        <v>2679.3935999999999</v>
      </c>
      <c r="AM386" s="5">
        <f>Table1[[#This Row],[UnitPrice]]*Table1[[#This Row],[Quantity]]*(1-Table1[[#This Row],[DiscountPct]])</f>
        <v>1950.0031200000001</v>
      </c>
      <c r="AN386" s="5">
        <f>Table1[[#This Row],[gross_revenue]]-Table1[[#This Row],[cost_of_goods]]</f>
        <v>-412.61687999999981</v>
      </c>
      <c r="AO386" s="5">
        <f>Table1[[#This Row],[scenario_revenue]]-Table1[[#This Row],[Scenario_unit_cost]]</f>
        <v>-439.26480000000038</v>
      </c>
      <c r="AP386" s="5">
        <f>IF(Table1[[#This Row],[gross_revenue]]=0,0,Table1[[#This Row],[gross_profit]]/Table1[[#This Row],[gross_revenue]])</f>
        <v>-0.21159806144310159</v>
      </c>
    </row>
    <row r="387" spans="1:42" x14ac:dyDescent="0.35">
      <c r="A387" t="s">
        <v>301</v>
      </c>
      <c r="B387" t="str">
        <f>_xlfn.TEXTAFTER(Table1[[#This Row],[OrderID]],"-",2)</f>
        <v>862371</v>
      </c>
      <c r="C387">
        <f>YEAR(Table1[[#This Row],[OrderDate]])</f>
        <v>2024</v>
      </c>
      <c r="D387" s="9">
        <f>_xlfn.MINIFS(F:F,P:P,Table1[[#This Row],[Country]])</f>
        <v>44955</v>
      </c>
      <c r="E387" s="7">
        <f>DATEDIF(Table1[[#This Row],[first_time_orders]],Table1[[#This Row],[OrderDate]],"m")</f>
        <v>19</v>
      </c>
      <c r="F387" s="9">
        <v>45542</v>
      </c>
      <c r="G387" s="2" t="str">
        <f>TEXT(Table1[[#This Row],[OrderDate]],"MMM-YYYY")</f>
        <v>Sept-2024</v>
      </c>
      <c r="H387" s="7">
        <f>MONTH(Table1[[#This Row],[OrderDate]])</f>
        <v>9</v>
      </c>
      <c r="I387" s="7" t="str">
        <f>"Q"&amp;ROUNDUP(Table1[[#This Row],[months]]/3,0)&amp;"-"&amp;Table1[[#This Row],[order_year]]</f>
        <v>Q3-2024</v>
      </c>
      <c r="J387" s="7">
        <f>Table1[[#This Row],[RequiredDate]]-Table1[[#This Row],[OrderDate]]</f>
        <v>0</v>
      </c>
      <c r="K387" s="7">
        <f>IF(Table1[[#This Row],[lead_time]]&lt;0,MEDIAN(J:J),Table1[[#This Row],[lead_time]])</f>
        <v>0</v>
      </c>
      <c r="L387" s="7">
        <f>IF(Table1[[#This Row],[adj_lead_time]]&lt;=7,1,0)</f>
        <v>1</v>
      </c>
      <c r="M387" s="9">
        <v>45542</v>
      </c>
      <c r="N387" s="9">
        <f>IF(Table1[[#This Row],[lead_time]]&lt;0,(Table1[[#This Row],[OrderDate]]+Table1[[#This Row],[adj_lead_time]]),Table1[[#This Row],[RequiredDate]])</f>
        <v>45542</v>
      </c>
      <c r="O387" t="s">
        <v>647</v>
      </c>
      <c r="P387" t="s">
        <v>654</v>
      </c>
      <c r="Q387" t="s">
        <v>691</v>
      </c>
      <c r="R387" t="s">
        <v>702</v>
      </c>
      <c r="S387" t="s">
        <v>710</v>
      </c>
      <c r="T387" t="s">
        <v>717</v>
      </c>
      <c r="U387" t="s">
        <v>729</v>
      </c>
      <c r="V387" t="s">
        <v>1021</v>
      </c>
      <c r="W387">
        <v>1066.6500000000001</v>
      </c>
      <c r="X387">
        <f>Table1[[#This Row],[UnitCost]]*(1+'scenario modeling'!$B$3)</f>
        <v>1173.3150000000003</v>
      </c>
      <c r="Y387">
        <v>2569.77</v>
      </c>
      <c r="Z387" t="str">
        <f>IF(Table1[[#This Row],[UnitPrice]]&lt;=Quantiles!$B$2,Quantiles!$A$2,IF(Table1[[#This Row],[UnitPrice]]&lt;=Quantiles!$B$3,Quantiles!$A$3,Quantiles!$A$4))</f>
        <v>High</v>
      </c>
      <c r="AA387">
        <v>0.13400000000000001</v>
      </c>
      <c r="AB387" s="5">
        <f>MIN(Table1[[#This Row],[DiscountPct]],'scenario modeling'!$B$2)</f>
        <v>0.1</v>
      </c>
      <c r="AC387" t="str">
        <f>IF(Table1[[#This Row],[DiscountPct]]&gt;0.3, "&gt;0.3","")</f>
        <v/>
      </c>
      <c r="AD387">
        <v>9</v>
      </c>
      <c r="AE387">
        <f>Table1[[#This Row],[Quantity]]*(1+'scenario modeling'!$B$4)</f>
        <v>10.799999999999999</v>
      </c>
      <c r="AF387">
        <f>Table1[[#This Row],[UnitCost]]*Table1[[#This Row],[Quantity]]</f>
        <v>9599.85</v>
      </c>
      <c r="AG387">
        <f>SUMIF($U:U,Table1[[#This Row],[ProductCategory]],$AM:AM)</f>
        <v>1773719.1704599999</v>
      </c>
      <c r="AH387">
        <f>SUMIFS($AM$2:AM387,$U$2:U387,U387)</f>
        <v>808593.83808999998</v>
      </c>
      <c r="AI387" s="5">
        <f>Table1[[#This Row],[Cumulative_revenue]]/Table1[[#This Row],[Category_revenue]]</f>
        <v>0.4558747808314535</v>
      </c>
      <c r="AJ387" t="str">
        <f>IF(Table1[[#This Row],[cumulative_pct]]&lt;=0.8,"A",IF(Table1[[#This Row],[cumulative_pct]]&lt;=0.95,"B","C"))</f>
        <v>A</v>
      </c>
      <c r="AK387">
        <f>Table1[[#This Row],[adj_unit_cost]]*Table1[[#This Row],[scenario_quantity]]</f>
        <v>12671.802000000001</v>
      </c>
      <c r="AL387" s="5">
        <f>Table1[[#This Row],[UnitPrice]]*Table1[[#This Row],[scenario_quantity]]*(1-Table1[[#This Row],[cap_adjusted_discount]])</f>
        <v>24978.164399999998</v>
      </c>
      <c r="AM387" s="5">
        <f>Table1[[#This Row],[UnitPrice]]*Table1[[#This Row],[Quantity]]*(1-Table1[[#This Row],[DiscountPct]])</f>
        <v>20028.787380000002</v>
      </c>
      <c r="AN387" s="5">
        <f>Table1[[#This Row],[gross_revenue]]-Table1[[#This Row],[cost_of_goods]]</f>
        <v>10428.937380000001</v>
      </c>
      <c r="AO387" s="5">
        <f>Table1[[#This Row],[scenario_revenue]]-Table1[[#This Row],[Scenario_unit_cost]]</f>
        <v>12306.362399999996</v>
      </c>
      <c r="AP387" s="5">
        <f>IF(Table1[[#This Row],[gross_revenue]]=0,0,Table1[[#This Row],[gross_profit]]/Table1[[#This Row],[gross_revenue]])</f>
        <v>0.52069739331368348</v>
      </c>
    </row>
    <row r="388" spans="1:42" x14ac:dyDescent="0.35">
      <c r="A388" t="s">
        <v>123</v>
      </c>
      <c r="B388" t="str">
        <f>_xlfn.TEXTAFTER(Table1[[#This Row],[OrderID]],"-",2)</f>
        <v>792558</v>
      </c>
      <c r="C388">
        <f>YEAR(Table1[[#This Row],[OrderDate]])</f>
        <v>2024</v>
      </c>
      <c r="D388" s="9">
        <f>_xlfn.MINIFS(F:F,P:P,Table1[[#This Row],[Country]])</f>
        <v>44988</v>
      </c>
      <c r="E388" s="7">
        <f>DATEDIF(Table1[[#This Row],[first_time_orders]],Table1[[#This Row],[OrderDate]],"m")</f>
        <v>19</v>
      </c>
      <c r="F388" s="9">
        <v>45581</v>
      </c>
      <c r="G388" s="2" t="str">
        <f>TEXT(Table1[[#This Row],[OrderDate]],"MMM-YYYY")</f>
        <v>Oct-2024</v>
      </c>
      <c r="H388" s="7">
        <f>MONTH(Table1[[#This Row],[OrderDate]])</f>
        <v>10</v>
      </c>
      <c r="I388" s="7" t="str">
        <f>"Q"&amp;ROUNDUP(Table1[[#This Row],[months]]/3,0)&amp;"-"&amp;Table1[[#This Row],[order_year]]</f>
        <v>Q4-2024</v>
      </c>
      <c r="J388" s="7">
        <f>Table1[[#This Row],[RequiredDate]]-Table1[[#This Row],[OrderDate]]</f>
        <v>23</v>
      </c>
      <c r="K388" s="7">
        <f>IF(Table1[[#This Row],[lead_time]]&lt;0,MEDIAN(J:J),Table1[[#This Row],[lead_time]])</f>
        <v>23</v>
      </c>
      <c r="L388" s="7">
        <f>IF(Table1[[#This Row],[adj_lead_time]]&lt;=7,1,0)</f>
        <v>0</v>
      </c>
      <c r="M388" s="9">
        <v>45604</v>
      </c>
      <c r="N388" s="9">
        <f>IF(Table1[[#This Row],[lead_time]]&lt;0,(Table1[[#This Row],[OrderDate]]+Table1[[#This Row],[adj_lead_time]]),Table1[[#This Row],[RequiredDate]])</f>
        <v>45604</v>
      </c>
      <c r="O388" t="s">
        <v>647</v>
      </c>
      <c r="P388" t="s">
        <v>652</v>
      </c>
      <c r="Q388" t="s">
        <v>666</v>
      </c>
      <c r="R388" t="s">
        <v>705</v>
      </c>
      <c r="S388" t="s">
        <v>707</v>
      </c>
      <c r="T388" t="s">
        <v>713</v>
      </c>
      <c r="U388" t="s">
        <v>729</v>
      </c>
      <c r="V388" t="s">
        <v>842</v>
      </c>
      <c r="W388">
        <v>82.14</v>
      </c>
      <c r="X388">
        <f>Table1[[#This Row],[UnitCost]]*(1+'scenario modeling'!$B$3)</f>
        <v>90.354000000000013</v>
      </c>
      <c r="Y388">
        <v>166.04</v>
      </c>
      <c r="Z388" t="str">
        <f>IF(Table1[[#This Row],[UnitPrice]]&lt;=Quantiles!$B$2,Quantiles!$A$2,IF(Table1[[#This Row],[UnitPrice]]&lt;=Quantiles!$B$3,Quantiles!$A$3,Quantiles!$A$4))</f>
        <v>Low</v>
      </c>
      <c r="AA388">
        <v>0</v>
      </c>
      <c r="AB388" s="5">
        <f>MIN(Table1[[#This Row],[DiscountPct]],'scenario modeling'!$B$2)</f>
        <v>0</v>
      </c>
      <c r="AC388" t="str">
        <f>IF(Table1[[#This Row],[DiscountPct]]&gt;0.3, "&gt;0.3","")</f>
        <v/>
      </c>
      <c r="AD388">
        <v>10</v>
      </c>
      <c r="AE388">
        <f>Table1[[#This Row],[Quantity]]*(1+'scenario modeling'!$B$4)</f>
        <v>12</v>
      </c>
      <c r="AF388">
        <f>Table1[[#This Row],[UnitCost]]*Table1[[#This Row],[Quantity]]</f>
        <v>821.4</v>
      </c>
      <c r="AG388">
        <f>SUMIF($U:U,Table1[[#This Row],[ProductCategory]],$AM:AM)</f>
        <v>1773719.1704599999</v>
      </c>
      <c r="AH388">
        <f>SUMIFS($AM$2:AM388,$U$2:U388,U388)</f>
        <v>810254.23809</v>
      </c>
      <c r="AI388" s="5">
        <f>Table1[[#This Row],[Cumulative_revenue]]/Table1[[#This Row],[Category_revenue]]</f>
        <v>0.45681089294415589</v>
      </c>
      <c r="AJ388" t="str">
        <f>IF(Table1[[#This Row],[cumulative_pct]]&lt;=0.8,"A",IF(Table1[[#This Row],[cumulative_pct]]&lt;=0.95,"B","C"))</f>
        <v>A</v>
      </c>
      <c r="AK388">
        <f>Table1[[#This Row],[adj_unit_cost]]*Table1[[#This Row],[scenario_quantity]]</f>
        <v>1084.248</v>
      </c>
      <c r="AL388" s="5">
        <f>Table1[[#This Row],[UnitPrice]]*Table1[[#This Row],[scenario_quantity]]*(1-Table1[[#This Row],[cap_adjusted_discount]])</f>
        <v>1992.48</v>
      </c>
      <c r="AM388" s="5">
        <f>Table1[[#This Row],[UnitPrice]]*Table1[[#This Row],[Quantity]]*(1-Table1[[#This Row],[DiscountPct]])</f>
        <v>1660.3999999999999</v>
      </c>
      <c r="AN388" s="5">
        <f>Table1[[#This Row],[gross_revenue]]-Table1[[#This Row],[cost_of_goods]]</f>
        <v>838.99999999999989</v>
      </c>
      <c r="AO388" s="5">
        <f>Table1[[#This Row],[scenario_revenue]]-Table1[[#This Row],[Scenario_unit_cost]]</f>
        <v>908.23199999999997</v>
      </c>
      <c r="AP388" s="5">
        <f>IF(Table1[[#This Row],[gross_revenue]]=0,0,Table1[[#This Row],[gross_profit]]/Table1[[#This Row],[gross_revenue]])</f>
        <v>0.50529992772825827</v>
      </c>
    </row>
    <row r="389" spans="1:42" x14ac:dyDescent="0.35">
      <c r="A389" t="s">
        <v>511</v>
      </c>
      <c r="B389" t="str">
        <f>_xlfn.TEXTAFTER(Table1[[#This Row],[OrderID]],"-",2)</f>
        <v>728474</v>
      </c>
      <c r="C389">
        <f>YEAR(Table1[[#This Row],[OrderDate]])</f>
        <v>2024</v>
      </c>
      <c r="D389" s="9">
        <f>_xlfn.MINIFS(F:F,P:P,Table1[[#This Row],[Country]])</f>
        <v>44945</v>
      </c>
      <c r="E389" s="7">
        <f>DATEDIF(Table1[[#This Row],[first_time_orders]],Table1[[#This Row],[OrderDate]],"m")</f>
        <v>19</v>
      </c>
      <c r="F389" s="9">
        <v>45544</v>
      </c>
      <c r="G389" s="2" t="str">
        <f>TEXT(Table1[[#This Row],[OrderDate]],"MMM-YYYY")</f>
        <v>Sept-2024</v>
      </c>
      <c r="H389" s="7">
        <f>MONTH(Table1[[#This Row],[OrderDate]])</f>
        <v>9</v>
      </c>
      <c r="I389" s="7" t="str">
        <f>"Q"&amp;ROUNDUP(Table1[[#This Row],[months]]/3,0)&amp;"-"&amp;Table1[[#This Row],[order_year]]</f>
        <v>Q3-2024</v>
      </c>
      <c r="J389" s="7">
        <f>Table1[[#This Row],[RequiredDate]]-Table1[[#This Row],[OrderDate]]</f>
        <v>4</v>
      </c>
      <c r="K389" s="7">
        <f>IF(Table1[[#This Row],[lead_time]]&lt;0,MEDIAN(J:J),Table1[[#This Row],[lead_time]])</f>
        <v>4</v>
      </c>
      <c r="L389" s="7">
        <f>IF(Table1[[#This Row],[adj_lead_time]]&lt;=7,1,0)</f>
        <v>1</v>
      </c>
      <c r="M389" s="9">
        <v>45548</v>
      </c>
      <c r="N389" s="9">
        <f>IF(Table1[[#This Row],[lead_time]]&lt;0,(Table1[[#This Row],[OrderDate]]+Table1[[#This Row],[adj_lead_time]]),Table1[[#This Row],[RequiredDate]])</f>
        <v>45548</v>
      </c>
      <c r="O389" t="s">
        <v>649</v>
      </c>
      <c r="P389" t="s">
        <v>658</v>
      </c>
      <c r="Q389" t="s">
        <v>683</v>
      </c>
      <c r="R389" t="s">
        <v>704</v>
      </c>
      <c r="S389" t="s">
        <v>709</v>
      </c>
      <c r="T389" t="s">
        <v>721</v>
      </c>
      <c r="U389" t="s">
        <v>729</v>
      </c>
      <c r="V389" t="s">
        <v>1230</v>
      </c>
      <c r="W389">
        <v>1133.08</v>
      </c>
      <c r="X389">
        <f>Table1[[#This Row],[UnitCost]]*(1+'scenario modeling'!$B$3)</f>
        <v>1246.3879999999999</v>
      </c>
      <c r="Y389">
        <v>976.17</v>
      </c>
      <c r="Z389" t="str">
        <f>IF(Table1[[#This Row],[UnitPrice]]&lt;=Quantiles!$B$2,Quantiles!$A$2,IF(Table1[[#This Row],[UnitPrice]]&lt;=Quantiles!$B$3,Quantiles!$A$3,Quantiles!$A$4))</f>
        <v>Medium</v>
      </c>
      <c r="AA389">
        <v>4.2000000000000003E-2</v>
      </c>
      <c r="AB389" s="5">
        <f>MIN(Table1[[#This Row],[DiscountPct]],'scenario modeling'!$B$2)</f>
        <v>4.2000000000000003E-2</v>
      </c>
      <c r="AC389" t="str">
        <f>IF(Table1[[#This Row],[DiscountPct]]&gt;0.3, "&gt;0.3","")</f>
        <v/>
      </c>
      <c r="AD389">
        <v>27</v>
      </c>
      <c r="AE389">
        <f>Table1[[#This Row],[Quantity]]*(1+'scenario modeling'!$B$4)</f>
        <v>32.4</v>
      </c>
      <c r="AF389">
        <f>Table1[[#This Row],[UnitCost]]*Table1[[#This Row],[Quantity]]</f>
        <v>30593.159999999996</v>
      </c>
      <c r="AG389">
        <f>SUMIF($U:U,Table1[[#This Row],[ProductCategory]],$AM:AM)</f>
        <v>1773719.1704599999</v>
      </c>
      <c r="AH389">
        <f>SUMIFS($AM$2:AM389,$U$2:U389,U389)</f>
        <v>835503.85131000006</v>
      </c>
      <c r="AI389" s="5">
        <f>Table1[[#This Row],[Cumulative_revenue]]/Table1[[#This Row],[Category_revenue]]</f>
        <v>0.47104629933797176</v>
      </c>
      <c r="AJ389" t="str">
        <f>IF(Table1[[#This Row],[cumulative_pct]]&lt;=0.8,"A",IF(Table1[[#This Row],[cumulative_pct]]&lt;=0.95,"B","C"))</f>
        <v>A</v>
      </c>
      <c r="AK389">
        <f>Table1[[#This Row],[adj_unit_cost]]*Table1[[#This Row],[scenario_quantity]]</f>
        <v>40382.971199999993</v>
      </c>
      <c r="AL389" s="5">
        <f>Table1[[#This Row],[UnitPrice]]*Table1[[#This Row],[scenario_quantity]]*(1-Table1[[#This Row],[cap_adjusted_discount]])</f>
        <v>30299.535863999994</v>
      </c>
      <c r="AM389" s="5">
        <f>Table1[[#This Row],[UnitPrice]]*Table1[[#This Row],[Quantity]]*(1-Table1[[#This Row],[DiscountPct]])</f>
        <v>25249.613219999999</v>
      </c>
      <c r="AN389" s="5">
        <f>Table1[[#This Row],[gross_revenue]]-Table1[[#This Row],[cost_of_goods]]</f>
        <v>-5343.5467799999969</v>
      </c>
      <c r="AO389" s="5">
        <f>Table1[[#This Row],[scenario_revenue]]-Table1[[#This Row],[Scenario_unit_cost]]</f>
        <v>-10083.435335999999</v>
      </c>
      <c r="AP389" s="5">
        <f>IF(Table1[[#This Row],[gross_revenue]]=0,0,Table1[[#This Row],[gross_profit]]/Table1[[#This Row],[gross_revenue]])</f>
        <v>-0.21162885678452373</v>
      </c>
    </row>
    <row r="390" spans="1:42" x14ac:dyDescent="0.35">
      <c r="A390" t="s">
        <v>60</v>
      </c>
      <c r="B390" t="str">
        <f>_xlfn.TEXTAFTER(Table1[[#This Row],[OrderID]],"-",2)</f>
        <v>308124</v>
      </c>
      <c r="C390">
        <f>YEAR(Table1[[#This Row],[OrderDate]])</f>
        <v>2023</v>
      </c>
      <c r="D390" s="9">
        <f>_xlfn.MINIFS(F:F,P:P,Table1[[#This Row],[Country]])</f>
        <v>44955</v>
      </c>
      <c r="E390" s="7">
        <f>DATEDIF(Table1[[#This Row],[first_time_orders]],Table1[[#This Row],[OrderDate]],"m")</f>
        <v>2</v>
      </c>
      <c r="F390" s="9">
        <v>45035</v>
      </c>
      <c r="G390" s="2" t="str">
        <f>TEXT(Table1[[#This Row],[OrderDate]],"MMM-YYYY")</f>
        <v>Apr-2023</v>
      </c>
      <c r="H390" s="7">
        <f>MONTH(Table1[[#This Row],[OrderDate]])</f>
        <v>4</v>
      </c>
      <c r="I390" s="7" t="str">
        <f>"Q"&amp;ROUNDUP(Table1[[#This Row],[months]]/3,0)&amp;"-"&amp;Table1[[#This Row],[order_year]]</f>
        <v>Q2-2023</v>
      </c>
      <c r="J390" s="7">
        <f>Table1[[#This Row],[RequiredDate]]-Table1[[#This Row],[OrderDate]]</f>
        <v>11</v>
      </c>
      <c r="K390" s="7">
        <f>IF(Table1[[#This Row],[lead_time]]&lt;0,MEDIAN(J:J),Table1[[#This Row],[lead_time]])</f>
        <v>11</v>
      </c>
      <c r="L390" s="7">
        <f>IF(Table1[[#This Row],[adj_lead_time]]&lt;=7,1,0)</f>
        <v>0</v>
      </c>
      <c r="M390" s="9">
        <v>45046</v>
      </c>
      <c r="N390" s="9">
        <f>IF(Table1[[#This Row],[lead_time]]&lt;0,(Table1[[#This Row],[OrderDate]]+Table1[[#This Row],[adj_lead_time]]),Table1[[#This Row],[RequiredDate]])</f>
        <v>45046</v>
      </c>
      <c r="O390" t="s">
        <v>647</v>
      </c>
      <c r="P390" t="s">
        <v>654</v>
      </c>
      <c r="Q390" t="s">
        <v>680</v>
      </c>
      <c r="R390" t="s">
        <v>705</v>
      </c>
      <c r="S390" t="s">
        <v>707</v>
      </c>
      <c r="T390" t="s">
        <v>720</v>
      </c>
      <c r="U390" t="s">
        <v>729</v>
      </c>
      <c r="V390" t="s">
        <v>779</v>
      </c>
      <c r="W390">
        <v>826.55</v>
      </c>
      <c r="X390">
        <f>Table1[[#This Row],[UnitCost]]*(1+'scenario modeling'!$B$3)</f>
        <v>909.20500000000004</v>
      </c>
      <c r="Y390">
        <v>1397.05</v>
      </c>
      <c r="Z390" t="str">
        <f>IF(Table1[[#This Row],[UnitPrice]]&lt;=Quantiles!$B$2,Quantiles!$A$2,IF(Table1[[#This Row],[UnitPrice]]&lt;=Quantiles!$B$3,Quantiles!$A$3,Quantiles!$A$4))</f>
        <v>Medium</v>
      </c>
      <c r="AA390">
        <v>0.16900000000000001</v>
      </c>
      <c r="AB390" s="5">
        <f>MIN(Table1[[#This Row],[DiscountPct]],'scenario modeling'!$B$2)</f>
        <v>0.1</v>
      </c>
      <c r="AC390" t="str">
        <f>IF(Table1[[#This Row],[DiscountPct]]&gt;0.3, "&gt;0.3","")</f>
        <v/>
      </c>
      <c r="AD390">
        <v>28</v>
      </c>
      <c r="AE390">
        <f>Table1[[#This Row],[Quantity]]*(1+'scenario modeling'!$B$4)</f>
        <v>33.6</v>
      </c>
      <c r="AF390">
        <f>Table1[[#This Row],[UnitCost]]*Table1[[#This Row],[Quantity]]</f>
        <v>23143.399999999998</v>
      </c>
      <c r="AG390">
        <f>SUMIF($U:U,Table1[[#This Row],[ProductCategory]],$AM:AM)</f>
        <v>1773719.1704599999</v>
      </c>
      <c r="AH390">
        <f>SUMIFS($AM$2:AM390,$U$2:U390,U390)</f>
        <v>868010.41071000008</v>
      </c>
      <c r="AI390" s="5">
        <f>Table1[[#This Row],[Cumulative_revenue]]/Table1[[#This Row],[Category_revenue]]</f>
        <v>0.48937307842531153</v>
      </c>
      <c r="AJ390" t="str">
        <f>IF(Table1[[#This Row],[cumulative_pct]]&lt;=0.8,"A",IF(Table1[[#This Row],[cumulative_pct]]&lt;=0.95,"B","C"))</f>
        <v>A</v>
      </c>
      <c r="AK390">
        <f>Table1[[#This Row],[adj_unit_cost]]*Table1[[#This Row],[scenario_quantity]]</f>
        <v>30549.288000000004</v>
      </c>
      <c r="AL390" s="5">
        <f>Table1[[#This Row],[UnitPrice]]*Table1[[#This Row],[scenario_quantity]]*(1-Table1[[#This Row],[cap_adjusted_discount]])</f>
        <v>42246.792000000001</v>
      </c>
      <c r="AM390" s="5">
        <f>Table1[[#This Row],[UnitPrice]]*Table1[[#This Row],[Quantity]]*(1-Table1[[#This Row],[DiscountPct]])</f>
        <v>32506.559399999998</v>
      </c>
      <c r="AN390" s="5">
        <f>Table1[[#This Row],[gross_revenue]]-Table1[[#This Row],[cost_of_goods]]</f>
        <v>9363.1594000000005</v>
      </c>
      <c r="AO390" s="5">
        <f>Table1[[#This Row],[scenario_revenue]]-Table1[[#This Row],[Scenario_unit_cost]]</f>
        <v>11697.503999999997</v>
      </c>
      <c r="AP390" s="5">
        <f>IF(Table1[[#This Row],[gross_revenue]]=0,0,Table1[[#This Row],[gross_profit]]/Table1[[#This Row],[gross_revenue]])</f>
        <v>0.28803907804527601</v>
      </c>
    </row>
    <row r="391" spans="1:42" x14ac:dyDescent="0.35">
      <c r="A391" t="s">
        <v>63</v>
      </c>
      <c r="B391" t="str">
        <f>_xlfn.TEXTAFTER(Table1[[#This Row],[OrderID]],"-",2)</f>
        <v>966651</v>
      </c>
      <c r="C391">
        <f>YEAR(Table1[[#This Row],[OrderDate]])</f>
        <v>2024</v>
      </c>
      <c r="D391" s="9">
        <f>_xlfn.MINIFS(F:F,P:P,Table1[[#This Row],[Country]])</f>
        <v>44941</v>
      </c>
      <c r="E391" s="7">
        <f>DATEDIF(Table1[[#This Row],[first_time_orders]],Table1[[#This Row],[OrderDate]],"m")</f>
        <v>20</v>
      </c>
      <c r="F391" s="9">
        <v>45579</v>
      </c>
      <c r="G391" s="2" t="str">
        <f>TEXT(Table1[[#This Row],[OrderDate]],"MMM-YYYY")</f>
        <v>Oct-2024</v>
      </c>
      <c r="H391" s="7">
        <f>MONTH(Table1[[#This Row],[OrderDate]])</f>
        <v>10</v>
      </c>
      <c r="I391" s="7" t="str">
        <f>"Q"&amp;ROUNDUP(Table1[[#This Row],[months]]/3,0)&amp;"-"&amp;Table1[[#This Row],[order_year]]</f>
        <v>Q4-2024</v>
      </c>
      <c r="J391" s="7">
        <f>Table1[[#This Row],[RequiredDate]]-Table1[[#This Row],[OrderDate]]</f>
        <v>25</v>
      </c>
      <c r="K391" s="7">
        <f>IF(Table1[[#This Row],[lead_time]]&lt;0,MEDIAN(J:J),Table1[[#This Row],[lead_time]])</f>
        <v>25</v>
      </c>
      <c r="L391" s="7">
        <f>IF(Table1[[#This Row],[adj_lead_time]]&lt;=7,1,0)</f>
        <v>0</v>
      </c>
      <c r="M391" s="9">
        <v>45604</v>
      </c>
      <c r="N391" s="9">
        <f>IF(Table1[[#This Row],[lead_time]]&lt;0,(Table1[[#This Row],[OrderDate]]+Table1[[#This Row],[adj_lead_time]]),Table1[[#This Row],[RequiredDate]])</f>
        <v>45604</v>
      </c>
      <c r="O391" t="s">
        <v>646</v>
      </c>
      <c r="P391" t="s">
        <v>651</v>
      </c>
      <c r="Q391" t="s">
        <v>665</v>
      </c>
      <c r="R391" t="s">
        <v>706</v>
      </c>
      <c r="S391" t="s">
        <v>708</v>
      </c>
      <c r="T391" t="s">
        <v>719</v>
      </c>
      <c r="U391" t="s">
        <v>729</v>
      </c>
      <c r="V391" t="s">
        <v>782</v>
      </c>
      <c r="W391">
        <v>859.35</v>
      </c>
      <c r="X391">
        <f>Table1[[#This Row],[UnitCost]]*(1+'scenario modeling'!$B$3)</f>
        <v>945.28500000000008</v>
      </c>
      <c r="Y391">
        <v>1825.61</v>
      </c>
      <c r="Z391" t="str">
        <f>IF(Table1[[#This Row],[UnitPrice]]&lt;=Quantiles!$B$2,Quantiles!$A$2,IF(Table1[[#This Row],[UnitPrice]]&lt;=Quantiles!$B$3,Quantiles!$A$3,Quantiles!$A$4))</f>
        <v>High</v>
      </c>
      <c r="AA391">
        <v>0.187</v>
      </c>
      <c r="AB391" s="5">
        <f>MIN(Table1[[#This Row],[DiscountPct]],'scenario modeling'!$B$2)</f>
        <v>0.1</v>
      </c>
      <c r="AC391" t="str">
        <f>IF(Table1[[#This Row],[DiscountPct]]&gt;0.3, "&gt;0.3","")</f>
        <v/>
      </c>
      <c r="AD391">
        <v>24</v>
      </c>
      <c r="AE391">
        <f>Table1[[#This Row],[Quantity]]*(1+'scenario modeling'!$B$4)</f>
        <v>28.799999999999997</v>
      </c>
      <c r="AF391">
        <f>Table1[[#This Row],[UnitCost]]*Table1[[#This Row],[Quantity]]</f>
        <v>20624.400000000001</v>
      </c>
      <c r="AG391">
        <f>SUMIF($U:U,Table1[[#This Row],[ProductCategory]],$AM:AM)</f>
        <v>1773719.1704599999</v>
      </c>
      <c r="AH391">
        <f>SUMIFS($AM$2:AM391,$U$2:U391,U391)</f>
        <v>903631.7130300001</v>
      </c>
      <c r="AI391" s="5">
        <f>Table1[[#This Row],[Cumulative_revenue]]/Table1[[#This Row],[Category_revenue]]</f>
        <v>0.50945590941301633</v>
      </c>
      <c r="AJ391" t="str">
        <f>IF(Table1[[#This Row],[cumulative_pct]]&lt;=0.8,"A",IF(Table1[[#This Row],[cumulative_pct]]&lt;=0.95,"B","C"))</f>
        <v>A</v>
      </c>
      <c r="AK391">
        <f>Table1[[#This Row],[adj_unit_cost]]*Table1[[#This Row],[scenario_quantity]]</f>
        <v>27224.207999999999</v>
      </c>
      <c r="AL391" s="5">
        <f>Table1[[#This Row],[UnitPrice]]*Table1[[#This Row],[scenario_quantity]]*(1-Table1[[#This Row],[cap_adjusted_discount]])</f>
        <v>47319.811199999996</v>
      </c>
      <c r="AM391" s="5">
        <f>Table1[[#This Row],[UnitPrice]]*Table1[[#This Row],[Quantity]]*(1-Table1[[#This Row],[DiscountPct]])</f>
        <v>35621.302319999995</v>
      </c>
      <c r="AN391" s="5">
        <f>Table1[[#This Row],[gross_revenue]]-Table1[[#This Row],[cost_of_goods]]</f>
        <v>14996.902319999994</v>
      </c>
      <c r="AO391" s="5">
        <f>Table1[[#This Row],[scenario_revenue]]-Table1[[#This Row],[Scenario_unit_cost]]</f>
        <v>20095.603199999998</v>
      </c>
      <c r="AP391" s="5">
        <f>IF(Table1[[#This Row],[gross_revenue]]=0,0,Table1[[#This Row],[gross_profit]]/Table1[[#This Row],[gross_revenue]])</f>
        <v>0.42100937762681989</v>
      </c>
    </row>
    <row r="392" spans="1:42" x14ac:dyDescent="0.35">
      <c r="A392" t="s">
        <v>262</v>
      </c>
      <c r="B392" t="str">
        <f>_xlfn.TEXTAFTER(Table1[[#This Row],[OrderID]],"-",2)</f>
        <v>320972</v>
      </c>
      <c r="C392">
        <f>YEAR(Table1[[#This Row],[OrderDate]])</f>
        <v>2024</v>
      </c>
      <c r="D392" s="9">
        <f>_xlfn.MINIFS(F:F,P:P,Table1[[#This Row],[Country]])</f>
        <v>44946</v>
      </c>
      <c r="E392" s="7">
        <f>DATEDIF(Table1[[#This Row],[first_time_orders]],Table1[[#This Row],[OrderDate]],"m")</f>
        <v>21</v>
      </c>
      <c r="F392" s="9">
        <v>45604</v>
      </c>
      <c r="G392" s="2" t="str">
        <f>TEXT(Table1[[#This Row],[OrderDate]],"MMM-YYYY")</f>
        <v>Nov-2024</v>
      </c>
      <c r="H392" s="7">
        <f>MONTH(Table1[[#This Row],[OrderDate]])</f>
        <v>11</v>
      </c>
      <c r="I392" s="7" t="str">
        <f>"Q"&amp;ROUNDUP(Table1[[#This Row],[months]]/3,0)&amp;"-"&amp;Table1[[#This Row],[order_year]]</f>
        <v>Q4-2024</v>
      </c>
      <c r="J392" s="7">
        <f>Table1[[#This Row],[RequiredDate]]-Table1[[#This Row],[OrderDate]]</f>
        <v>0</v>
      </c>
      <c r="K392" s="7">
        <f>IF(Table1[[#This Row],[lead_time]]&lt;0,MEDIAN(J:J),Table1[[#This Row],[lead_time]])</f>
        <v>0</v>
      </c>
      <c r="L392" s="7">
        <f>IF(Table1[[#This Row],[adj_lead_time]]&lt;=7,1,0)</f>
        <v>1</v>
      </c>
      <c r="M392" s="9">
        <v>45604</v>
      </c>
      <c r="N392" s="9">
        <f>IF(Table1[[#This Row],[lead_time]]&lt;0,(Table1[[#This Row],[OrderDate]]+Table1[[#This Row],[adj_lead_time]]),Table1[[#This Row],[RequiredDate]])</f>
        <v>45604</v>
      </c>
      <c r="O392" t="s">
        <v>646</v>
      </c>
      <c r="P392" t="s">
        <v>650</v>
      </c>
      <c r="Q392" t="s">
        <v>678</v>
      </c>
      <c r="R392" t="s">
        <v>706</v>
      </c>
      <c r="S392" t="s">
        <v>709</v>
      </c>
      <c r="T392" t="s">
        <v>724</v>
      </c>
      <c r="U392" t="s">
        <v>729</v>
      </c>
      <c r="V392" t="s">
        <v>982</v>
      </c>
      <c r="W392">
        <v>803.28</v>
      </c>
      <c r="X392">
        <f>Table1[[#This Row],[UnitCost]]*(1+'scenario modeling'!$B$3)</f>
        <v>883.60800000000006</v>
      </c>
      <c r="Y392">
        <v>1009</v>
      </c>
      <c r="Z392" t="str">
        <f>IF(Table1[[#This Row],[UnitPrice]]&lt;=Quantiles!$B$2,Quantiles!$A$2,IF(Table1[[#This Row],[UnitPrice]]&lt;=Quantiles!$B$3,Quantiles!$A$3,Quantiles!$A$4))</f>
        <v>Medium</v>
      </c>
      <c r="AA392">
        <v>0.11</v>
      </c>
      <c r="AB392" s="5">
        <f>MIN(Table1[[#This Row],[DiscountPct]],'scenario modeling'!$B$2)</f>
        <v>0.1</v>
      </c>
      <c r="AC392" t="str">
        <f>IF(Table1[[#This Row],[DiscountPct]]&gt;0.3, "&gt;0.3","")</f>
        <v/>
      </c>
      <c r="AD392">
        <v>4</v>
      </c>
      <c r="AE392">
        <f>Table1[[#This Row],[Quantity]]*(1+'scenario modeling'!$B$4)</f>
        <v>4.8</v>
      </c>
      <c r="AF392">
        <f>Table1[[#This Row],[UnitCost]]*Table1[[#This Row],[Quantity]]</f>
        <v>3213.12</v>
      </c>
      <c r="AG392">
        <f>SUMIF($U:U,Table1[[#This Row],[ProductCategory]],$AM:AM)</f>
        <v>1773719.1704599999</v>
      </c>
      <c r="AH392">
        <f>SUMIFS($AM$2:AM392,$U$2:U392,U392)</f>
        <v>907223.75303000014</v>
      </c>
      <c r="AI392" s="5">
        <f>Table1[[#This Row],[Cumulative_revenue]]/Table1[[#This Row],[Category_revenue]]</f>
        <v>0.51148105525336285</v>
      </c>
      <c r="AJ392" t="str">
        <f>IF(Table1[[#This Row],[cumulative_pct]]&lt;=0.8,"A",IF(Table1[[#This Row],[cumulative_pct]]&lt;=0.95,"B","C"))</f>
        <v>A</v>
      </c>
      <c r="AK392">
        <f>Table1[[#This Row],[adj_unit_cost]]*Table1[[#This Row],[scenario_quantity]]</f>
        <v>4241.3184000000001</v>
      </c>
      <c r="AL392" s="5">
        <f>Table1[[#This Row],[UnitPrice]]*Table1[[#This Row],[scenario_quantity]]*(1-Table1[[#This Row],[cap_adjusted_discount]])</f>
        <v>4358.88</v>
      </c>
      <c r="AM392" s="5">
        <f>Table1[[#This Row],[UnitPrice]]*Table1[[#This Row],[Quantity]]*(1-Table1[[#This Row],[DiscountPct]])</f>
        <v>3592.04</v>
      </c>
      <c r="AN392" s="5">
        <f>Table1[[#This Row],[gross_revenue]]-Table1[[#This Row],[cost_of_goods]]</f>
        <v>378.92000000000007</v>
      </c>
      <c r="AO392" s="5">
        <f>Table1[[#This Row],[scenario_revenue]]-Table1[[#This Row],[Scenario_unit_cost]]</f>
        <v>117.5616</v>
      </c>
      <c r="AP392" s="5">
        <f>IF(Table1[[#This Row],[gross_revenue]]=0,0,Table1[[#This Row],[gross_profit]]/Table1[[#This Row],[gross_revenue]])</f>
        <v>0.10548880302001093</v>
      </c>
    </row>
    <row r="393" spans="1:42" x14ac:dyDescent="0.35">
      <c r="A393" t="s">
        <v>138</v>
      </c>
      <c r="B393" t="str">
        <f>_xlfn.TEXTAFTER(Table1[[#This Row],[OrderID]],"-",2)</f>
        <v>588972</v>
      </c>
      <c r="C393">
        <f>YEAR(Table1[[#This Row],[OrderDate]])</f>
        <v>2024</v>
      </c>
      <c r="D393" s="9">
        <f>_xlfn.MINIFS(F:F,P:P,Table1[[#This Row],[Country]])</f>
        <v>44955</v>
      </c>
      <c r="E393" s="7">
        <f>DATEDIF(Table1[[#This Row],[first_time_orders]],Table1[[#This Row],[OrderDate]],"m")</f>
        <v>21</v>
      </c>
      <c r="F393" s="9">
        <v>45598</v>
      </c>
      <c r="G393" s="2" t="str">
        <f>TEXT(Table1[[#This Row],[OrderDate]],"MMM-YYYY")</f>
        <v>Nov-2024</v>
      </c>
      <c r="H393" s="7">
        <f>MONTH(Table1[[#This Row],[OrderDate]])</f>
        <v>11</v>
      </c>
      <c r="I393" s="7" t="str">
        <f>"Q"&amp;ROUNDUP(Table1[[#This Row],[months]]/3,0)&amp;"-"&amp;Table1[[#This Row],[order_year]]</f>
        <v>Q4-2024</v>
      </c>
      <c r="J393" s="7">
        <f>Table1[[#This Row],[RequiredDate]]-Table1[[#This Row],[OrderDate]]</f>
        <v>27</v>
      </c>
      <c r="K393" s="7">
        <f>IF(Table1[[#This Row],[lead_time]]&lt;0,MEDIAN(J:J),Table1[[#This Row],[lead_time]])</f>
        <v>27</v>
      </c>
      <c r="L393" s="7">
        <f>IF(Table1[[#This Row],[adj_lead_time]]&lt;=7,1,0)</f>
        <v>0</v>
      </c>
      <c r="M393" s="9">
        <v>45625</v>
      </c>
      <c r="N393" s="9">
        <f>IF(Table1[[#This Row],[lead_time]]&lt;0,(Table1[[#This Row],[OrderDate]]+Table1[[#This Row],[adj_lead_time]]),Table1[[#This Row],[RequiredDate]])</f>
        <v>45625</v>
      </c>
      <c r="O393" t="s">
        <v>648</v>
      </c>
      <c r="P393" t="s">
        <v>655</v>
      </c>
      <c r="Q393" t="s">
        <v>672</v>
      </c>
      <c r="R393" t="s">
        <v>705</v>
      </c>
      <c r="S393" t="s">
        <v>711</v>
      </c>
      <c r="T393" t="s">
        <v>714</v>
      </c>
      <c r="U393" t="s">
        <v>729</v>
      </c>
      <c r="V393" t="s">
        <v>857</v>
      </c>
      <c r="W393">
        <v>1363.51</v>
      </c>
      <c r="X393">
        <f>Table1[[#This Row],[UnitCost]]*(1+'scenario modeling'!$B$3)</f>
        <v>1499.8610000000001</v>
      </c>
      <c r="Y393">
        <v>1433.9</v>
      </c>
      <c r="Z393" t="str">
        <f>IF(Table1[[#This Row],[UnitPrice]]&lt;=Quantiles!$B$2,Quantiles!$A$2,IF(Table1[[#This Row],[UnitPrice]]&lt;=Quantiles!$B$3,Quantiles!$A$3,Quantiles!$A$4))</f>
        <v>Medium</v>
      </c>
      <c r="AA393">
        <v>5.7000000000000002E-2</v>
      </c>
      <c r="AB393" s="5">
        <f>MIN(Table1[[#This Row],[DiscountPct]],'scenario modeling'!$B$2)</f>
        <v>5.7000000000000002E-2</v>
      </c>
      <c r="AC393" t="str">
        <f>IF(Table1[[#This Row],[DiscountPct]]&gt;0.3, "&gt;0.3","")</f>
        <v/>
      </c>
      <c r="AD393">
        <v>8</v>
      </c>
      <c r="AE393">
        <f>Table1[[#This Row],[Quantity]]*(1+'scenario modeling'!$B$4)</f>
        <v>9.6</v>
      </c>
      <c r="AF393">
        <f>Table1[[#This Row],[UnitCost]]*Table1[[#This Row],[Quantity]]</f>
        <v>10908.08</v>
      </c>
      <c r="AG393">
        <f>SUMIF($U:U,Table1[[#This Row],[ProductCategory]],$AM:AM)</f>
        <v>1773719.1704599999</v>
      </c>
      <c r="AH393">
        <f>SUMIFS($AM$2:AM393,$U$2:U393,U393)</f>
        <v>918041.09463000018</v>
      </c>
      <c r="AI393" s="5">
        <f>Table1[[#This Row],[Cumulative_revenue]]/Table1[[#This Row],[Category_revenue]]</f>
        <v>0.51757973298101834</v>
      </c>
      <c r="AJ393" t="str">
        <f>IF(Table1[[#This Row],[cumulative_pct]]&lt;=0.8,"A",IF(Table1[[#This Row],[cumulative_pct]]&lt;=0.95,"B","C"))</f>
        <v>A</v>
      </c>
      <c r="AK393">
        <f>Table1[[#This Row],[adj_unit_cost]]*Table1[[#This Row],[scenario_quantity]]</f>
        <v>14398.6656</v>
      </c>
      <c r="AL393" s="5">
        <f>Table1[[#This Row],[UnitPrice]]*Table1[[#This Row],[scenario_quantity]]*(1-Table1[[#This Row],[cap_adjusted_discount]])</f>
        <v>12980.80992</v>
      </c>
      <c r="AM393" s="5">
        <f>Table1[[#This Row],[UnitPrice]]*Table1[[#This Row],[Quantity]]*(1-Table1[[#This Row],[DiscountPct]])</f>
        <v>10817.3416</v>
      </c>
      <c r="AN393" s="5">
        <f>Table1[[#This Row],[gross_revenue]]-Table1[[#This Row],[cost_of_goods]]</f>
        <v>-90.738400000000183</v>
      </c>
      <c r="AO393" s="5">
        <f>Table1[[#This Row],[scenario_revenue]]-Table1[[#This Row],[Scenario_unit_cost]]</f>
        <v>-1417.8556800000006</v>
      </c>
      <c r="AP393" s="5">
        <f>IF(Table1[[#This Row],[gross_revenue]]=0,0,Table1[[#This Row],[gross_profit]]/Table1[[#This Row],[gross_revenue]])</f>
        <v>-8.3882346842037592E-3</v>
      </c>
    </row>
    <row r="394" spans="1:42" x14ac:dyDescent="0.35">
      <c r="A394" t="s">
        <v>521</v>
      </c>
      <c r="B394" t="str">
        <f>_xlfn.TEXTAFTER(Table1[[#This Row],[OrderID]],"-",2)</f>
        <v>732543</v>
      </c>
      <c r="C394">
        <f>YEAR(Table1[[#This Row],[OrderDate]])</f>
        <v>2024</v>
      </c>
      <c r="D394" s="9">
        <f>_xlfn.MINIFS(F:F,P:P,Table1[[#This Row],[Country]])</f>
        <v>44938</v>
      </c>
      <c r="E394" s="7">
        <f>DATEDIF(Table1[[#This Row],[first_time_orders]],Table1[[#This Row],[OrderDate]],"m")</f>
        <v>21</v>
      </c>
      <c r="F394" s="9">
        <v>45589</v>
      </c>
      <c r="G394" s="2" t="str">
        <f>TEXT(Table1[[#This Row],[OrderDate]],"MMM-YYYY")</f>
        <v>Oct-2024</v>
      </c>
      <c r="H394" s="7">
        <f>MONTH(Table1[[#This Row],[OrderDate]])</f>
        <v>10</v>
      </c>
      <c r="I394" s="7" t="str">
        <f>"Q"&amp;ROUNDUP(Table1[[#This Row],[months]]/3,0)&amp;"-"&amp;Table1[[#This Row],[order_year]]</f>
        <v>Q4-2024</v>
      </c>
      <c r="J394" s="7">
        <f>Table1[[#This Row],[RequiredDate]]-Table1[[#This Row],[OrderDate]]</f>
        <v>4</v>
      </c>
      <c r="K394" s="7">
        <f>IF(Table1[[#This Row],[lead_time]]&lt;0,MEDIAN(J:J),Table1[[#This Row],[lead_time]])</f>
        <v>4</v>
      </c>
      <c r="L394" s="7">
        <f>IF(Table1[[#This Row],[adj_lead_time]]&lt;=7,1,0)</f>
        <v>1</v>
      </c>
      <c r="M394" s="9">
        <v>45593</v>
      </c>
      <c r="N394" s="9">
        <f>IF(Table1[[#This Row],[lead_time]]&lt;0,(Table1[[#This Row],[OrderDate]]+Table1[[#This Row],[adj_lead_time]]),Table1[[#This Row],[RequiredDate]])</f>
        <v>45593</v>
      </c>
      <c r="O394" t="s">
        <v>647</v>
      </c>
      <c r="P394" t="s">
        <v>659</v>
      </c>
      <c r="Q394" t="s">
        <v>685</v>
      </c>
      <c r="R394" t="s">
        <v>705</v>
      </c>
      <c r="S394" t="s">
        <v>710</v>
      </c>
      <c r="T394" t="s">
        <v>714</v>
      </c>
      <c r="U394" t="s">
        <v>729</v>
      </c>
      <c r="V394" t="s">
        <v>1240</v>
      </c>
      <c r="W394">
        <v>1331.77</v>
      </c>
      <c r="X394">
        <f>Table1[[#This Row],[UnitCost]]*(1+'scenario modeling'!$B$3)</f>
        <v>1464.9470000000001</v>
      </c>
      <c r="Y394">
        <v>2606.11</v>
      </c>
      <c r="Z394" t="str">
        <f>IF(Table1[[#This Row],[UnitPrice]]&lt;=Quantiles!$B$2,Quantiles!$A$2,IF(Table1[[#This Row],[UnitPrice]]&lt;=Quantiles!$B$3,Quantiles!$A$3,Quantiles!$A$4))</f>
        <v>High</v>
      </c>
      <c r="AA394">
        <v>0.02</v>
      </c>
      <c r="AB394" s="5">
        <f>MIN(Table1[[#This Row],[DiscountPct]],'scenario modeling'!$B$2)</f>
        <v>0.02</v>
      </c>
      <c r="AC394" t="str">
        <f>IF(Table1[[#This Row],[DiscountPct]]&gt;0.3, "&gt;0.3","")</f>
        <v/>
      </c>
      <c r="AD394">
        <v>6</v>
      </c>
      <c r="AE394">
        <f>Table1[[#This Row],[Quantity]]*(1+'scenario modeling'!$B$4)</f>
        <v>7.1999999999999993</v>
      </c>
      <c r="AF394">
        <f>Table1[[#This Row],[UnitCost]]*Table1[[#This Row],[Quantity]]</f>
        <v>7990.62</v>
      </c>
      <c r="AG394">
        <f>SUMIF($U:U,Table1[[#This Row],[ProductCategory]],$AM:AM)</f>
        <v>1773719.1704599999</v>
      </c>
      <c r="AH394">
        <f>SUMIFS($AM$2:AM394,$U$2:U394,U394)</f>
        <v>933365.0214300002</v>
      </c>
      <c r="AI394" s="5">
        <f>Table1[[#This Row],[Cumulative_revenue]]/Table1[[#This Row],[Category_revenue]]</f>
        <v>0.52621916534168112</v>
      </c>
      <c r="AJ394" t="str">
        <f>IF(Table1[[#This Row],[cumulative_pct]]&lt;=0.8,"A",IF(Table1[[#This Row],[cumulative_pct]]&lt;=0.95,"B","C"))</f>
        <v>A</v>
      </c>
      <c r="AK394">
        <f>Table1[[#This Row],[adj_unit_cost]]*Table1[[#This Row],[scenario_quantity]]</f>
        <v>10547.618399999999</v>
      </c>
      <c r="AL394" s="5">
        <f>Table1[[#This Row],[UnitPrice]]*Table1[[#This Row],[scenario_quantity]]*(1-Table1[[#This Row],[cap_adjusted_discount]])</f>
        <v>18388.712159999999</v>
      </c>
      <c r="AM394" s="5">
        <f>Table1[[#This Row],[UnitPrice]]*Table1[[#This Row],[Quantity]]*(1-Table1[[#This Row],[DiscountPct]])</f>
        <v>15323.926799999999</v>
      </c>
      <c r="AN394" s="5">
        <f>Table1[[#This Row],[gross_revenue]]-Table1[[#This Row],[cost_of_goods]]</f>
        <v>7333.3067999999994</v>
      </c>
      <c r="AO394" s="5">
        <f>Table1[[#This Row],[scenario_revenue]]-Table1[[#This Row],[Scenario_unit_cost]]</f>
        <v>7841.0937599999997</v>
      </c>
      <c r="AP394" s="5">
        <f>IF(Table1[[#This Row],[gross_revenue]]=0,0,Table1[[#This Row],[gross_profit]]/Table1[[#This Row],[gross_revenue]])</f>
        <v>0.47855271665745619</v>
      </c>
    </row>
    <row r="395" spans="1:42" x14ac:dyDescent="0.35">
      <c r="A395" t="s">
        <v>593</v>
      </c>
      <c r="B395" t="str">
        <f>_xlfn.TEXTAFTER(Table1[[#This Row],[OrderID]],"-",2)</f>
        <v>496601</v>
      </c>
      <c r="C395">
        <f>YEAR(Table1[[#This Row],[OrderDate]])</f>
        <v>2024</v>
      </c>
      <c r="D395" s="9">
        <f>_xlfn.MINIFS(F:F,P:P,Table1[[#This Row],[Country]])</f>
        <v>44945</v>
      </c>
      <c r="E395" s="7">
        <f>DATEDIF(Table1[[#This Row],[first_time_orders]],Table1[[#This Row],[OrderDate]],"m")</f>
        <v>21</v>
      </c>
      <c r="F395" s="9">
        <v>45607</v>
      </c>
      <c r="G395" s="2" t="str">
        <f>TEXT(Table1[[#This Row],[OrderDate]],"MMM-YYYY")</f>
        <v>Nov-2024</v>
      </c>
      <c r="H395" s="7">
        <f>MONTH(Table1[[#This Row],[OrderDate]])</f>
        <v>11</v>
      </c>
      <c r="I395" s="7" t="str">
        <f>"Q"&amp;ROUNDUP(Table1[[#This Row],[months]]/3,0)&amp;"-"&amp;Table1[[#This Row],[order_year]]</f>
        <v>Q4-2024</v>
      </c>
      <c r="J395" s="7">
        <f>Table1[[#This Row],[RequiredDate]]-Table1[[#This Row],[OrderDate]]</f>
        <v>13</v>
      </c>
      <c r="K395" s="7">
        <f>IF(Table1[[#This Row],[lead_time]]&lt;0,MEDIAN(J:J),Table1[[#This Row],[lead_time]])</f>
        <v>13</v>
      </c>
      <c r="L395" s="7">
        <f>IF(Table1[[#This Row],[adj_lead_time]]&lt;=7,1,0)</f>
        <v>0</v>
      </c>
      <c r="M395" s="9">
        <v>45620</v>
      </c>
      <c r="N395" s="9">
        <f>IF(Table1[[#This Row],[lead_time]]&lt;0,(Table1[[#This Row],[OrderDate]]+Table1[[#This Row],[adj_lead_time]]),Table1[[#This Row],[RequiredDate]])</f>
        <v>45620</v>
      </c>
      <c r="O395" t="s">
        <v>649</v>
      </c>
      <c r="P395" t="s">
        <v>658</v>
      </c>
      <c r="Q395" t="s">
        <v>683</v>
      </c>
      <c r="R395" t="s">
        <v>701</v>
      </c>
      <c r="S395" t="s">
        <v>707</v>
      </c>
      <c r="T395" t="s">
        <v>718</v>
      </c>
      <c r="U395" t="s">
        <v>729</v>
      </c>
      <c r="V395" t="s">
        <v>1311</v>
      </c>
      <c r="W395">
        <v>164.53</v>
      </c>
      <c r="X395">
        <f>Table1[[#This Row],[UnitCost]]*(1+'scenario modeling'!$B$3)</f>
        <v>180.983</v>
      </c>
      <c r="Y395">
        <v>327.72</v>
      </c>
      <c r="Z395" t="str">
        <f>IF(Table1[[#This Row],[UnitPrice]]&lt;=Quantiles!$B$2,Quantiles!$A$2,IF(Table1[[#This Row],[UnitPrice]]&lt;=Quantiles!$B$3,Quantiles!$A$3,Quantiles!$A$4))</f>
        <v>Low</v>
      </c>
      <c r="AA395">
        <v>6.7000000000000004E-2</v>
      </c>
      <c r="AB395" s="5">
        <f>MIN(Table1[[#This Row],[DiscountPct]],'scenario modeling'!$B$2)</f>
        <v>6.7000000000000004E-2</v>
      </c>
      <c r="AC395" t="str">
        <f>IF(Table1[[#This Row],[DiscountPct]]&gt;0.3, "&gt;0.3","")</f>
        <v/>
      </c>
      <c r="AD395">
        <v>14</v>
      </c>
      <c r="AE395">
        <f>Table1[[#This Row],[Quantity]]*(1+'scenario modeling'!$B$4)</f>
        <v>16.8</v>
      </c>
      <c r="AF395">
        <f>Table1[[#This Row],[UnitCost]]*Table1[[#This Row],[Quantity]]</f>
        <v>2303.42</v>
      </c>
      <c r="AG395">
        <f>SUMIF($U:U,Table1[[#This Row],[ProductCategory]],$AM:AM)</f>
        <v>1773719.1704599999</v>
      </c>
      <c r="AH395">
        <f>SUMIFS($AM$2:AM395,$U$2:U395,U395)</f>
        <v>937645.70007000025</v>
      </c>
      <c r="AI395" s="5">
        <f>Table1[[#This Row],[Cumulative_revenue]]/Table1[[#This Row],[Category_revenue]]</f>
        <v>0.5286325567687411</v>
      </c>
      <c r="AJ395" t="str">
        <f>IF(Table1[[#This Row],[cumulative_pct]]&lt;=0.8,"A",IF(Table1[[#This Row],[cumulative_pct]]&lt;=0.95,"B","C"))</f>
        <v>A</v>
      </c>
      <c r="AK395">
        <f>Table1[[#This Row],[adj_unit_cost]]*Table1[[#This Row],[scenario_quantity]]</f>
        <v>3040.5144</v>
      </c>
      <c r="AL395" s="5">
        <f>Table1[[#This Row],[UnitPrice]]*Table1[[#This Row],[scenario_quantity]]*(1-Table1[[#This Row],[cap_adjusted_discount]])</f>
        <v>5136.8143680000012</v>
      </c>
      <c r="AM395" s="5">
        <f>Table1[[#This Row],[UnitPrice]]*Table1[[#This Row],[Quantity]]*(1-Table1[[#This Row],[DiscountPct]])</f>
        <v>4280.6786400000001</v>
      </c>
      <c r="AN395" s="5">
        <f>Table1[[#This Row],[gross_revenue]]-Table1[[#This Row],[cost_of_goods]]</f>
        <v>1977.25864</v>
      </c>
      <c r="AO395" s="5">
        <f>Table1[[#This Row],[scenario_revenue]]-Table1[[#This Row],[Scenario_unit_cost]]</f>
        <v>2096.2999680000012</v>
      </c>
      <c r="AP395" s="5">
        <f>IF(Table1[[#This Row],[gross_revenue]]=0,0,Table1[[#This Row],[gross_profit]]/Table1[[#This Row],[gross_revenue]])</f>
        <v>0.46190307805960412</v>
      </c>
    </row>
    <row r="396" spans="1:42" x14ac:dyDescent="0.35">
      <c r="A396" t="s">
        <v>450</v>
      </c>
      <c r="B396" t="str">
        <f>_xlfn.TEXTAFTER(Table1[[#This Row],[OrderID]],"-",2)</f>
        <v>972318</v>
      </c>
      <c r="C396">
        <f>YEAR(Table1[[#This Row],[OrderDate]])</f>
        <v>2024</v>
      </c>
      <c r="D396" s="9">
        <f>_xlfn.MINIFS(F:F,P:P,Table1[[#This Row],[Country]])</f>
        <v>44955</v>
      </c>
      <c r="E396" s="7">
        <f>DATEDIF(Table1[[#This Row],[first_time_orders]],Table1[[#This Row],[OrderDate]],"m")</f>
        <v>22</v>
      </c>
      <c r="F396" s="9">
        <v>45650</v>
      </c>
      <c r="G396" s="2" t="str">
        <f>TEXT(Table1[[#This Row],[OrderDate]],"MMM-YYYY")</f>
        <v>Dec-2024</v>
      </c>
      <c r="H396" s="7">
        <f>MONTH(Table1[[#This Row],[OrderDate]])</f>
        <v>12</v>
      </c>
      <c r="I396" s="7" t="str">
        <f>"Q"&amp;ROUNDUP(Table1[[#This Row],[months]]/3,0)&amp;"-"&amp;Table1[[#This Row],[order_year]]</f>
        <v>Q4-2024</v>
      </c>
      <c r="J396" s="7">
        <f>Table1[[#This Row],[RequiredDate]]-Table1[[#This Row],[OrderDate]]</f>
        <v>20</v>
      </c>
      <c r="K396" s="7">
        <f>IF(Table1[[#This Row],[lead_time]]&lt;0,MEDIAN(J:J),Table1[[#This Row],[lead_time]])</f>
        <v>20</v>
      </c>
      <c r="L396" s="7">
        <f>IF(Table1[[#This Row],[adj_lead_time]]&lt;=7,1,0)</f>
        <v>0</v>
      </c>
      <c r="M396" s="9">
        <v>45670</v>
      </c>
      <c r="N396" s="9">
        <f>IF(Table1[[#This Row],[lead_time]]&lt;0,(Table1[[#This Row],[OrderDate]]+Table1[[#This Row],[adj_lead_time]]),Table1[[#This Row],[RequiredDate]])</f>
        <v>45670</v>
      </c>
      <c r="O396" t="s">
        <v>647</v>
      </c>
      <c r="P396" t="s">
        <v>654</v>
      </c>
      <c r="Q396" t="s">
        <v>668</v>
      </c>
      <c r="R396" t="s">
        <v>701</v>
      </c>
      <c r="S396" t="s">
        <v>709</v>
      </c>
      <c r="T396" t="s">
        <v>726</v>
      </c>
      <c r="U396" t="s">
        <v>729</v>
      </c>
      <c r="V396" t="s">
        <v>1169</v>
      </c>
      <c r="W396">
        <v>126.15</v>
      </c>
      <c r="X396">
        <f>Table1[[#This Row],[UnitCost]]*(1+'scenario modeling'!$B$3)</f>
        <v>138.76500000000001</v>
      </c>
      <c r="Y396">
        <v>284.23</v>
      </c>
      <c r="Z396" t="str">
        <f>IF(Table1[[#This Row],[UnitPrice]]&lt;=Quantiles!$B$2,Quantiles!$A$2,IF(Table1[[#This Row],[UnitPrice]]&lt;=Quantiles!$B$3,Quantiles!$A$3,Quantiles!$A$4))</f>
        <v>Low</v>
      </c>
      <c r="AA396">
        <v>0.113</v>
      </c>
      <c r="AB396" s="5">
        <f>MIN(Table1[[#This Row],[DiscountPct]],'scenario modeling'!$B$2)</f>
        <v>0.1</v>
      </c>
      <c r="AC396" t="str">
        <f>IF(Table1[[#This Row],[DiscountPct]]&gt;0.3, "&gt;0.3","")</f>
        <v/>
      </c>
      <c r="AD396">
        <v>22</v>
      </c>
      <c r="AE396">
        <f>Table1[[#This Row],[Quantity]]*(1+'scenario modeling'!$B$4)</f>
        <v>26.4</v>
      </c>
      <c r="AF396">
        <f>Table1[[#This Row],[UnitCost]]*Table1[[#This Row],[Quantity]]</f>
        <v>2775.3</v>
      </c>
      <c r="AG396">
        <f>SUMIF($U:U,Table1[[#This Row],[ProductCategory]],$AM:AM)</f>
        <v>1773719.1704599999</v>
      </c>
      <c r="AH396">
        <f>SUMIFS($AM$2:AM396,$U$2:U396,U396)</f>
        <v>943192.16429000022</v>
      </c>
      <c r="AI396" s="5">
        <f>Table1[[#This Row],[Cumulative_revenue]]/Table1[[#This Row],[Category_revenue]]</f>
        <v>0.53175958178621419</v>
      </c>
      <c r="AJ396" t="str">
        <f>IF(Table1[[#This Row],[cumulative_pct]]&lt;=0.8,"A",IF(Table1[[#This Row],[cumulative_pct]]&lt;=0.95,"B","C"))</f>
        <v>A</v>
      </c>
      <c r="AK396">
        <f>Table1[[#This Row],[adj_unit_cost]]*Table1[[#This Row],[scenario_quantity]]</f>
        <v>3663.3960000000002</v>
      </c>
      <c r="AL396" s="5">
        <f>Table1[[#This Row],[UnitPrice]]*Table1[[#This Row],[scenario_quantity]]*(1-Table1[[#This Row],[cap_adjusted_discount]])</f>
        <v>6753.3048000000008</v>
      </c>
      <c r="AM396" s="5">
        <f>Table1[[#This Row],[UnitPrice]]*Table1[[#This Row],[Quantity]]*(1-Table1[[#This Row],[DiscountPct]])</f>
        <v>5546.4642200000008</v>
      </c>
      <c r="AN396" s="5">
        <f>Table1[[#This Row],[gross_revenue]]-Table1[[#This Row],[cost_of_goods]]</f>
        <v>2771.1642200000006</v>
      </c>
      <c r="AO396" s="5">
        <f>Table1[[#This Row],[scenario_revenue]]-Table1[[#This Row],[Scenario_unit_cost]]</f>
        <v>3089.9088000000006</v>
      </c>
      <c r="AP396" s="5">
        <f>IF(Table1[[#This Row],[gross_revenue]]=0,0,Table1[[#This Row],[gross_profit]]/Table1[[#This Row],[gross_revenue]])</f>
        <v>0.49962716968541088</v>
      </c>
    </row>
    <row r="397" spans="1:42" x14ac:dyDescent="0.35">
      <c r="A397" t="s">
        <v>564</v>
      </c>
      <c r="B397" t="str">
        <f>_xlfn.TEXTAFTER(Table1[[#This Row],[OrderID]],"-",2)</f>
        <v>140633</v>
      </c>
      <c r="C397">
        <f>YEAR(Table1[[#This Row],[OrderDate]])</f>
        <v>2024</v>
      </c>
      <c r="D397" s="9">
        <f>_xlfn.MINIFS(F:F,P:P,Table1[[#This Row],[Country]])</f>
        <v>44945</v>
      </c>
      <c r="E397" s="7">
        <f>DATEDIF(Table1[[#This Row],[first_time_orders]],Table1[[#This Row],[OrderDate]],"m")</f>
        <v>22</v>
      </c>
      <c r="F397" s="9">
        <v>45633</v>
      </c>
      <c r="G397" s="2" t="str">
        <f>TEXT(Table1[[#This Row],[OrderDate]],"MMM-YYYY")</f>
        <v>Dec-2024</v>
      </c>
      <c r="H397" s="7">
        <f>MONTH(Table1[[#This Row],[OrderDate]])</f>
        <v>12</v>
      </c>
      <c r="I397" s="7" t="str">
        <f>"Q"&amp;ROUNDUP(Table1[[#This Row],[months]]/3,0)&amp;"-"&amp;Table1[[#This Row],[order_year]]</f>
        <v>Q4-2024</v>
      </c>
      <c r="J397" s="7">
        <f>Table1[[#This Row],[RequiredDate]]-Table1[[#This Row],[OrderDate]]</f>
        <v>19</v>
      </c>
      <c r="K397" s="7">
        <f>IF(Table1[[#This Row],[lead_time]]&lt;0,MEDIAN(J:J),Table1[[#This Row],[lead_time]])</f>
        <v>19</v>
      </c>
      <c r="L397" s="7">
        <f>IF(Table1[[#This Row],[adj_lead_time]]&lt;=7,1,0)</f>
        <v>0</v>
      </c>
      <c r="M397" s="9">
        <v>45652</v>
      </c>
      <c r="N397" s="9">
        <f>IF(Table1[[#This Row],[lead_time]]&lt;0,(Table1[[#This Row],[OrderDate]]+Table1[[#This Row],[adj_lead_time]]),Table1[[#This Row],[RequiredDate]])</f>
        <v>45652</v>
      </c>
      <c r="O397" t="s">
        <v>649</v>
      </c>
      <c r="P397" t="s">
        <v>658</v>
      </c>
      <c r="Q397" t="s">
        <v>683</v>
      </c>
      <c r="R397" t="s">
        <v>706</v>
      </c>
      <c r="S397" t="s">
        <v>708</v>
      </c>
      <c r="T397" t="s">
        <v>726</v>
      </c>
      <c r="U397" t="s">
        <v>729</v>
      </c>
      <c r="V397" t="s">
        <v>1282</v>
      </c>
      <c r="W397">
        <v>1035.24</v>
      </c>
      <c r="X397">
        <f>Table1[[#This Row],[UnitCost]]*(1+'scenario modeling'!$B$3)</f>
        <v>1138.7640000000001</v>
      </c>
      <c r="Y397">
        <v>2383.41</v>
      </c>
      <c r="Z397" t="str">
        <f>IF(Table1[[#This Row],[UnitPrice]]&lt;=Quantiles!$B$2,Quantiles!$A$2,IF(Table1[[#This Row],[UnitPrice]]&lt;=Quantiles!$B$3,Quantiles!$A$3,Quantiles!$A$4))</f>
        <v>High</v>
      </c>
      <c r="AA397">
        <v>0.17</v>
      </c>
      <c r="AB397" s="5">
        <f>MIN(Table1[[#This Row],[DiscountPct]],'scenario modeling'!$B$2)</f>
        <v>0.1</v>
      </c>
      <c r="AC397" t="str">
        <f>IF(Table1[[#This Row],[DiscountPct]]&gt;0.3, "&gt;0.3","")</f>
        <v/>
      </c>
      <c r="AD397">
        <v>15</v>
      </c>
      <c r="AE397">
        <f>Table1[[#This Row],[Quantity]]*(1+'scenario modeling'!$B$4)</f>
        <v>18</v>
      </c>
      <c r="AF397">
        <f>Table1[[#This Row],[UnitCost]]*Table1[[#This Row],[Quantity]]</f>
        <v>15528.6</v>
      </c>
      <c r="AG397">
        <f>SUMIF($U:U,Table1[[#This Row],[ProductCategory]],$AM:AM)</f>
        <v>1773719.1704599999</v>
      </c>
      <c r="AH397">
        <f>SUMIFS($AM$2:AM397,$U$2:U397,U397)</f>
        <v>972865.61879000021</v>
      </c>
      <c r="AI397" s="5">
        <f>Table1[[#This Row],[Cumulative_revenue]]/Table1[[#This Row],[Category_revenue]]</f>
        <v>0.54848909285774661</v>
      </c>
      <c r="AJ397" t="str">
        <f>IF(Table1[[#This Row],[cumulative_pct]]&lt;=0.8,"A",IF(Table1[[#This Row],[cumulative_pct]]&lt;=0.95,"B","C"))</f>
        <v>A</v>
      </c>
      <c r="AK397">
        <f>Table1[[#This Row],[adj_unit_cost]]*Table1[[#This Row],[scenario_quantity]]</f>
        <v>20497.752</v>
      </c>
      <c r="AL397" s="5">
        <f>Table1[[#This Row],[UnitPrice]]*Table1[[#This Row],[scenario_quantity]]*(1-Table1[[#This Row],[cap_adjusted_discount]])</f>
        <v>38611.241999999998</v>
      </c>
      <c r="AM397" s="5">
        <f>Table1[[#This Row],[UnitPrice]]*Table1[[#This Row],[Quantity]]*(1-Table1[[#This Row],[DiscountPct]])</f>
        <v>29673.454499999993</v>
      </c>
      <c r="AN397" s="5">
        <f>Table1[[#This Row],[gross_revenue]]-Table1[[#This Row],[cost_of_goods]]</f>
        <v>14144.854499999992</v>
      </c>
      <c r="AO397" s="5">
        <f>Table1[[#This Row],[scenario_revenue]]-Table1[[#This Row],[Scenario_unit_cost]]</f>
        <v>18113.489999999998</v>
      </c>
      <c r="AP397" s="5">
        <f>IF(Table1[[#This Row],[gross_revenue]]=0,0,Table1[[#This Row],[gross_profit]]/Table1[[#This Row],[gross_revenue]])</f>
        <v>0.47668378145860962</v>
      </c>
    </row>
    <row r="398" spans="1:42" x14ac:dyDescent="0.35">
      <c r="A398" t="s">
        <v>88</v>
      </c>
      <c r="B398" t="str">
        <f>_xlfn.TEXTAFTER(Table1[[#This Row],[OrderID]],"-",2)</f>
        <v>800947</v>
      </c>
      <c r="C398">
        <f>YEAR(Table1[[#This Row],[OrderDate]])</f>
        <v>2024</v>
      </c>
      <c r="D398" s="9">
        <f>_xlfn.MINIFS(F:F,P:P,Table1[[#This Row],[Country]])</f>
        <v>44938</v>
      </c>
      <c r="E398" s="7">
        <f>DATEDIF(Table1[[#This Row],[first_time_orders]],Table1[[#This Row],[OrderDate]],"m")</f>
        <v>23</v>
      </c>
      <c r="F398" s="9">
        <v>45641</v>
      </c>
      <c r="G398" s="2" t="str">
        <f>TEXT(Table1[[#This Row],[OrderDate]],"MMM-YYYY")</f>
        <v>Dec-2024</v>
      </c>
      <c r="H398" s="7">
        <f>MONTH(Table1[[#This Row],[OrderDate]])</f>
        <v>12</v>
      </c>
      <c r="I398" s="7" t="str">
        <f>"Q"&amp;ROUNDUP(Table1[[#This Row],[months]]/3,0)&amp;"-"&amp;Table1[[#This Row],[order_year]]</f>
        <v>Q4-2024</v>
      </c>
      <c r="J398" s="7">
        <f>Table1[[#This Row],[RequiredDate]]-Table1[[#This Row],[OrderDate]]</f>
        <v>5</v>
      </c>
      <c r="K398" s="7">
        <f>IF(Table1[[#This Row],[lead_time]]&lt;0,MEDIAN(J:J),Table1[[#This Row],[lead_time]])</f>
        <v>5</v>
      </c>
      <c r="L398" s="7">
        <f>IF(Table1[[#This Row],[adj_lead_time]]&lt;=7,1,0)</f>
        <v>1</v>
      </c>
      <c r="M398" s="9">
        <v>45646</v>
      </c>
      <c r="N398" s="9">
        <f>IF(Table1[[#This Row],[lead_time]]&lt;0,(Table1[[#This Row],[OrderDate]]+Table1[[#This Row],[adj_lead_time]]),Table1[[#This Row],[RequiredDate]])</f>
        <v>45646</v>
      </c>
      <c r="O398" t="s">
        <v>647</v>
      </c>
      <c r="P398" t="s">
        <v>659</v>
      </c>
      <c r="Q398" t="s">
        <v>676</v>
      </c>
      <c r="R398" t="s">
        <v>705</v>
      </c>
      <c r="S398" t="s">
        <v>711</v>
      </c>
      <c r="T398" t="s">
        <v>713</v>
      </c>
      <c r="U398" t="s">
        <v>729</v>
      </c>
      <c r="V398" t="s">
        <v>807</v>
      </c>
      <c r="W398">
        <v>717.55</v>
      </c>
      <c r="X398">
        <f>Table1[[#This Row],[UnitCost]]*(1+'scenario modeling'!$B$3)</f>
        <v>789.30500000000006</v>
      </c>
      <c r="Y398">
        <v>546.42999999999995</v>
      </c>
      <c r="Z398" t="str">
        <f>IF(Table1[[#This Row],[UnitPrice]]&lt;=Quantiles!$B$2,Quantiles!$A$2,IF(Table1[[#This Row],[UnitPrice]]&lt;=Quantiles!$B$3,Quantiles!$A$3,Quantiles!$A$4))</f>
        <v>Low</v>
      </c>
      <c r="AA398">
        <v>4.7E-2</v>
      </c>
      <c r="AB398" s="5">
        <f>MIN(Table1[[#This Row],[DiscountPct]],'scenario modeling'!$B$2)</f>
        <v>4.7E-2</v>
      </c>
      <c r="AC398" t="str">
        <f>IF(Table1[[#This Row],[DiscountPct]]&gt;0.3, "&gt;0.3","")</f>
        <v/>
      </c>
      <c r="AD398">
        <v>18</v>
      </c>
      <c r="AE398">
        <f>Table1[[#This Row],[Quantity]]*(1+'scenario modeling'!$B$4)</f>
        <v>21.599999999999998</v>
      </c>
      <c r="AF398">
        <f>Table1[[#This Row],[UnitCost]]*Table1[[#This Row],[Quantity]]</f>
        <v>12915.9</v>
      </c>
      <c r="AG398">
        <f>SUMIF($U:U,Table1[[#This Row],[ProductCategory]],$AM:AM)</f>
        <v>1773719.1704599999</v>
      </c>
      <c r="AH398">
        <f>SUMIFS($AM$2:AM398,$U$2:U398,U398)</f>
        <v>982239.07901000022</v>
      </c>
      <c r="AI398" s="5">
        <f>Table1[[#This Row],[Cumulative_revenue]]/Table1[[#This Row],[Category_revenue]]</f>
        <v>0.55377372887911247</v>
      </c>
      <c r="AJ398" t="str">
        <f>IF(Table1[[#This Row],[cumulative_pct]]&lt;=0.8,"A",IF(Table1[[#This Row],[cumulative_pct]]&lt;=0.95,"B","C"))</f>
        <v>A</v>
      </c>
      <c r="AK398">
        <f>Table1[[#This Row],[adj_unit_cost]]*Table1[[#This Row],[scenario_quantity]]</f>
        <v>17048.988000000001</v>
      </c>
      <c r="AL398" s="5">
        <f>Table1[[#This Row],[UnitPrice]]*Table1[[#This Row],[scenario_quantity]]*(1-Table1[[#This Row],[cap_adjusted_discount]])</f>
        <v>11248.152263999997</v>
      </c>
      <c r="AM398" s="5">
        <f>Table1[[#This Row],[UnitPrice]]*Table1[[#This Row],[Quantity]]*(1-Table1[[#This Row],[DiscountPct]])</f>
        <v>9373.460219999999</v>
      </c>
      <c r="AN398" s="5">
        <f>Table1[[#This Row],[gross_revenue]]-Table1[[#This Row],[cost_of_goods]]</f>
        <v>-3542.4397800000006</v>
      </c>
      <c r="AO398" s="5">
        <f>Table1[[#This Row],[scenario_revenue]]-Table1[[#This Row],[Scenario_unit_cost]]</f>
        <v>-5800.8357360000045</v>
      </c>
      <c r="AP398" s="5">
        <f>IF(Table1[[#This Row],[gross_revenue]]=0,0,Table1[[#This Row],[gross_profit]]/Table1[[#This Row],[gross_revenue]])</f>
        <v>-0.37792231437026369</v>
      </c>
    </row>
    <row r="399" spans="1:42" x14ac:dyDescent="0.35">
      <c r="A399" t="s">
        <v>392</v>
      </c>
      <c r="B399" t="str">
        <f>_xlfn.TEXTAFTER(Table1[[#This Row],[OrderID]],"-",2)</f>
        <v>636162</v>
      </c>
      <c r="C399">
        <f>YEAR(Table1[[#This Row],[OrderDate]])</f>
        <v>2025</v>
      </c>
      <c r="D399" s="9">
        <f>_xlfn.MINIFS(F:F,P:P,Table1[[#This Row],[Country]])</f>
        <v>44933</v>
      </c>
      <c r="E399" s="7">
        <f>DATEDIF(Table1[[#This Row],[first_time_orders]],Table1[[#This Row],[OrderDate]],"m")</f>
        <v>24</v>
      </c>
      <c r="F399" s="9">
        <v>45664</v>
      </c>
      <c r="G399" s="2" t="str">
        <f>TEXT(Table1[[#This Row],[OrderDate]],"MMM-YYYY")</f>
        <v>Jan-2025</v>
      </c>
      <c r="H399" s="7">
        <f>MONTH(Table1[[#This Row],[OrderDate]])</f>
        <v>1</v>
      </c>
      <c r="I399" s="7" t="str">
        <f>"Q"&amp;ROUNDUP(Table1[[#This Row],[months]]/3,0)&amp;"-"&amp;Table1[[#This Row],[order_year]]</f>
        <v>Q1-2025</v>
      </c>
      <c r="J399" s="7">
        <f>Table1[[#This Row],[RequiredDate]]-Table1[[#This Row],[OrderDate]]</f>
        <v>13</v>
      </c>
      <c r="K399" s="7">
        <f>IF(Table1[[#This Row],[lead_time]]&lt;0,MEDIAN(J:J),Table1[[#This Row],[lead_time]])</f>
        <v>13</v>
      </c>
      <c r="L399" s="7">
        <f>IF(Table1[[#This Row],[adj_lead_time]]&lt;=7,1,0)</f>
        <v>0</v>
      </c>
      <c r="M399" s="9">
        <v>45677</v>
      </c>
      <c r="N399" s="9">
        <f>IF(Table1[[#This Row],[lead_time]]&lt;0,(Table1[[#This Row],[OrderDate]]+Table1[[#This Row],[adj_lead_time]]),Table1[[#This Row],[RequiredDate]])</f>
        <v>45677</v>
      </c>
      <c r="O399" t="s">
        <v>646</v>
      </c>
      <c r="P399" t="s">
        <v>661</v>
      </c>
      <c r="Q399" t="s">
        <v>695</v>
      </c>
      <c r="R399" t="s">
        <v>701</v>
      </c>
      <c r="S399" t="s">
        <v>711</v>
      </c>
      <c r="T399" t="s">
        <v>723</v>
      </c>
      <c r="U399" t="s">
        <v>729</v>
      </c>
      <c r="V399" t="s">
        <v>1112</v>
      </c>
      <c r="W399">
        <v>432.13</v>
      </c>
      <c r="X399">
        <f>Table1[[#This Row],[UnitCost]]*(1+'scenario modeling'!$B$3)</f>
        <v>475.34300000000002</v>
      </c>
      <c r="Y399">
        <v>1034.6600000000001</v>
      </c>
      <c r="Z399" t="str">
        <f>IF(Table1[[#This Row],[UnitPrice]]&lt;=Quantiles!$B$2,Quantiles!$A$2,IF(Table1[[#This Row],[UnitPrice]]&lt;=Quantiles!$B$3,Quantiles!$A$3,Quantiles!$A$4))</f>
        <v>Medium</v>
      </c>
      <c r="AA399">
        <v>9.1999999999999998E-2</v>
      </c>
      <c r="AB399" s="5">
        <f>MIN(Table1[[#This Row],[DiscountPct]],'scenario modeling'!$B$2)</f>
        <v>9.1999999999999998E-2</v>
      </c>
      <c r="AC399" t="str">
        <f>IF(Table1[[#This Row],[DiscountPct]]&gt;0.3, "&gt;0.3","")</f>
        <v/>
      </c>
      <c r="AD399">
        <v>7</v>
      </c>
      <c r="AE399">
        <f>Table1[[#This Row],[Quantity]]*(1+'scenario modeling'!$B$4)</f>
        <v>8.4</v>
      </c>
      <c r="AF399">
        <f>Table1[[#This Row],[UnitCost]]*Table1[[#This Row],[Quantity]]</f>
        <v>3024.91</v>
      </c>
      <c r="AG399">
        <f>SUMIF($U:U,Table1[[#This Row],[ProductCategory]],$AM:AM)</f>
        <v>1773719.1704599999</v>
      </c>
      <c r="AH399">
        <f>SUMIFS($AM$2:AM399,$U$2:U399,U399)</f>
        <v>988815.37797000026</v>
      </c>
      <c r="AI399" s="5">
        <f>Table1[[#This Row],[Cumulative_revenue]]/Table1[[#This Row],[Category_revenue]]</f>
        <v>0.55748136144548677</v>
      </c>
      <c r="AJ399" t="str">
        <f>IF(Table1[[#This Row],[cumulative_pct]]&lt;=0.8,"A",IF(Table1[[#This Row],[cumulative_pct]]&lt;=0.95,"B","C"))</f>
        <v>A</v>
      </c>
      <c r="AK399">
        <f>Table1[[#This Row],[adj_unit_cost]]*Table1[[#This Row],[scenario_quantity]]</f>
        <v>3992.8812000000003</v>
      </c>
      <c r="AL399" s="5">
        <f>Table1[[#This Row],[UnitPrice]]*Table1[[#This Row],[scenario_quantity]]*(1-Table1[[#This Row],[cap_adjusted_discount]])</f>
        <v>7891.5587520000008</v>
      </c>
      <c r="AM399" s="5">
        <f>Table1[[#This Row],[UnitPrice]]*Table1[[#This Row],[Quantity]]*(1-Table1[[#This Row],[DiscountPct]])</f>
        <v>6576.298960000001</v>
      </c>
      <c r="AN399" s="5">
        <f>Table1[[#This Row],[gross_revenue]]-Table1[[#This Row],[cost_of_goods]]</f>
        <v>3551.3889600000011</v>
      </c>
      <c r="AO399" s="5">
        <f>Table1[[#This Row],[scenario_revenue]]-Table1[[#This Row],[Scenario_unit_cost]]</f>
        <v>3898.6775520000006</v>
      </c>
      <c r="AP399" s="5">
        <f>IF(Table1[[#This Row],[gross_revenue]]=0,0,Table1[[#This Row],[gross_profit]]/Table1[[#This Row],[gross_revenue]])</f>
        <v>0.54002851476204794</v>
      </c>
    </row>
    <row r="400" spans="1:42" x14ac:dyDescent="0.35">
      <c r="A400" t="s">
        <v>393</v>
      </c>
      <c r="B400" t="str">
        <f>_xlfn.TEXTAFTER(Table1[[#This Row],[OrderID]],"-",2)</f>
        <v>915869</v>
      </c>
      <c r="C400">
        <f>YEAR(Table1[[#This Row],[OrderDate]])</f>
        <v>2025</v>
      </c>
      <c r="D400" s="9">
        <f>_xlfn.MINIFS(F:F,P:P,Table1[[#This Row],[Country]])</f>
        <v>44955</v>
      </c>
      <c r="E400" s="7">
        <f>DATEDIF(Table1[[#This Row],[first_time_orders]],Table1[[#This Row],[OrderDate]],"m")</f>
        <v>24</v>
      </c>
      <c r="F400" s="9">
        <v>45694</v>
      </c>
      <c r="G400" s="2" t="str">
        <f>TEXT(Table1[[#This Row],[OrderDate]],"MMM-YYYY")</f>
        <v>Feb-2025</v>
      </c>
      <c r="H400" s="7">
        <f>MONTH(Table1[[#This Row],[OrderDate]])</f>
        <v>2</v>
      </c>
      <c r="I400" s="7" t="str">
        <f>"Q"&amp;ROUNDUP(Table1[[#This Row],[months]]/3,0)&amp;"-"&amp;Table1[[#This Row],[order_year]]</f>
        <v>Q1-2025</v>
      </c>
      <c r="J400" s="7">
        <f>Table1[[#This Row],[RequiredDate]]-Table1[[#This Row],[OrderDate]]</f>
        <v>9</v>
      </c>
      <c r="K400" s="7">
        <f>IF(Table1[[#This Row],[lead_time]]&lt;0,MEDIAN(J:J),Table1[[#This Row],[lead_time]])</f>
        <v>9</v>
      </c>
      <c r="L400" s="7">
        <f>IF(Table1[[#This Row],[adj_lead_time]]&lt;=7,1,0)</f>
        <v>0</v>
      </c>
      <c r="M400" s="9">
        <v>45703</v>
      </c>
      <c r="N400" s="9">
        <f>IF(Table1[[#This Row],[lead_time]]&lt;0,(Table1[[#This Row],[OrderDate]]+Table1[[#This Row],[adj_lead_time]]),Table1[[#This Row],[RequiredDate]])</f>
        <v>45703</v>
      </c>
      <c r="O400" t="s">
        <v>648</v>
      </c>
      <c r="P400" t="s">
        <v>655</v>
      </c>
      <c r="Q400" t="s">
        <v>670</v>
      </c>
      <c r="R400" t="s">
        <v>703</v>
      </c>
      <c r="S400" t="s">
        <v>710</v>
      </c>
      <c r="T400" t="s">
        <v>721</v>
      </c>
      <c r="U400" t="s">
        <v>729</v>
      </c>
      <c r="V400" t="s">
        <v>1113</v>
      </c>
      <c r="W400">
        <v>837.39</v>
      </c>
      <c r="X400">
        <f>Table1[[#This Row],[UnitCost]]*(1+'scenario modeling'!$B$3)</f>
        <v>921.12900000000002</v>
      </c>
      <c r="Y400">
        <v>1905.42</v>
      </c>
      <c r="Z400" t="str">
        <f>IF(Table1[[#This Row],[UnitPrice]]&lt;=Quantiles!$B$2,Quantiles!$A$2,IF(Table1[[#This Row],[UnitPrice]]&lt;=Quantiles!$B$3,Quantiles!$A$3,Quantiles!$A$4))</f>
        <v>High</v>
      </c>
      <c r="AA400">
        <v>3.2000000000000001E-2</v>
      </c>
      <c r="AB400" s="5">
        <f>MIN(Table1[[#This Row],[DiscountPct]],'scenario modeling'!$B$2)</f>
        <v>3.2000000000000001E-2</v>
      </c>
      <c r="AC400" t="str">
        <f>IF(Table1[[#This Row],[DiscountPct]]&gt;0.3, "&gt;0.3","")</f>
        <v/>
      </c>
      <c r="AD400">
        <v>18</v>
      </c>
      <c r="AE400">
        <f>Table1[[#This Row],[Quantity]]*(1+'scenario modeling'!$B$4)</f>
        <v>21.599999999999998</v>
      </c>
      <c r="AF400">
        <f>Table1[[#This Row],[UnitCost]]*Table1[[#This Row],[Quantity]]</f>
        <v>15073.02</v>
      </c>
      <c r="AG400">
        <f>SUMIF($U:U,Table1[[#This Row],[ProductCategory]],$AM:AM)</f>
        <v>1773719.1704599999</v>
      </c>
      <c r="AH400">
        <f>SUMIFS($AM$2:AM400,$U$2:U400,U400)</f>
        <v>1022015.4160500002</v>
      </c>
      <c r="AI400" s="5">
        <f>Table1[[#This Row],[Cumulative_revenue]]/Table1[[#This Row],[Category_revenue]]</f>
        <v>0.57619911487169007</v>
      </c>
      <c r="AJ400" t="str">
        <f>IF(Table1[[#This Row],[cumulative_pct]]&lt;=0.8,"A",IF(Table1[[#This Row],[cumulative_pct]]&lt;=0.95,"B","C"))</f>
        <v>A</v>
      </c>
      <c r="AK400">
        <f>Table1[[#This Row],[adj_unit_cost]]*Table1[[#This Row],[scenario_quantity]]</f>
        <v>19896.386399999999</v>
      </c>
      <c r="AL400" s="5">
        <f>Table1[[#This Row],[UnitPrice]]*Table1[[#This Row],[scenario_quantity]]*(1-Table1[[#This Row],[cap_adjusted_discount]])</f>
        <v>39840.045696000001</v>
      </c>
      <c r="AM400" s="5">
        <f>Table1[[#This Row],[UnitPrice]]*Table1[[#This Row],[Quantity]]*(1-Table1[[#This Row],[DiscountPct]])</f>
        <v>33200.038079999998</v>
      </c>
      <c r="AN400" s="5">
        <f>Table1[[#This Row],[gross_revenue]]-Table1[[#This Row],[cost_of_goods]]</f>
        <v>18127.018079999998</v>
      </c>
      <c r="AO400" s="5">
        <f>Table1[[#This Row],[scenario_revenue]]-Table1[[#This Row],[Scenario_unit_cost]]</f>
        <v>19943.659296000002</v>
      </c>
      <c r="AP400" s="5">
        <f>IF(Table1[[#This Row],[gross_revenue]]=0,0,Table1[[#This Row],[gross_profit]]/Table1[[#This Row],[gross_revenue]])</f>
        <v>0.54599389423350919</v>
      </c>
    </row>
    <row r="401" spans="1:42" x14ac:dyDescent="0.35">
      <c r="A401" t="s">
        <v>295</v>
      </c>
      <c r="B401" t="str">
        <f>_xlfn.TEXTAFTER(Table1[[#This Row],[OrderID]],"-",2)</f>
        <v>685236</v>
      </c>
      <c r="C401">
        <f>YEAR(Table1[[#This Row],[OrderDate]])</f>
        <v>2025</v>
      </c>
      <c r="D401" s="9">
        <f>_xlfn.MINIFS(F:F,P:P,Table1[[#This Row],[Country]])</f>
        <v>44988</v>
      </c>
      <c r="E401" s="7">
        <f>DATEDIF(Table1[[#This Row],[first_time_orders]],Table1[[#This Row],[OrderDate]],"m")</f>
        <v>24</v>
      </c>
      <c r="F401" s="9">
        <v>45730</v>
      </c>
      <c r="G401" s="2" t="str">
        <f>TEXT(Table1[[#This Row],[OrderDate]],"MMM-YYYY")</f>
        <v>Mar-2025</v>
      </c>
      <c r="H401" s="7">
        <f>MONTH(Table1[[#This Row],[OrderDate]])</f>
        <v>3</v>
      </c>
      <c r="I401" s="7" t="str">
        <f>"Q"&amp;ROUNDUP(Table1[[#This Row],[months]]/3,0)&amp;"-"&amp;Table1[[#This Row],[order_year]]</f>
        <v>Q1-2025</v>
      </c>
      <c r="J401" s="7">
        <f>Table1[[#This Row],[RequiredDate]]-Table1[[#This Row],[OrderDate]]</f>
        <v>15</v>
      </c>
      <c r="K401" s="7">
        <f>IF(Table1[[#This Row],[lead_time]]&lt;0,MEDIAN(J:J),Table1[[#This Row],[lead_time]])</f>
        <v>15</v>
      </c>
      <c r="L401" s="7">
        <f>IF(Table1[[#This Row],[adj_lead_time]]&lt;=7,1,0)</f>
        <v>0</v>
      </c>
      <c r="M401" s="9">
        <v>45745</v>
      </c>
      <c r="N401" s="9">
        <f>IF(Table1[[#This Row],[lead_time]]&lt;0,(Table1[[#This Row],[OrderDate]]+Table1[[#This Row],[adj_lead_time]]),Table1[[#This Row],[RequiredDate]])</f>
        <v>45745</v>
      </c>
      <c r="O401" t="s">
        <v>647</v>
      </c>
      <c r="P401" t="s">
        <v>652</v>
      </c>
      <c r="Q401" t="s">
        <v>689</v>
      </c>
      <c r="R401" t="s">
        <v>703</v>
      </c>
      <c r="S401" t="s">
        <v>711</v>
      </c>
      <c r="T401" t="s">
        <v>722</v>
      </c>
      <c r="U401" t="s">
        <v>729</v>
      </c>
      <c r="V401" t="s">
        <v>1015</v>
      </c>
      <c r="W401">
        <v>1106.96</v>
      </c>
      <c r="X401">
        <f>Table1[[#This Row],[UnitCost]]*(1+'scenario modeling'!$B$3)</f>
        <v>1217.6560000000002</v>
      </c>
      <c r="Y401">
        <v>2726.62</v>
      </c>
      <c r="Z401" t="str">
        <f>IF(Table1[[#This Row],[UnitPrice]]&lt;=Quantiles!$B$2,Quantiles!$A$2,IF(Table1[[#This Row],[UnitPrice]]&lt;=Quantiles!$B$3,Quantiles!$A$3,Quantiles!$A$4))</f>
        <v>High</v>
      </c>
      <c r="AA401">
        <v>0.317</v>
      </c>
      <c r="AB401" s="5">
        <f>MIN(Table1[[#This Row],[DiscountPct]],'scenario modeling'!$B$2)</f>
        <v>0.1</v>
      </c>
      <c r="AC401" t="str">
        <f>IF(Table1[[#This Row],[DiscountPct]]&gt;0.3, "&gt;0.3","")</f>
        <v>&gt;0.3</v>
      </c>
      <c r="AD401">
        <v>7</v>
      </c>
      <c r="AE401">
        <f>Table1[[#This Row],[Quantity]]*(1+'scenario modeling'!$B$4)</f>
        <v>8.4</v>
      </c>
      <c r="AF401">
        <f>Table1[[#This Row],[UnitCost]]*Table1[[#This Row],[Quantity]]</f>
        <v>7748.72</v>
      </c>
      <c r="AG401">
        <f>SUMIF($U:U,Table1[[#This Row],[ProductCategory]],$AM:AM)</f>
        <v>1773719.1704599999</v>
      </c>
      <c r="AH401">
        <f>SUMIFS($AM$2:AM401,$U$2:U401,U401)</f>
        <v>1035051.3862700003</v>
      </c>
      <c r="AI401" s="5">
        <f>Table1[[#This Row],[Cumulative_revenue]]/Table1[[#This Row],[Category_revenue]]</f>
        <v>0.58354862681084285</v>
      </c>
      <c r="AJ401" t="str">
        <f>IF(Table1[[#This Row],[cumulative_pct]]&lt;=0.8,"A",IF(Table1[[#This Row],[cumulative_pct]]&lt;=0.95,"B","C"))</f>
        <v>A</v>
      </c>
      <c r="AK401">
        <f>Table1[[#This Row],[adj_unit_cost]]*Table1[[#This Row],[scenario_quantity]]</f>
        <v>10228.310400000002</v>
      </c>
      <c r="AL401" s="5">
        <f>Table1[[#This Row],[UnitPrice]]*Table1[[#This Row],[scenario_quantity]]*(1-Table1[[#This Row],[cap_adjusted_discount]])</f>
        <v>20613.247200000002</v>
      </c>
      <c r="AM401" s="5">
        <f>Table1[[#This Row],[UnitPrice]]*Table1[[#This Row],[Quantity]]*(1-Table1[[#This Row],[DiscountPct]])</f>
        <v>13035.970220000001</v>
      </c>
      <c r="AN401" s="5">
        <f>Table1[[#This Row],[gross_revenue]]-Table1[[#This Row],[cost_of_goods]]</f>
        <v>5287.2502200000008</v>
      </c>
      <c r="AO401" s="5">
        <f>Table1[[#This Row],[scenario_revenue]]-Table1[[#This Row],[Scenario_unit_cost]]</f>
        <v>10384.936799999999</v>
      </c>
      <c r="AP401" s="5">
        <f>IF(Table1[[#This Row],[gross_revenue]]=0,0,Table1[[#This Row],[gross_profit]]/Table1[[#This Row],[gross_revenue]])</f>
        <v>0.40558931408789306</v>
      </c>
    </row>
    <row r="402" spans="1:42" x14ac:dyDescent="0.35">
      <c r="A402" t="s">
        <v>578</v>
      </c>
      <c r="B402" t="str">
        <f>_xlfn.TEXTAFTER(Table1[[#This Row],[OrderID]],"-",2)</f>
        <v>659650</v>
      </c>
      <c r="C402">
        <f>YEAR(Table1[[#This Row],[OrderDate]])</f>
        <v>2025</v>
      </c>
      <c r="D402" s="9">
        <f>_xlfn.MINIFS(F:F,P:P,Table1[[#This Row],[Country]])</f>
        <v>44945</v>
      </c>
      <c r="E402" s="7">
        <f>DATEDIF(Table1[[#This Row],[first_time_orders]],Table1[[#This Row],[OrderDate]],"m")</f>
        <v>24</v>
      </c>
      <c r="F402" s="9">
        <v>45692</v>
      </c>
      <c r="G402" s="2" t="str">
        <f>TEXT(Table1[[#This Row],[OrderDate]],"MMM-YYYY")</f>
        <v>Feb-2025</v>
      </c>
      <c r="H402" s="7">
        <f>MONTH(Table1[[#This Row],[OrderDate]])</f>
        <v>2</v>
      </c>
      <c r="I402" s="7" t="str">
        <f>"Q"&amp;ROUNDUP(Table1[[#This Row],[months]]/3,0)&amp;"-"&amp;Table1[[#This Row],[order_year]]</f>
        <v>Q1-2025</v>
      </c>
      <c r="J402" s="7">
        <f>Table1[[#This Row],[RequiredDate]]-Table1[[#This Row],[OrderDate]]</f>
        <v>4</v>
      </c>
      <c r="K402" s="7">
        <f>IF(Table1[[#This Row],[lead_time]]&lt;0,MEDIAN(J:J),Table1[[#This Row],[lead_time]])</f>
        <v>4</v>
      </c>
      <c r="L402" s="7">
        <f>IF(Table1[[#This Row],[adj_lead_time]]&lt;=7,1,0)</f>
        <v>1</v>
      </c>
      <c r="M402" s="9">
        <v>45696</v>
      </c>
      <c r="N402" s="9">
        <f>IF(Table1[[#This Row],[lead_time]]&lt;0,(Table1[[#This Row],[OrderDate]]+Table1[[#This Row],[adj_lead_time]]),Table1[[#This Row],[RequiredDate]])</f>
        <v>45696</v>
      </c>
      <c r="O402" t="s">
        <v>649</v>
      </c>
      <c r="P402" t="s">
        <v>658</v>
      </c>
      <c r="Q402" t="s">
        <v>693</v>
      </c>
      <c r="R402" t="s">
        <v>706</v>
      </c>
      <c r="S402" t="s">
        <v>709</v>
      </c>
      <c r="T402" t="s">
        <v>716</v>
      </c>
      <c r="U402" t="s">
        <v>729</v>
      </c>
      <c r="V402" t="s">
        <v>1296</v>
      </c>
      <c r="W402">
        <v>586.21</v>
      </c>
      <c r="X402">
        <f>Table1[[#This Row],[UnitCost]]*(1+'scenario modeling'!$B$3)</f>
        <v>644.83100000000013</v>
      </c>
      <c r="Y402">
        <v>727.22</v>
      </c>
      <c r="Z402" t="str">
        <f>IF(Table1[[#This Row],[UnitPrice]]&lt;=Quantiles!$B$2,Quantiles!$A$2,IF(Table1[[#This Row],[UnitPrice]]&lt;=Quantiles!$B$3,Quantiles!$A$3,Quantiles!$A$4))</f>
        <v>Low</v>
      </c>
      <c r="AA402">
        <v>6.8000000000000005E-2</v>
      </c>
      <c r="AB402" s="5">
        <f>MIN(Table1[[#This Row],[DiscountPct]],'scenario modeling'!$B$2)</f>
        <v>6.8000000000000005E-2</v>
      </c>
      <c r="AC402" t="str">
        <f>IF(Table1[[#This Row],[DiscountPct]]&gt;0.3, "&gt;0.3","")</f>
        <v/>
      </c>
      <c r="AD402">
        <v>15</v>
      </c>
      <c r="AE402">
        <f>Table1[[#This Row],[Quantity]]*(1+'scenario modeling'!$B$4)</f>
        <v>18</v>
      </c>
      <c r="AF402">
        <f>Table1[[#This Row],[UnitCost]]*Table1[[#This Row],[Quantity]]</f>
        <v>8793.1500000000015</v>
      </c>
      <c r="AG402">
        <f>SUMIF($U:U,Table1[[#This Row],[ProductCategory]],$AM:AM)</f>
        <v>1773719.1704599999</v>
      </c>
      <c r="AH402">
        <f>SUMIFS($AM$2:AM402,$U$2:U402,U402)</f>
        <v>1045217.9218700002</v>
      </c>
      <c r="AI402" s="5">
        <f>Table1[[#This Row],[Cumulative_revenue]]/Table1[[#This Row],[Category_revenue]]</f>
        <v>0.58928038850644615</v>
      </c>
      <c r="AJ402" t="str">
        <f>IF(Table1[[#This Row],[cumulative_pct]]&lt;=0.8,"A",IF(Table1[[#This Row],[cumulative_pct]]&lt;=0.95,"B","C"))</f>
        <v>A</v>
      </c>
      <c r="AK402">
        <f>Table1[[#This Row],[adj_unit_cost]]*Table1[[#This Row],[scenario_quantity]]</f>
        <v>11606.958000000002</v>
      </c>
      <c r="AL402" s="5">
        <f>Table1[[#This Row],[UnitPrice]]*Table1[[#This Row],[scenario_quantity]]*(1-Table1[[#This Row],[cap_adjusted_discount]])</f>
        <v>12199.842720000001</v>
      </c>
      <c r="AM402" s="5">
        <f>Table1[[#This Row],[UnitPrice]]*Table1[[#This Row],[Quantity]]*(1-Table1[[#This Row],[DiscountPct]])</f>
        <v>10166.535600000001</v>
      </c>
      <c r="AN402" s="5">
        <f>Table1[[#This Row],[gross_revenue]]-Table1[[#This Row],[cost_of_goods]]</f>
        <v>1373.3855999999996</v>
      </c>
      <c r="AO402" s="5">
        <f>Table1[[#This Row],[scenario_revenue]]-Table1[[#This Row],[Scenario_unit_cost]]</f>
        <v>592.8847199999982</v>
      </c>
      <c r="AP402" s="5">
        <f>IF(Table1[[#This Row],[gross_revenue]]=0,0,Table1[[#This Row],[gross_profit]]/Table1[[#This Row],[gross_revenue]])</f>
        <v>0.13508884973559721</v>
      </c>
    </row>
    <row r="403" spans="1:42" x14ac:dyDescent="0.35">
      <c r="A403" t="s">
        <v>518</v>
      </c>
      <c r="B403" t="str">
        <f>_xlfn.TEXTAFTER(Table1[[#This Row],[OrderID]],"-",2)</f>
        <v>680118</v>
      </c>
      <c r="C403">
        <f>YEAR(Table1[[#This Row],[OrderDate]])</f>
        <v>2025</v>
      </c>
      <c r="D403" s="9">
        <f>_xlfn.MINIFS(F:F,P:P,Table1[[#This Row],[Country]])</f>
        <v>44955</v>
      </c>
      <c r="E403" s="7">
        <f>DATEDIF(Table1[[#This Row],[first_time_orders]],Table1[[#This Row],[OrderDate]],"m")</f>
        <v>25</v>
      </c>
      <c r="F403" s="9">
        <v>45726</v>
      </c>
      <c r="G403" s="2" t="str">
        <f>TEXT(Table1[[#This Row],[OrderDate]],"MMM-YYYY")</f>
        <v>Mar-2025</v>
      </c>
      <c r="H403" s="7">
        <f>MONTH(Table1[[#This Row],[OrderDate]])</f>
        <v>3</v>
      </c>
      <c r="I403" s="7" t="str">
        <f>"Q"&amp;ROUNDUP(Table1[[#This Row],[months]]/3,0)&amp;"-"&amp;Table1[[#This Row],[order_year]]</f>
        <v>Q1-2025</v>
      </c>
      <c r="J403" s="7">
        <f>Table1[[#This Row],[RequiredDate]]-Table1[[#This Row],[OrderDate]]</f>
        <v>17</v>
      </c>
      <c r="K403" s="7">
        <f>IF(Table1[[#This Row],[lead_time]]&lt;0,MEDIAN(J:J),Table1[[#This Row],[lead_time]])</f>
        <v>17</v>
      </c>
      <c r="L403" s="7">
        <f>IF(Table1[[#This Row],[adj_lead_time]]&lt;=7,1,0)</f>
        <v>0</v>
      </c>
      <c r="M403" s="9">
        <v>45743</v>
      </c>
      <c r="N403" s="9">
        <f>IF(Table1[[#This Row],[lead_time]]&lt;0,(Table1[[#This Row],[OrderDate]]+Table1[[#This Row],[adj_lead_time]]),Table1[[#This Row],[RequiredDate]])</f>
        <v>45743</v>
      </c>
      <c r="O403" t="s">
        <v>648</v>
      </c>
      <c r="P403" t="s">
        <v>655</v>
      </c>
      <c r="Q403" t="s">
        <v>692</v>
      </c>
      <c r="R403" t="s">
        <v>706</v>
      </c>
      <c r="S403" t="s">
        <v>711</v>
      </c>
      <c r="T403" t="s">
        <v>721</v>
      </c>
      <c r="U403" t="s">
        <v>729</v>
      </c>
      <c r="V403" t="s">
        <v>1237</v>
      </c>
      <c r="W403">
        <v>996.73</v>
      </c>
      <c r="X403">
        <f>Table1[[#This Row],[UnitCost]]*(1+'scenario modeling'!$B$3)</f>
        <v>1096.403</v>
      </c>
      <c r="Y403">
        <v>1217.43</v>
      </c>
      <c r="Z403" t="str">
        <f>IF(Table1[[#This Row],[UnitPrice]]&lt;=Quantiles!$B$2,Quantiles!$A$2,IF(Table1[[#This Row],[UnitPrice]]&lt;=Quantiles!$B$3,Quantiles!$A$3,Quantiles!$A$4))</f>
        <v>Medium</v>
      </c>
      <c r="AA403">
        <v>7.0000000000000007E-2</v>
      </c>
      <c r="AB403" s="5">
        <f>MIN(Table1[[#This Row],[DiscountPct]],'scenario modeling'!$B$2)</f>
        <v>7.0000000000000007E-2</v>
      </c>
      <c r="AC403" t="str">
        <f>IF(Table1[[#This Row],[DiscountPct]]&gt;0.3, "&gt;0.3","")</f>
        <v/>
      </c>
      <c r="AD403">
        <v>9</v>
      </c>
      <c r="AE403">
        <f>Table1[[#This Row],[Quantity]]*(1+'scenario modeling'!$B$4)</f>
        <v>10.799999999999999</v>
      </c>
      <c r="AF403">
        <f>Table1[[#This Row],[UnitCost]]*Table1[[#This Row],[Quantity]]</f>
        <v>8970.57</v>
      </c>
      <c r="AG403">
        <f>SUMIF($U:U,Table1[[#This Row],[ProductCategory]],$AM:AM)</f>
        <v>1773719.1704599999</v>
      </c>
      <c r="AH403">
        <f>SUMIFS($AM$2:AM403,$U$2:U403,U403)</f>
        <v>1055407.8109700002</v>
      </c>
      <c r="AI403" s="5">
        <f>Table1[[#This Row],[Cumulative_revenue]]/Table1[[#This Row],[Category_revenue]]</f>
        <v>0.59502531660425628</v>
      </c>
      <c r="AJ403" t="str">
        <f>IF(Table1[[#This Row],[cumulative_pct]]&lt;=0.8,"A",IF(Table1[[#This Row],[cumulative_pct]]&lt;=0.95,"B","C"))</f>
        <v>A</v>
      </c>
      <c r="AK403">
        <f>Table1[[#This Row],[adj_unit_cost]]*Table1[[#This Row],[scenario_quantity]]</f>
        <v>11841.152399999999</v>
      </c>
      <c r="AL403" s="5">
        <f>Table1[[#This Row],[UnitPrice]]*Table1[[#This Row],[scenario_quantity]]*(1-Table1[[#This Row],[cap_adjusted_discount]])</f>
        <v>12227.866919999999</v>
      </c>
      <c r="AM403" s="5">
        <f>Table1[[#This Row],[UnitPrice]]*Table1[[#This Row],[Quantity]]*(1-Table1[[#This Row],[DiscountPct]])</f>
        <v>10189.8891</v>
      </c>
      <c r="AN403" s="5">
        <f>Table1[[#This Row],[gross_revenue]]-Table1[[#This Row],[cost_of_goods]]</f>
        <v>1219.3191000000006</v>
      </c>
      <c r="AO403" s="5">
        <f>Table1[[#This Row],[scenario_revenue]]-Table1[[#This Row],[Scenario_unit_cost]]</f>
        <v>386.71451999999954</v>
      </c>
      <c r="AP403" s="5">
        <f>IF(Table1[[#This Row],[gross_revenue]]=0,0,Table1[[#This Row],[gross_profit]]/Table1[[#This Row],[gross_revenue]])</f>
        <v>0.11965970267527255</v>
      </c>
    </row>
    <row r="404" spans="1:42" x14ac:dyDescent="0.35">
      <c r="A404" t="s">
        <v>105</v>
      </c>
      <c r="B404" t="str">
        <f>_xlfn.TEXTAFTER(Table1[[#This Row],[OrderID]],"-",2)</f>
        <v>626047</v>
      </c>
      <c r="C404">
        <f>YEAR(Table1[[#This Row],[OrderDate]])</f>
        <v>2025</v>
      </c>
      <c r="D404" s="9">
        <f>_xlfn.MINIFS(F:F,P:P,Table1[[#This Row],[Country]])</f>
        <v>44988</v>
      </c>
      <c r="E404" s="7">
        <f>DATEDIF(Table1[[#This Row],[first_time_orders]],Table1[[#This Row],[OrderDate]],"m")</f>
        <v>25</v>
      </c>
      <c r="F404" s="9">
        <v>45775</v>
      </c>
      <c r="G404" s="2" t="str">
        <f>TEXT(Table1[[#This Row],[OrderDate]],"MMM-YYYY")</f>
        <v>Apr-2025</v>
      </c>
      <c r="H404" s="7">
        <f>MONTH(Table1[[#This Row],[OrderDate]])</f>
        <v>4</v>
      </c>
      <c r="I404" s="7" t="str">
        <f>"Q"&amp;ROUNDUP(Table1[[#This Row],[months]]/3,0)&amp;"-"&amp;Table1[[#This Row],[order_year]]</f>
        <v>Q2-2025</v>
      </c>
      <c r="J404" s="7">
        <f>Table1[[#This Row],[RequiredDate]]-Table1[[#This Row],[OrderDate]]</f>
        <v>17</v>
      </c>
      <c r="K404" s="7">
        <f>IF(Table1[[#This Row],[lead_time]]&lt;0,MEDIAN(J:J),Table1[[#This Row],[lead_time]])</f>
        <v>17</v>
      </c>
      <c r="L404" s="7">
        <f>IF(Table1[[#This Row],[adj_lead_time]]&lt;=7,1,0)</f>
        <v>0</v>
      </c>
      <c r="M404" s="9">
        <v>45792</v>
      </c>
      <c r="N404" s="9">
        <f>IF(Table1[[#This Row],[lead_time]]&lt;0,(Table1[[#This Row],[OrderDate]]+Table1[[#This Row],[adj_lead_time]]),Table1[[#This Row],[RequiredDate]])</f>
        <v>45792</v>
      </c>
      <c r="O404" t="s">
        <v>647</v>
      </c>
      <c r="P404" t="s">
        <v>652</v>
      </c>
      <c r="Q404" t="s">
        <v>694</v>
      </c>
      <c r="R404" t="s">
        <v>702</v>
      </c>
      <c r="S404" t="s">
        <v>711</v>
      </c>
      <c r="T404" t="s">
        <v>725</v>
      </c>
      <c r="U404" t="s">
        <v>729</v>
      </c>
      <c r="V404" t="s">
        <v>824</v>
      </c>
      <c r="W404">
        <v>691.19</v>
      </c>
      <c r="X404">
        <f>Table1[[#This Row],[UnitCost]]*(1+'scenario modeling'!$B$3)</f>
        <v>760.30900000000008</v>
      </c>
      <c r="Y404">
        <v>1284.3</v>
      </c>
      <c r="Z404" t="str">
        <f>IF(Table1[[#This Row],[UnitPrice]]&lt;=Quantiles!$B$2,Quantiles!$A$2,IF(Table1[[#This Row],[UnitPrice]]&lt;=Quantiles!$B$3,Quantiles!$A$3,Quantiles!$A$4))</f>
        <v>Medium</v>
      </c>
      <c r="AA404">
        <v>7.3999999999999996E-2</v>
      </c>
      <c r="AB404" s="5">
        <f>MIN(Table1[[#This Row],[DiscountPct]],'scenario modeling'!$B$2)</f>
        <v>7.3999999999999996E-2</v>
      </c>
      <c r="AC404" t="str">
        <f>IF(Table1[[#This Row],[DiscountPct]]&gt;0.3, "&gt;0.3","")</f>
        <v/>
      </c>
      <c r="AD404">
        <v>7</v>
      </c>
      <c r="AE404">
        <f>Table1[[#This Row],[Quantity]]*(1+'scenario modeling'!$B$4)</f>
        <v>8.4</v>
      </c>
      <c r="AF404">
        <f>Table1[[#This Row],[UnitCost]]*Table1[[#This Row],[Quantity]]</f>
        <v>4838.33</v>
      </c>
      <c r="AG404">
        <f>SUMIF($U:U,Table1[[#This Row],[ProductCategory]],$AM:AM)</f>
        <v>1773719.1704599999</v>
      </c>
      <c r="AH404">
        <f>SUMIFS($AM$2:AM404,$U$2:U404,U404)</f>
        <v>1063732.6435700003</v>
      </c>
      <c r="AI404" s="5">
        <f>Table1[[#This Row],[Cumulative_revenue]]/Table1[[#This Row],[Category_revenue]]</f>
        <v>0.59971874989327068</v>
      </c>
      <c r="AJ404" t="str">
        <f>IF(Table1[[#This Row],[cumulative_pct]]&lt;=0.8,"A",IF(Table1[[#This Row],[cumulative_pct]]&lt;=0.95,"B","C"))</f>
        <v>A</v>
      </c>
      <c r="AK404">
        <f>Table1[[#This Row],[adj_unit_cost]]*Table1[[#This Row],[scenario_quantity]]</f>
        <v>6386.5956000000006</v>
      </c>
      <c r="AL404" s="5">
        <f>Table1[[#This Row],[UnitPrice]]*Table1[[#This Row],[scenario_quantity]]*(1-Table1[[#This Row],[cap_adjusted_discount]])</f>
        <v>9989.7991200000015</v>
      </c>
      <c r="AM404" s="5">
        <f>Table1[[#This Row],[UnitPrice]]*Table1[[#This Row],[Quantity]]*(1-Table1[[#This Row],[DiscountPct]])</f>
        <v>8324.8326000000015</v>
      </c>
      <c r="AN404" s="5">
        <f>Table1[[#This Row],[gross_revenue]]-Table1[[#This Row],[cost_of_goods]]</f>
        <v>3486.5026000000016</v>
      </c>
      <c r="AO404" s="5">
        <f>Table1[[#This Row],[scenario_revenue]]-Table1[[#This Row],[Scenario_unit_cost]]</f>
        <v>3603.2035200000009</v>
      </c>
      <c r="AP404" s="5">
        <f>IF(Table1[[#This Row],[gross_revenue]]=0,0,Table1[[#This Row],[gross_profit]]/Table1[[#This Row],[gross_revenue]])</f>
        <v>0.41880753253825198</v>
      </c>
    </row>
    <row r="405" spans="1:42" x14ac:dyDescent="0.35">
      <c r="A405" t="s">
        <v>414</v>
      </c>
      <c r="B405" t="str">
        <f>_xlfn.TEXTAFTER(Table1[[#This Row],[OrderID]],"-",2)</f>
        <v>608069</v>
      </c>
      <c r="C405">
        <f>YEAR(Table1[[#This Row],[OrderDate]])</f>
        <v>2025</v>
      </c>
      <c r="D405" s="9">
        <f>_xlfn.MINIFS(F:F,P:P,Table1[[#This Row],[Country]])</f>
        <v>44946</v>
      </c>
      <c r="E405" s="7">
        <f>DATEDIF(Table1[[#This Row],[first_time_orders]],Table1[[#This Row],[OrderDate]],"m")</f>
        <v>26</v>
      </c>
      <c r="F405" s="9">
        <v>45759</v>
      </c>
      <c r="G405" s="2" t="str">
        <f>TEXT(Table1[[#This Row],[OrderDate]],"MMM-YYYY")</f>
        <v>Apr-2025</v>
      </c>
      <c r="H405" s="7">
        <f>MONTH(Table1[[#This Row],[OrderDate]])</f>
        <v>4</v>
      </c>
      <c r="I405" s="7" t="str">
        <f>"Q"&amp;ROUNDUP(Table1[[#This Row],[months]]/3,0)&amp;"-"&amp;Table1[[#This Row],[order_year]]</f>
        <v>Q2-2025</v>
      </c>
      <c r="J405" s="7">
        <f>Table1[[#This Row],[RequiredDate]]-Table1[[#This Row],[OrderDate]]</f>
        <v>18</v>
      </c>
      <c r="K405" s="7">
        <f>IF(Table1[[#This Row],[lead_time]]&lt;0,MEDIAN(J:J),Table1[[#This Row],[lead_time]])</f>
        <v>18</v>
      </c>
      <c r="L405" s="7">
        <f>IF(Table1[[#This Row],[adj_lead_time]]&lt;=7,1,0)</f>
        <v>0</v>
      </c>
      <c r="M405" s="9">
        <v>45777</v>
      </c>
      <c r="N405" s="9">
        <f>IF(Table1[[#This Row],[lead_time]]&lt;0,(Table1[[#This Row],[OrderDate]]+Table1[[#This Row],[adj_lead_time]]),Table1[[#This Row],[RequiredDate]])</f>
        <v>45777</v>
      </c>
      <c r="O405" t="s">
        <v>646</v>
      </c>
      <c r="P405" t="s">
        <v>650</v>
      </c>
      <c r="Q405" t="s">
        <v>662</v>
      </c>
      <c r="R405" t="s">
        <v>701</v>
      </c>
      <c r="S405" t="s">
        <v>709</v>
      </c>
      <c r="T405" t="s">
        <v>721</v>
      </c>
      <c r="U405" t="s">
        <v>729</v>
      </c>
      <c r="V405" t="s">
        <v>1133</v>
      </c>
      <c r="W405">
        <v>1119.04</v>
      </c>
      <c r="X405">
        <f>Table1[[#This Row],[UnitCost]]*(1+'scenario modeling'!$B$3)</f>
        <v>1230.944</v>
      </c>
      <c r="Y405">
        <v>1299.02</v>
      </c>
      <c r="Z405" t="str">
        <f>IF(Table1[[#This Row],[UnitPrice]]&lt;=Quantiles!$B$2,Quantiles!$A$2,IF(Table1[[#This Row],[UnitPrice]]&lt;=Quantiles!$B$3,Quantiles!$A$3,Quantiles!$A$4))</f>
        <v>Medium</v>
      </c>
      <c r="AA405">
        <v>2.5000000000000001E-2</v>
      </c>
      <c r="AB405" s="5">
        <f>MIN(Table1[[#This Row],[DiscountPct]],'scenario modeling'!$B$2)</f>
        <v>2.5000000000000001E-2</v>
      </c>
      <c r="AC405" t="str">
        <f>IF(Table1[[#This Row],[DiscountPct]]&gt;0.3, "&gt;0.3","")</f>
        <v/>
      </c>
      <c r="AD405">
        <v>14</v>
      </c>
      <c r="AE405">
        <f>Table1[[#This Row],[Quantity]]*(1+'scenario modeling'!$B$4)</f>
        <v>16.8</v>
      </c>
      <c r="AF405">
        <f>Table1[[#This Row],[UnitCost]]*Table1[[#This Row],[Quantity]]</f>
        <v>15666.56</v>
      </c>
      <c r="AG405">
        <f>SUMIF($U:U,Table1[[#This Row],[ProductCategory]],$AM:AM)</f>
        <v>1773719.1704599999</v>
      </c>
      <c r="AH405">
        <f>SUMIFS($AM$2:AM405,$U$2:U405,U405)</f>
        <v>1081464.2665700002</v>
      </c>
      <c r="AI405" s="5">
        <f>Table1[[#This Row],[Cumulative_revenue]]/Table1[[#This Row],[Category_revenue]]</f>
        <v>0.60971561032941368</v>
      </c>
      <c r="AJ405" t="str">
        <f>IF(Table1[[#This Row],[cumulative_pct]]&lt;=0.8,"A",IF(Table1[[#This Row],[cumulative_pct]]&lt;=0.95,"B","C"))</f>
        <v>A</v>
      </c>
      <c r="AK405">
        <f>Table1[[#This Row],[adj_unit_cost]]*Table1[[#This Row],[scenario_quantity]]</f>
        <v>20679.859199999999</v>
      </c>
      <c r="AL405" s="5">
        <f>Table1[[#This Row],[UnitPrice]]*Table1[[#This Row],[scenario_quantity]]*(1-Table1[[#This Row],[cap_adjusted_discount]])</f>
        <v>21277.9476</v>
      </c>
      <c r="AM405" s="5">
        <f>Table1[[#This Row],[UnitPrice]]*Table1[[#This Row],[Quantity]]*(1-Table1[[#This Row],[DiscountPct]])</f>
        <v>17731.623</v>
      </c>
      <c r="AN405" s="5">
        <f>Table1[[#This Row],[gross_revenue]]-Table1[[#This Row],[cost_of_goods]]</f>
        <v>2065.0630000000001</v>
      </c>
      <c r="AO405" s="5">
        <f>Table1[[#This Row],[scenario_revenue]]-Table1[[#This Row],[Scenario_unit_cost]]</f>
        <v>598.08840000000055</v>
      </c>
      <c r="AP405" s="5">
        <f>IF(Table1[[#This Row],[gross_revenue]]=0,0,Table1[[#This Row],[gross_profit]]/Table1[[#This Row],[gross_revenue]])</f>
        <v>0.11646215352085933</v>
      </c>
    </row>
    <row r="406" spans="1:42" x14ac:dyDescent="0.35">
      <c r="A406" t="s">
        <v>635</v>
      </c>
      <c r="B406" t="str">
        <f>_xlfn.TEXTAFTER(Table1[[#This Row],[OrderID]],"-",2)</f>
        <v>907040</v>
      </c>
      <c r="C406">
        <f>YEAR(Table1[[#This Row],[OrderDate]])</f>
        <v>2025</v>
      </c>
      <c r="D406" s="9">
        <f>_xlfn.MINIFS(F:F,P:P,Table1[[#This Row],[Country]])</f>
        <v>44955</v>
      </c>
      <c r="E406" s="7">
        <f>DATEDIF(Table1[[#This Row],[first_time_orders]],Table1[[#This Row],[OrderDate]],"m")</f>
        <v>26</v>
      </c>
      <c r="F406" s="9">
        <v>45764</v>
      </c>
      <c r="G406" s="2" t="str">
        <f>TEXT(Table1[[#This Row],[OrderDate]],"MMM-YYYY")</f>
        <v>Apr-2025</v>
      </c>
      <c r="H406" s="7">
        <f>MONTH(Table1[[#This Row],[OrderDate]])</f>
        <v>4</v>
      </c>
      <c r="I406" s="7" t="str">
        <f>"Q"&amp;ROUNDUP(Table1[[#This Row],[months]]/3,0)&amp;"-"&amp;Table1[[#This Row],[order_year]]</f>
        <v>Q2-2025</v>
      </c>
      <c r="J406" s="7">
        <f>Table1[[#This Row],[RequiredDate]]-Table1[[#This Row],[OrderDate]]</f>
        <v>16</v>
      </c>
      <c r="K406" s="7">
        <f>IF(Table1[[#This Row],[lead_time]]&lt;0,MEDIAN(J:J),Table1[[#This Row],[lead_time]])</f>
        <v>16</v>
      </c>
      <c r="L406" s="7">
        <f>IF(Table1[[#This Row],[adj_lead_time]]&lt;=7,1,0)</f>
        <v>0</v>
      </c>
      <c r="M406" s="9">
        <v>45780</v>
      </c>
      <c r="N406" s="9">
        <f>IF(Table1[[#This Row],[lead_time]]&lt;0,(Table1[[#This Row],[OrderDate]]+Table1[[#This Row],[adj_lead_time]]),Table1[[#This Row],[RequiredDate]])</f>
        <v>45780</v>
      </c>
      <c r="O406" t="s">
        <v>648</v>
      </c>
      <c r="P406" t="s">
        <v>655</v>
      </c>
      <c r="Q406" t="s">
        <v>692</v>
      </c>
      <c r="R406" t="s">
        <v>704</v>
      </c>
      <c r="S406" t="s">
        <v>709</v>
      </c>
      <c r="T406" t="s">
        <v>713</v>
      </c>
      <c r="U406" t="s">
        <v>729</v>
      </c>
      <c r="V406" t="s">
        <v>1353</v>
      </c>
      <c r="W406">
        <v>168.68</v>
      </c>
      <c r="X406">
        <f>Table1[[#This Row],[UnitCost]]*(1+'scenario modeling'!$B$3)</f>
        <v>185.54800000000003</v>
      </c>
      <c r="Y406">
        <v>413.34</v>
      </c>
      <c r="Z406" t="str">
        <f>IF(Table1[[#This Row],[UnitPrice]]&lt;=Quantiles!$B$2,Quantiles!$A$2,IF(Table1[[#This Row],[UnitPrice]]&lt;=Quantiles!$B$3,Quantiles!$A$3,Quantiles!$A$4))</f>
        <v>Low</v>
      </c>
      <c r="AA406">
        <v>0.186</v>
      </c>
      <c r="AB406" s="5">
        <f>MIN(Table1[[#This Row],[DiscountPct]],'scenario modeling'!$B$2)</f>
        <v>0.1</v>
      </c>
      <c r="AC406" t="str">
        <f>IF(Table1[[#This Row],[DiscountPct]]&gt;0.3, "&gt;0.3","")</f>
        <v/>
      </c>
      <c r="AD406">
        <v>7</v>
      </c>
      <c r="AE406">
        <f>Table1[[#This Row],[Quantity]]*(1+'scenario modeling'!$B$4)</f>
        <v>8.4</v>
      </c>
      <c r="AF406">
        <f>Table1[[#This Row],[UnitCost]]*Table1[[#This Row],[Quantity]]</f>
        <v>1180.76</v>
      </c>
      <c r="AG406">
        <f>SUMIF($U:U,Table1[[#This Row],[ProductCategory]],$AM:AM)</f>
        <v>1773719.1704599999</v>
      </c>
      <c r="AH406">
        <f>SUMIFS($AM$2:AM406,$U$2:U406,U406)</f>
        <v>1083819.4778900002</v>
      </c>
      <c r="AI406" s="5">
        <f>Table1[[#This Row],[Cumulative_revenue]]/Table1[[#This Row],[Category_revenue]]</f>
        <v>0.6110434481062299</v>
      </c>
      <c r="AJ406" t="str">
        <f>IF(Table1[[#This Row],[cumulative_pct]]&lt;=0.8,"A",IF(Table1[[#This Row],[cumulative_pct]]&lt;=0.95,"B","C"))</f>
        <v>A</v>
      </c>
      <c r="AK406">
        <f>Table1[[#This Row],[adj_unit_cost]]*Table1[[#This Row],[scenario_quantity]]</f>
        <v>1558.6032000000002</v>
      </c>
      <c r="AL406" s="5">
        <f>Table1[[#This Row],[UnitPrice]]*Table1[[#This Row],[scenario_quantity]]*(1-Table1[[#This Row],[cap_adjusted_discount]])</f>
        <v>3124.8504000000003</v>
      </c>
      <c r="AM406" s="5">
        <f>Table1[[#This Row],[UnitPrice]]*Table1[[#This Row],[Quantity]]*(1-Table1[[#This Row],[DiscountPct]])</f>
        <v>2355.2113199999999</v>
      </c>
      <c r="AN406" s="5">
        <f>Table1[[#This Row],[gross_revenue]]-Table1[[#This Row],[cost_of_goods]]</f>
        <v>1174.4513199999999</v>
      </c>
      <c r="AO406" s="5">
        <f>Table1[[#This Row],[scenario_revenue]]-Table1[[#This Row],[Scenario_unit_cost]]</f>
        <v>1566.2472</v>
      </c>
      <c r="AP406" s="5">
        <f>IF(Table1[[#This Row],[gross_revenue]]=0,0,Table1[[#This Row],[gross_profit]]/Table1[[#This Row],[gross_revenue]])</f>
        <v>0.49866069767361682</v>
      </c>
    </row>
    <row r="407" spans="1:42" x14ac:dyDescent="0.35">
      <c r="A407" t="s">
        <v>517</v>
      </c>
      <c r="B407" t="str">
        <f>_xlfn.TEXTAFTER(Table1[[#This Row],[OrderID]],"-",2)</f>
        <v>331237</v>
      </c>
      <c r="C407">
        <f>YEAR(Table1[[#This Row],[OrderDate]])</f>
        <v>2025</v>
      </c>
      <c r="D407" s="9">
        <f>_xlfn.MINIFS(F:F,P:P,Table1[[#This Row],[Country]])</f>
        <v>44938</v>
      </c>
      <c r="E407" s="7">
        <f>DATEDIF(Table1[[#This Row],[first_time_orders]],Table1[[#This Row],[OrderDate]],"m")</f>
        <v>26</v>
      </c>
      <c r="F407" s="9">
        <v>45740</v>
      </c>
      <c r="G407" s="2" t="str">
        <f>TEXT(Table1[[#This Row],[OrderDate]],"MMM-YYYY")</f>
        <v>Mar-2025</v>
      </c>
      <c r="H407" s="7">
        <f>MONTH(Table1[[#This Row],[OrderDate]])</f>
        <v>3</v>
      </c>
      <c r="I407" s="7" t="str">
        <f>"Q"&amp;ROUNDUP(Table1[[#This Row],[months]]/3,0)&amp;"-"&amp;Table1[[#This Row],[order_year]]</f>
        <v>Q1-2025</v>
      </c>
      <c r="J407" s="7">
        <f>Table1[[#This Row],[RequiredDate]]-Table1[[#This Row],[OrderDate]]</f>
        <v>1</v>
      </c>
      <c r="K407" s="7">
        <f>IF(Table1[[#This Row],[lead_time]]&lt;0,MEDIAN(J:J),Table1[[#This Row],[lead_time]])</f>
        <v>1</v>
      </c>
      <c r="L407" s="7">
        <f>IF(Table1[[#This Row],[adj_lead_time]]&lt;=7,1,0)</f>
        <v>1</v>
      </c>
      <c r="M407" s="9">
        <v>45741</v>
      </c>
      <c r="N407" s="9">
        <f>IF(Table1[[#This Row],[lead_time]]&lt;0,(Table1[[#This Row],[OrderDate]]+Table1[[#This Row],[adj_lead_time]]),Table1[[#This Row],[RequiredDate]])</f>
        <v>45741</v>
      </c>
      <c r="O407" t="s">
        <v>647</v>
      </c>
      <c r="P407" t="s">
        <v>659</v>
      </c>
      <c r="Q407" t="s">
        <v>699</v>
      </c>
      <c r="R407" t="s">
        <v>703</v>
      </c>
      <c r="S407" t="s">
        <v>708</v>
      </c>
      <c r="T407" t="s">
        <v>715</v>
      </c>
      <c r="U407" t="s">
        <v>729</v>
      </c>
      <c r="V407" t="s">
        <v>1236</v>
      </c>
      <c r="W407">
        <v>1133.03</v>
      </c>
      <c r="X407">
        <f>Table1[[#This Row],[UnitCost]]*(1+'scenario modeling'!$B$3)</f>
        <v>1246.3330000000001</v>
      </c>
      <c r="Y407">
        <v>1921.51</v>
      </c>
      <c r="Z407" t="str">
        <f>IF(Table1[[#This Row],[UnitPrice]]&lt;=Quantiles!$B$2,Quantiles!$A$2,IF(Table1[[#This Row],[UnitPrice]]&lt;=Quantiles!$B$3,Quantiles!$A$3,Quantiles!$A$4))</f>
        <v>High</v>
      </c>
      <c r="AA407">
        <v>0.10100000000000001</v>
      </c>
      <c r="AB407" s="5">
        <f>MIN(Table1[[#This Row],[DiscountPct]],'scenario modeling'!$B$2)</f>
        <v>0.1</v>
      </c>
      <c r="AC407" t="str">
        <f>IF(Table1[[#This Row],[DiscountPct]]&gt;0.3, "&gt;0.3","")</f>
        <v/>
      </c>
      <c r="AD407">
        <v>5</v>
      </c>
      <c r="AE407">
        <f>Table1[[#This Row],[Quantity]]*(1+'scenario modeling'!$B$4)</f>
        <v>6</v>
      </c>
      <c r="AF407">
        <f>Table1[[#This Row],[UnitCost]]*Table1[[#This Row],[Quantity]]</f>
        <v>5665.15</v>
      </c>
      <c r="AG407">
        <f>SUMIF($U:U,Table1[[#This Row],[ProductCategory]],$AM:AM)</f>
        <v>1773719.1704599999</v>
      </c>
      <c r="AH407">
        <f>SUMIFS($AM$2:AM407,$U$2:U407,U407)</f>
        <v>1092456.6653400003</v>
      </c>
      <c r="AI407" s="5">
        <f>Table1[[#This Row],[Cumulative_revenue]]/Table1[[#This Row],[Category_revenue]]</f>
        <v>0.61591298303252839</v>
      </c>
      <c r="AJ407" t="str">
        <f>IF(Table1[[#This Row],[cumulative_pct]]&lt;=0.8,"A",IF(Table1[[#This Row],[cumulative_pct]]&lt;=0.95,"B","C"))</f>
        <v>A</v>
      </c>
      <c r="AK407">
        <f>Table1[[#This Row],[adj_unit_cost]]*Table1[[#This Row],[scenario_quantity]]</f>
        <v>7477.9980000000005</v>
      </c>
      <c r="AL407" s="5">
        <f>Table1[[#This Row],[UnitPrice]]*Table1[[#This Row],[scenario_quantity]]*(1-Table1[[#This Row],[cap_adjusted_discount]])</f>
        <v>10376.154</v>
      </c>
      <c r="AM407" s="5">
        <f>Table1[[#This Row],[UnitPrice]]*Table1[[#This Row],[Quantity]]*(1-Table1[[#This Row],[DiscountPct]])</f>
        <v>8637.1874499999994</v>
      </c>
      <c r="AN407" s="5">
        <f>Table1[[#This Row],[gross_revenue]]-Table1[[#This Row],[cost_of_goods]]</f>
        <v>2972.0374499999998</v>
      </c>
      <c r="AO407" s="5">
        <f>Table1[[#This Row],[scenario_revenue]]-Table1[[#This Row],[Scenario_unit_cost]]</f>
        <v>2898.1559999999999</v>
      </c>
      <c r="AP407" s="5">
        <f>IF(Table1[[#This Row],[gross_revenue]]=0,0,Table1[[#This Row],[gross_profit]]/Table1[[#This Row],[gross_revenue]])</f>
        <v>0.3440978289755654</v>
      </c>
    </row>
    <row r="408" spans="1:42" x14ac:dyDescent="0.35">
      <c r="A408" t="s">
        <v>44</v>
      </c>
      <c r="B408" t="str">
        <f>_xlfn.TEXTAFTER(Table1[[#This Row],[OrderID]],"-",2)</f>
        <v>548982</v>
      </c>
      <c r="C408">
        <f>YEAR(Table1[[#This Row],[OrderDate]])</f>
        <v>2025</v>
      </c>
      <c r="D408" s="9">
        <f>_xlfn.MINIFS(F:F,P:P,Table1[[#This Row],[Country]])</f>
        <v>44936</v>
      </c>
      <c r="E408" s="7">
        <f>DATEDIF(Table1[[#This Row],[first_time_orders]],Table1[[#This Row],[OrderDate]],"m")</f>
        <v>26</v>
      </c>
      <c r="F408" s="9">
        <v>45754</v>
      </c>
      <c r="G408" s="2" t="str">
        <f>TEXT(Table1[[#This Row],[OrderDate]],"MMM-YYYY")</f>
        <v>Apr-2025</v>
      </c>
      <c r="H408" s="7">
        <f>MONTH(Table1[[#This Row],[OrderDate]])</f>
        <v>4</v>
      </c>
      <c r="I408" s="7" t="str">
        <f>"Q"&amp;ROUNDUP(Table1[[#This Row],[months]]/3,0)&amp;"-"&amp;Table1[[#This Row],[order_year]]</f>
        <v>Q2-2025</v>
      </c>
      <c r="J408" s="7">
        <f>Table1[[#This Row],[RequiredDate]]-Table1[[#This Row],[OrderDate]]</f>
        <v>4</v>
      </c>
      <c r="K408" s="7">
        <f>IF(Table1[[#This Row],[lead_time]]&lt;0,MEDIAN(J:J),Table1[[#This Row],[lead_time]])</f>
        <v>4</v>
      </c>
      <c r="L408" s="7">
        <f>IF(Table1[[#This Row],[adj_lead_time]]&lt;=7,1,0)</f>
        <v>1</v>
      </c>
      <c r="M408" s="9">
        <v>45758</v>
      </c>
      <c r="N408" s="9">
        <f>IF(Table1[[#This Row],[lead_time]]&lt;0,(Table1[[#This Row],[OrderDate]]+Table1[[#This Row],[adj_lead_time]]),Table1[[#This Row],[RequiredDate]])</f>
        <v>45758</v>
      </c>
      <c r="O408" t="s">
        <v>649</v>
      </c>
      <c r="P408" t="s">
        <v>657</v>
      </c>
      <c r="Q408" t="s">
        <v>679</v>
      </c>
      <c r="R408" t="s">
        <v>702</v>
      </c>
      <c r="S408" t="s">
        <v>707</v>
      </c>
      <c r="T408" t="s">
        <v>718</v>
      </c>
      <c r="U408" t="s">
        <v>729</v>
      </c>
      <c r="V408" t="s">
        <v>763</v>
      </c>
      <c r="W408">
        <v>754.77</v>
      </c>
      <c r="X408">
        <f>Table1[[#This Row],[UnitCost]]*(1+'scenario modeling'!$B$3)</f>
        <v>830.24700000000007</v>
      </c>
      <c r="Y408">
        <v>1666.18</v>
      </c>
      <c r="Z408" t="str">
        <f>IF(Table1[[#This Row],[UnitPrice]]&lt;=Quantiles!$B$2,Quantiles!$A$2,IF(Table1[[#This Row],[UnitPrice]]&lt;=Quantiles!$B$3,Quantiles!$A$3,Quantiles!$A$4))</f>
        <v>High</v>
      </c>
      <c r="AA408">
        <v>0.13900000000000001</v>
      </c>
      <c r="AB408" s="5">
        <f>MIN(Table1[[#This Row],[DiscountPct]],'scenario modeling'!$B$2)</f>
        <v>0.1</v>
      </c>
      <c r="AC408" t="str">
        <f>IF(Table1[[#This Row],[DiscountPct]]&gt;0.3, "&gt;0.3","")</f>
        <v/>
      </c>
      <c r="AD408">
        <v>14</v>
      </c>
      <c r="AE408">
        <f>Table1[[#This Row],[Quantity]]*(1+'scenario modeling'!$B$4)</f>
        <v>16.8</v>
      </c>
      <c r="AF408">
        <f>Table1[[#This Row],[UnitCost]]*Table1[[#This Row],[Quantity]]</f>
        <v>10566.779999999999</v>
      </c>
      <c r="AG408">
        <f>SUMIF($U:U,Table1[[#This Row],[ProductCategory]],$AM:AM)</f>
        <v>1773719.1704599999</v>
      </c>
      <c r="AH408">
        <f>SUMIFS($AM$2:AM408,$U$2:U408,U408)</f>
        <v>1112540.7990600003</v>
      </c>
      <c r="AI408" s="5">
        <f>Table1[[#This Row],[Cumulative_revenue]]/Table1[[#This Row],[Category_revenue]]</f>
        <v>0.6272361586820262</v>
      </c>
      <c r="AJ408" t="str">
        <f>IF(Table1[[#This Row],[cumulative_pct]]&lt;=0.8,"A",IF(Table1[[#This Row],[cumulative_pct]]&lt;=0.95,"B","C"))</f>
        <v>A</v>
      </c>
      <c r="AK408">
        <f>Table1[[#This Row],[adj_unit_cost]]*Table1[[#This Row],[scenario_quantity]]</f>
        <v>13948.149600000002</v>
      </c>
      <c r="AL408" s="5">
        <f>Table1[[#This Row],[UnitPrice]]*Table1[[#This Row],[scenario_quantity]]*(1-Table1[[#This Row],[cap_adjusted_discount]])</f>
        <v>25192.641600000003</v>
      </c>
      <c r="AM408" s="5">
        <f>Table1[[#This Row],[UnitPrice]]*Table1[[#This Row],[Quantity]]*(1-Table1[[#This Row],[DiscountPct]])</f>
        <v>20084.133720000002</v>
      </c>
      <c r="AN408" s="5">
        <f>Table1[[#This Row],[gross_revenue]]-Table1[[#This Row],[cost_of_goods]]</f>
        <v>9517.3537200000028</v>
      </c>
      <c r="AO408" s="5">
        <f>Table1[[#This Row],[scenario_revenue]]-Table1[[#This Row],[Scenario_unit_cost]]</f>
        <v>11244.492</v>
      </c>
      <c r="AP408" s="5">
        <f>IF(Table1[[#This Row],[gross_revenue]]=0,0,Table1[[#This Row],[gross_profit]]/Table1[[#This Row],[gross_revenue]])</f>
        <v>0.47387424584424653</v>
      </c>
    </row>
    <row r="409" spans="1:42" x14ac:dyDescent="0.35">
      <c r="A409" t="s">
        <v>99</v>
      </c>
      <c r="B409" t="str">
        <f>_xlfn.TEXTAFTER(Table1[[#This Row],[OrderID]],"-",2)</f>
        <v>330203</v>
      </c>
      <c r="C409">
        <f>YEAR(Table1[[#This Row],[OrderDate]])</f>
        <v>2025</v>
      </c>
      <c r="D409" s="9">
        <f>_xlfn.MINIFS(F:F,P:P,Table1[[#This Row],[Country]])</f>
        <v>44945</v>
      </c>
      <c r="E409" s="7">
        <f>DATEDIF(Table1[[#This Row],[first_time_orders]],Table1[[#This Row],[OrderDate]],"m")</f>
        <v>26</v>
      </c>
      <c r="F409" s="9">
        <v>45741</v>
      </c>
      <c r="G409" s="2" t="str">
        <f>TEXT(Table1[[#This Row],[OrderDate]],"MMM-YYYY")</f>
        <v>Mar-2025</v>
      </c>
      <c r="H409" s="7">
        <f>MONTH(Table1[[#This Row],[OrderDate]])</f>
        <v>3</v>
      </c>
      <c r="I409" s="7" t="str">
        <f>"Q"&amp;ROUNDUP(Table1[[#This Row],[months]]/3,0)&amp;"-"&amp;Table1[[#This Row],[order_year]]</f>
        <v>Q1-2025</v>
      </c>
      <c r="J409" s="7">
        <f>Table1[[#This Row],[RequiredDate]]-Table1[[#This Row],[OrderDate]]</f>
        <v>23</v>
      </c>
      <c r="K409" s="7">
        <f>IF(Table1[[#This Row],[lead_time]]&lt;0,MEDIAN(J:J),Table1[[#This Row],[lead_time]])</f>
        <v>23</v>
      </c>
      <c r="L409" s="7">
        <f>IF(Table1[[#This Row],[adj_lead_time]]&lt;=7,1,0)</f>
        <v>0</v>
      </c>
      <c r="M409" s="9">
        <v>45764</v>
      </c>
      <c r="N409" s="9">
        <f>IF(Table1[[#This Row],[lead_time]]&lt;0,(Table1[[#This Row],[OrderDate]]+Table1[[#This Row],[adj_lead_time]]),Table1[[#This Row],[RequiredDate]])</f>
        <v>45764</v>
      </c>
      <c r="O409" t="s">
        <v>649</v>
      </c>
      <c r="P409" t="s">
        <v>658</v>
      </c>
      <c r="Q409" t="s">
        <v>683</v>
      </c>
      <c r="R409" t="s">
        <v>704</v>
      </c>
      <c r="S409" t="s">
        <v>707</v>
      </c>
      <c r="T409" t="s">
        <v>722</v>
      </c>
      <c r="U409" t="s">
        <v>729</v>
      </c>
      <c r="V409" t="s">
        <v>818</v>
      </c>
      <c r="W409">
        <v>1421.19</v>
      </c>
      <c r="X409">
        <f>Table1[[#This Row],[UnitCost]]*(1+'scenario modeling'!$B$3)</f>
        <v>1563.3090000000002</v>
      </c>
      <c r="Y409">
        <v>1808.26</v>
      </c>
      <c r="Z409" t="str">
        <f>IF(Table1[[#This Row],[UnitPrice]]&lt;=Quantiles!$B$2,Quantiles!$A$2,IF(Table1[[#This Row],[UnitPrice]]&lt;=Quantiles!$B$3,Quantiles!$A$3,Quantiles!$A$4))</f>
        <v>High</v>
      </c>
      <c r="AA409">
        <v>0.104</v>
      </c>
      <c r="AB409" s="5">
        <f>MIN(Table1[[#This Row],[DiscountPct]],'scenario modeling'!$B$2)</f>
        <v>0.1</v>
      </c>
      <c r="AC409" t="str">
        <f>IF(Table1[[#This Row],[DiscountPct]]&gt;0.3, "&gt;0.3","")</f>
        <v/>
      </c>
      <c r="AD409">
        <v>13</v>
      </c>
      <c r="AE409">
        <f>Table1[[#This Row],[Quantity]]*(1+'scenario modeling'!$B$4)</f>
        <v>15.6</v>
      </c>
      <c r="AF409">
        <f>Table1[[#This Row],[UnitCost]]*Table1[[#This Row],[Quantity]]</f>
        <v>18475.47</v>
      </c>
      <c r="AG409">
        <f>SUMIF($U:U,Table1[[#This Row],[ProductCategory]],$AM:AM)</f>
        <v>1773719.1704599999</v>
      </c>
      <c r="AH409">
        <f>SUMIFS($AM$2:AM409,$U$2:U409,U409)</f>
        <v>1133603.4115400002</v>
      </c>
      <c r="AI409" s="5">
        <f>Table1[[#This Row],[Cumulative_revenue]]/Table1[[#This Row],[Category_revenue]]</f>
        <v>0.6391109880410264</v>
      </c>
      <c r="AJ409" t="str">
        <f>IF(Table1[[#This Row],[cumulative_pct]]&lt;=0.8,"A",IF(Table1[[#This Row],[cumulative_pct]]&lt;=0.95,"B","C"))</f>
        <v>A</v>
      </c>
      <c r="AK409">
        <f>Table1[[#This Row],[adj_unit_cost]]*Table1[[#This Row],[scenario_quantity]]</f>
        <v>24387.620400000003</v>
      </c>
      <c r="AL409" s="5">
        <f>Table1[[#This Row],[UnitPrice]]*Table1[[#This Row],[scenario_quantity]]*(1-Table1[[#This Row],[cap_adjusted_discount]])</f>
        <v>25387.970400000002</v>
      </c>
      <c r="AM409" s="5">
        <f>Table1[[#This Row],[UnitPrice]]*Table1[[#This Row],[Quantity]]*(1-Table1[[#This Row],[DiscountPct]])</f>
        <v>21062.61248</v>
      </c>
      <c r="AN409" s="5">
        <f>Table1[[#This Row],[gross_revenue]]-Table1[[#This Row],[cost_of_goods]]</f>
        <v>2587.1424799999986</v>
      </c>
      <c r="AO409" s="5">
        <f>Table1[[#This Row],[scenario_revenue]]-Table1[[#This Row],[Scenario_unit_cost]]</f>
        <v>1000.3499999999985</v>
      </c>
      <c r="AP409" s="5">
        <f>IF(Table1[[#This Row],[gross_revenue]]=0,0,Table1[[#This Row],[gross_profit]]/Table1[[#This Row],[gross_revenue]])</f>
        <v>0.12283103449093123</v>
      </c>
    </row>
    <row r="410" spans="1:42" x14ac:dyDescent="0.35">
      <c r="A410" t="s">
        <v>477</v>
      </c>
      <c r="B410" t="str">
        <f>_xlfn.TEXTAFTER(Table1[[#This Row],[OrderID]],"-",2)</f>
        <v>306251</v>
      </c>
      <c r="C410">
        <f>YEAR(Table1[[#This Row],[OrderDate]])</f>
        <v>2025</v>
      </c>
      <c r="D410" s="9">
        <f>_xlfn.MINIFS(F:F,P:P,Table1[[#This Row],[Country]])</f>
        <v>44933</v>
      </c>
      <c r="E410" s="7">
        <f>DATEDIF(Table1[[#This Row],[first_time_orders]],Table1[[#This Row],[OrderDate]],"m")</f>
        <v>27</v>
      </c>
      <c r="F410" s="9">
        <v>45757</v>
      </c>
      <c r="G410" s="2" t="str">
        <f>TEXT(Table1[[#This Row],[OrderDate]],"MMM-YYYY")</f>
        <v>Apr-2025</v>
      </c>
      <c r="H410" s="7">
        <f>MONTH(Table1[[#This Row],[OrderDate]])</f>
        <v>4</v>
      </c>
      <c r="I410" s="7" t="str">
        <f>"Q"&amp;ROUNDUP(Table1[[#This Row],[months]]/3,0)&amp;"-"&amp;Table1[[#This Row],[order_year]]</f>
        <v>Q2-2025</v>
      </c>
      <c r="J410" s="7">
        <f>Table1[[#This Row],[RequiredDate]]-Table1[[#This Row],[OrderDate]]</f>
        <v>9</v>
      </c>
      <c r="K410" s="7">
        <f>IF(Table1[[#This Row],[lead_time]]&lt;0,MEDIAN(J:J),Table1[[#This Row],[lead_time]])</f>
        <v>9</v>
      </c>
      <c r="L410" s="7">
        <f>IF(Table1[[#This Row],[adj_lead_time]]&lt;=7,1,0)</f>
        <v>0</v>
      </c>
      <c r="M410" s="9">
        <v>45766</v>
      </c>
      <c r="N410" s="9">
        <f>IF(Table1[[#This Row],[lead_time]]&lt;0,(Table1[[#This Row],[OrderDate]]+Table1[[#This Row],[adj_lead_time]]),Table1[[#This Row],[RequiredDate]])</f>
        <v>45766</v>
      </c>
      <c r="O410" t="s">
        <v>646</v>
      </c>
      <c r="P410" t="s">
        <v>661</v>
      </c>
      <c r="Q410" t="s">
        <v>687</v>
      </c>
      <c r="R410" t="s">
        <v>706</v>
      </c>
      <c r="S410" t="s">
        <v>710</v>
      </c>
      <c r="T410" t="s">
        <v>715</v>
      </c>
      <c r="U410" t="s">
        <v>729</v>
      </c>
      <c r="V410" t="s">
        <v>1196</v>
      </c>
      <c r="W410">
        <v>113.74</v>
      </c>
      <c r="X410">
        <f>Table1[[#This Row],[UnitCost]]*(1+'scenario modeling'!$B$3)</f>
        <v>125.114</v>
      </c>
      <c r="Y410">
        <v>165.7</v>
      </c>
      <c r="Z410" t="str">
        <f>IF(Table1[[#This Row],[UnitPrice]]&lt;=Quantiles!$B$2,Quantiles!$A$2,IF(Table1[[#This Row],[UnitPrice]]&lt;=Quantiles!$B$3,Quantiles!$A$3,Quantiles!$A$4))</f>
        <v>Low</v>
      </c>
      <c r="AA410">
        <v>0.124</v>
      </c>
      <c r="AB410" s="5">
        <f>MIN(Table1[[#This Row],[DiscountPct]],'scenario modeling'!$B$2)</f>
        <v>0.1</v>
      </c>
      <c r="AC410" t="str">
        <f>IF(Table1[[#This Row],[DiscountPct]]&gt;0.3, "&gt;0.3","")</f>
        <v/>
      </c>
      <c r="AD410">
        <v>13</v>
      </c>
      <c r="AE410">
        <f>Table1[[#This Row],[Quantity]]*(1+'scenario modeling'!$B$4)</f>
        <v>15.6</v>
      </c>
      <c r="AF410">
        <f>Table1[[#This Row],[UnitCost]]*Table1[[#This Row],[Quantity]]</f>
        <v>1478.62</v>
      </c>
      <c r="AG410">
        <f>SUMIF($U:U,Table1[[#This Row],[ProductCategory]],$AM:AM)</f>
        <v>1773719.1704599999</v>
      </c>
      <c r="AH410">
        <f>SUMIFS($AM$2:AM410,$U$2:U410,U410)</f>
        <v>1135490.4031400003</v>
      </c>
      <c r="AI410" s="5">
        <f>Table1[[#This Row],[Cumulative_revenue]]/Table1[[#This Row],[Category_revenue]]</f>
        <v>0.64017484957639592</v>
      </c>
      <c r="AJ410" t="str">
        <f>IF(Table1[[#This Row],[cumulative_pct]]&lt;=0.8,"A",IF(Table1[[#This Row],[cumulative_pct]]&lt;=0.95,"B","C"))</f>
        <v>A</v>
      </c>
      <c r="AK410">
        <f>Table1[[#This Row],[adj_unit_cost]]*Table1[[#This Row],[scenario_quantity]]</f>
        <v>1951.7783999999999</v>
      </c>
      <c r="AL410" s="5">
        <f>Table1[[#This Row],[UnitPrice]]*Table1[[#This Row],[scenario_quantity]]*(1-Table1[[#This Row],[cap_adjusted_discount]])</f>
        <v>2326.4279999999999</v>
      </c>
      <c r="AM410" s="5">
        <f>Table1[[#This Row],[UnitPrice]]*Table1[[#This Row],[Quantity]]*(1-Table1[[#This Row],[DiscountPct]])</f>
        <v>1886.9915999999998</v>
      </c>
      <c r="AN410" s="5">
        <f>Table1[[#This Row],[gross_revenue]]-Table1[[#This Row],[cost_of_goods]]</f>
        <v>408.37159999999994</v>
      </c>
      <c r="AO410" s="5">
        <f>Table1[[#This Row],[scenario_revenue]]-Table1[[#This Row],[Scenario_unit_cost]]</f>
        <v>374.64959999999996</v>
      </c>
      <c r="AP410" s="5">
        <f>IF(Table1[[#This Row],[gross_revenue]]=0,0,Table1[[#This Row],[gross_profit]]/Table1[[#This Row],[gross_revenue]])</f>
        <v>0.21641410592394794</v>
      </c>
    </row>
    <row r="411" spans="1:42" x14ac:dyDescent="0.35">
      <c r="A411" t="s">
        <v>321</v>
      </c>
      <c r="B411" t="str">
        <f>_xlfn.TEXTAFTER(Table1[[#This Row],[OrderID]],"-",2)</f>
        <v>364852</v>
      </c>
      <c r="C411">
        <f>YEAR(Table1[[#This Row],[OrderDate]])</f>
        <v>2025</v>
      </c>
      <c r="D411" s="9">
        <f>_xlfn.MINIFS(F:F,P:P,Table1[[#This Row],[Country]])</f>
        <v>44939</v>
      </c>
      <c r="E411" s="7">
        <f>DATEDIF(Table1[[#This Row],[first_time_orders]],Table1[[#This Row],[OrderDate]],"m")</f>
        <v>28</v>
      </c>
      <c r="F411" s="9">
        <v>45795</v>
      </c>
      <c r="G411" s="2" t="str">
        <f>TEXT(Table1[[#This Row],[OrderDate]],"MMM-YYYY")</f>
        <v>May-2025</v>
      </c>
      <c r="H411" s="7">
        <f>MONTH(Table1[[#This Row],[OrderDate]])</f>
        <v>5</v>
      </c>
      <c r="I411" s="7" t="str">
        <f>"Q"&amp;ROUNDUP(Table1[[#This Row],[months]]/3,0)&amp;"-"&amp;Table1[[#This Row],[order_year]]</f>
        <v>Q2-2025</v>
      </c>
      <c r="J411" s="7">
        <f>Table1[[#This Row],[RequiredDate]]-Table1[[#This Row],[OrderDate]]</f>
        <v>22</v>
      </c>
      <c r="K411" s="7">
        <f>IF(Table1[[#This Row],[lead_time]]&lt;0,MEDIAN(J:J),Table1[[#This Row],[lead_time]])</f>
        <v>22</v>
      </c>
      <c r="L411" s="7">
        <f>IF(Table1[[#This Row],[adj_lead_time]]&lt;=7,1,0)</f>
        <v>0</v>
      </c>
      <c r="M411" s="9">
        <v>45817</v>
      </c>
      <c r="N411" s="9">
        <f>IF(Table1[[#This Row],[lead_time]]&lt;0,(Table1[[#This Row],[OrderDate]]+Table1[[#This Row],[adj_lead_time]]),Table1[[#This Row],[RequiredDate]])</f>
        <v>45817</v>
      </c>
      <c r="O411" t="s">
        <v>648</v>
      </c>
      <c r="P411" t="s">
        <v>660</v>
      </c>
      <c r="Q411" t="s">
        <v>700</v>
      </c>
      <c r="R411" t="s">
        <v>704</v>
      </c>
      <c r="S411" t="s">
        <v>707</v>
      </c>
      <c r="T411" t="s">
        <v>722</v>
      </c>
      <c r="U411" t="s">
        <v>729</v>
      </c>
      <c r="V411" t="s">
        <v>1041</v>
      </c>
      <c r="W411">
        <v>382.96</v>
      </c>
      <c r="X411">
        <f>Table1[[#This Row],[UnitCost]]*(1+'scenario modeling'!$B$3)</f>
        <v>421.25600000000003</v>
      </c>
      <c r="Y411">
        <v>552.84</v>
      </c>
      <c r="Z411" t="str">
        <f>IF(Table1[[#This Row],[UnitPrice]]&lt;=Quantiles!$B$2,Quantiles!$A$2,IF(Table1[[#This Row],[UnitPrice]]&lt;=Quantiles!$B$3,Quantiles!$A$3,Quantiles!$A$4))</f>
        <v>Low</v>
      </c>
      <c r="AA411">
        <v>0.17599999999999999</v>
      </c>
      <c r="AB411" s="5">
        <f>MIN(Table1[[#This Row],[DiscountPct]],'scenario modeling'!$B$2)</f>
        <v>0.1</v>
      </c>
      <c r="AC411" t="str">
        <f>IF(Table1[[#This Row],[DiscountPct]]&gt;0.3, "&gt;0.3","")</f>
        <v/>
      </c>
      <c r="AD411">
        <v>8</v>
      </c>
      <c r="AE411">
        <f>Table1[[#This Row],[Quantity]]*(1+'scenario modeling'!$B$4)</f>
        <v>9.6</v>
      </c>
      <c r="AF411">
        <f>Table1[[#This Row],[UnitCost]]*Table1[[#This Row],[Quantity]]</f>
        <v>3063.68</v>
      </c>
      <c r="AG411">
        <f>SUMIF($U:U,Table1[[#This Row],[ProductCategory]],$AM:AM)</f>
        <v>1773719.1704599999</v>
      </c>
      <c r="AH411">
        <f>SUMIFS($AM$2:AM411,$U$2:U411,U411)</f>
        <v>1139134.7244200003</v>
      </c>
      <c r="AI411" s="5">
        <f>Table1[[#This Row],[Cumulative_revenue]]/Table1[[#This Row],[Category_revenue]]</f>
        <v>0.64222947092835159</v>
      </c>
      <c r="AJ411" t="str">
        <f>IF(Table1[[#This Row],[cumulative_pct]]&lt;=0.8,"A",IF(Table1[[#This Row],[cumulative_pct]]&lt;=0.95,"B","C"))</f>
        <v>A</v>
      </c>
      <c r="AK411">
        <f>Table1[[#This Row],[adj_unit_cost]]*Table1[[#This Row],[scenario_quantity]]</f>
        <v>4044.0576000000001</v>
      </c>
      <c r="AL411" s="5">
        <f>Table1[[#This Row],[UnitPrice]]*Table1[[#This Row],[scenario_quantity]]*(1-Table1[[#This Row],[cap_adjusted_discount]])</f>
        <v>4776.5376000000006</v>
      </c>
      <c r="AM411" s="5">
        <f>Table1[[#This Row],[UnitPrice]]*Table1[[#This Row],[Quantity]]*(1-Table1[[#This Row],[DiscountPct]])</f>
        <v>3644.3212800000006</v>
      </c>
      <c r="AN411" s="5">
        <f>Table1[[#This Row],[gross_revenue]]-Table1[[#This Row],[cost_of_goods]]</f>
        <v>580.64128000000073</v>
      </c>
      <c r="AO411" s="5">
        <f>Table1[[#This Row],[scenario_revenue]]-Table1[[#This Row],[Scenario_unit_cost]]</f>
        <v>732.48000000000047</v>
      </c>
      <c r="AP411" s="5">
        <f>IF(Table1[[#This Row],[gross_revenue]]=0,0,Table1[[#This Row],[gross_profit]]/Table1[[#This Row],[gross_revenue]])</f>
        <v>0.15932768693763483</v>
      </c>
    </row>
    <row r="412" spans="1:42" x14ac:dyDescent="0.35">
      <c r="A412" t="s">
        <v>390</v>
      </c>
      <c r="B412" t="str">
        <f>_xlfn.TEXTAFTER(Table1[[#This Row],[OrderID]],"-",2)</f>
        <v>188059</v>
      </c>
      <c r="C412">
        <f>YEAR(Table1[[#This Row],[OrderDate]])</f>
        <v>2025</v>
      </c>
      <c r="D412" s="9">
        <f>_xlfn.MINIFS(F:F,P:P,Table1[[#This Row],[Country]])</f>
        <v>44938</v>
      </c>
      <c r="E412" s="7">
        <f>DATEDIF(Table1[[#This Row],[first_time_orders]],Table1[[#This Row],[OrderDate]],"m")</f>
        <v>29</v>
      </c>
      <c r="F412" s="9">
        <v>45835</v>
      </c>
      <c r="G412" s="2" t="str">
        <f>TEXT(Table1[[#This Row],[OrderDate]],"MMM-YYYY")</f>
        <v>Jun-2025</v>
      </c>
      <c r="H412" s="7">
        <f>MONTH(Table1[[#This Row],[OrderDate]])</f>
        <v>6</v>
      </c>
      <c r="I412" s="7" t="str">
        <f>"Q"&amp;ROUNDUP(Table1[[#This Row],[months]]/3,0)&amp;"-"&amp;Table1[[#This Row],[order_year]]</f>
        <v>Q2-2025</v>
      </c>
      <c r="J412" s="7">
        <f>Table1[[#This Row],[RequiredDate]]-Table1[[#This Row],[OrderDate]]</f>
        <v>14</v>
      </c>
      <c r="K412" s="7">
        <f>IF(Table1[[#This Row],[lead_time]]&lt;0,MEDIAN(J:J),Table1[[#This Row],[lead_time]])</f>
        <v>14</v>
      </c>
      <c r="L412" s="7">
        <f>IF(Table1[[#This Row],[adj_lead_time]]&lt;=7,1,0)</f>
        <v>0</v>
      </c>
      <c r="M412" s="9">
        <v>45849</v>
      </c>
      <c r="N412" s="9">
        <f>IF(Table1[[#This Row],[lead_time]]&lt;0,(Table1[[#This Row],[OrderDate]]+Table1[[#This Row],[adj_lead_time]]),Table1[[#This Row],[RequiredDate]])</f>
        <v>45849</v>
      </c>
      <c r="O412" t="s">
        <v>647</v>
      </c>
      <c r="P412" t="s">
        <v>659</v>
      </c>
      <c r="Q412" t="s">
        <v>685</v>
      </c>
      <c r="R412" t="s">
        <v>705</v>
      </c>
      <c r="S412" t="s">
        <v>709</v>
      </c>
      <c r="T412" t="s">
        <v>716</v>
      </c>
      <c r="U412" t="s">
        <v>729</v>
      </c>
      <c r="V412" t="s">
        <v>1110</v>
      </c>
      <c r="W412">
        <v>1227.7</v>
      </c>
      <c r="X412">
        <f>Table1[[#This Row],[UnitCost]]*(1+'scenario modeling'!$B$3)</f>
        <v>1350.4700000000003</v>
      </c>
      <c r="Y412">
        <v>2197.23</v>
      </c>
      <c r="Z412" t="str">
        <f>IF(Table1[[#This Row],[UnitPrice]]&lt;=Quantiles!$B$2,Quantiles!$A$2,IF(Table1[[#This Row],[UnitPrice]]&lt;=Quantiles!$B$3,Quantiles!$A$3,Quantiles!$A$4))</f>
        <v>High</v>
      </c>
      <c r="AA412">
        <v>9.9000000000000005E-2</v>
      </c>
      <c r="AB412" s="5">
        <f>MIN(Table1[[#This Row],[DiscountPct]],'scenario modeling'!$B$2)</f>
        <v>9.9000000000000005E-2</v>
      </c>
      <c r="AC412" t="str">
        <f>IF(Table1[[#This Row],[DiscountPct]]&gt;0.3, "&gt;0.3","")</f>
        <v/>
      </c>
      <c r="AD412">
        <v>22</v>
      </c>
      <c r="AE412">
        <f>Table1[[#This Row],[Quantity]]*(1+'scenario modeling'!$B$4)</f>
        <v>26.4</v>
      </c>
      <c r="AF412">
        <f>Table1[[#This Row],[UnitCost]]*Table1[[#This Row],[Quantity]]</f>
        <v>27009.4</v>
      </c>
      <c r="AG412">
        <f>SUMIF($U:U,Table1[[#This Row],[ProductCategory]],$AM:AM)</f>
        <v>1773719.1704599999</v>
      </c>
      <c r="AH412">
        <f>SUMIFS($AM$2:AM412,$U$2:U412,U412)</f>
        <v>1182688.2174800003</v>
      </c>
      <c r="AI412" s="5">
        <f>Table1[[#This Row],[Cumulative_revenue]]/Table1[[#This Row],[Category_revenue]]</f>
        <v>0.66678436878667757</v>
      </c>
      <c r="AJ412" t="str">
        <f>IF(Table1[[#This Row],[cumulative_pct]]&lt;=0.8,"A",IF(Table1[[#This Row],[cumulative_pct]]&lt;=0.95,"B","C"))</f>
        <v>A</v>
      </c>
      <c r="AK412">
        <f>Table1[[#This Row],[adj_unit_cost]]*Table1[[#This Row],[scenario_quantity]]</f>
        <v>35652.408000000003</v>
      </c>
      <c r="AL412" s="5">
        <f>Table1[[#This Row],[UnitPrice]]*Table1[[#This Row],[scenario_quantity]]*(1-Table1[[#This Row],[cap_adjusted_discount]])</f>
        <v>52264.191672000001</v>
      </c>
      <c r="AM412" s="5">
        <f>Table1[[#This Row],[UnitPrice]]*Table1[[#This Row],[Quantity]]*(1-Table1[[#This Row],[DiscountPct]])</f>
        <v>43553.493060000001</v>
      </c>
      <c r="AN412" s="5">
        <f>Table1[[#This Row],[gross_revenue]]-Table1[[#This Row],[cost_of_goods]]</f>
        <v>16544.093059999999</v>
      </c>
      <c r="AO412" s="5">
        <f>Table1[[#This Row],[scenario_revenue]]-Table1[[#This Row],[Scenario_unit_cost]]</f>
        <v>16611.783671999998</v>
      </c>
      <c r="AP412" s="5">
        <f>IF(Table1[[#This Row],[gross_revenue]]=0,0,Table1[[#This Row],[gross_profit]]/Table1[[#This Row],[gross_revenue]])</f>
        <v>0.37985685871873898</v>
      </c>
    </row>
    <row r="413" spans="1:42" x14ac:dyDescent="0.35">
      <c r="A413" t="s">
        <v>135</v>
      </c>
      <c r="B413" t="str">
        <f>_xlfn.TEXTAFTER(Table1[[#This Row],[OrderID]],"-",2)</f>
        <v>184082</v>
      </c>
      <c r="C413">
        <f>YEAR(Table1[[#This Row],[OrderDate]])</f>
        <v>2025</v>
      </c>
      <c r="D413" s="9">
        <f>_xlfn.MINIFS(F:F,P:P,Table1[[#This Row],[Country]])</f>
        <v>44945</v>
      </c>
      <c r="E413" s="7">
        <f>DATEDIF(Table1[[#This Row],[first_time_orders]],Table1[[#This Row],[OrderDate]],"m")</f>
        <v>29</v>
      </c>
      <c r="F413" s="9">
        <v>45827</v>
      </c>
      <c r="G413" s="2" t="str">
        <f>TEXT(Table1[[#This Row],[OrderDate]],"MMM-YYYY")</f>
        <v>Jun-2025</v>
      </c>
      <c r="H413" s="7">
        <f>MONTH(Table1[[#This Row],[OrderDate]])</f>
        <v>6</v>
      </c>
      <c r="I413" s="7" t="str">
        <f>"Q"&amp;ROUNDUP(Table1[[#This Row],[months]]/3,0)&amp;"-"&amp;Table1[[#This Row],[order_year]]</f>
        <v>Q2-2025</v>
      </c>
      <c r="J413" s="7">
        <f>Table1[[#This Row],[RequiredDate]]-Table1[[#This Row],[OrderDate]]</f>
        <v>23</v>
      </c>
      <c r="K413" s="7">
        <f>IF(Table1[[#This Row],[lead_time]]&lt;0,MEDIAN(J:J),Table1[[#This Row],[lead_time]])</f>
        <v>23</v>
      </c>
      <c r="L413" s="7">
        <f>IF(Table1[[#This Row],[adj_lead_time]]&lt;=7,1,0)</f>
        <v>0</v>
      </c>
      <c r="M413" s="9">
        <v>45850</v>
      </c>
      <c r="N413" s="9">
        <f>IF(Table1[[#This Row],[lead_time]]&lt;0,(Table1[[#This Row],[OrderDate]]+Table1[[#This Row],[adj_lead_time]]),Table1[[#This Row],[RequiredDate]])</f>
        <v>45850</v>
      </c>
      <c r="O413" t="s">
        <v>649</v>
      </c>
      <c r="P413" t="s">
        <v>658</v>
      </c>
      <c r="Q413" t="s">
        <v>683</v>
      </c>
      <c r="R413" t="s">
        <v>703</v>
      </c>
      <c r="S413" t="s">
        <v>711</v>
      </c>
      <c r="T413" t="s">
        <v>726</v>
      </c>
      <c r="U413" t="s">
        <v>729</v>
      </c>
      <c r="V413" t="s">
        <v>854</v>
      </c>
      <c r="W413">
        <v>801.24</v>
      </c>
      <c r="X413">
        <f>Table1[[#This Row],[UnitCost]]*(1+'scenario modeling'!$B$3)</f>
        <v>881.36400000000003</v>
      </c>
      <c r="Y413">
        <v>1959.09</v>
      </c>
      <c r="Z413" t="str">
        <f>IF(Table1[[#This Row],[UnitPrice]]&lt;=Quantiles!$B$2,Quantiles!$A$2,IF(Table1[[#This Row],[UnitPrice]]&lt;=Quantiles!$B$3,Quantiles!$A$3,Quantiles!$A$4))</f>
        <v>High</v>
      </c>
      <c r="AA413">
        <v>0.123</v>
      </c>
      <c r="AB413" s="5">
        <f>MIN(Table1[[#This Row],[DiscountPct]],'scenario modeling'!$B$2)</f>
        <v>0.1</v>
      </c>
      <c r="AC413" t="str">
        <f>IF(Table1[[#This Row],[DiscountPct]]&gt;0.3, "&gt;0.3","")</f>
        <v/>
      </c>
      <c r="AD413">
        <v>23</v>
      </c>
      <c r="AE413">
        <f>Table1[[#This Row],[Quantity]]*(1+'scenario modeling'!$B$4)</f>
        <v>27.599999999999998</v>
      </c>
      <c r="AF413">
        <f>Table1[[#This Row],[UnitCost]]*Table1[[#This Row],[Quantity]]</f>
        <v>18428.52</v>
      </c>
      <c r="AG413">
        <f>SUMIF($U:U,Table1[[#This Row],[ProductCategory]],$AM:AM)</f>
        <v>1773719.1704599999</v>
      </c>
      <c r="AH413">
        <f>SUMIFS($AM$2:AM413,$U$2:U413,U413)</f>
        <v>1222205.0218700003</v>
      </c>
      <c r="AI413" s="5">
        <f>Table1[[#This Row],[Cumulative_revenue]]/Table1[[#This Row],[Category_revenue]]</f>
        <v>0.68906343361730205</v>
      </c>
      <c r="AJ413" t="str">
        <f>IF(Table1[[#This Row],[cumulative_pct]]&lt;=0.8,"A",IF(Table1[[#This Row],[cumulative_pct]]&lt;=0.95,"B","C"))</f>
        <v>A</v>
      </c>
      <c r="AK413">
        <f>Table1[[#This Row],[adj_unit_cost]]*Table1[[#This Row],[scenario_quantity]]</f>
        <v>24325.646399999998</v>
      </c>
      <c r="AL413" s="5">
        <f>Table1[[#This Row],[UnitPrice]]*Table1[[#This Row],[scenario_quantity]]*(1-Table1[[#This Row],[cap_adjusted_discount]])</f>
        <v>48663.79559999999</v>
      </c>
      <c r="AM413" s="5">
        <f>Table1[[#This Row],[UnitPrice]]*Table1[[#This Row],[Quantity]]*(1-Table1[[#This Row],[DiscountPct]])</f>
        <v>39516.804389999998</v>
      </c>
      <c r="AN413" s="5">
        <f>Table1[[#This Row],[gross_revenue]]-Table1[[#This Row],[cost_of_goods]]</f>
        <v>21088.284389999997</v>
      </c>
      <c r="AO413" s="5">
        <f>Table1[[#This Row],[scenario_revenue]]-Table1[[#This Row],[Scenario_unit_cost]]</f>
        <v>24338.149199999993</v>
      </c>
      <c r="AP413" s="5">
        <f>IF(Table1[[#This Row],[gross_revenue]]=0,0,Table1[[#This Row],[gross_profit]]/Table1[[#This Row],[gross_revenue]])</f>
        <v>0.53365358650651762</v>
      </c>
    </row>
    <row r="414" spans="1:42" x14ac:dyDescent="0.35">
      <c r="A414" t="s">
        <v>208</v>
      </c>
      <c r="B414" t="str">
        <f>_xlfn.TEXTAFTER(Table1[[#This Row],[OrderID]],"-",2)</f>
        <v>177794</v>
      </c>
      <c r="C414">
        <f>YEAR(Table1[[#This Row],[OrderDate]])</f>
        <v>2023</v>
      </c>
      <c r="D414" s="9">
        <f>_xlfn.MINIFS(F:F,P:P,Table1[[#This Row],[Country]])</f>
        <v>44939</v>
      </c>
      <c r="E414" s="7">
        <f>DATEDIF(Table1[[#This Row],[first_time_orders]],Table1[[#This Row],[OrderDate]],"m")</f>
        <v>3</v>
      </c>
      <c r="F414" s="9">
        <v>45050</v>
      </c>
      <c r="G414" s="2" t="str">
        <f>TEXT(Table1[[#This Row],[OrderDate]],"MMM-YYYY")</f>
        <v>May-2023</v>
      </c>
      <c r="H414" s="7">
        <f>MONTH(Table1[[#This Row],[OrderDate]])</f>
        <v>5</v>
      </c>
      <c r="I414" s="7" t="str">
        <f>"Q"&amp;ROUNDUP(Table1[[#This Row],[months]]/3,0)&amp;"-"&amp;Table1[[#This Row],[order_year]]</f>
        <v>Q2-2023</v>
      </c>
      <c r="J414" s="7">
        <f>Table1[[#This Row],[RequiredDate]]-Table1[[#This Row],[OrderDate]]</f>
        <v>22</v>
      </c>
      <c r="K414" s="7">
        <f>IF(Table1[[#This Row],[lead_time]]&lt;0,MEDIAN(J:J),Table1[[#This Row],[lead_time]])</f>
        <v>22</v>
      </c>
      <c r="L414" s="7">
        <f>IF(Table1[[#This Row],[adj_lead_time]]&lt;=7,1,0)</f>
        <v>0</v>
      </c>
      <c r="M414" s="9">
        <v>45072</v>
      </c>
      <c r="N414" s="9">
        <f>IF(Table1[[#This Row],[lead_time]]&lt;0,(Table1[[#This Row],[OrderDate]]+Table1[[#This Row],[adj_lead_time]]),Table1[[#This Row],[RequiredDate]])</f>
        <v>45072</v>
      </c>
      <c r="O414" t="s">
        <v>648</v>
      </c>
      <c r="P414" t="s">
        <v>660</v>
      </c>
      <c r="Q414" t="s">
        <v>686</v>
      </c>
      <c r="R414" t="s">
        <v>706</v>
      </c>
      <c r="S414" t="s">
        <v>708</v>
      </c>
      <c r="T414" t="s">
        <v>713</v>
      </c>
      <c r="U414" t="s">
        <v>729</v>
      </c>
      <c r="V414" t="s">
        <v>928</v>
      </c>
      <c r="W414">
        <v>249.71</v>
      </c>
      <c r="X414">
        <f>Table1[[#This Row],[UnitCost]]*(1+'scenario modeling'!$B$3)</f>
        <v>274.68100000000004</v>
      </c>
      <c r="Y414">
        <v>361.33</v>
      </c>
      <c r="Z414" t="str">
        <f>IF(Table1[[#This Row],[UnitPrice]]&lt;=Quantiles!$B$2,Quantiles!$A$2,IF(Table1[[#This Row],[UnitPrice]]&lt;=Quantiles!$B$3,Quantiles!$A$3,Quantiles!$A$4))</f>
        <v>Low</v>
      </c>
      <c r="AA414">
        <v>9.4E-2</v>
      </c>
      <c r="AB414" s="5">
        <f>MIN(Table1[[#This Row],[DiscountPct]],'scenario modeling'!$B$2)</f>
        <v>9.4E-2</v>
      </c>
      <c r="AC414" t="str">
        <f>IF(Table1[[#This Row],[DiscountPct]]&gt;0.3, "&gt;0.3","")</f>
        <v/>
      </c>
      <c r="AD414">
        <v>12</v>
      </c>
      <c r="AE414">
        <f>Table1[[#This Row],[Quantity]]*(1+'scenario modeling'!$B$4)</f>
        <v>14.399999999999999</v>
      </c>
      <c r="AF414">
        <f>Table1[[#This Row],[UnitCost]]*Table1[[#This Row],[Quantity]]</f>
        <v>2996.52</v>
      </c>
      <c r="AG414">
        <f>SUMIF($U:U,Table1[[#This Row],[ProductCategory]],$AM:AM)</f>
        <v>1773719.1704599999</v>
      </c>
      <c r="AH414">
        <f>SUMIFS($AM$2:AM414,$U$2:U414,U414)</f>
        <v>1226133.4016300002</v>
      </c>
      <c r="AI414" s="5">
        <f>Table1[[#This Row],[Cumulative_revenue]]/Table1[[#This Row],[Category_revenue]]</f>
        <v>0.69127820347795654</v>
      </c>
      <c r="AJ414" t="str">
        <f>IF(Table1[[#This Row],[cumulative_pct]]&lt;=0.8,"A",IF(Table1[[#This Row],[cumulative_pct]]&lt;=0.95,"B","C"))</f>
        <v>A</v>
      </c>
      <c r="AK414">
        <f>Table1[[#This Row],[adj_unit_cost]]*Table1[[#This Row],[scenario_quantity]]</f>
        <v>3955.4064000000003</v>
      </c>
      <c r="AL414" s="5">
        <f>Table1[[#This Row],[UnitPrice]]*Table1[[#This Row],[scenario_quantity]]*(1-Table1[[#This Row],[cap_adjusted_discount]])</f>
        <v>4714.0557119999994</v>
      </c>
      <c r="AM414" s="5">
        <f>Table1[[#This Row],[UnitPrice]]*Table1[[#This Row],[Quantity]]*(1-Table1[[#This Row],[DiscountPct]])</f>
        <v>3928.3797600000003</v>
      </c>
      <c r="AN414" s="5">
        <f>Table1[[#This Row],[gross_revenue]]-Table1[[#This Row],[cost_of_goods]]</f>
        <v>931.85976000000028</v>
      </c>
      <c r="AO414" s="5">
        <f>Table1[[#This Row],[scenario_revenue]]-Table1[[#This Row],[Scenario_unit_cost]]</f>
        <v>758.6493119999991</v>
      </c>
      <c r="AP414" s="5">
        <f>IF(Table1[[#This Row],[gross_revenue]]=0,0,Table1[[#This Row],[gross_profit]]/Table1[[#This Row],[gross_revenue]])</f>
        <v>0.23721223937881206</v>
      </c>
    </row>
    <row r="415" spans="1:42" x14ac:dyDescent="0.35">
      <c r="A415" t="s">
        <v>355</v>
      </c>
      <c r="B415" t="str">
        <f>_xlfn.TEXTAFTER(Table1[[#This Row],[OrderID]],"-",2)</f>
        <v>766015</v>
      </c>
      <c r="C415">
        <f>YEAR(Table1[[#This Row],[OrderDate]])</f>
        <v>2023</v>
      </c>
      <c r="D415" s="9">
        <f>_xlfn.MINIFS(F:F,P:P,Table1[[#This Row],[Country]])</f>
        <v>44939</v>
      </c>
      <c r="E415" s="7">
        <f>DATEDIF(Table1[[#This Row],[first_time_orders]],Table1[[#This Row],[OrderDate]],"m")</f>
        <v>3</v>
      </c>
      <c r="F415" s="9">
        <v>45029</v>
      </c>
      <c r="G415" s="2" t="str">
        <f>TEXT(Table1[[#This Row],[OrderDate]],"MMM-YYYY")</f>
        <v>Apr-2023</v>
      </c>
      <c r="H415" s="7">
        <f>MONTH(Table1[[#This Row],[OrderDate]])</f>
        <v>4</v>
      </c>
      <c r="I415" s="7" t="str">
        <f>"Q"&amp;ROUNDUP(Table1[[#This Row],[months]]/3,0)&amp;"-"&amp;Table1[[#This Row],[order_year]]</f>
        <v>Q2-2023</v>
      </c>
      <c r="J415" s="7">
        <f>Table1[[#This Row],[RequiredDate]]-Table1[[#This Row],[OrderDate]]</f>
        <v>-2</v>
      </c>
      <c r="K415" s="7">
        <f>IF(Table1[[#This Row],[lead_time]]&lt;0,MEDIAN(J:J),Table1[[#This Row],[lead_time]])</f>
        <v>15</v>
      </c>
      <c r="L415" s="7">
        <f>IF(Table1[[#This Row],[adj_lead_time]]&lt;=7,1,0)</f>
        <v>0</v>
      </c>
      <c r="M415" s="9">
        <v>45027</v>
      </c>
      <c r="N415" s="9">
        <f>IF(Table1[[#This Row],[lead_time]]&lt;0,(Table1[[#This Row],[OrderDate]]+Table1[[#This Row],[adj_lead_time]]),Table1[[#This Row],[RequiredDate]])</f>
        <v>45044</v>
      </c>
      <c r="O415" t="s">
        <v>648</v>
      </c>
      <c r="P415" t="s">
        <v>660</v>
      </c>
      <c r="Q415" t="s">
        <v>686</v>
      </c>
      <c r="R415" t="s">
        <v>702</v>
      </c>
      <c r="S415" t="s">
        <v>709</v>
      </c>
      <c r="T415" t="s">
        <v>715</v>
      </c>
      <c r="U415" t="s">
        <v>729</v>
      </c>
      <c r="V415" t="s">
        <v>1075</v>
      </c>
      <c r="W415">
        <v>32.1</v>
      </c>
      <c r="X415">
        <f>Table1[[#This Row],[UnitCost]]*(1+'scenario modeling'!$B$3)</f>
        <v>35.31</v>
      </c>
      <c r="Y415">
        <v>70.599999999999994</v>
      </c>
      <c r="Z415" t="str">
        <f>IF(Table1[[#This Row],[UnitPrice]]&lt;=Quantiles!$B$2,Quantiles!$A$2,IF(Table1[[#This Row],[UnitPrice]]&lt;=Quantiles!$B$3,Quantiles!$A$3,Quantiles!$A$4))</f>
        <v>Low</v>
      </c>
      <c r="AA415">
        <v>0.28199999999999997</v>
      </c>
      <c r="AB415" s="5">
        <f>MIN(Table1[[#This Row],[DiscountPct]],'scenario modeling'!$B$2)</f>
        <v>0.1</v>
      </c>
      <c r="AC415" t="str">
        <f>IF(Table1[[#This Row],[DiscountPct]]&gt;0.3, "&gt;0.3","")</f>
        <v/>
      </c>
      <c r="AD415">
        <v>22</v>
      </c>
      <c r="AE415">
        <f>Table1[[#This Row],[Quantity]]*(1+'scenario modeling'!$B$4)</f>
        <v>26.4</v>
      </c>
      <c r="AF415">
        <f>Table1[[#This Row],[UnitCost]]*Table1[[#This Row],[Quantity]]</f>
        <v>706.2</v>
      </c>
      <c r="AG415">
        <f>SUMIF($U:U,Table1[[#This Row],[ProductCategory]],$AM:AM)</f>
        <v>1773719.1704599999</v>
      </c>
      <c r="AH415">
        <f>SUMIFS($AM$2:AM415,$U$2:U415,U415)</f>
        <v>1227248.5992300003</v>
      </c>
      <c r="AI415" s="5">
        <f>Table1[[#This Row],[Cumulative_revenue]]/Table1[[#This Row],[Category_revenue]]</f>
        <v>0.69190693750675492</v>
      </c>
      <c r="AJ415" t="str">
        <f>IF(Table1[[#This Row],[cumulative_pct]]&lt;=0.8,"A",IF(Table1[[#This Row],[cumulative_pct]]&lt;=0.95,"B","C"))</f>
        <v>A</v>
      </c>
      <c r="AK415">
        <f>Table1[[#This Row],[adj_unit_cost]]*Table1[[#This Row],[scenario_quantity]]</f>
        <v>932.18399999999997</v>
      </c>
      <c r="AL415" s="5">
        <f>Table1[[#This Row],[UnitPrice]]*Table1[[#This Row],[scenario_quantity]]*(1-Table1[[#This Row],[cap_adjusted_discount]])</f>
        <v>1677.4559999999997</v>
      </c>
      <c r="AM415" s="5">
        <f>Table1[[#This Row],[UnitPrice]]*Table1[[#This Row],[Quantity]]*(1-Table1[[#This Row],[DiscountPct]])</f>
        <v>1115.1975999999997</v>
      </c>
      <c r="AN415" s="5">
        <f>Table1[[#This Row],[gross_revenue]]-Table1[[#This Row],[cost_of_goods]]</f>
        <v>408.99759999999969</v>
      </c>
      <c r="AO415" s="5">
        <f>Table1[[#This Row],[scenario_revenue]]-Table1[[#This Row],[Scenario_unit_cost]]</f>
        <v>745.27199999999971</v>
      </c>
      <c r="AP415" s="5">
        <f>IF(Table1[[#This Row],[gross_revenue]]=0,0,Table1[[#This Row],[gross_profit]]/Table1[[#This Row],[gross_revenue]])</f>
        <v>0.36674899587301818</v>
      </c>
    </row>
    <row r="416" spans="1:42" x14ac:dyDescent="0.35">
      <c r="A416" t="s">
        <v>36</v>
      </c>
      <c r="B416" t="str">
        <f>_xlfn.TEXTAFTER(Table1[[#This Row],[OrderID]],"-",2)</f>
        <v>867836</v>
      </c>
      <c r="C416">
        <f>YEAR(Table1[[#This Row],[OrderDate]])</f>
        <v>2023</v>
      </c>
      <c r="D416" s="9">
        <f>_xlfn.MINIFS(F:F,P:P,Table1[[#This Row],[Country]])</f>
        <v>44938</v>
      </c>
      <c r="E416" s="7">
        <f>DATEDIF(Table1[[#This Row],[first_time_orders]],Table1[[#This Row],[OrderDate]],"m")</f>
        <v>3</v>
      </c>
      <c r="F416" s="9">
        <v>45057</v>
      </c>
      <c r="G416" s="2" t="str">
        <f>TEXT(Table1[[#This Row],[OrderDate]],"MMM-YYYY")</f>
        <v>May-2023</v>
      </c>
      <c r="H416" s="7">
        <f>MONTH(Table1[[#This Row],[OrderDate]])</f>
        <v>5</v>
      </c>
      <c r="I416" s="7" t="str">
        <f>"Q"&amp;ROUNDUP(Table1[[#This Row],[months]]/3,0)&amp;"-"&amp;Table1[[#This Row],[order_year]]</f>
        <v>Q2-2023</v>
      </c>
      <c r="J416" s="7">
        <f>Table1[[#This Row],[RequiredDate]]-Table1[[#This Row],[OrderDate]]</f>
        <v>17</v>
      </c>
      <c r="K416" s="7">
        <f>IF(Table1[[#This Row],[lead_time]]&lt;0,MEDIAN(J:J),Table1[[#This Row],[lead_time]])</f>
        <v>17</v>
      </c>
      <c r="L416" s="7">
        <f>IF(Table1[[#This Row],[adj_lead_time]]&lt;=7,1,0)</f>
        <v>0</v>
      </c>
      <c r="M416" s="9">
        <v>45074</v>
      </c>
      <c r="N416" s="9">
        <f>IF(Table1[[#This Row],[lead_time]]&lt;0,(Table1[[#This Row],[OrderDate]]+Table1[[#This Row],[adj_lead_time]]),Table1[[#This Row],[RequiredDate]])</f>
        <v>45074</v>
      </c>
      <c r="O416" t="s">
        <v>647</v>
      </c>
      <c r="P416" t="s">
        <v>659</v>
      </c>
      <c r="Q416" t="s">
        <v>676</v>
      </c>
      <c r="R416" t="s">
        <v>706</v>
      </c>
      <c r="S416" t="s">
        <v>709</v>
      </c>
      <c r="T416" t="s">
        <v>718</v>
      </c>
      <c r="U416" t="s">
        <v>729</v>
      </c>
      <c r="V416" t="s">
        <v>755</v>
      </c>
      <c r="W416">
        <v>1331.19</v>
      </c>
      <c r="X416">
        <f>Table1[[#This Row],[UnitCost]]*(1+'scenario modeling'!$B$3)</f>
        <v>1464.3090000000002</v>
      </c>
      <c r="Y416">
        <v>2903.09</v>
      </c>
      <c r="Z416" t="str">
        <f>IF(Table1[[#This Row],[UnitPrice]]&lt;=Quantiles!$B$2,Quantiles!$A$2,IF(Table1[[#This Row],[UnitPrice]]&lt;=Quantiles!$B$3,Quantiles!$A$3,Quantiles!$A$4))</f>
        <v>High</v>
      </c>
      <c r="AA416">
        <v>0.14299999999999999</v>
      </c>
      <c r="AB416" s="5">
        <f>MIN(Table1[[#This Row],[DiscountPct]],'scenario modeling'!$B$2)</f>
        <v>0.1</v>
      </c>
      <c r="AC416" t="str">
        <f>IF(Table1[[#This Row],[DiscountPct]]&gt;0.3, "&gt;0.3","")</f>
        <v/>
      </c>
      <c r="AD416">
        <v>8</v>
      </c>
      <c r="AE416">
        <f>Table1[[#This Row],[Quantity]]*(1+'scenario modeling'!$B$4)</f>
        <v>9.6</v>
      </c>
      <c r="AF416">
        <f>Table1[[#This Row],[UnitCost]]*Table1[[#This Row],[Quantity]]</f>
        <v>10649.52</v>
      </c>
      <c r="AG416">
        <f>SUMIF($U:U,Table1[[#This Row],[ProductCategory]],$AM:AM)</f>
        <v>1773719.1704599999</v>
      </c>
      <c r="AH416">
        <f>SUMIFS($AM$2:AM416,$U$2:U416,U416)</f>
        <v>1247152.1842700003</v>
      </c>
      <c r="AI416" s="5">
        <f>Table1[[#This Row],[Cumulative_revenue]]/Table1[[#This Row],[Category_revenue]]</f>
        <v>0.70312832213825671</v>
      </c>
      <c r="AJ416" t="str">
        <f>IF(Table1[[#This Row],[cumulative_pct]]&lt;=0.8,"A",IF(Table1[[#This Row],[cumulative_pct]]&lt;=0.95,"B","C"))</f>
        <v>A</v>
      </c>
      <c r="AK416">
        <f>Table1[[#This Row],[adj_unit_cost]]*Table1[[#This Row],[scenario_quantity]]</f>
        <v>14057.366400000001</v>
      </c>
      <c r="AL416" s="5">
        <f>Table1[[#This Row],[UnitPrice]]*Table1[[#This Row],[scenario_quantity]]*(1-Table1[[#This Row],[cap_adjusted_discount]])</f>
        <v>25082.6976</v>
      </c>
      <c r="AM416" s="5">
        <f>Table1[[#This Row],[UnitPrice]]*Table1[[#This Row],[Quantity]]*(1-Table1[[#This Row],[DiscountPct]])</f>
        <v>19903.585040000002</v>
      </c>
      <c r="AN416" s="5">
        <f>Table1[[#This Row],[gross_revenue]]-Table1[[#This Row],[cost_of_goods]]</f>
        <v>9254.0650400000013</v>
      </c>
      <c r="AO416" s="5">
        <f>Table1[[#This Row],[scenario_revenue]]-Table1[[#This Row],[Scenario_unit_cost]]</f>
        <v>11025.331199999999</v>
      </c>
      <c r="AP416" s="5">
        <f>IF(Table1[[#This Row],[gross_revenue]]=0,0,Table1[[#This Row],[gross_profit]]/Table1[[#This Row],[gross_revenue]])</f>
        <v>0.46494463290920784</v>
      </c>
    </row>
    <row r="417" spans="1:42" x14ac:dyDescent="0.35">
      <c r="A417" t="s">
        <v>271</v>
      </c>
      <c r="B417" t="str">
        <f>_xlfn.TEXTAFTER(Table1[[#This Row],[OrderID]],"-",2)</f>
        <v>256951</v>
      </c>
      <c r="C417">
        <f>YEAR(Table1[[#This Row],[OrderDate]])</f>
        <v>2023</v>
      </c>
      <c r="D417" s="9">
        <f>_xlfn.MINIFS(F:F,P:P,Table1[[#This Row],[Country]])</f>
        <v>44945</v>
      </c>
      <c r="E417" s="7">
        <f>DATEDIF(Table1[[#This Row],[first_time_orders]],Table1[[#This Row],[OrderDate]],"m")</f>
        <v>3</v>
      </c>
      <c r="F417" s="9">
        <v>45035</v>
      </c>
      <c r="G417" s="2" t="str">
        <f>TEXT(Table1[[#This Row],[OrderDate]],"MMM-YYYY")</f>
        <v>Apr-2023</v>
      </c>
      <c r="H417" s="7">
        <f>MONTH(Table1[[#This Row],[OrderDate]])</f>
        <v>4</v>
      </c>
      <c r="I417" s="7" t="str">
        <f>"Q"&amp;ROUNDUP(Table1[[#This Row],[months]]/3,0)&amp;"-"&amp;Table1[[#This Row],[order_year]]</f>
        <v>Q2-2023</v>
      </c>
      <c r="J417" s="7">
        <f>Table1[[#This Row],[RequiredDate]]-Table1[[#This Row],[OrderDate]]</f>
        <v>18</v>
      </c>
      <c r="K417" s="7">
        <f>IF(Table1[[#This Row],[lead_time]]&lt;0,MEDIAN(J:J),Table1[[#This Row],[lead_time]])</f>
        <v>18</v>
      </c>
      <c r="L417" s="7">
        <f>IF(Table1[[#This Row],[adj_lead_time]]&lt;=7,1,0)</f>
        <v>0</v>
      </c>
      <c r="M417" s="9">
        <v>45053</v>
      </c>
      <c r="N417" s="9">
        <f>IF(Table1[[#This Row],[lead_time]]&lt;0,(Table1[[#This Row],[OrderDate]]+Table1[[#This Row],[adj_lead_time]]),Table1[[#This Row],[RequiredDate]])</f>
        <v>45053</v>
      </c>
      <c r="O417" t="s">
        <v>649</v>
      </c>
      <c r="P417" t="s">
        <v>658</v>
      </c>
      <c r="Q417" t="s">
        <v>683</v>
      </c>
      <c r="R417" t="s">
        <v>703</v>
      </c>
      <c r="S417" t="s">
        <v>711</v>
      </c>
      <c r="T417" t="s">
        <v>722</v>
      </c>
      <c r="U417" t="s">
        <v>729</v>
      </c>
      <c r="V417" t="s">
        <v>991</v>
      </c>
      <c r="W417">
        <v>516.96</v>
      </c>
      <c r="X417">
        <f>Table1[[#This Row],[UnitCost]]*(1+'scenario modeling'!$B$3)</f>
        <v>568.65600000000006</v>
      </c>
      <c r="Y417">
        <v>745.38</v>
      </c>
      <c r="Z417" t="str">
        <f>IF(Table1[[#This Row],[UnitPrice]]&lt;=Quantiles!$B$2,Quantiles!$A$2,IF(Table1[[#This Row],[UnitPrice]]&lt;=Quantiles!$B$3,Quantiles!$A$3,Quantiles!$A$4))</f>
        <v>Low</v>
      </c>
      <c r="AA417">
        <v>0.19700000000000001</v>
      </c>
      <c r="AB417" s="5">
        <f>MIN(Table1[[#This Row],[DiscountPct]],'scenario modeling'!$B$2)</f>
        <v>0.1</v>
      </c>
      <c r="AC417" t="str">
        <f>IF(Table1[[#This Row],[DiscountPct]]&gt;0.3, "&gt;0.3","")</f>
        <v/>
      </c>
      <c r="AD417">
        <v>4</v>
      </c>
      <c r="AE417">
        <f>Table1[[#This Row],[Quantity]]*(1+'scenario modeling'!$B$4)</f>
        <v>4.8</v>
      </c>
      <c r="AF417">
        <f>Table1[[#This Row],[UnitCost]]*Table1[[#This Row],[Quantity]]</f>
        <v>2067.84</v>
      </c>
      <c r="AG417">
        <f>SUMIF($U:U,Table1[[#This Row],[ProductCategory]],$AM:AM)</f>
        <v>1773719.1704599999</v>
      </c>
      <c r="AH417">
        <f>SUMIFS($AM$2:AM417,$U$2:U417,U417)</f>
        <v>1249546.3448300003</v>
      </c>
      <c r="AI417" s="5">
        <f>Table1[[#This Row],[Cumulative_revenue]]/Table1[[#This Row],[Category_revenue]]</f>
        <v>0.70447811899441803</v>
      </c>
      <c r="AJ417" t="str">
        <f>IF(Table1[[#This Row],[cumulative_pct]]&lt;=0.8,"A",IF(Table1[[#This Row],[cumulative_pct]]&lt;=0.95,"B","C"))</f>
        <v>A</v>
      </c>
      <c r="AK417">
        <f>Table1[[#This Row],[adj_unit_cost]]*Table1[[#This Row],[scenario_quantity]]</f>
        <v>2729.5488</v>
      </c>
      <c r="AL417" s="5">
        <f>Table1[[#This Row],[UnitPrice]]*Table1[[#This Row],[scenario_quantity]]*(1-Table1[[#This Row],[cap_adjusted_discount]])</f>
        <v>3220.0416</v>
      </c>
      <c r="AM417" s="5">
        <f>Table1[[#This Row],[UnitPrice]]*Table1[[#This Row],[Quantity]]*(1-Table1[[#This Row],[DiscountPct]])</f>
        <v>2394.1605599999998</v>
      </c>
      <c r="AN417" s="5">
        <f>Table1[[#This Row],[gross_revenue]]-Table1[[#This Row],[cost_of_goods]]</f>
        <v>326.32055999999966</v>
      </c>
      <c r="AO417" s="5">
        <f>Table1[[#This Row],[scenario_revenue]]-Table1[[#This Row],[Scenario_unit_cost]]</f>
        <v>490.49279999999999</v>
      </c>
      <c r="AP417" s="5">
        <f>IF(Table1[[#This Row],[gross_revenue]]=0,0,Table1[[#This Row],[gross_profit]]/Table1[[#This Row],[gross_revenue]])</f>
        <v>0.13629852794835101</v>
      </c>
    </row>
    <row r="418" spans="1:42" x14ac:dyDescent="0.35">
      <c r="A418" t="s">
        <v>237</v>
      </c>
      <c r="B418" t="str">
        <f>_xlfn.TEXTAFTER(Table1[[#This Row],[OrderID]],"-",2)</f>
        <v>678688</v>
      </c>
      <c r="C418">
        <f>YEAR(Table1[[#This Row],[OrderDate]])</f>
        <v>2025</v>
      </c>
      <c r="D418" s="9">
        <f>_xlfn.MINIFS(F:F,P:P,Table1[[#This Row],[Country]])</f>
        <v>44933</v>
      </c>
      <c r="E418" s="7">
        <f>DATEDIF(Table1[[#This Row],[first_time_orders]],Table1[[#This Row],[OrderDate]],"m")</f>
        <v>30</v>
      </c>
      <c r="F418" s="9">
        <v>45854</v>
      </c>
      <c r="G418" s="2" t="str">
        <f>TEXT(Table1[[#This Row],[OrderDate]],"MMM-YYYY")</f>
        <v>Jul-2025</v>
      </c>
      <c r="H418" s="7">
        <f>MONTH(Table1[[#This Row],[OrderDate]])</f>
        <v>7</v>
      </c>
      <c r="I418" s="7" t="str">
        <f>"Q"&amp;ROUNDUP(Table1[[#This Row],[months]]/3,0)&amp;"-"&amp;Table1[[#This Row],[order_year]]</f>
        <v>Q3-2025</v>
      </c>
      <c r="J418" s="7">
        <f>Table1[[#This Row],[RequiredDate]]-Table1[[#This Row],[OrderDate]]</f>
        <v>1</v>
      </c>
      <c r="K418" s="7">
        <f>IF(Table1[[#This Row],[lead_time]]&lt;0,MEDIAN(J:J),Table1[[#This Row],[lead_time]])</f>
        <v>1</v>
      </c>
      <c r="L418" s="7">
        <f>IF(Table1[[#This Row],[adj_lead_time]]&lt;=7,1,0)</f>
        <v>1</v>
      </c>
      <c r="M418" s="9">
        <v>45855</v>
      </c>
      <c r="N418" s="9">
        <f>IF(Table1[[#This Row],[lead_time]]&lt;0,(Table1[[#This Row],[OrderDate]]+Table1[[#This Row],[adj_lead_time]]),Table1[[#This Row],[RequiredDate]])</f>
        <v>45855</v>
      </c>
      <c r="O418" t="s">
        <v>646</v>
      </c>
      <c r="P418" t="s">
        <v>661</v>
      </c>
      <c r="Q418" t="s">
        <v>687</v>
      </c>
      <c r="R418" t="s">
        <v>705</v>
      </c>
      <c r="S418" t="s">
        <v>710</v>
      </c>
      <c r="T418" t="s">
        <v>717</v>
      </c>
      <c r="U418" t="s">
        <v>729</v>
      </c>
      <c r="V418" t="s">
        <v>957</v>
      </c>
      <c r="W418">
        <v>1198.9000000000001</v>
      </c>
      <c r="X418">
        <f>Table1[[#This Row],[UnitCost]]*(1+'scenario modeling'!$B$3)</f>
        <v>1318.7900000000002</v>
      </c>
      <c r="Y418">
        <v>2941.2</v>
      </c>
      <c r="Z418" t="str">
        <f>IF(Table1[[#This Row],[UnitPrice]]&lt;=Quantiles!$B$2,Quantiles!$A$2,IF(Table1[[#This Row],[UnitPrice]]&lt;=Quantiles!$B$3,Quantiles!$A$3,Quantiles!$A$4))</f>
        <v>High</v>
      </c>
      <c r="AA418">
        <v>5.0999999999999997E-2</v>
      </c>
      <c r="AB418" s="5">
        <f>MIN(Table1[[#This Row],[DiscountPct]],'scenario modeling'!$B$2)</f>
        <v>5.0999999999999997E-2</v>
      </c>
      <c r="AC418" t="str">
        <f>IF(Table1[[#This Row],[DiscountPct]]&gt;0.3, "&gt;0.3","")</f>
        <v/>
      </c>
      <c r="AD418">
        <v>24</v>
      </c>
      <c r="AE418">
        <f>Table1[[#This Row],[Quantity]]*(1+'scenario modeling'!$B$4)</f>
        <v>28.799999999999997</v>
      </c>
      <c r="AF418">
        <f>Table1[[#This Row],[UnitCost]]*Table1[[#This Row],[Quantity]]</f>
        <v>28773.600000000002</v>
      </c>
      <c r="AG418">
        <f>SUMIF($U:U,Table1[[#This Row],[ProductCategory]],$AM:AM)</f>
        <v>1773719.1704599999</v>
      </c>
      <c r="AH418">
        <f>SUMIFS($AM$2:AM418,$U$2:U418,U418)</f>
        <v>1316535.1160300004</v>
      </c>
      <c r="AI418" s="5">
        <f>Table1[[#This Row],[Cumulative_revenue]]/Table1[[#This Row],[Category_revenue]]</f>
        <v>0.74224552452041637</v>
      </c>
      <c r="AJ418" t="str">
        <f>IF(Table1[[#This Row],[cumulative_pct]]&lt;=0.8,"A",IF(Table1[[#This Row],[cumulative_pct]]&lt;=0.95,"B","C"))</f>
        <v>A</v>
      </c>
      <c r="AK418">
        <f>Table1[[#This Row],[adj_unit_cost]]*Table1[[#This Row],[scenario_quantity]]</f>
        <v>37981.152000000002</v>
      </c>
      <c r="AL418" s="5">
        <f>Table1[[#This Row],[UnitPrice]]*Table1[[#This Row],[scenario_quantity]]*(1-Table1[[#This Row],[cap_adjusted_discount]])</f>
        <v>80386.525439999983</v>
      </c>
      <c r="AM418" s="5">
        <f>Table1[[#This Row],[UnitPrice]]*Table1[[#This Row],[Quantity]]*(1-Table1[[#This Row],[DiscountPct]])</f>
        <v>66988.771199999988</v>
      </c>
      <c r="AN418" s="5">
        <f>Table1[[#This Row],[gross_revenue]]-Table1[[#This Row],[cost_of_goods]]</f>
        <v>38215.171199999982</v>
      </c>
      <c r="AO418" s="5">
        <f>Table1[[#This Row],[scenario_revenue]]-Table1[[#This Row],[Scenario_unit_cost]]</f>
        <v>42405.373439999981</v>
      </c>
      <c r="AP418" s="5">
        <f>IF(Table1[[#This Row],[gross_revenue]]=0,0,Table1[[#This Row],[gross_profit]]/Table1[[#This Row],[gross_revenue]])</f>
        <v>0.57047129713583977</v>
      </c>
    </row>
    <row r="419" spans="1:42" x14ac:dyDescent="0.35">
      <c r="A419" t="s">
        <v>47</v>
      </c>
      <c r="B419" t="str">
        <f>_xlfn.TEXTAFTER(Table1[[#This Row],[OrderID]],"-",2)</f>
        <v>474710</v>
      </c>
      <c r="C419">
        <f>YEAR(Table1[[#This Row],[OrderDate]])</f>
        <v>2025</v>
      </c>
      <c r="D419" s="9">
        <f>_xlfn.MINIFS(F:F,P:P,Table1[[#This Row],[Country]])</f>
        <v>44933</v>
      </c>
      <c r="E419" s="7">
        <f>DATEDIF(Table1[[#This Row],[first_time_orders]],Table1[[#This Row],[OrderDate]],"m")</f>
        <v>30</v>
      </c>
      <c r="F419" s="9">
        <v>45862</v>
      </c>
      <c r="G419" s="2" t="str">
        <f>TEXT(Table1[[#This Row],[OrderDate]],"MMM-YYYY")</f>
        <v>Jul-2025</v>
      </c>
      <c r="H419" s="7">
        <f>MONTH(Table1[[#This Row],[OrderDate]])</f>
        <v>7</v>
      </c>
      <c r="I419" s="7" t="str">
        <f>"Q"&amp;ROUNDUP(Table1[[#This Row],[months]]/3,0)&amp;"-"&amp;Table1[[#This Row],[order_year]]</f>
        <v>Q3-2025</v>
      </c>
      <c r="J419" s="7">
        <f>Table1[[#This Row],[RequiredDate]]-Table1[[#This Row],[OrderDate]]</f>
        <v>13</v>
      </c>
      <c r="K419" s="7">
        <f>IF(Table1[[#This Row],[lead_time]]&lt;0,MEDIAN(J:J),Table1[[#This Row],[lead_time]])</f>
        <v>13</v>
      </c>
      <c r="L419" s="7">
        <f>IF(Table1[[#This Row],[adj_lead_time]]&lt;=7,1,0)</f>
        <v>0</v>
      </c>
      <c r="M419" s="9">
        <v>45875</v>
      </c>
      <c r="N419" s="9">
        <f>IF(Table1[[#This Row],[lead_time]]&lt;0,(Table1[[#This Row],[OrderDate]]+Table1[[#This Row],[adj_lead_time]]),Table1[[#This Row],[RequiredDate]])</f>
        <v>45875</v>
      </c>
      <c r="O419" t="s">
        <v>646</v>
      </c>
      <c r="P419" t="s">
        <v>661</v>
      </c>
      <c r="Q419" t="s">
        <v>682</v>
      </c>
      <c r="R419" t="s">
        <v>702</v>
      </c>
      <c r="S419" t="s">
        <v>709</v>
      </c>
      <c r="T419" t="s">
        <v>726</v>
      </c>
      <c r="U419" t="s">
        <v>729</v>
      </c>
      <c r="V419" t="s">
        <v>766</v>
      </c>
      <c r="W419">
        <v>1463.9</v>
      </c>
      <c r="X419">
        <f>Table1[[#This Row],[UnitCost]]*(1+'scenario modeling'!$B$3)</f>
        <v>1610.2900000000002</v>
      </c>
      <c r="Y419">
        <v>2633.02</v>
      </c>
      <c r="Z419" t="str">
        <f>IF(Table1[[#This Row],[UnitPrice]]&lt;=Quantiles!$B$2,Quantiles!$A$2,IF(Table1[[#This Row],[UnitPrice]]&lt;=Quantiles!$B$3,Quantiles!$A$3,Quantiles!$A$4))</f>
        <v>High</v>
      </c>
      <c r="AA419">
        <v>8.4000000000000005E-2</v>
      </c>
      <c r="AB419" s="5">
        <f>MIN(Table1[[#This Row],[DiscountPct]],'scenario modeling'!$B$2)</f>
        <v>8.4000000000000005E-2</v>
      </c>
      <c r="AC419" t="str">
        <f>IF(Table1[[#This Row],[DiscountPct]]&gt;0.3, "&gt;0.3","")</f>
        <v/>
      </c>
      <c r="AD419">
        <v>4</v>
      </c>
      <c r="AE419">
        <f>Table1[[#This Row],[Quantity]]*(1+'scenario modeling'!$B$4)</f>
        <v>4.8</v>
      </c>
      <c r="AF419">
        <f>Table1[[#This Row],[UnitCost]]*Table1[[#This Row],[Quantity]]</f>
        <v>5855.6</v>
      </c>
      <c r="AG419">
        <f>SUMIF($U:U,Table1[[#This Row],[ProductCategory]],$AM:AM)</f>
        <v>1773719.1704599999</v>
      </c>
      <c r="AH419">
        <f>SUMIFS($AM$2:AM419,$U$2:U419,U419)</f>
        <v>1326182.5013100004</v>
      </c>
      <c r="AI419" s="5">
        <f>Table1[[#This Row],[Cumulative_revenue]]/Table1[[#This Row],[Category_revenue]]</f>
        <v>0.74768459595893388</v>
      </c>
      <c r="AJ419" t="str">
        <f>IF(Table1[[#This Row],[cumulative_pct]]&lt;=0.8,"A",IF(Table1[[#This Row],[cumulative_pct]]&lt;=0.95,"B","C"))</f>
        <v>A</v>
      </c>
      <c r="AK419">
        <f>Table1[[#This Row],[adj_unit_cost]]*Table1[[#This Row],[scenario_quantity]]</f>
        <v>7729.3920000000007</v>
      </c>
      <c r="AL419" s="5">
        <f>Table1[[#This Row],[UnitPrice]]*Table1[[#This Row],[scenario_quantity]]*(1-Table1[[#This Row],[cap_adjusted_discount]])</f>
        <v>11576.862336</v>
      </c>
      <c r="AM419" s="5">
        <f>Table1[[#This Row],[UnitPrice]]*Table1[[#This Row],[Quantity]]*(1-Table1[[#This Row],[DiscountPct]])</f>
        <v>9647.3852800000004</v>
      </c>
      <c r="AN419" s="5">
        <f>Table1[[#This Row],[gross_revenue]]-Table1[[#This Row],[cost_of_goods]]</f>
        <v>3791.7852800000001</v>
      </c>
      <c r="AO419" s="5">
        <f>Table1[[#This Row],[scenario_revenue]]-Table1[[#This Row],[Scenario_unit_cost]]</f>
        <v>3847.4703359999994</v>
      </c>
      <c r="AP419" s="5">
        <f>IF(Table1[[#This Row],[gross_revenue]]=0,0,Table1[[#This Row],[gross_profit]]/Table1[[#This Row],[gross_revenue]])</f>
        <v>0.39303761277791527</v>
      </c>
    </row>
    <row r="420" spans="1:42" x14ac:dyDescent="0.35">
      <c r="A420" t="s">
        <v>113</v>
      </c>
      <c r="B420" t="str">
        <f>_xlfn.TEXTAFTER(Table1[[#This Row],[OrderID]],"-",2)</f>
        <v>541501</v>
      </c>
      <c r="C420">
        <f>YEAR(Table1[[#This Row],[OrderDate]])</f>
        <v>2025</v>
      </c>
      <c r="D420" s="9">
        <f>_xlfn.MINIFS(F:F,P:P,Table1[[#This Row],[Country]])</f>
        <v>44938</v>
      </c>
      <c r="E420" s="7">
        <f>DATEDIF(Table1[[#This Row],[first_time_orders]],Table1[[#This Row],[OrderDate]],"m")</f>
        <v>30</v>
      </c>
      <c r="F420" s="9">
        <v>45860</v>
      </c>
      <c r="G420" s="2" t="str">
        <f>TEXT(Table1[[#This Row],[OrderDate]],"MMM-YYYY")</f>
        <v>Jul-2025</v>
      </c>
      <c r="H420" s="7">
        <f>MONTH(Table1[[#This Row],[OrderDate]])</f>
        <v>7</v>
      </c>
      <c r="I420" s="7" t="str">
        <f>"Q"&amp;ROUNDUP(Table1[[#This Row],[months]]/3,0)&amp;"-"&amp;Table1[[#This Row],[order_year]]</f>
        <v>Q3-2025</v>
      </c>
      <c r="J420" s="7">
        <f>Table1[[#This Row],[RequiredDate]]-Table1[[#This Row],[OrderDate]]</f>
        <v>27</v>
      </c>
      <c r="K420" s="7">
        <f>IF(Table1[[#This Row],[lead_time]]&lt;0,MEDIAN(J:J),Table1[[#This Row],[lead_time]])</f>
        <v>27</v>
      </c>
      <c r="L420" s="7">
        <f>IF(Table1[[#This Row],[adj_lead_time]]&lt;=7,1,0)</f>
        <v>0</v>
      </c>
      <c r="M420" s="9">
        <v>45887</v>
      </c>
      <c r="N420" s="9">
        <f>IF(Table1[[#This Row],[lead_time]]&lt;0,(Table1[[#This Row],[OrderDate]]+Table1[[#This Row],[adj_lead_time]]),Table1[[#This Row],[RequiredDate]])</f>
        <v>45887</v>
      </c>
      <c r="O420" t="s">
        <v>647</v>
      </c>
      <c r="P420" t="s">
        <v>659</v>
      </c>
      <c r="Q420" t="s">
        <v>676</v>
      </c>
      <c r="R420" t="s">
        <v>703</v>
      </c>
      <c r="S420" t="s">
        <v>709</v>
      </c>
      <c r="T420" t="s">
        <v>724</v>
      </c>
      <c r="U420" t="s">
        <v>729</v>
      </c>
      <c r="V420" t="s">
        <v>832</v>
      </c>
      <c r="W420">
        <v>547.32000000000005</v>
      </c>
      <c r="X420">
        <f>Table1[[#This Row],[UnitCost]]*(1+'scenario modeling'!$B$3)</f>
        <v>602.05200000000013</v>
      </c>
      <c r="Y420">
        <v>419.17</v>
      </c>
      <c r="Z420" t="str">
        <f>IF(Table1[[#This Row],[UnitPrice]]&lt;=Quantiles!$B$2,Quantiles!$A$2,IF(Table1[[#This Row],[UnitPrice]]&lt;=Quantiles!$B$3,Quantiles!$A$3,Quantiles!$A$4))</f>
        <v>Low</v>
      </c>
      <c r="AA420">
        <v>9.1999999999999998E-2</v>
      </c>
      <c r="AB420" s="5">
        <f>MIN(Table1[[#This Row],[DiscountPct]],'scenario modeling'!$B$2)</f>
        <v>9.1999999999999998E-2</v>
      </c>
      <c r="AC420" t="str">
        <f>IF(Table1[[#This Row],[DiscountPct]]&gt;0.3, "&gt;0.3","")</f>
        <v/>
      </c>
      <c r="AD420">
        <v>14</v>
      </c>
      <c r="AE420">
        <f>Table1[[#This Row],[Quantity]]*(1+'scenario modeling'!$B$4)</f>
        <v>16.8</v>
      </c>
      <c r="AF420">
        <f>Table1[[#This Row],[UnitCost]]*Table1[[#This Row],[Quantity]]</f>
        <v>7662.4800000000005</v>
      </c>
      <c r="AG420">
        <f>SUMIF($U:U,Table1[[#This Row],[ProductCategory]],$AM:AM)</f>
        <v>1773719.1704599999</v>
      </c>
      <c r="AH420">
        <f>SUMIFS($AM$2:AM420,$U$2:U420,U420)</f>
        <v>1331510.9903500003</v>
      </c>
      <c r="AI420" s="5">
        <f>Table1[[#This Row],[Cumulative_revenue]]/Table1[[#This Row],[Category_revenue]]</f>
        <v>0.75068872938024545</v>
      </c>
      <c r="AJ420" t="str">
        <f>IF(Table1[[#This Row],[cumulative_pct]]&lt;=0.8,"A",IF(Table1[[#This Row],[cumulative_pct]]&lt;=0.95,"B","C"))</f>
        <v>A</v>
      </c>
      <c r="AK420">
        <f>Table1[[#This Row],[adj_unit_cost]]*Table1[[#This Row],[scenario_quantity]]</f>
        <v>10114.473600000003</v>
      </c>
      <c r="AL420" s="5">
        <f>Table1[[#This Row],[UnitPrice]]*Table1[[#This Row],[scenario_quantity]]*(1-Table1[[#This Row],[cap_adjusted_discount]])</f>
        <v>6394.1868480000003</v>
      </c>
      <c r="AM420" s="5">
        <f>Table1[[#This Row],[UnitPrice]]*Table1[[#This Row],[Quantity]]*(1-Table1[[#This Row],[DiscountPct]])</f>
        <v>5328.4890400000004</v>
      </c>
      <c r="AN420" s="5">
        <f>Table1[[#This Row],[gross_revenue]]-Table1[[#This Row],[cost_of_goods]]</f>
        <v>-2333.9909600000001</v>
      </c>
      <c r="AO420" s="5">
        <f>Table1[[#This Row],[scenario_revenue]]-Table1[[#This Row],[Scenario_unit_cost]]</f>
        <v>-3720.2867520000027</v>
      </c>
      <c r="AP420" s="5">
        <f>IF(Table1[[#This Row],[gross_revenue]]=0,0,Table1[[#This Row],[gross_profit]]/Table1[[#This Row],[gross_revenue]])</f>
        <v>-0.43802116181137907</v>
      </c>
    </row>
    <row r="421" spans="1:42" x14ac:dyDescent="0.35">
      <c r="A421" t="s">
        <v>395</v>
      </c>
      <c r="B421" t="str">
        <f>_xlfn.TEXTAFTER(Table1[[#This Row],[OrderID]],"-",2)</f>
        <v>822030</v>
      </c>
      <c r="C421">
        <f>YEAR(Table1[[#This Row],[OrderDate]])</f>
        <v>2025</v>
      </c>
      <c r="D421" s="9">
        <f>_xlfn.MINIFS(F:F,P:P,Table1[[#This Row],[Country]])</f>
        <v>44928</v>
      </c>
      <c r="E421" s="7">
        <f>DATEDIF(Table1[[#This Row],[first_time_orders]],Table1[[#This Row],[OrderDate]],"m")</f>
        <v>31</v>
      </c>
      <c r="F421" s="9">
        <v>45876</v>
      </c>
      <c r="G421" s="2" t="str">
        <f>TEXT(Table1[[#This Row],[OrderDate]],"MMM-YYYY")</f>
        <v>Aug-2025</v>
      </c>
      <c r="H421" s="7">
        <f>MONTH(Table1[[#This Row],[OrderDate]])</f>
        <v>8</v>
      </c>
      <c r="I421" s="7" t="str">
        <f>"Q"&amp;ROUNDUP(Table1[[#This Row],[months]]/3,0)&amp;"-"&amp;Table1[[#This Row],[order_year]]</f>
        <v>Q3-2025</v>
      </c>
      <c r="J421" s="7">
        <f>Table1[[#This Row],[RequiredDate]]-Table1[[#This Row],[OrderDate]]</f>
        <v>30</v>
      </c>
      <c r="K421" s="7">
        <f>IF(Table1[[#This Row],[lead_time]]&lt;0,MEDIAN(J:J),Table1[[#This Row],[lead_time]])</f>
        <v>30</v>
      </c>
      <c r="L421" s="7">
        <f>IF(Table1[[#This Row],[adj_lead_time]]&lt;=7,1,0)</f>
        <v>0</v>
      </c>
      <c r="M421" s="9">
        <v>45906</v>
      </c>
      <c r="N421" s="9">
        <f>IF(Table1[[#This Row],[lead_time]]&lt;0,(Table1[[#This Row],[OrderDate]]+Table1[[#This Row],[adj_lead_time]]),Table1[[#This Row],[RequiredDate]])</f>
        <v>45906</v>
      </c>
      <c r="O421" t="s">
        <v>648</v>
      </c>
      <c r="P421" t="s">
        <v>653</v>
      </c>
      <c r="Q421" t="s">
        <v>681</v>
      </c>
      <c r="R421" t="s">
        <v>702</v>
      </c>
      <c r="S421" t="s">
        <v>711</v>
      </c>
      <c r="T421" t="s">
        <v>724</v>
      </c>
      <c r="U421" t="s">
        <v>729</v>
      </c>
      <c r="V421" t="s">
        <v>1114</v>
      </c>
      <c r="W421">
        <v>833.73</v>
      </c>
      <c r="X421">
        <f>Table1[[#This Row],[UnitCost]]*(1+'scenario modeling'!$B$3)</f>
        <v>917.10300000000007</v>
      </c>
      <c r="Y421">
        <v>1116.5999999999999</v>
      </c>
      <c r="Z421" t="str">
        <f>IF(Table1[[#This Row],[UnitPrice]]&lt;=Quantiles!$B$2,Quantiles!$A$2,IF(Table1[[#This Row],[UnitPrice]]&lt;=Quantiles!$B$3,Quantiles!$A$3,Quantiles!$A$4))</f>
        <v>Medium</v>
      </c>
      <c r="AA421">
        <v>0.17599999999999999</v>
      </c>
      <c r="AB421" s="5">
        <f>MIN(Table1[[#This Row],[DiscountPct]],'scenario modeling'!$B$2)</f>
        <v>0.1</v>
      </c>
      <c r="AC421" t="str">
        <f>IF(Table1[[#This Row],[DiscountPct]]&gt;0.3, "&gt;0.3","")</f>
        <v/>
      </c>
      <c r="AD421">
        <v>14</v>
      </c>
      <c r="AE421">
        <f>Table1[[#This Row],[Quantity]]*(1+'scenario modeling'!$B$4)</f>
        <v>16.8</v>
      </c>
      <c r="AF421">
        <f>Table1[[#This Row],[UnitCost]]*Table1[[#This Row],[Quantity]]</f>
        <v>11672.220000000001</v>
      </c>
      <c r="AG421">
        <f>SUMIF($U:U,Table1[[#This Row],[ProductCategory]],$AM:AM)</f>
        <v>1773719.1704599999</v>
      </c>
      <c r="AH421">
        <f>SUMIFS($AM$2:AM421,$U$2:U421,U421)</f>
        <v>1344392.0879500003</v>
      </c>
      <c r="AI421" s="5">
        <f>Table1[[#This Row],[Cumulative_revenue]]/Table1[[#This Row],[Category_revenue]]</f>
        <v>0.75795092613299264</v>
      </c>
      <c r="AJ421" t="str">
        <f>IF(Table1[[#This Row],[cumulative_pct]]&lt;=0.8,"A",IF(Table1[[#This Row],[cumulative_pct]]&lt;=0.95,"B","C"))</f>
        <v>A</v>
      </c>
      <c r="AK421">
        <f>Table1[[#This Row],[adj_unit_cost]]*Table1[[#This Row],[scenario_quantity]]</f>
        <v>15407.330400000003</v>
      </c>
      <c r="AL421" s="5">
        <f>Table1[[#This Row],[UnitPrice]]*Table1[[#This Row],[scenario_quantity]]*(1-Table1[[#This Row],[cap_adjusted_discount]])</f>
        <v>16882.992000000002</v>
      </c>
      <c r="AM421" s="5">
        <f>Table1[[#This Row],[UnitPrice]]*Table1[[#This Row],[Quantity]]*(1-Table1[[#This Row],[DiscountPct]])</f>
        <v>12881.097599999999</v>
      </c>
      <c r="AN421" s="5">
        <f>Table1[[#This Row],[gross_revenue]]-Table1[[#This Row],[cost_of_goods]]</f>
        <v>1208.877599999998</v>
      </c>
      <c r="AO421" s="5">
        <f>Table1[[#This Row],[scenario_revenue]]-Table1[[#This Row],[Scenario_unit_cost]]</f>
        <v>1475.6615999999995</v>
      </c>
      <c r="AP421" s="5">
        <f>IF(Table1[[#This Row],[gross_revenue]]=0,0,Table1[[#This Row],[gross_profit]]/Table1[[#This Row],[gross_revenue]])</f>
        <v>9.3848958958279924E-2</v>
      </c>
    </row>
    <row r="422" spans="1:42" x14ac:dyDescent="0.35">
      <c r="A422" t="s">
        <v>590</v>
      </c>
      <c r="B422" t="str">
        <f>_xlfn.TEXTAFTER(Table1[[#This Row],[OrderID]],"-",2)</f>
        <v>281413</v>
      </c>
      <c r="C422">
        <f>YEAR(Table1[[#This Row],[OrderDate]])</f>
        <v>2025</v>
      </c>
      <c r="D422" s="9">
        <f>_xlfn.MINIFS(F:F,P:P,Table1[[#This Row],[Country]])</f>
        <v>44928</v>
      </c>
      <c r="E422" s="7">
        <f>DATEDIF(Table1[[#This Row],[first_time_orders]],Table1[[#This Row],[OrderDate]],"m")</f>
        <v>31</v>
      </c>
      <c r="F422" s="9">
        <v>45872</v>
      </c>
      <c r="G422" s="2" t="str">
        <f>TEXT(Table1[[#This Row],[OrderDate]],"MMM-YYYY")</f>
        <v>Aug-2025</v>
      </c>
      <c r="H422" s="7">
        <f>MONTH(Table1[[#This Row],[OrderDate]])</f>
        <v>8</v>
      </c>
      <c r="I422" s="7" t="str">
        <f>"Q"&amp;ROUNDUP(Table1[[#This Row],[months]]/3,0)&amp;"-"&amp;Table1[[#This Row],[order_year]]</f>
        <v>Q3-2025</v>
      </c>
      <c r="J422" s="7">
        <f>Table1[[#This Row],[RequiredDate]]-Table1[[#This Row],[OrderDate]]</f>
        <v>13</v>
      </c>
      <c r="K422" s="7">
        <f>IF(Table1[[#This Row],[lead_time]]&lt;0,MEDIAN(J:J),Table1[[#This Row],[lead_time]])</f>
        <v>13</v>
      </c>
      <c r="L422" s="7">
        <f>IF(Table1[[#This Row],[adj_lead_time]]&lt;=7,1,0)</f>
        <v>0</v>
      </c>
      <c r="M422" s="9">
        <v>45885</v>
      </c>
      <c r="N422" s="9">
        <f>IF(Table1[[#This Row],[lead_time]]&lt;0,(Table1[[#This Row],[OrderDate]]+Table1[[#This Row],[adj_lead_time]]),Table1[[#This Row],[RequiredDate]])</f>
        <v>45885</v>
      </c>
      <c r="O422" t="s">
        <v>648</v>
      </c>
      <c r="P422" t="s">
        <v>653</v>
      </c>
      <c r="Q422" t="s">
        <v>681</v>
      </c>
      <c r="R422" t="s">
        <v>706</v>
      </c>
      <c r="S422" t="s">
        <v>710</v>
      </c>
      <c r="T422" t="s">
        <v>719</v>
      </c>
      <c r="U422" t="s">
        <v>729</v>
      </c>
      <c r="V422" t="s">
        <v>1308</v>
      </c>
      <c r="W422">
        <v>698.66</v>
      </c>
      <c r="X422">
        <f>Table1[[#This Row],[UnitCost]]*(1+'scenario modeling'!$B$3)</f>
        <v>768.52600000000007</v>
      </c>
      <c r="Y422">
        <v>868.62</v>
      </c>
      <c r="Z422" t="str">
        <f>IF(Table1[[#This Row],[UnitPrice]]&lt;=Quantiles!$B$2,Quantiles!$A$2,IF(Table1[[#This Row],[UnitPrice]]&lt;=Quantiles!$B$3,Quantiles!$A$3,Quantiles!$A$4))</f>
        <v>Medium</v>
      </c>
      <c r="AA422">
        <v>7.1999999999999995E-2</v>
      </c>
      <c r="AB422" s="5">
        <f>MIN(Table1[[#This Row],[DiscountPct]],'scenario modeling'!$B$2)</f>
        <v>7.1999999999999995E-2</v>
      </c>
      <c r="AC422" t="str">
        <f>IF(Table1[[#This Row],[DiscountPct]]&gt;0.3, "&gt;0.3","")</f>
        <v/>
      </c>
      <c r="AD422">
        <v>15</v>
      </c>
      <c r="AE422">
        <f>Table1[[#This Row],[Quantity]]*(1+'scenario modeling'!$B$4)</f>
        <v>18</v>
      </c>
      <c r="AF422">
        <f>Table1[[#This Row],[UnitCost]]*Table1[[#This Row],[Quantity]]</f>
        <v>10479.9</v>
      </c>
      <c r="AG422">
        <f>SUMIF($U:U,Table1[[#This Row],[ProductCategory]],$AM:AM)</f>
        <v>1773719.1704599999</v>
      </c>
      <c r="AH422">
        <f>SUMIFS($AM$2:AM422,$U$2:U422,U422)</f>
        <v>1356483.2783500003</v>
      </c>
      <c r="AI422" s="5">
        <f>Table1[[#This Row],[Cumulative_revenue]]/Table1[[#This Row],[Category_revenue]]</f>
        <v>0.7647677833905393</v>
      </c>
      <c r="AJ422" t="str">
        <f>IF(Table1[[#This Row],[cumulative_pct]]&lt;=0.8,"A",IF(Table1[[#This Row],[cumulative_pct]]&lt;=0.95,"B","C"))</f>
        <v>A</v>
      </c>
      <c r="AK422">
        <f>Table1[[#This Row],[adj_unit_cost]]*Table1[[#This Row],[scenario_quantity]]</f>
        <v>13833.468000000001</v>
      </c>
      <c r="AL422" s="5">
        <f>Table1[[#This Row],[UnitPrice]]*Table1[[#This Row],[scenario_quantity]]*(1-Table1[[#This Row],[cap_adjusted_discount]])</f>
        <v>14509.42848</v>
      </c>
      <c r="AM422" s="5">
        <f>Table1[[#This Row],[UnitPrice]]*Table1[[#This Row],[Quantity]]*(1-Table1[[#This Row],[DiscountPct]])</f>
        <v>12091.190399999999</v>
      </c>
      <c r="AN422" s="5">
        <f>Table1[[#This Row],[gross_revenue]]-Table1[[#This Row],[cost_of_goods]]</f>
        <v>1611.2903999999999</v>
      </c>
      <c r="AO422" s="5">
        <f>Table1[[#This Row],[scenario_revenue]]-Table1[[#This Row],[Scenario_unit_cost]]</f>
        <v>675.96047999999973</v>
      </c>
      <c r="AP422" s="5">
        <f>IF(Table1[[#This Row],[gross_revenue]]=0,0,Table1[[#This Row],[gross_profit]]/Table1[[#This Row],[gross_revenue]])</f>
        <v>0.13326151906432637</v>
      </c>
    </row>
    <row r="423" spans="1:42" x14ac:dyDescent="0.35">
      <c r="A423" t="s">
        <v>559</v>
      </c>
      <c r="B423" t="str">
        <f>_xlfn.TEXTAFTER(Table1[[#This Row],[OrderID]],"-",2)</f>
        <v>960931</v>
      </c>
      <c r="C423">
        <f>YEAR(Table1[[#This Row],[OrderDate]])</f>
        <v>2025</v>
      </c>
      <c r="D423" s="9">
        <f>_xlfn.MINIFS(F:F,P:P,Table1[[#This Row],[Country]])</f>
        <v>44939</v>
      </c>
      <c r="E423" s="7">
        <f>DATEDIF(Table1[[#This Row],[first_time_orders]],Table1[[#This Row],[OrderDate]],"m")</f>
        <v>31</v>
      </c>
      <c r="F423" s="9">
        <v>45889</v>
      </c>
      <c r="G423" s="2" t="str">
        <f>TEXT(Table1[[#This Row],[OrderDate]],"MMM-YYYY")</f>
        <v>Aug-2025</v>
      </c>
      <c r="H423" s="7">
        <f>MONTH(Table1[[#This Row],[OrderDate]])</f>
        <v>8</v>
      </c>
      <c r="I423" s="7" t="str">
        <f>"Q"&amp;ROUNDUP(Table1[[#This Row],[months]]/3,0)&amp;"-"&amp;Table1[[#This Row],[order_year]]</f>
        <v>Q3-2025</v>
      </c>
      <c r="J423" s="7">
        <f>Table1[[#This Row],[RequiredDate]]-Table1[[#This Row],[OrderDate]]</f>
        <v>6</v>
      </c>
      <c r="K423" s="7">
        <f>IF(Table1[[#This Row],[lead_time]]&lt;0,MEDIAN(J:J),Table1[[#This Row],[lead_time]])</f>
        <v>6</v>
      </c>
      <c r="L423" s="7">
        <f>IF(Table1[[#This Row],[adj_lead_time]]&lt;=7,1,0)</f>
        <v>1</v>
      </c>
      <c r="M423" s="9">
        <v>45895</v>
      </c>
      <c r="N423" s="9">
        <f>IF(Table1[[#This Row],[lead_time]]&lt;0,(Table1[[#This Row],[OrderDate]]+Table1[[#This Row],[adj_lead_time]]),Table1[[#This Row],[RequiredDate]])</f>
        <v>45895</v>
      </c>
      <c r="O423" t="s">
        <v>648</v>
      </c>
      <c r="P423" t="s">
        <v>660</v>
      </c>
      <c r="Q423" t="s">
        <v>700</v>
      </c>
      <c r="R423" t="s">
        <v>701</v>
      </c>
      <c r="S423" t="s">
        <v>707</v>
      </c>
      <c r="T423" t="s">
        <v>724</v>
      </c>
      <c r="U423" t="s">
        <v>729</v>
      </c>
      <c r="V423" t="s">
        <v>1277</v>
      </c>
      <c r="W423">
        <v>1304.95</v>
      </c>
      <c r="X423">
        <f>Table1[[#This Row],[UnitCost]]*(1+'scenario modeling'!$B$3)</f>
        <v>1435.4450000000002</v>
      </c>
      <c r="Y423">
        <v>1712.03</v>
      </c>
      <c r="Z423" t="str">
        <f>IF(Table1[[#This Row],[UnitPrice]]&lt;=Quantiles!$B$2,Quantiles!$A$2,IF(Table1[[#This Row],[UnitPrice]]&lt;=Quantiles!$B$3,Quantiles!$A$3,Quantiles!$A$4))</f>
        <v>High</v>
      </c>
      <c r="AA423">
        <v>0.21199999999999999</v>
      </c>
      <c r="AB423" s="5">
        <f>MIN(Table1[[#This Row],[DiscountPct]],'scenario modeling'!$B$2)</f>
        <v>0.1</v>
      </c>
      <c r="AC423" t="str">
        <f>IF(Table1[[#This Row],[DiscountPct]]&gt;0.3, "&gt;0.3","")</f>
        <v/>
      </c>
      <c r="AD423">
        <v>8</v>
      </c>
      <c r="AE423">
        <f>Table1[[#This Row],[Quantity]]*(1+'scenario modeling'!$B$4)</f>
        <v>9.6</v>
      </c>
      <c r="AF423">
        <f>Table1[[#This Row],[UnitCost]]*Table1[[#This Row],[Quantity]]</f>
        <v>10439.6</v>
      </c>
      <c r="AG423">
        <f>SUMIF($U:U,Table1[[#This Row],[ProductCategory]],$AM:AM)</f>
        <v>1773719.1704599999</v>
      </c>
      <c r="AH423">
        <f>SUMIFS($AM$2:AM423,$U$2:U423,U423)</f>
        <v>1367275.9154700004</v>
      </c>
      <c r="AI423" s="5">
        <f>Table1[[#This Row],[Cumulative_revenue]]/Table1[[#This Row],[Category_revenue]]</f>
        <v>0.77085253305088219</v>
      </c>
      <c r="AJ423" t="str">
        <f>IF(Table1[[#This Row],[cumulative_pct]]&lt;=0.8,"A",IF(Table1[[#This Row],[cumulative_pct]]&lt;=0.95,"B","C"))</f>
        <v>A</v>
      </c>
      <c r="AK423">
        <f>Table1[[#This Row],[adj_unit_cost]]*Table1[[#This Row],[scenario_quantity]]</f>
        <v>13780.272000000001</v>
      </c>
      <c r="AL423" s="5">
        <f>Table1[[#This Row],[UnitPrice]]*Table1[[#This Row],[scenario_quantity]]*(1-Table1[[#This Row],[cap_adjusted_discount]])</f>
        <v>14791.939199999999</v>
      </c>
      <c r="AM423" s="5">
        <f>Table1[[#This Row],[UnitPrice]]*Table1[[#This Row],[Quantity]]*(1-Table1[[#This Row],[DiscountPct]])</f>
        <v>10792.637119999999</v>
      </c>
      <c r="AN423" s="5">
        <f>Table1[[#This Row],[gross_revenue]]-Table1[[#This Row],[cost_of_goods]]</f>
        <v>353.03711999999905</v>
      </c>
      <c r="AO423" s="5">
        <f>Table1[[#This Row],[scenario_revenue]]-Table1[[#This Row],[Scenario_unit_cost]]</f>
        <v>1011.667199999998</v>
      </c>
      <c r="AP423" s="5">
        <f>IF(Table1[[#This Row],[gross_revenue]]=0,0,Table1[[#This Row],[gross_profit]]/Table1[[#This Row],[gross_revenue]])</f>
        <v>3.2710922833287949E-2</v>
      </c>
    </row>
    <row r="424" spans="1:42" x14ac:dyDescent="0.35">
      <c r="A424" t="s">
        <v>616</v>
      </c>
      <c r="B424" t="str">
        <f>_xlfn.TEXTAFTER(Table1[[#This Row],[OrderID]],"-",2)</f>
        <v>189846</v>
      </c>
      <c r="C424">
        <f>YEAR(Table1[[#This Row],[OrderDate]])</f>
        <v>2025</v>
      </c>
      <c r="D424" s="9">
        <f>_xlfn.MINIFS(F:F,P:P,Table1[[#This Row],[Country]])</f>
        <v>44936</v>
      </c>
      <c r="E424" s="7">
        <f>DATEDIF(Table1[[#This Row],[first_time_orders]],Table1[[#This Row],[OrderDate]],"m")</f>
        <v>31</v>
      </c>
      <c r="F424" s="9">
        <v>45880</v>
      </c>
      <c r="G424" s="2" t="str">
        <f>TEXT(Table1[[#This Row],[OrderDate]],"MMM-YYYY")</f>
        <v>Aug-2025</v>
      </c>
      <c r="H424" s="7">
        <f>MONTH(Table1[[#This Row],[OrderDate]])</f>
        <v>8</v>
      </c>
      <c r="I424" s="7" t="str">
        <f>"Q"&amp;ROUNDUP(Table1[[#This Row],[months]]/3,0)&amp;"-"&amp;Table1[[#This Row],[order_year]]</f>
        <v>Q3-2025</v>
      </c>
      <c r="J424" s="7">
        <f>Table1[[#This Row],[RequiredDate]]-Table1[[#This Row],[OrderDate]]</f>
        <v>17</v>
      </c>
      <c r="K424" s="7">
        <f>IF(Table1[[#This Row],[lead_time]]&lt;0,MEDIAN(J:J),Table1[[#This Row],[lead_time]])</f>
        <v>17</v>
      </c>
      <c r="L424" s="7">
        <f>IF(Table1[[#This Row],[adj_lead_time]]&lt;=7,1,0)</f>
        <v>0</v>
      </c>
      <c r="M424" s="9">
        <v>45897</v>
      </c>
      <c r="N424" s="9">
        <f>IF(Table1[[#This Row],[lead_time]]&lt;0,(Table1[[#This Row],[OrderDate]]+Table1[[#This Row],[adj_lead_time]]),Table1[[#This Row],[RequiredDate]])</f>
        <v>45897</v>
      </c>
      <c r="O424" t="s">
        <v>649</v>
      </c>
      <c r="P424" t="s">
        <v>657</v>
      </c>
      <c r="Q424" t="s">
        <v>690</v>
      </c>
      <c r="R424" t="s">
        <v>702</v>
      </c>
      <c r="S424" t="s">
        <v>708</v>
      </c>
      <c r="T424" t="s">
        <v>721</v>
      </c>
      <c r="U424" t="s">
        <v>729</v>
      </c>
      <c r="V424" t="s">
        <v>1334</v>
      </c>
      <c r="W424">
        <v>416.16</v>
      </c>
      <c r="X424">
        <f>Table1[[#This Row],[UnitCost]]*(1+'scenario modeling'!$B$3)</f>
        <v>457.77600000000007</v>
      </c>
      <c r="Y424">
        <v>571.9</v>
      </c>
      <c r="Z424" t="str">
        <f>IF(Table1[[#This Row],[UnitPrice]]&lt;=Quantiles!$B$2,Quantiles!$A$2,IF(Table1[[#This Row],[UnitPrice]]&lt;=Quantiles!$B$3,Quantiles!$A$3,Quantiles!$A$4))</f>
        <v>Low</v>
      </c>
      <c r="AA424">
        <v>7.0999999999999994E-2</v>
      </c>
      <c r="AB424" s="5">
        <f>MIN(Table1[[#This Row],[DiscountPct]],'scenario modeling'!$B$2)</f>
        <v>7.0999999999999994E-2</v>
      </c>
      <c r="AC424" t="str">
        <f>IF(Table1[[#This Row],[DiscountPct]]&gt;0.3, "&gt;0.3","")</f>
        <v/>
      </c>
      <c r="AD424">
        <v>2</v>
      </c>
      <c r="AE424">
        <f>Table1[[#This Row],[Quantity]]*(1+'scenario modeling'!$B$4)</f>
        <v>2.4</v>
      </c>
      <c r="AF424">
        <f>Table1[[#This Row],[UnitCost]]*Table1[[#This Row],[Quantity]]</f>
        <v>832.32</v>
      </c>
      <c r="AG424">
        <f>SUMIF($U:U,Table1[[#This Row],[ProductCategory]],$AM:AM)</f>
        <v>1773719.1704599999</v>
      </c>
      <c r="AH424">
        <f>SUMIFS($AM$2:AM424,$U$2:U424,U424)</f>
        <v>1368338.5056700003</v>
      </c>
      <c r="AI424" s="5">
        <f>Table1[[#This Row],[Cumulative_revenue]]/Table1[[#This Row],[Category_revenue]]</f>
        <v>0.77145160770582</v>
      </c>
      <c r="AJ424" t="str">
        <f>IF(Table1[[#This Row],[cumulative_pct]]&lt;=0.8,"A",IF(Table1[[#This Row],[cumulative_pct]]&lt;=0.95,"B","C"))</f>
        <v>A</v>
      </c>
      <c r="AK424">
        <f>Table1[[#This Row],[adj_unit_cost]]*Table1[[#This Row],[scenario_quantity]]</f>
        <v>1098.6624000000002</v>
      </c>
      <c r="AL424" s="5">
        <f>Table1[[#This Row],[UnitPrice]]*Table1[[#This Row],[scenario_quantity]]*(1-Table1[[#This Row],[cap_adjusted_discount]])</f>
        <v>1275.10824</v>
      </c>
      <c r="AM424" s="5">
        <f>Table1[[#This Row],[UnitPrice]]*Table1[[#This Row],[Quantity]]*(1-Table1[[#This Row],[DiscountPct]])</f>
        <v>1062.5902000000001</v>
      </c>
      <c r="AN424" s="5">
        <f>Table1[[#This Row],[gross_revenue]]-Table1[[#This Row],[cost_of_goods]]</f>
        <v>230.27020000000005</v>
      </c>
      <c r="AO424" s="5">
        <f>Table1[[#This Row],[scenario_revenue]]-Table1[[#This Row],[Scenario_unit_cost]]</f>
        <v>176.44583999999986</v>
      </c>
      <c r="AP424" s="5">
        <f>IF(Table1[[#This Row],[gross_revenue]]=0,0,Table1[[#This Row],[gross_profit]]/Table1[[#This Row],[gross_revenue]])</f>
        <v>0.21670649701079497</v>
      </c>
    </row>
    <row r="425" spans="1:42" x14ac:dyDescent="0.35">
      <c r="A425" t="s">
        <v>345</v>
      </c>
      <c r="B425" t="str">
        <f>_xlfn.TEXTAFTER(Table1[[#This Row],[OrderID]],"-",2)</f>
        <v>737787</v>
      </c>
      <c r="C425">
        <f>YEAR(Table1[[#This Row],[OrderDate]])</f>
        <v>2025</v>
      </c>
      <c r="D425" s="9">
        <f>_xlfn.MINIFS(F:F,P:P,Table1[[#This Row],[Country]])</f>
        <v>44945</v>
      </c>
      <c r="E425" s="7">
        <f>DATEDIF(Table1[[#This Row],[first_time_orders]],Table1[[#This Row],[OrderDate]],"m")</f>
        <v>31</v>
      </c>
      <c r="F425" s="9">
        <v>45914</v>
      </c>
      <c r="G425" s="2" t="str">
        <f>TEXT(Table1[[#This Row],[OrderDate]],"MMM-YYYY")</f>
        <v>Sept-2025</v>
      </c>
      <c r="H425" s="7">
        <f>MONTH(Table1[[#This Row],[OrderDate]])</f>
        <v>9</v>
      </c>
      <c r="I425" s="7" t="str">
        <f>"Q"&amp;ROUNDUP(Table1[[#This Row],[months]]/3,0)&amp;"-"&amp;Table1[[#This Row],[order_year]]</f>
        <v>Q3-2025</v>
      </c>
      <c r="J425" s="7">
        <f>Table1[[#This Row],[RequiredDate]]-Table1[[#This Row],[OrderDate]]</f>
        <v>12</v>
      </c>
      <c r="K425" s="7">
        <f>IF(Table1[[#This Row],[lead_time]]&lt;0,MEDIAN(J:J),Table1[[#This Row],[lead_time]])</f>
        <v>12</v>
      </c>
      <c r="L425" s="7">
        <f>IF(Table1[[#This Row],[adj_lead_time]]&lt;=7,1,0)</f>
        <v>0</v>
      </c>
      <c r="M425" s="9">
        <v>45926</v>
      </c>
      <c r="N425" s="9">
        <f>IF(Table1[[#This Row],[lead_time]]&lt;0,(Table1[[#This Row],[OrderDate]]+Table1[[#This Row],[adj_lead_time]]),Table1[[#This Row],[RequiredDate]])</f>
        <v>45926</v>
      </c>
      <c r="O425" t="s">
        <v>649</v>
      </c>
      <c r="P425" t="s">
        <v>658</v>
      </c>
      <c r="Q425" t="s">
        <v>683</v>
      </c>
      <c r="R425" t="s">
        <v>705</v>
      </c>
      <c r="S425" t="s">
        <v>711</v>
      </c>
      <c r="T425" t="s">
        <v>725</v>
      </c>
      <c r="U425" t="s">
        <v>729</v>
      </c>
      <c r="V425" t="s">
        <v>1065</v>
      </c>
      <c r="W425">
        <v>425.15</v>
      </c>
      <c r="X425">
        <f>Table1[[#This Row],[UnitCost]]*(1+'scenario modeling'!$B$3)</f>
        <v>467.66500000000002</v>
      </c>
      <c r="Y425">
        <v>885.92</v>
      </c>
      <c r="Z425" t="str">
        <f>IF(Table1[[#This Row],[UnitPrice]]&lt;=Quantiles!$B$2,Quantiles!$A$2,IF(Table1[[#This Row],[UnitPrice]]&lt;=Quantiles!$B$3,Quantiles!$A$3,Quantiles!$A$4))</f>
        <v>Medium</v>
      </c>
      <c r="AA425">
        <v>0.23899999999999999</v>
      </c>
      <c r="AB425" s="5">
        <f>MIN(Table1[[#This Row],[DiscountPct]],'scenario modeling'!$B$2)</f>
        <v>0.1</v>
      </c>
      <c r="AC425" t="str">
        <f>IF(Table1[[#This Row],[DiscountPct]]&gt;0.3, "&gt;0.3","")</f>
        <v/>
      </c>
      <c r="AD425">
        <v>13</v>
      </c>
      <c r="AE425">
        <f>Table1[[#This Row],[Quantity]]*(1+'scenario modeling'!$B$4)</f>
        <v>15.6</v>
      </c>
      <c r="AF425">
        <f>Table1[[#This Row],[UnitCost]]*Table1[[#This Row],[Quantity]]</f>
        <v>5526.95</v>
      </c>
      <c r="AG425">
        <f>SUMIF($U:U,Table1[[#This Row],[ProductCategory]],$AM:AM)</f>
        <v>1773719.1704599999</v>
      </c>
      <c r="AH425">
        <f>SUMIFS($AM$2:AM425,$U$2:U425,U425)</f>
        <v>1377102.9122300004</v>
      </c>
      <c r="AI425" s="5">
        <f>Table1[[#This Row],[Cumulative_revenue]]/Table1[[#This Row],[Category_revenue]]</f>
        <v>0.77639286712611877</v>
      </c>
      <c r="AJ425" t="str">
        <f>IF(Table1[[#This Row],[cumulative_pct]]&lt;=0.8,"A",IF(Table1[[#This Row],[cumulative_pct]]&lt;=0.95,"B","C"))</f>
        <v>A</v>
      </c>
      <c r="AK425">
        <f>Table1[[#This Row],[adj_unit_cost]]*Table1[[#This Row],[scenario_quantity]]</f>
        <v>7295.5740000000005</v>
      </c>
      <c r="AL425" s="5">
        <f>Table1[[#This Row],[UnitPrice]]*Table1[[#This Row],[scenario_quantity]]*(1-Table1[[#This Row],[cap_adjusted_discount]])</f>
        <v>12438.316799999999</v>
      </c>
      <c r="AM425" s="5">
        <f>Table1[[#This Row],[UnitPrice]]*Table1[[#This Row],[Quantity]]*(1-Table1[[#This Row],[DiscountPct]])</f>
        <v>8764.4065599999994</v>
      </c>
      <c r="AN425" s="5">
        <f>Table1[[#This Row],[gross_revenue]]-Table1[[#This Row],[cost_of_goods]]</f>
        <v>3237.4565599999996</v>
      </c>
      <c r="AO425" s="5">
        <f>Table1[[#This Row],[scenario_revenue]]-Table1[[#This Row],[Scenario_unit_cost]]</f>
        <v>5142.7427999999982</v>
      </c>
      <c r="AP425" s="5">
        <f>IF(Table1[[#This Row],[gross_revenue]]=0,0,Table1[[#This Row],[gross_profit]]/Table1[[#This Row],[gross_revenue]])</f>
        <v>0.3693868532725848</v>
      </c>
    </row>
    <row r="426" spans="1:42" x14ac:dyDescent="0.35">
      <c r="A426" t="s">
        <v>510</v>
      </c>
      <c r="B426" t="str">
        <f>_xlfn.TEXTAFTER(Table1[[#This Row],[OrderID]],"-",2)</f>
        <v>434071</v>
      </c>
      <c r="C426">
        <f>YEAR(Table1[[#This Row],[OrderDate]])</f>
        <v>2023</v>
      </c>
      <c r="D426" s="9">
        <f>_xlfn.MINIFS(F:F,P:P,Table1[[#This Row],[Country]])</f>
        <v>44955</v>
      </c>
      <c r="E426" s="7">
        <f>DATEDIF(Table1[[#This Row],[first_time_orders]],Table1[[#This Row],[OrderDate]],"m")</f>
        <v>4</v>
      </c>
      <c r="F426" s="9">
        <v>45097</v>
      </c>
      <c r="G426" s="2" t="str">
        <f>TEXT(Table1[[#This Row],[OrderDate]],"MMM-YYYY")</f>
        <v>Jun-2023</v>
      </c>
      <c r="H426" s="7">
        <f>MONTH(Table1[[#This Row],[OrderDate]])</f>
        <v>6</v>
      </c>
      <c r="I426" s="7" t="str">
        <f>"Q"&amp;ROUNDUP(Table1[[#This Row],[months]]/3,0)&amp;"-"&amp;Table1[[#This Row],[order_year]]</f>
        <v>Q2-2023</v>
      </c>
      <c r="J426" s="7">
        <f>Table1[[#This Row],[RequiredDate]]-Table1[[#This Row],[OrderDate]]</f>
        <v>14</v>
      </c>
      <c r="K426" s="7">
        <f>IF(Table1[[#This Row],[lead_time]]&lt;0,MEDIAN(J:J),Table1[[#This Row],[lead_time]])</f>
        <v>14</v>
      </c>
      <c r="L426" s="7">
        <f>IF(Table1[[#This Row],[adj_lead_time]]&lt;=7,1,0)</f>
        <v>0</v>
      </c>
      <c r="M426" s="9">
        <v>45111</v>
      </c>
      <c r="N426" s="9">
        <f>IF(Table1[[#This Row],[lead_time]]&lt;0,(Table1[[#This Row],[OrderDate]]+Table1[[#This Row],[adj_lead_time]]),Table1[[#This Row],[RequiredDate]])</f>
        <v>45111</v>
      </c>
      <c r="O426" t="s">
        <v>648</v>
      </c>
      <c r="P426" t="s">
        <v>655</v>
      </c>
      <c r="Q426" t="s">
        <v>672</v>
      </c>
      <c r="R426" t="s">
        <v>703</v>
      </c>
      <c r="S426" t="s">
        <v>711</v>
      </c>
      <c r="T426" t="s">
        <v>712</v>
      </c>
      <c r="U426" t="s">
        <v>729</v>
      </c>
      <c r="V426" t="s">
        <v>1229</v>
      </c>
      <c r="W426">
        <v>1292.8599999999999</v>
      </c>
      <c r="X426">
        <f>Table1[[#This Row],[UnitCost]]*(1+'scenario modeling'!$B$3)</f>
        <v>1422.146</v>
      </c>
      <c r="Y426">
        <v>2981.01</v>
      </c>
      <c r="Z426" t="str">
        <f>IF(Table1[[#This Row],[UnitPrice]]&lt;=Quantiles!$B$2,Quantiles!$A$2,IF(Table1[[#This Row],[UnitPrice]]&lt;=Quantiles!$B$3,Quantiles!$A$3,Quantiles!$A$4))</f>
        <v>High</v>
      </c>
      <c r="AA426">
        <v>0.14199999999999999</v>
      </c>
      <c r="AB426" s="5">
        <f>MIN(Table1[[#This Row],[DiscountPct]],'scenario modeling'!$B$2)</f>
        <v>0.1</v>
      </c>
      <c r="AC426" t="str">
        <f>IF(Table1[[#This Row],[DiscountPct]]&gt;0.3, "&gt;0.3","")</f>
        <v/>
      </c>
      <c r="AD426">
        <v>12</v>
      </c>
      <c r="AE426">
        <f>Table1[[#This Row],[Quantity]]*(1+'scenario modeling'!$B$4)</f>
        <v>14.399999999999999</v>
      </c>
      <c r="AF426">
        <f>Table1[[#This Row],[UnitCost]]*Table1[[#This Row],[Quantity]]</f>
        <v>15514.32</v>
      </c>
      <c r="AG426">
        <f>SUMIF($U:U,Table1[[#This Row],[ProductCategory]],$AM:AM)</f>
        <v>1773719.1704599999</v>
      </c>
      <c r="AH426">
        <f>SUMIFS($AM$2:AM426,$U$2:U426,U426)</f>
        <v>1407795.3911900003</v>
      </c>
      <c r="AI426" s="5">
        <f>Table1[[#This Row],[Cumulative_revenue]]/Table1[[#This Row],[Category_revenue]]</f>
        <v>0.79369689105006391</v>
      </c>
      <c r="AJ426" t="str">
        <f>IF(Table1[[#This Row],[cumulative_pct]]&lt;=0.8,"A",IF(Table1[[#This Row],[cumulative_pct]]&lt;=0.95,"B","C"))</f>
        <v>A</v>
      </c>
      <c r="AK426">
        <f>Table1[[#This Row],[adj_unit_cost]]*Table1[[#This Row],[scenario_quantity]]</f>
        <v>20478.902399999999</v>
      </c>
      <c r="AL426" s="5">
        <f>Table1[[#This Row],[UnitPrice]]*Table1[[#This Row],[scenario_quantity]]*(1-Table1[[#This Row],[cap_adjusted_discount]])</f>
        <v>38633.889600000002</v>
      </c>
      <c r="AM426" s="5">
        <f>Table1[[#This Row],[UnitPrice]]*Table1[[#This Row],[Quantity]]*(1-Table1[[#This Row],[DiscountPct]])</f>
        <v>30692.47896</v>
      </c>
      <c r="AN426" s="5">
        <f>Table1[[#This Row],[gross_revenue]]-Table1[[#This Row],[cost_of_goods]]</f>
        <v>15178.158960000001</v>
      </c>
      <c r="AO426" s="5">
        <f>Table1[[#This Row],[scenario_revenue]]-Table1[[#This Row],[Scenario_unit_cost]]</f>
        <v>18154.987200000003</v>
      </c>
      <c r="AP426" s="5">
        <f>IF(Table1[[#This Row],[gross_revenue]]=0,0,Table1[[#This Row],[gross_profit]]/Table1[[#This Row],[gross_revenue]])</f>
        <v>0.49452372288927687</v>
      </c>
    </row>
    <row r="427" spans="1:42" x14ac:dyDescent="0.35">
      <c r="A427" t="s">
        <v>240</v>
      </c>
      <c r="B427" t="str">
        <f>_xlfn.TEXTAFTER(Table1[[#This Row],[OrderID]],"-",2)</f>
        <v>290237</v>
      </c>
      <c r="C427">
        <f>YEAR(Table1[[#This Row],[OrderDate]])</f>
        <v>2023</v>
      </c>
      <c r="D427" s="9">
        <f>_xlfn.MINIFS(F:F,P:P,Table1[[#This Row],[Country]])</f>
        <v>44988</v>
      </c>
      <c r="E427" s="7">
        <f>DATEDIF(Table1[[#This Row],[first_time_orders]],Table1[[#This Row],[OrderDate]],"m")</f>
        <v>4</v>
      </c>
      <c r="F427" s="9">
        <v>45137</v>
      </c>
      <c r="G427" s="2" t="str">
        <f>TEXT(Table1[[#This Row],[OrderDate]],"MMM-YYYY")</f>
        <v>Jul-2023</v>
      </c>
      <c r="H427" s="7">
        <f>MONTH(Table1[[#This Row],[OrderDate]])</f>
        <v>7</v>
      </c>
      <c r="I427" s="7" t="str">
        <f>"Q"&amp;ROUNDUP(Table1[[#This Row],[months]]/3,0)&amp;"-"&amp;Table1[[#This Row],[order_year]]</f>
        <v>Q3-2023</v>
      </c>
      <c r="J427" s="7">
        <f>Table1[[#This Row],[RequiredDate]]-Table1[[#This Row],[OrderDate]]</f>
        <v>8</v>
      </c>
      <c r="K427" s="7">
        <f>IF(Table1[[#This Row],[lead_time]]&lt;0,MEDIAN(J:J),Table1[[#This Row],[lead_time]])</f>
        <v>8</v>
      </c>
      <c r="L427" s="7">
        <f>IF(Table1[[#This Row],[adj_lead_time]]&lt;=7,1,0)</f>
        <v>0</v>
      </c>
      <c r="M427" s="9">
        <v>45145</v>
      </c>
      <c r="N427" s="9">
        <f>IF(Table1[[#This Row],[lead_time]]&lt;0,(Table1[[#This Row],[OrderDate]]+Table1[[#This Row],[adj_lead_time]]),Table1[[#This Row],[RequiredDate]])</f>
        <v>45145</v>
      </c>
      <c r="O427" t="s">
        <v>647</v>
      </c>
      <c r="P427" t="s">
        <v>652</v>
      </c>
      <c r="Q427" t="s">
        <v>694</v>
      </c>
      <c r="R427" t="s">
        <v>702</v>
      </c>
      <c r="S427" t="s">
        <v>709</v>
      </c>
      <c r="T427" t="s">
        <v>720</v>
      </c>
      <c r="U427" t="s">
        <v>729</v>
      </c>
      <c r="V427" t="s">
        <v>960</v>
      </c>
      <c r="W427">
        <v>1352.44</v>
      </c>
      <c r="X427">
        <f>Table1[[#This Row],[UnitCost]]*(1+'scenario modeling'!$B$3)</f>
        <v>1487.6840000000002</v>
      </c>
      <c r="Y427">
        <v>2698.01</v>
      </c>
      <c r="Z427" t="str">
        <f>IF(Table1[[#This Row],[UnitPrice]]&lt;=Quantiles!$B$2,Quantiles!$A$2,IF(Table1[[#This Row],[UnitPrice]]&lt;=Quantiles!$B$3,Quantiles!$A$3,Quantiles!$A$4))</f>
        <v>High</v>
      </c>
      <c r="AA427">
        <v>0.13100000000000001</v>
      </c>
      <c r="AB427" s="5">
        <f>MIN(Table1[[#This Row],[DiscountPct]],'scenario modeling'!$B$2)</f>
        <v>0.1</v>
      </c>
      <c r="AC427" t="str">
        <f>IF(Table1[[#This Row],[DiscountPct]]&gt;0.3, "&gt;0.3","")</f>
        <v/>
      </c>
      <c r="AD427">
        <v>13</v>
      </c>
      <c r="AE427">
        <f>Table1[[#This Row],[Quantity]]*(1+'scenario modeling'!$B$4)</f>
        <v>15.6</v>
      </c>
      <c r="AF427">
        <f>Table1[[#This Row],[UnitCost]]*Table1[[#This Row],[Quantity]]</f>
        <v>17581.72</v>
      </c>
      <c r="AG427">
        <f>SUMIF($U:U,Table1[[#This Row],[ProductCategory]],$AM:AM)</f>
        <v>1773719.1704599999</v>
      </c>
      <c r="AH427">
        <f>SUMIFS($AM$2:AM427,$U$2:U427,U427)</f>
        <v>1438274.8101600003</v>
      </c>
      <c r="AI427" s="5">
        <f>Table1[[#This Row],[Cumulative_revenue]]/Table1[[#This Row],[Category_revenue]]</f>
        <v>0.81088079449859884</v>
      </c>
      <c r="AJ427" t="str">
        <f>IF(Table1[[#This Row],[cumulative_pct]]&lt;=0.8,"A",IF(Table1[[#This Row],[cumulative_pct]]&lt;=0.95,"B","C"))</f>
        <v>B</v>
      </c>
      <c r="AK427">
        <f>Table1[[#This Row],[adj_unit_cost]]*Table1[[#This Row],[scenario_quantity]]</f>
        <v>23207.870400000003</v>
      </c>
      <c r="AL427" s="5">
        <f>Table1[[#This Row],[UnitPrice]]*Table1[[#This Row],[scenario_quantity]]*(1-Table1[[#This Row],[cap_adjusted_discount]])</f>
        <v>37880.060400000009</v>
      </c>
      <c r="AM427" s="5">
        <f>Table1[[#This Row],[UnitPrice]]*Table1[[#This Row],[Quantity]]*(1-Table1[[#This Row],[DiscountPct]])</f>
        <v>30479.418970000002</v>
      </c>
      <c r="AN427" s="5">
        <f>Table1[[#This Row],[gross_revenue]]-Table1[[#This Row],[cost_of_goods]]</f>
        <v>12897.698970000001</v>
      </c>
      <c r="AO427" s="5">
        <f>Table1[[#This Row],[scenario_revenue]]-Table1[[#This Row],[Scenario_unit_cost]]</f>
        <v>14672.190000000006</v>
      </c>
      <c r="AP427" s="5">
        <f>IF(Table1[[#This Row],[gross_revenue]]=0,0,Table1[[#This Row],[gross_profit]]/Table1[[#This Row],[gross_revenue]])</f>
        <v>0.42316091992090887</v>
      </c>
    </row>
    <row r="428" spans="1:42" x14ac:dyDescent="0.35">
      <c r="A428" t="s">
        <v>159</v>
      </c>
      <c r="B428" t="str">
        <f>_xlfn.TEXTAFTER(Table1[[#This Row],[OrderID]],"-",2)</f>
        <v>309373</v>
      </c>
      <c r="C428">
        <f>YEAR(Table1[[#This Row],[OrderDate]])</f>
        <v>2023</v>
      </c>
      <c r="D428" s="9">
        <f>_xlfn.MINIFS(F:F,P:P,Table1[[#This Row],[Country]])</f>
        <v>44955</v>
      </c>
      <c r="E428" s="7">
        <f>DATEDIF(Table1[[#This Row],[first_time_orders]],Table1[[#This Row],[OrderDate]],"m")</f>
        <v>5</v>
      </c>
      <c r="F428" s="9">
        <v>45112</v>
      </c>
      <c r="G428" s="2" t="str">
        <f>TEXT(Table1[[#This Row],[OrderDate]],"MMM-YYYY")</f>
        <v>Jul-2023</v>
      </c>
      <c r="H428" s="7">
        <f>MONTH(Table1[[#This Row],[OrderDate]])</f>
        <v>7</v>
      </c>
      <c r="I428" s="7" t="str">
        <f>"Q"&amp;ROUNDUP(Table1[[#This Row],[months]]/3,0)&amp;"-"&amp;Table1[[#This Row],[order_year]]</f>
        <v>Q3-2023</v>
      </c>
      <c r="J428" s="7">
        <f>Table1[[#This Row],[RequiredDate]]-Table1[[#This Row],[OrderDate]]</f>
        <v>9</v>
      </c>
      <c r="K428" s="7">
        <f>IF(Table1[[#This Row],[lead_time]]&lt;0,MEDIAN(J:J),Table1[[#This Row],[lead_time]])</f>
        <v>9</v>
      </c>
      <c r="L428" s="7">
        <f>IF(Table1[[#This Row],[adj_lead_time]]&lt;=7,1,0)</f>
        <v>0</v>
      </c>
      <c r="M428" s="9">
        <v>45121</v>
      </c>
      <c r="N428" s="9">
        <f>IF(Table1[[#This Row],[lead_time]]&lt;0,(Table1[[#This Row],[OrderDate]]+Table1[[#This Row],[adj_lead_time]]),Table1[[#This Row],[RequiredDate]])</f>
        <v>45121</v>
      </c>
      <c r="O428" t="s">
        <v>648</v>
      </c>
      <c r="P428" t="s">
        <v>655</v>
      </c>
      <c r="Q428" t="s">
        <v>672</v>
      </c>
      <c r="R428" t="s">
        <v>706</v>
      </c>
      <c r="S428" t="s">
        <v>711</v>
      </c>
      <c r="T428" t="s">
        <v>717</v>
      </c>
      <c r="U428" t="s">
        <v>729</v>
      </c>
      <c r="V428" t="s">
        <v>878</v>
      </c>
      <c r="W428">
        <v>578.85</v>
      </c>
      <c r="X428">
        <f>Table1[[#This Row],[UnitCost]]*(1+'scenario modeling'!$B$3)</f>
        <v>636.73500000000013</v>
      </c>
      <c r="Y428">
        <v>998.76</v>
      </c>
      <c r="Z428" t="str">
        <f>IF(Table1[[#This Row],[UnitPrice]]&lt;=Quantiles!$B$2,Quantiles!$A$2,IF(Table1[[#This Row],[UnitPrice]]&lt;=Quantiles!$B$3,Quantiles!$A$3,Quantiles!$A$4))</f>
        <v>Medium</v>
      </c>
      <c r="AA428">
        <v>8.2000000000000003E-2</v>
      </c>
      <c r="AB428" s="5">
        <f>MIN(Table1[[#This Row],[DiscountPct]],'scenario modeling'!$B$2)</f>
        <v>8.2000000000000003E-2</v>
      </c>
      <c r="AC428" t="str">
        <f>IF(Table1[[#This Row],[DiscountPct]]&gt;0.3, "&gt;0.3","")</f>
        <v/>
      </c>
      <c r="AD428">
        <v>28</v>
      </c>
      <c r="AE428">
        <f>Table1[[#This Row],[Quantity]]*(1+'scenario modeling'!$B$4)</f>
        <v>33.6</v>
      </c>
      <c r="AF428">
        <f>Table1[[#This Row],[UnitCost]]*Table1[[#This Row],[Quantity]]</f>
        <v>16207.800000000001</v>
      </c>
      <c r="AG428">
        <f>SUMIF($U:U,Table1[[#This Row],[ProductCategory]],$AM:AM)</f>
        <v>1773719.1704599999</v>
      </c>
      <c r="AH428">
        <f>SUMIFS($AM$2:AM428,$U$2:U428,U428)</f>
        <v>1463946.9372000003</v>
      </c>
      <c r="AI428" s="5">
        <f>Table1[[#This Row],[Cumulative_revenue]]/Table1[[#This Row],[Category_revenue]]</f>
        <v>0.82535440873672083</v>
      </c>
      <c r="AJ428" t="str">
        <f>IF(Table1[[#This Row],[cumulative_pct]]&lt;=0.8,"A",IF(Table1[[#This Row],[cumulative_pct]]&lt;=0.95,"B","C"))</f>
        <v>B</v>
      </c>
      <c r="AK428">
        <f>Table1[[#This Row],[adj_unit_cost]]*Table1[[#This Row],[scenario_quantity]]</f>
        <v>21394.296000000006</v>
      </c>
      <c r="AL428" s="5">
        <f>Table1[[#This Row],[UnitPrice]]*Table1[[#This Row],[scenario_quantity]]*(1-Table1[[#This Row],[cap_adjusted_discount]])</f>
        <v>30806.552448000006</v>
      </c>
      <c r="AM428" s="5">
        <f>Table1[[#This Row],[UnitPrice]]*Table1[[#This Row],[Quantity]]*(1-Table1[[#This Row],[DiscountPct]])</f>
        <v>25672.127039999999</v>
      </c>
      <c r="AN428" s="5">
        <f>Table1[[#This Row],[gross_revenue]]-Table1[[#This Row],[cost_of_goods]]</f>
        <v>9464.3270399999983</v>
      </c>
      <c r="AO428" s="5">
        <f>Table1[[#This Row],[scenario_revenue]]-Table1[[#This Row],[Scenario_unit_cost]]</f>
        <v>9412.2564480000001</v>
      </c>
      <c r="AP428" s="5">
        <f>IF(Table1[[#This Row],[gross_revenue]]=0,0,Table1[[#This Row],[gross_profit]]/Table1[[#This Row],[gross_revenue]])</f>
        <v>0.36866158480960831</v>
      </c>
    </row>
    <row r="429" spans="1:42" x14ac:dyDescent="0.35">
      <c r="A429" t="s">
        <v>316</v>
      </c>
      <c r="B429" t="str">
        <f>_xlfn.TEXTAFTER(Table1[[#This Row],[OrderID]],"-",2)</f>
        <v>594700</v>
      </c>
      <c r="C429">
        <f>YEAR(Table1[[#This Row],[OrderDate]])</f>
        <v>2023</v>
      </c>
      <c r="D429" s="9">
        <f>_xlfn.MINIFS(F:F,P:P,Table1[[#This Row],[Country]])</f>
        <v>44955</v>
      </c>
      <c r="E429" s="7">
        <f>DATEDIF(Table1[[#This Row],[first_time_orders]],Table1[[#This Row],[OrderDate]],"m")</f>
        <v>5</v>
      </c>
      <c r="F429" s="9">
        <v>45125</v>
      </c>
      <c r="G429" s="2" t="str">
        <f>TEXT(Table1[[#This Row],[OrderDate]],"MMM-YYYY")</f>
        <v>Jul-2023</v>
      </c>
      <c r="H429" s="7">
        <f>MONTH(Table1[[#This Row],[OrderDate]])</f>
        <v>7</v>
      </c>
      <c r="I429" s="7" t="str">
        <f>"Q"&amp;ROUNDUP(Table1[[#This Row],[months]]/3,0)&amp;"-"&amp;Table1[[#This Row],[order_year]]</f>
        <v>Q3-2023</v>
      </c>
      <c r="J429" s="7">
        <f>Table1[[#This Row],[RequiredDate]]-Table1[[#This Row],[OrderDate]]</f>
        <v>4</v>
      </c>
      <c r="K429" s="7">
        <f>IF(Table1[[#This Row],[lead_time]]&lt;0,MEDIAN(J:J),Table1[[#This Row],[lead_time]])</f>
        <v>4</v>
      </c>
      <c r="L429" s="7">
        <f>IF(Table1[[#This Row],[adj_lead_time]]&lt;=7,1,0)</f>
        <v>1</v>
      </c>
      <c r="M429" s="9">
        <v>45129</v>
      </c>
      <c r="N429" s="9">
        <f>IF(Table1[[#This Row],[lead_time]]&lt;0,(Table1[[#This Row],[OrderDate]]+Table1[[#This Row],[adj_lead_time]]),Table1[[#This Row],[RequiredDate]])</f>
        <v>45129</v>
      </c>
      <c r="O429" t="s">
        <v>648</v>
      </c>
      <c r="P429" t="s">
        <v>655</v>
      </c>
      <c r="Q429" t="s">
        <v>670</v>
      </c>
      <c r="R429" t="s">
        <v>704</v>
      </c>
      <c r="S429" t="s">
        <v>711</v>
      </c>
      <c r="T429" t="s">
        <v>721</v>
      </c>
      <c r="U429" t="s">
        <v>729</v>
      </c>
      <c r="V429" t="s">
        <v>1036</v>
      </c>
      <c r="W429">
        <v>1269.55</v>
      </c>
      <c r="X429">
        <f>Table1[[#This Row],[UnitCost]]*(1+'scenario modeling'!$B$3)</f>
        <v>1396.5050000000001</v>
      </c>
      <c r="Y429">
        <v>2071.1</v>
      </c>
      <c r="Z429" t="str">
        <f>IF(Table1[[#This Row],[UnitPrice]]&lt;=Quantiles!$B$2,Quantiles!$A$2,IF(Table1[[#This Row],[UnitPrice]]&lt;=Quantiles!$B$3,Quantiles!$A$3,Quantiles!$A$4))</f>
        <v>High</v>
      </c>
      <c r="AA429">
        <v>0.129</v>
      </c>
      <c r="AB429" s="5">
        <f>MIN(Table1[[#This Row],[DiscountPct]],'scenario modeling'!$B$2)</f>
        <v>0.1</v>
      </c>
      <c r="AC429" t="str">
        <f>IF(Table1[[#This Row],[DiscountPct]]&gt;0.3, "&gt;0.3","")</f>
        <v/>
      </c>
      <c r="AD429">
        <v>22</v>
      </c>
      <c r="AE429">
        <f>Table1[[#This Row],[Quantity]]*(1+'scenario modeling'!$B$4)</f>
        <v>26.4</v>
      </c>
      <c r="AF429">
        <f>Table1[[#This Row],[UnitCost]]*Table1[[#This Row],[Quantity]]</f>
        <v>27930.1</v>
      </c>
      <c r="AG429">
        <f>SUMIF($U:U,Table1[[#This Row],[ProductCategory]],$AM:AM)</f>
        <v>1773719.1704599999</v>
      </c>
      <c r="AH429">
        <f>SUMIFS($AM$2:AM429,$U$2:U429,U429)</f>
        <v>1503633.3554000002</v>
      </c>
      <c r="AI429" s="5">
        <f>Table1[[#This Row],[Cumulative_revenue]]/Table1[[#This Row],[Category_revenue]]</f>
        <v>0.84772909964661702</v>
      </c>
      <c r="AJ429" t="str">
        <f>IF(Table1[[#This Row],[cumulative_pct]]&lt;=0.8,"A",IF(Table1[[#This Row],[cumulative_pct]]&lt;=0.95,"B","C"))</f>
        <v>B</v>
      </c>
      <c r="AK429">
        <f>Table1[[#This Row],[adj_unit_cost]]*Table1[[#This Row],[scenario_quantity]]</f>
        <v>36867.732000000004</v>
      </c>
      <c r="AL429" s="5">
        <f>Table1[[#This Row],[UnitPrice]]*Table1[[#This Row],[scenario_quantity]]*(1-Table1[[#This Row],[cap_adjusted_discount]])</f>
        <v>49209.335999999996</v>
      </c>
      <c r="AM429" s="5">
        <f>Table1[[#This Row],[UnitPrice]]*Table1[[#This Row],[Quantity]]*(1-Table1[[#This Row],[DiscountPct]])</f>
        <v>39686.4182</v>
      </c>
      <c r="AN429" s="5">
        <f>Table1[[#This Row],[gross_revenue]]-Table1[[#This Row],[cost_of_goods]]</f>
        <v>11756.318200000002</v>
      </c>
      <c r="AO429" s="5">
        <f>Table1[[#This Row],[scenario_revenue]]-Table1[[#This Row],[Scenario_unit_cost]]</f>
        <v>12341.603999999992</v>
      </c>
      <c r="AP429" s="5">
        <f>IF(Table1[[#This Row],[gross_revenue]]=0,0,Table1[[#This Row],[gross_profit]]/Table1[[#This Row],[gross_revenue]])</f>
        <v>0.29623026549672354</v>
      </c>
    </row>
    <row r="430" spans="1:42" x14ac:dyDescent="0.35">
      <c r="A430" t="s">
        <v>397</v>
      </c>
      <c r="B430" t="str">
        <f>_xlfn.TEXTAFTER(Table1[[#This Row],[OrderID]],"-",2)</f>
        <v>594955</v>
      </c>
      <c r="C430">
        <f>YEAR(Table1[[#This Row],[OrderDate]])</f>
        <v>2023</v>
      </c>
      <c r="D430" s="9">
        <f>_xlfn.MINIFS(F:F,P:P,Table1[[#This Row],[Country]])</f>
        <v>44939</v>
      </c>
      <c r="E430" s="7">
        <f>DATEDIF(Table1[[#This Row],[first_time_orders]],Table1[[#This Row],[OrderDate]],"m")</f>
        <v>5</v>
      </c>
      <c r="F430" s="9">
        <v>45097</v>
      </c>
      <c r="G430" s="2" t="str">
        <f>TEXT(Table1[[#This Row],[OrderDate]],"MMM-YYYY")</f>
        <v>Jun-2023</v>
      </c>
      <c r="H430" s="7">
        <f>MONTH(Table1[[#This Row],[OrderDate]])</f>
        <v>6</v>
      </c>
      <c r="I430" s="7" t="str">
        <f>"Q"&amp;ROUNDUP(Table1[[#This Row],[months]]/3,0)&amp;"-"&amp;Table1[[#This Row],[order_year]]</f>
        <v>Q2-2023</v>
      </c>
      <c r="J430" s="7">
        <f>Table1[[#This Row],[RequiredDate]]-Table1[[#This Row],[OrderDate]]</f>
        <v>18</v>
      </c>
      <c r="K430" s="7">
        <f>IF(Table1[[#This Row],[lead_time]]&lt;0,MEDIAN(J:J),Table1[[#This Row],[lead_time]])</f>
        <v>18</v>
      </c>
      <c r="L430" s="7">
        <f>IF(Table1[[#This Row],[adj_lead_time]]&lt;=7,1,0)</f>
        <v>0</v>
      </c>
      <c r="M430" s="9">
        <v>45115</v>
      </c>
      <c r="N430" s="9">
        <f>IF(Table1[[#This Row],[lead_time]]&lt;0,(Table1[[#This Row],[OrderDate]]+Table1[[#This Row],[adj_lead_time]]),Table1[[#This Row],[RequiredDate]])</f>
        <v>45115</v>
      </c>
      <c r="O430" t="s">
        <v>648</v>
      </c>
      <c r="P430" t="s">
        <v>660</v>
      </c>
      <c r="Q430" t="s">
        <v>700</v>
      </c>
      <c r="R430" t="s">
        <v>704</v>
      </c>
      <c r="S430" t="s">
        <v>709</v>
      </c>
      <c r="T430" t="s">
        <v>719</v>
      </c>
      <c r="U430" t="s">
        <v>729</v>
      </c>
      <c r="V430" t="s">
        <v>1116</v>
      </c>
      <c r="W430">
        <v>1145.53</v>
      </c>
      <c r="X430">
        <f>Table1[[#This Row],[UnitCost]]*(1+'scenario modeling'!$B$3)</f>
        <v>1260.0830000000001</v>
      </c>
      <c r="Y430">
        <v>1278.3</v>
      </c>
      <c r="Z430" t="str">
        <f>IF(Table1[[#This Row],[UnitPrice]]&lt;=Quantiles!$B$2,Quantiles!$A$2,IF(Table1[[#This Row],[UnitPrice]]&lt;=Quantiles!$B$3,Quantiles!$A$3,Quantiles!$A$4))</f>
        <v>Medium</v>
      </c>
      <c r="AA430">
        <v>0.09</v>
      </c>
      <c r="AB430" s="5">
        <f>MIN(Table1[[#This Row],[DiscountPct]],'scenario modeling'!$B$2)</f>
        <v>0.09</v>
      </c>
      <c r="AC430" t="str">
        <f>IF(Table1[[#This Row],[DiscountPct]]&gt;0.3, "&gt;0.3","")</f>
        <v/>
      </c>
      <c r="AD430">
        <v>41</v>
      </c>
      <c r="AE430">
        <f>Table1[[#This Row],[Quantity]]*(1+'scenario modeling'!$B$4)</f>
        <v>49.199999999999996</v>
      </c>
      <c r="AF430">
        <f>Table1[[#This Row],[UnitCost]]*Table1[[#This Row],[Quantity]]</f>
        <v>46966.729999999996</v>
      </c>
      <c r="AG430">
        <f>SUMIF($U:U,Table1[[#This Row],[ProductCategory]],$AM:AM)</f>
        <v>1773719.1704599999</v>
      </c>
      <c r="AH430">
        <f>SUMIFS($AM$2:AM430,$U$2:U430,U430)</f>
        <v>1551326.7284000001</v>
      </c>
      <c r="AI430" s="5">
        <f>Table1[[#This Row],[Cumulative_revenue]]/Table1[[#This Row],[Category_revenue]]</f>
        <v>0.87461800844024029</v>
      </c>
      <c r="AJ430" t="str">
        <f>IF(Table1[[#This Row],[cumulative_pct]]&lt;=0.8,"A",IF(Table1[[#This Row],[cumulative_pct]]&lt;=0.95,"B","C"))</f>
        <v>B</v>
      </c>
      <c r="AK430">
        <f>Table1[[#This Row],[adj_unit_cost]]*Table1[[#This Row],[scenario_quantity]]</f>
        <v>61996.083599999998</v>
      </c>
      <c r="AL430" s="5">
        <f>Table1[[#This Row],[UnitPrice]]*Table1[[#This Row],[scenario_quantity]]*(1-Table1[[#This Row],[cap_adjusted_discount]])</f>
        <v>57232.047599999998</v>
      </c>
      <c r="AM430" s="5">
        <f>Table1[[#This Row],[UnitPrice]]*Table1[[#This Row],[Quantity]]*(1-Table1[[#This Row],[DiscountPct]])</f>
        <v>47693.373</v>
      </c>
      <c r="AN430" s="5">
        <f>Table1[[#This Row],[gross_revenue]]-Table1[[#This Row],[cost_of_goods]]</f>
        <v>726.64300000000367</v>
      </c>
      <c r="AO430" s="5">
        <f>Table1[[#This Row],[scenario_revenue]]-Table1[[#This Row],[Scenario_unit_cost]]</f>
        <v>-4764.0360000000001</v>
      </c>
      <c r="AP430" s="5">
        <f>IF(Table1[[#This Row],[gross_revenue]]=0,0,Table1[[#This Row],[gross_profit]]/Table1[[#This Row],[gross_revenue]])</f>
        <v>1.5235722581416158E-2</v>
      </c>
    </row>
    <row r="431" spans="1:42" x14ac:dyDescent="0.35">
      <c r="A431" t="s">
        <v>550</v>
      </c>
      <c r="B431" t="str">
        <f>_xlfn.TEXTAFTER(Table1[[#This Row],[OrderID]],"-",2)</f>
        <v>215819</v>
      </c>
      <c r="C431">
        <f>YEAR(Table1[[#This Row],[OrderDate]])</f>
        <v>2023</v>
      </c>
      <c r="D431" s="9">
        <f>_xlfn.MINIFS(F:F,P:P,Table1[[#This Row],[Country]])</f>
        <v>44936</v>
      </c>
      <c r="E431" s="7">
        <f>DATEDIF(Table1[[#This Row],[first_time_orders]],Table1[[#This Row],[OrderDate]],"m")</f>
        <v>5</v>
      </c>
      <c r="F431" s="9">
        <v>45108</v>
      </c>
      <c r="G431" s="2" t="str">
        <f>TEXT(Table1[[#This Row],[OrderDate]],"MMM-YYYY")</f>
        <v>Jul-2023</v>
      </c>
      <c r="H431" s="7">
        <f>MONTH(Table1[[#This Row],[OrderDate]])</f>
        <v>7</v>
      </c>
      <c r="I431" s="7" t="str">
        <f>"Q"&amp;ROUNDUP(Table1[[#This Row],[months]]/3,0)&amp;"-"&amp;Table1[[#This Row],[order_year]]</f>
        <v>Q3-2023</v>
      </c>
      <c r="J431" s="7">
        <f>Table1[[#This Row],[RequiredDate]]-Table1[[#This Row],[OrderDate]]</f>
        <v>10</v>
      </c>
      <c r="K431" s="7">
        <f>IF(Table1[[#This Row],[lead_time]]&lt;0,MEDIAN(J:J),Table1[[#This Row],[lead_time]])</f>
        <v>10</v>
      </c>
      <c r="L431" s="7">
        <f>IF(Table1[[#This Row],[adj_lead_time]]&lt;=7,1,0)</f>
        <v>0</v>
      </c>
      <c r="M431" s="9">
        <v>45118</v>
      </c>
      <c r="N431" s="9">
        <f>IF(Table1[[#This Row],[lead_time]]&lt;0,(Table1[[#This Row],[OrderDate]]+Table1[[#This Row],[adj_lead_time]]),Table1[[#This Row],[RequiredDate]])</f>
        <v>45118</v>
      </c>
      <c r="O431" t="s">
        <v>649</v>
      </c>
      <c r="P431" t="s">
        <v>657</v>
      </c>
      <c r="Q431" t="s">
        <v>690</v>
      </c>
      <c r="R431" t="s">
        <v>701</v>
      </c>
      <c r="S431" t="s">
        <v>711</v>
      </c>
      <c r="T431" t="s">
        <v>721</v>
      </c>
      <c r="U431" t="s">
        <v>729</v>
      </c>
      <c r="V431" t="s">
        <v>1269</v>
      </c>
      <c r="W431">
        <v>479.5</v>
      </c>
      <c r="X431">
        <f>Table1[[#This Row],[UnitCost]]*(1+'scenario modeling'!$B$3)</f>
        <v>527.45000000000005</v>
      </c>
      <c r="Y431">
        <v>656.66</v>
      </c>
      <c r="Z431" t="str">
        <f>IF(Table1[[#This Row],[UnitPrice]]&lt;=Quantiles!$B$2,Quantiles!$A$2,IF(Table1[[#This Row],[UnitPrice]]&lt;=Quantiles!$B$3,Quantiles!$A$3,Quantiles!$A$4))</f>
        <v>Low</v>
      </c>
      <c r="AA431">
        <v>0.14899999999999999</v>
      </c>
      <c r="AB431" s="5">
        <f>MIN(Table1[[#This Row],[DiscountPct]],'scenario modeling'!$B$2)</f>
        <v>0.1</v>
      </c>
      <c r="AC431" t="str">
        <f>IF(Table1[[#This Row],[DiscountPct]]&gt;0.3, "&gt;0.3","")</f>
        <v/>
      </c>
      <c r="AD431">
        <v>14</v>
      </c>
      <c r="AE431">
        <f>Table1[[#This Row],[Quantity]]*(1+'scenario modeling'!$B$4)</f>
        <v>16.8</v>
      </c>
      <c r="AF431">
        <f>Table1[[#This Row],[UnitCost]]*Table1[[#This Row],[Quantity]]</f>
        <v>6713</v>
      </c>
      <c r="AG431">
        <f>SUMIF($U:U,Table1[[#This Row],[ProductCategory]],$AM:AM)</f>
        <v>1773719.1704599999</v>
      </c>
      <c r="AH431">
        <f>SUMIFS($AM$2:AM431,$U$2:U431,U431)</f>
        <v>1559150.17564</v>
      </c>
      <c r="AI431" s="5">
        <f>Table1[[#This Row],[Cumulative_revenue]]/Table1[[#This Row],[Category_revenue]]</f>
        <v>0.87902876712757572</v>
      </c>
      <c r="AJ431" t="str">
        <f>IF(Table1[[#This Row],[cumulative_pct]]&lt;=0.8,"A",IF(Table1[[#This Row],[cumulative_pct]]&lt;=0.95,"B","C"))</f>
        <v>B</v>
      </c>
      <c r="AK431">
        <f>Table1[[#This Row],[adj_unit_cost]]*Table1[[#This Row],[scenario_quantity]]</f>
        <v>8861.1600000000017</v>
      </c>
      <c r="AL431" s="5">
        <f>Table1[[#This Row],[UnitPrice]]*Table1[[#This Row],[scenario_quantity]]*(1-Table1[[#This Row],[cap_adjusted_discount]])</f>
        <v>9928.6992000000009</v>
      </c>
      <c r="AM431" s="5">
        <f>Table1[[#This Row],[UnitPrice]]*Table1[[#This Row],[Quantity]]*(1-Table1[[#This Row],[DiscountPct]])</f>
        <v>7823.4472399999995</v>
      </c>
      <c r="AN431" s="5">
        <f>Table1[[#This Row],[gross_revenue]]-Table1[[#This Row],[cost_of_goods]]</f>
        <v>1110.4472399999995</v>
      </c>
      <c r="AO431" s="5">
        <f>Table1[[#This Row],[scenario_revenue]]-Table1[[#This Row],[Scenario_unit_cost]]</f>
        <v>1067.5391999999993</v>
      </c>
      <c r="AP431" s="5">
        <f>IF(Table1[[#This Row],[gross_revenue]]=0,0,Table1[[#This Row],[gross_profit]]/Table1[[#This Row],[gross_revenue]])</f>
        <v>0.14193835606412289</v>
      </c>
    </row>
    <row r="432" spans="1:42" x14ac:dyDescent="0.35">
      <c r="A432" t="s">
        <v>276</v>
      </c>
      <c r="B432" t="str">
        <f>_xlfn.TEXTAFTER(Table1[[#This Row],[OrderID]],"-",2)</f>
        <v>630430</v>
      </c>
      <c r="C432">
        <f>YEAR(Table1[[#This Row],[OrderDate]])</f>
        <v>2023</v>
      </c>
      <c r="D432" s="9">
        <f>_xlfn.MINIFS(F:F,P:P,Table1[[#This Row],[Country]])</f>
        <v>44955</v>
      </c>
      <c r="E432" s="7">
        <f>DATEDIF(Table1[[#This Row],[first_time_orders]],Table1[[#This Row],[OrderDate]],"m")</f>
        <v>6</v>
      </c>
      <c r="F432" s="9">
        <v>45142</v>
      </c>
      <c r="G432" s="2" t="str">
        <f>TEXT(Table1[[#This Row],[OrderDate]],"MMM-YYYY")</f>
        <v>Aug-2023</v>
      </c>
      <c r="H432" s="7">
        <f>MONTH(Table1[[#This Row],[OrderDate]])</f>
        <v>8</v>
      </c>
      <c r="I432" s="7" t="str">
        <f>"Q"&amp;ROUNDUP(Table1[[#This Row],[months]]/3,0)&amp;"-"&amp;Table1[[#This Row],[order_year]]</f>
        <v>Q3-2023</v>
      </c>
      <c r="J432" s="7">
        <f>Table1[[#This Row],[RequiredDate]]-Table1[[#This Row],[OrderDate]]</f>
        <v>20</v>
      </c>
      <c r="K432" s="7">
        <f>IF(Table1[[#This Row],[lead_time]]&lt;0,MEDIAN(J:J),Table1[[#This Row],[lead_time]])</f>
        <v>20</v>
      </c>
      <c r="L432" s="7">
        <f>IF(Table1[[#This Row],[adj_lead_time]]&lt;=7,1,0)</f>
        <v>0</v>
      </c>
      <c r="M432" s="9">
        <v>45162</v>
      </c>
      <c r="N432" s="9">
        <f>IF(Table1[[#This Row],[lead_time]]&lt;0,(Table1[[#This Row],[OrderDate]]+Table1[[#This Row],[adj_lead_time]]),Table1[[#This Row],[RequiredDate]])</f>
        <v>45162</v>
      </c>
      <c r="O432" t="s">
        <v>648</v>
      </c>
      <c r="P432" t="s">
        <v>655</v>
      </c>
      <c r="Q432" t="s">
        <v>672</v>
      </c>
      <c r="R432" t="s">
        <v>703</v>
      </c>
      <c r="S432" t="s">
        <v>711</v>
      </c>
      <c r="T432" t="s">
        <v>716</v>
      </c>
      <c r="U432" t="s">
        <v>729</v>
      </c>
      <c r="V432" t="s">
        <v>996</v>
      </c>
      <c r="W432">
        <v>582.88</v>
      </c>
      <c r="X432">
        <f>Table1[[#This Row],[UnitCost]]*(1+'scenario modeling'!$B$3)</f>
        <v>641.16800000000001</v>
      </c>
      <c r="Y432">
        <v>1044.1400000000001</v>
      </c>
      <c r="Z432" t="str">
        <f>IF(Table1[[#This Row],[UnitPrice]]&lt;=Quantiles!$B$2,Quantiles!$A$2,IF(Table1[[#This Row],[UnitPrice]]&lt;=Quantiles!$B$3,Quantiles!$A$3,Quantiles!$A$4))</f>
        <v>Medium</v>
      </c>
      <c r="AA432">
        <v>0.216</v>
      </c>
      <c r="AB432" s="5">
        <f>MIN(Table1[[#This Row],[DiscountPct]],'scenario modeling'!$B$2)</f>
        <v>0.1</v>
      </c>
      <c r="AC432" t="str">
        <f>IF(Table1[[#This Row],[DiscountPct]]&gt;0.3, "&gt;0.3","")</f>
        <v/>
      </c>
      <c r="AD432">
        <v>10</v>
      </c>
      <c r="AE432">
        <f>Table1[[#This Row],[Quantity]]*(1+'scenario modeling'!$B$4)</f>
        <v>12</v>
      </c>
      <c r="AF432">
        <f>Table1[[#This Row],[UnitCost]]*Table1[[#This Row],[Quantity]]</f>
        <v>5828.8</v>
      </c>
      <c r="AG432">
        <f>SUMIF($U:U,Table1[[#This Row],[ProductCategory]],$AM:AM)</f>
        <v>1773719.1704599999</v>
      </c>
      <c r="AH432">
        <f>SUMIFS($AM$2:AM432,$U$2:U432,U432)</f>
        <v>1567336.23324</v>
      </c>
      <c r="AI432" s="5">
        <f>Table1[[#This Row],[Cumulative_revenue]]/Table1[[#This Row],[Category_revenue]]</f>
        <v>0.88364396086079611</v>
      </c>
      <c r="AJ432" t="str">
        <f>IF(Table1[[#This Row],[cumulative_pct]]&lt;=0.8,"A",IF(Table1[[#This Row],[cumulative_pct]]&lt;=0.95,"B","C"))</f>
        <v>B</v>
      </c>
      <c r="AK432">
        <f>Table1[[#This Row],[adj_unit_cost]]*Table1[[#This Row],[scenario_quantity]]</f>
        <v>7694.0159999999996</v>
      </c>
      <c r="AL432" s="5">
        <f>Table1[[#This Row],[UnitPrice]]*Table1[[#This Row],[scenario_quantity]]*(1-Table1[[#This Row],[cap_adjusted_discount]])</f>
        <v>11276.712000000001</v>
      </c>
      <c r="AM432" s="5">
        <f>Table1[[#This Row],[UnitPrice]]*Table1[[#This Row],[Quantity]]*(1-Table1[[#This Row],[DiscountPct]])</f>
        <v>8186.057600000001</v>
      </c>
      <c r="AN432" s="5">
        <f>Table1[[#This Row],[gross_revenue]]-Table1[[#This Row],[cost_of_goods]]</f>
        <v>2357.2576000000008</v>
      </c>
      <c r="AO432" s="5">
        <f>Table1[[#This Row],[scenario_revenue]]-Table1[[#This Row],[Scenario_unit_cost]]</f>
        <v>3582.6960000000017</v>
      </c>
      <c r="AP432" s="5">
        <f>IF(Table1[[#This Row],[gross_revenue]]=0,0,Table1[[#This Row],[gross_profit]]/Table1[[#This Row],[gross_revenue]])</f>
        <v>0.28796005539956138</v>
      </c>
    </row>
    <row r="433" spans="1:42" x14ac:dyDescent="0.35">
      <c r="A433" t="s">
        <v>498</v>
      </c>
      <c r="B433" t="str">
        <f>_xlfn.TEXTAFTER(Table1[[#This Row],[OrderID]],"-",2)</f>
        <v>867175</v>
      </c>
      <c r="C433">
        <f>YEAR(Table1[[#This Row],[OrderDate]])</f>
        <v>2023</v>
      </c>
      <c r="D433" s="9">
        <f>_xlfn.MINIFS(F:F,P:P,Table1[[#This Row],[Country]])</f>
        <v>44955</v>
      </c>
      <c r="E433" s="7">
        <f>DATEDIF(Table1[[#This Row],[first_time_orders]],Table1[[#This Row],[OrderDate]],"m")</f>
        <v>6</v>
      </c>
      <c r="F433" s="9">
        <v>45148</v>
      </c>
      <c r="G433" s="2" t="str">
        <f>TEXT(Table1[[#This Row],[OrderDate]],"MMM-YYYY")</f>
        <v>Aug-2023</v>
      </c>
      <c r="H433" s="7">
        <f>MONTH(Table1[[#This Row],[OrderDate]])</f>
        <v>8</v>
      </c>
      <c r="I433" s="7" t="str">
        <f>"Q"&amp;ROUNDUP(Table1[[#This Row],[months]]/3,0)&amp;"-"&amp;Table1[[#This Row],[order_year]]</f>
        <v>Q3-2023</v>
      </c>
      <c r="J433" s="7">
        <f>Table1[[#This Row],[RequiredDate]]-Table1[[#This Row],[OrderDate]]</f>
        <v>5</v>
      </c>
      <c r="K433" s="7">
        <f>IF(Table1[[#This Row],[lead_time]]&lt;0,MEDIAN(J:J),Table1[[#This Row],[lead_time]])</f>
        <v>5</v>
      </c>
      <c r="L433" s="7">
        <f>IF(Table1[[#This Row],[adj_lead_time]]&lt;=7,1,0)</f>
        <v>1</v>
      </c>
      <c r="M433" s="9">
        <v>45153</v>
      </c>
      <c r="N433" s="9">
        <f>IF(Table1[[#This Row],[lead_time]]&lt;0,(Table1[[#This Row],[OrderDate]]+Table1[[#This Row],[adj_lead_time]]),Table1[[#This Row],[RequiredDate]])</f>
        <v>45153</v>
      </c>
      <c r="O433" t="s">
        <v>648</v>
      </c>
      <c r="P433" t="s">
        <v>655</v>
      </c>
      <c r="Q433" t="s">
        <v>670</v>
      </c>
      <c r="R433" t="s">
        <v>702</v>
      </c>
      <c r="S433" t="s">
        <v>711</v>
      </c>
      <c r="T433" t="s">
        <v>715</v>
      </c>
      <c r="U433" t="s">
        <v>729</v>
      </c>
      <c r="V433" t="s">
        <v>1217</v>
      </c>
      <c r="W433">
        <v>1307.52</v>
      </c>
      <c r="X433">
        <f>Table1[[#This Row],[UnitCost]]*(1+'scenario modeling'!$B$3)</f>
        <v>1438.2720000000002</v>
      </c>
      <c r="Y433">
        <v>1921.65</v>
      </c>
      <c r="Z433" t="str">
        <f>IF(Table1[[#This Row],[UnitPrice]]&lt;=Quantiles!$B$2,Quantiles!$A$2,IF(Table1[[#This Row],[UnitPrice]]&lt;=Quantiles!$B$3,Quantiles!$A$3,Quantiles!$A$4))</f>
        <v>High</v>
      </c>
      <c r="AA433">
        <v>0.123</v>
      </c>
      <c r="AB433" s="5">
        <f>MIN(Table1[[#This Row],[DiscountPct]],'scenario modeling'!$B$2)</f>
        <v>0.1</v>
      </c>
      <c r="AC433" t="str">
        <f>IF(Table1[[#This Row],[DiscountPct]]&gt;0.3, "&gt;0.3","")</f>
        <v/>
      </c>
      <c r="AD433">
        <v>13</v>
      </c>
      <c r="AE433">
        <f>Table1[[#This Row],[Quantity]]*(1+'scenario modeling'!$B$4)</f>
        <v>15.6</v>
      </c>
      <c r="AF433">
        <f>Table1[[#This Row],[UnitCost]]*Table1[[#This Row],[Quantity]]</f>
        <v>16997.759999999998</v>
      </c>
      <c r="AG433">
        <f>SUMIF($U:U,Table1[[#This Row],[ProductCategory]],$AM:AM)</f>
        <v>1773719.1704599999</v>
      </c>
      <c r="AH433">
        <f>SUMIFS($AM$2:AM433,$U$2:U433,U433)</f>
        <v>1589244.9648899999</v>
      </c>
      <c r="AI433" s="5">
        <f>Table1[[#This Row],[Cumulative_revenue]]/Table1[[#This Row],[Category_revenue]]</f>
        <v>0.89599582129895006</v>
      </c>
      <c r="AJ433" t="str">
        <f>IF(Table1[[#This Row],[cumulative_pct]]&lt;=0.8,"A",IF(Table1[[#This Row],[cumulative_pct]]&lt;=0.95,"B","C"))</f>
        <v>B</v>
      </c>
      <c r="AK433">
        <f>Table1[[#This Row],[adj_unit_cost]]*Table1[[#This Row],[scenario_quantity]]</f>
        <v>22437.043200000004</v>
      </c>
      <c r="AL433" s="5">
        <f>Table1[[#This Row],[UnitPrice]]*Table1[[#This Row],[scenario_quantity]]*(1-Table1[[#This Row],[cap_adjusted_discount]])</f>
        <v>26979.966</v>
      </c>
      <c r="AM433" s="5">
        <f>Table1[[#This Row],[UnitPrice]]*Table1[[#This Row],[Quantity]]*(1-Table1[[#This Row],[DiscountPct]])</f>
        <v>21908.731650000002</v>
      </c>
      <c r="AN433" s="5">
        <f>Table1[[#This Row],[gross_revenue]]-Table1[[#This Row],[cost_of_goods]]</f>
        <v>4910.9716500000031</v>
      </c>
      <c r="AO433" s="5">
        <f>Table1[[#This Row],[scenario_revenue]]-Table1[[#This Row],[Scenario_unit_cost]]</f>
        <v>4542.9227999999966</v>
      </c>
      <c r="AP433" s="5">
        <f>IF(Table1[[#This Row],[gross_revenue]]=0,0,Table1[[#This Row],[gross_profit]]/Table1[[#This Row],[gross_revenue]])</f>
        <v>0.22415590863289445</v>
      </c>
    </row>
    <row r="434" spans="1:42" x14ac:dyDescent="0.35">
      <c r="A434" t="s">
        <v>638</v>
      </c>
      <c r="B434" t="str">
        <f>_xlfn.TEXTAFTER(Table1[[#This Row],[OrderID]],"-",2)</f>
        <v>885216</v>
      </c>
      <c r="C434">
        <f>YEAR(Table1[[#This Row],[OrderDate]])</f>
        <v>2023</v>
      </c>
      <c r="D434" s="9">
        <f>_xlfn.MINIFS(F:F,P:P,Table1[[#This Row],[Country]])</f>
        <v>44938</v>
      </c>
      <c r="E434" s="7">
        <f>DATEDIF(Table1[[#This Row],[first_time_orders]],Table1[[#This Row],[OrderDate]],"m")</f>
        <v>6</v>
      </c>
      <c r="F434" s="9">
        <v>45141</v>
      </c>
      <c r="G434" s="2" t="str">
        <f>TEXT(Table1[[#This Row],[OrderDate]],"MMM-YYYY")</f>
        <v>Aug-2023</v>
      </c>
      <c r="H434" s="7">
        <f>MONTH(Table1[[#This Row],[OrderDate]])</f>
        <v>8</v>
      </c>
      <c r="I434" s="7" t="str">
        <f>"Q"&amp;ROUNDUP(Table1[[#This Row],[months]]/3,0)&amp;"-"&amp;Table1[[#This Row],[order_year]]</f>
        <v>Q3-2023</v>
      </c>
      <c r="J434" s="7">
        <f>Table1[[#This Row],[RequiredDate]]-Table1[[#This Row],[OrderDate]]</f>
        <v>-1</v>
      </c>
      <c r="K434" s="7">
        <f>IF(Table1[[#This Row],[lead_time]]&lt;0,MEDIAN(J:J),Table1[[#This Row],[lead_time]])</f>
        <v>15</v>
      </c>
      <c r="L434" s="7">
        <f>IF(Table1[[#This Row],[adj_lead_time]]&lt;=7,1,0)</f>
        <v>0</v>
      </c>
      <c r="M434" s="9">
        <v>45140</v>
      </c>
      <c r="N434" s="9">
        <f>IF(Table1[[#This Row],[lead_time]]&lt;0,(Table1[[#This Row],[OrderDate]]+Table1[[#This Row],[adj_lead_time]]),Table1[[#This Row],[RequiredDate]])</f>
        <v>45156</v>
      </c>
      <c r="O434" t="s">
        <v>647</v>
      </c>
      <c r="P434" t="s">
        <v>659</v>
      </c>
      <c r="Q434" t="s">
        <v>685</v>
      </c>
      <c r="R434" t="s">
        <v>703</v>
      </c>
      <c r="S434" t="s">
        <v>711</v>
      </c>
      <c r="T434" t="s">
        <v>713</v>
      </c>
      <c r="U434" t="s">
        <v>729</v>
      </c>
      <c r="V434" t="s">
        <v>1356</v>
      </c>
      <c r="W434">
        <v>1021.97</v>
      </c>
      <c r="X434">
        <f>Table1[[#This Row],[UnitCost]]*(1+'scenario modeling'!$B$3)</f>
        <v>1124.1670000000001</v>
      </c>
      <c r="Y434">
        <v>2296.25</v>
      </c>
      <c r="Z434" t="str">
        <f>IF(Table1[[#This Row],[UnitPrice]]&lt;=Quantiles!$B$2,Quantiles!$A$2,IF(Table1[[#This Row],[UnitPrice]]&lt;=Quantiles!$B$3,Quantiles!$A$3,Quantiles!$A$4))</f>
        <v>High</v>
      </c>
      <c r="AA434">
        <v>0.161</v>
      </c>
      <c r="AB434" s="5">
        <f>MIN(Table1[[#This Row],[DiscountPct]],'scenario modeling'!$B$2)</f>
        <v>0.1</v>
      </c>
      <c r="AC434" t="str">
        <f>IF(Table1[[#This Row],[DiscountPct]]&gt;0.3, "&gt;0.3","")</f>
        <v/>
      </c>
      <c r="AD434">
        <v>26</v>
      </c>
      <c r="AE434">
        <f>Table1[[#This Row],[Quantity]]*(1+'scenario modeling'!$B$4)</f>
        <v>31.2</v>
      </c>
      <c r="AF434">
        <f>Table1[[#This Row],[UnitCost]]*Table1[[#This Row],[Quantity]]</f>
        <v>26571.22</v>
      </c>
      <c r="AG434">
        <f>SUMIF($U:U,Table1[[#This Row],[ProductCategory]],$AM:AM)</f>
        <v>1773719.1704599999</v>
      </c>
      <c r="AH434">
        <f>SUMIFS($AM$2:AM434,$U$2:U434,U434)</f>
        <v>1639335.3623899999</v>
      </c>
      <c r="AI434" s="5">
        <f>Table1[[#This Row],[Cumulative_revenue]]/Table1[[#This Row],[Category_revenue]]</f>
        <v>0.92423614160118217</v>
      </c>
      <c r="AJ434" t="str">
        <f>IF(Table1[[#This Row],[cumulative_pct]]&lt;=0.8,"A",IF(Table1[[#This Row],[cumulative_pct]]&lt;=0.95,"B","C"))</f>
        <v>B</v>
      </c>
      <c r="AK434">
        <f>Table1[[#This Row],[adj_unit_cost]]*Table1[[#This Row],[scenario_quantity]]</f>
        <v>35074.010400000006</v>
      </c>
      <c r="AL434" s="5">
        <f>Table1[[#This Row],[UnitPrice]]*Table1[[#This Row],[scenario_quantity]]*(1-Table1[[#This Row],[cap_adjusted_discount]])</f>
        <v>64478.700000000004</v>
      </c>
      <c r="AM434" s="5">
        <f>Table1[[#This Row],[UnitPrice]]*Table1[[#This Row],[Quantity]]*(1-Table1[[#This Row],[DiscountPct]])</f>
        <v>50090.397499999999</v>
      </c>
      <c r="AN434" s="5">
        <f>Table1[[#This Row],[gross_revenue]]-Table1[[#This Row],[cost_of_goods]]</f>
        <v>23519.177499999998</v>
      </c>
      <c r="AO434" s="5">
        <f>Table1[[#This Row],[scenario_revenue]]-Table1[[#This Row],[Scenario_unit_cost]]</f>
        <v>29404.689599999998</v>
      </c>
      <c r="AP434" s="5">
        <f>IF(Table1[[#This Row],[gross_revenue]]=0,0,Table1[[#This Row],[gross_profit]]/Table1[[#This Row],[gross_revenue]])</f>
        <v>0.46953465482081669</v>
      </c>
    </row>
    <row r="435" spans="1:42" x14ac:dyDescent="0.35">
      <c r="A435" t="s">
        <v>628</v>
      </c>
      <c r="B435" t="str">
        <f>_xlfn.TEXTAFTER(Table1[[#This Row],[OrderID]],"-",2)</f>
        <v>451931</v>
      </c>
      <c r="C435">
        <f>YEAR(Table1[[#This Row],[OrderDate]])</f>
        <v>2023</v>
      </c>
      <c r="D435" s="9">
        <f>_xlfn.MINIFS(F:F,P:P,Table1[[#This Row],[Country]])</f>
        <v>44936</v>
      </c>
      <c r="E435" s="7">
        <f>DATEDIF(Table1[[#This Row],[first_time_orders]],Table1[[#This Row],[OrderDate]],"m")</f>
        <v>6</v>
      </c>
      <c r="F435" s="9">
        <v>45137</v>
      </c>
      <c r="G435" s="2" t="str">
        <f>TEXT(Table1[[#This Row],[OrderDate]],"MMM-YYYY")</f>
        <v>Jul-2023</v>
      </c>
      <c r="H435" s="7">
        <f>MONTH(Table1[[#This Row],[OrderDate]])</f>
        <v>7</v>
      </c>
      <c r="I435" s="7" t="str">
        <f>"Q"&amp;ROUNDUP(Table1[[#This Row],[months]]/3,0)&amp;"-"&amp;Table1[[#This Row],[order_year]]</f>
        <v>Q3-2023</v>
      </c>
      <c r="J435" s="7">
        <f>Table1[[#This Row],[RequiredDate]]-Table1[[#This Row],[OrderDate]]</f>
        <v>20</v>
      </c>
      <c r="K435" s="7">
        <f>IF(Table1[[#This Row],[lead_time]]&lt;0,MEDIAN(J:J),Table1[[#This Row],[lead_time]])</f>
        <v>20</v>
      </c>
      <c r="L435" s="7">
        <f>IF(Table1[[#This Row],[adj_lead_time]]&lt;=7,1,0)</f>
        <v>0</v>
      </c>
      <c r="M435" s="9">
        <v>45157</v>
      </c>
      <c r="N435" s="9">
        <f>IF(Table1[[#This Row],[lead_time]]&lt;0,(Table1[[#This Row],[OrderDate]]+Table1[[#This Row],[adj_lead_time]]),Table1[[#This Row],[RequiredDate]])</f>
        <v>45157</v>
      </c>
      <c r="O435" t="s">
        <v>649</v>
      </c>
      <c r="P435" t="s">
        <v>657</v>
      </c>
      <c r="Q435" t="s">
        <v>690</v>
      </c>
      <c r="R435" t="s">
        <v>706</v>
      </c>
      <c r="S435" t="s">
        <v>709</v>
      </c>
      <c r="T435" t="s">
        <v>715</v>
      </c>
      <c r="U435" t="s">
        <v>729</v>
      </c>
      <c r="V435" t="s">
        <v>1346</v>
      </c>
      <c r="W435">
        <v>1418.51</v>
      </c>
      <c r="X435">
        <f>Table1[[#This Row],[UnitCost]]*(1+'scenario modeling'!$B$3)</f>
        <v>1560.3610000000001</v>
      </c>
      <c r="Y435">
        <v>2789.61</v>
      </c>
      <c r="Z435" t="str">
        <f>IF(Table1[[#This Row],[UnitPrice]]&lt;=Quantiles!$B$2,Quantiles!$A$2,IF(Table1[[#This Row],[UnitPrice]]&lt;=Quantiles!$B$3,Quantiles!$A$3,Quantiles!$A$4))</f>
        <v>High</v>
      </c>
      <c r="AA435">
        <v>0.17100000000000001</v>
      </c>
      <c r="AB435" s="5">
        <f>MIN(Table1[[#This Row],[DiscountPct]],'scenario modeling'!$B$2)</f>
        <v>0.1</v>
      </c>
      <c r="AC435" t="str">
        <f>IF(Table1[[#This Row],[DiscountPct]]&gt;0.3, "&gt;0.3","")</f>
        <v/>
      </c>
      <c r="AD435">
        <v>8</v>
      </c>
      <c r="AE435">
        <f>Table1[[#This Row],[Quantity]]*(1+'scenario modeling'!$B$4)</f>
        <v>9.6</v>
      </c>
      <c r="AF435">
        <f>Table1[[#This Row],[UnitCost]]*Table1[[#This Row],[Quantity]]</f>
        <v>11348.08</v>
      </c>
      <c r="AG435">
        <f>SUMIF($U:U,Table1[[#This Row],[ProductCategory]],$AM:AM)</f>
        <v>1773719.1704599999</v>
      </c>
      <c r="AH435">
        <f>SUMIFS($AM$2:AM435,$U$2:U435,U435)</f>
        <v>1657836.0559099999</v>
      </c>
      <c r="AI435" s="5">
        <f>Table1[[#This Row],[Cumulative_revenue]]/Table1[[#This Row],[Category_revenue]]</f>
        <v>0.93466659408098596</v>
      </c>
      <c r="AJ435" t="str">
        <f>IF(Table1[[#This Row],[cumulative_pct]]&lt;=0.8,"A",IF(Table1[[#This Row],[cumulative_pct]]&lt;=0.95,"B","C"))</f>
        <v>B</v>
      </c>
      <c r="AK435">
        <f>Table1[[#This Row],[adj_unit_cost]]*Table1[[#This Row],[scenario_quantity]]</f>
        <v>14979.4656</v>
      </c>
      <c r="AL435" s="5">
        <f>Table1[[#This Row],[UnitPrice]]*Table1[[#This Row],[scenario_quantity]]*(1-Table1[[#This Row],[cap_adjusted_discount]])</f>
        <v>24102.2304</v>
      </c>
      <c r="AM435" s="5">
        <f>Table1[[#This Row],[UnitPrice]]*Table1[[#This Row],[Quantity]]*(1-Table1[[#This Row],[DiscountPct]])</f>
        <v>18500.693520000001</v>
      </c>
      <c r="AN435" s="5">
        <f>Table1[[#This Row],[gross_revenue]]-Table1[[#This Row],[cost_of_goods]]</f>
        <v>7152.6135200000008</v>
      </c>
      <c r="AO435" s="5">
        <f>Table1[[#This Row],[scenario_revenue]]-Table1[[#This Row],[Scenario_unit_cost]]</f>
        <v>9122.7648000000008</v>
      </c>
      <c r="AP435" s="5">
        <f>IF(Table1[[#This Row],[gross_revenue]]=0,0,Table1[[#This Row],[gross_profit]]/Table1[[#This Row],[gross_revenue]])</f>
        <v>0.38661326464695689</v>
      </c>
    </row>
    <row r="436" spans="1:42" x14ac:dyDescent="0.35">
      <c r="A436" t="s">
        <v>591</v>
      </c>
      <c r="B436" t="str">
        <f>_xlfn.TEXTAFTER(Table1[[#This Row],[OrderID]],"-",2)</f>
        <v>713614</v>
      </c>
      <c r="C436">
        <f>YEAR(Table1[[#This Row],[OrderDate]])</f>
        <v>2023</v>
      </c>
      <c r="D436" s="9">
        <f>_xlfn.MINIFS(F:F,P:P,Table1[[#This Row],[Country]])</f>
        <v>44928</v>
      </c>
      <c r="E436" s="7">
        <f>DATEDIF(Table1[[#This Row],[first_time_orders]],Table1[[#This Row],[OrderDate]],"m")</f>
        <v>7</v>
      </c>
      <c r="F436" s="9">
        <v>45140</v>
      </c>
      <c r="G436" s="2" t="str">
        <f>TEXT(Table1[[#This Row],[OrderDate]],"MMM-YYYY")</f>
        <v>Aug-2023</v>
      </c>
      <c r="H436" s="7">
        <f>MONTH(Table1[[#This Row],[OrderDate]])</f>
        <v>8</v>
      </c>
      <c r="I436" s="7" t="str">
        <f>"Q"&amp;ROUNDUP(Table1[[#This Row],[months]]/3,0)&amp;"-"&amp;Table1[[#This Row],[order_year]]</f>
        <v>Q3-2023</v>
      </c>
      <c r="J436" s="7">
        <f>Table1[[#This Row],[RequiredDate]]-Table1[[#This Row],[OrderDate]]</f>
        <v>17</v>
      </c>
      <c r="K436" s="7">
        <f>IF(Table1[[#This Row],[lead_time]]&lt;0,MEDIAN(J:J),Table1[[#This Row],[lead_time]])</f>
        <v>17</v>
      </c>
      <c r="L436" s="7">
        <f>IF(Table1[[#This Row],[adj_lead_time]]&lt;=7,1,0)</f>
        <v>0</v>
      </c>
      <c r="M436" s="9">
        <v>45157</v>
      </c>
      <c r="N436" s="9">
        <f>IF(Table1[[#This Row],[lead_time]]&lt;0,(Table1[[#This Row],[OrderDate]]+Table1[[#This Row],[adj_lead_time]]),Table1[[#This Row],[RequiredDate]])</f>
        <v>45157</v>
      </c>
      <c r="O436" t="s">
        <v>648</v>
      </c>
      <c r="P436" t="s">
        <v>653</v>
      </c>
      <c r="Q436" t="s">
        <v>688</v>
      </c>
      <c r="R436" t="s">
        <v>701</v>
      </c>
      <c r="S436" t="s">
        <v>708</v>
      </c>
      <c r="T436" t="s">
        <v>721</v>
      </c>
      <c r="U436" t="s">
        <v>729</v>
      </c>
      <c r="V436" t="s">
        <v>1309</v>
      </c>
      <c r="W436">
        <v>175.38</v>
      </c>
      <c r="X436">
        <f>Table1[[#This Row],[UnitCost]]*(1+'scenario modeling'!$B$3)</f>
        <v>192.91800000000001</v>
      </c>
      <c r="Y436">
        <v>347.9</v>
      </c>
      <c r="Z436" t="str">
        <f>IF(Table1[[#This Row],[UnitPrice]]&lt;=Quantiles!$B$2,Quantiles!$A$2,IF(Table1[[#This Row],[UnitPrice]]&lt;=Quantiles!$B$3,Quantiles!$A$3,Quantiles!$A$4))</f>
        <v>Low</v>
      </c>
      <c r="AA436">
        <v>7.1999999999999995E-2</v>
      </c>
      <c r="AB436" s="5">
        <f>MIN(Table1[[#This Row],[DiscountPct]],'scenario modeling'!$B$2)</f>
        <v>7.1999999999999995E-2</v>
      </c>
      <c r="AC436" t="str">
        <f>IF(Table1[[#This Row],[DiscountPct]]&gt;0.3, "&gt;0.3","")</f>
        <v/>
      </c>
      <c r="AD436">
        <v>43</v>
      </c>
      <c r="AE436">
        <f>Table1[[#This Row],[Quantity]]*(1+'scenario modeling'!$B$4)</f>
        <v>51.6</v>
      </c>
      <c r="AF436">
        <f>Table1[[#This Row],[UnitCost]]*Table1[[#This Row],[Quantity]]</f>
        <v>7541.34</v>
      </c>
      <c r="AG436">
        <f>SUMIF($U:U,Table1[[#This Row],[ProductCategory]],$AM:AM)</f>
        <v>1773719.1704599999</v>
      </c>
      <c r="AH436">
        <f>SUMIFS($AM$2:AM436,$U$2:U436,U436)</f>
        <v>1671718.6575099998</v>
      </c>
      <c r="AI436" s="5">
        <f>Table1[[#This Row],[Cumulative_revenue]]/Table1[[#This Row],[Category_revenue]]</f>
        <v>0.9424934258766865</v>
      </c>
      <c r="AJ436" t="str">
        <f>IF(Table1[[#This Row],[cumulative_pct]]&lt;=0.8,"A",IF(Table1[[#This Row],[cumulative_pct]]&lt;=0.95,"B","C"))</f>
        <v>B</v>
      </c>
      <c r="AK436">
        <f>Table1[[#This Row],[adj_unit_cost]]*Table1[[#This Row],[scenario_quantity]]</f>
        <v>9954.5688000000009</v>
      </c>
      <c r="AL436" s="5">
        <f>Table1[[#This Row],[UnitPrice]]*Table1[[#This Row],[scenario_quantity]]*(1-Table1[[#This Row],[cap_adjusted_discount]])</f>
        <v>16659.121920000001</v>
      </c>
      <c r="AM436" s="5">
        <f>Table1[[#This Row],[UnitPrice]]*Table1[[#This Row],[Quantity]]*(1-Table1[[#This Row],[DiscountPct]])</f>
        <v>13882.6016</v>
      </c>
      <c r="AN436" s="5">
        <f>Table1[[#This Row],[gross_revenue]]-Table1[[#This Row],[cost_of_goods]]</f>
        <v>6341.2615999999998</v>
      </c>
      <c r="AO436" s="5">
        <f>Table1[[#This Row],[scenario_revenue]]-Table1[[#This Row],[Scenario_unit_cost]]</f>
        <v>6704.5531200000005</v>
      </c>
      <c r="AP436" s="5">
        <f>IF(Table1[[#This Row],[gross_revenue]]=0,0,Table1[[#This Row],[gross_profit]]/Table1[[#This Row],[gross_revenue]])</f>
        <v>0.45677761148169804</v>
      </c>
    </row>
    <row r="437" spans="1:42" x14ac:dyDescent="0.35">
      <c r="A437" t="s">
        <v>69</v>
      </c>
      <c r="B437" t="str">
        <f>_xlfn.TEXTAFTER(Table1[[#This Row],[OrderID]],"-",2)</f>
        <v>235230</v>
      </c>
      <c r="C437">
        <f>YEAR(Table1[[#This Row],[OrderDate]])</f>
        <v>2023</v>
      </c>
      <c r="D437" s="9">
        <f>_xlfn.MINIFS(F:F,P:P,Table1[[#This Row],[Country]])</f>
        <v>44948</v>
      </c>
      <c r="E437" s="7">
        <f>DATEDIF(Table1[[#This Row],[first_time_orders]],Table1[[#This Row],[OrderDate]],"m")</f>
        <v>7</v>
      </c>
      <c r="F437" s="9">
        <v>45168</v>
      </c>
      <c r="G437" s="2" t="str">
        <f>TEXT(Table1[[#This Row],[OrderDate]],"MMM-YYYY")</f>
        <v>Aug-2023</v>
      </c>
      <c r="H437" s="7">
        <f>MONTH(Table1[[#This Row],[OrderDate]])</f>
        <v>8</v>
      </c>
      <c r="I437" s="7" t="str">
        <f>"Q"&amp;ROUNDUP(Table1[[#This Row],[months]]/3,0)&amp;"-"&amp;Table1[[#This Row],[order_year]]</f>
        <v>Q3-2023</v>
      </c>
      <c r="J437" s="7">
        <f>Table1[[#This Row],[RequiredDate]]-Table1[[#This Row],[OrderDate]]</f>
        <v>2</v>
      </c>
      <c r="K437" s="7">
        <f>IF(Table1[[#This Row],[lead_time]]&lt;0,MEDIAN(J:J),Table1[[#This Row],[lead_time]])</f>
        <v>2</v>
      </c>
      <c r="L437" s="7">
        <f>IF(Table1[[#This Row],[adj_lead_time]]&lt;=7,1,0)</f>
        <v>1</v>
      </c>
      <c r="M437" s="9">
        <v>45170</v>
      </c>
      <c r="N437" s="9">
        <f>IF(Table1[[#This Row],[lead_time]]&lt;0,(Table1[[#This Row],[OrderDate]]+Table1[[#This Row],[adj_lead_time]]),Table1[[#This Row],[RequiredDate]])</f>
        <v>45170</v>
      </c>
      <c r="O437" t="s">
        <v>649</v>
      </c>
      <c r="P437" t="s">
        <v>656</v>
      </c>
      <c r="Q437" t="s">
        <v>684</v>
      </c>
      <c r="R437" t="s">
        <v>701</v>
      </c>
      <c r="S437" t="s">
        <v>711</v>
      </c>
      <c r="T437" t="s">
        <v>725</v>
      </c>
      <c r="U437" t="s">
        <v>729</v>
      </c>
      <c r="V437" t="s">
        <v>788</v>
      </c>
      <c r="W437">
        <v>44.42</v>
      </c>
      <c r="X437">
        <f>Table1[[#This Row],[UnitCost]]*(1+'scenario modeling'!$B$3)</f>
        <v>48.862000000000009</v>
      </c>
      <c r="Y437">
        <v>41.9</v>
      </c>
      <c r="Z437" t="str">
        <f>IF(Table1[[#This Row],[UnitPrice]]&lt;=Quantiles!$B$2,Quantiles!$A$2,IF(Table1[[#This Row],[UnitPrice]]&lt;=Quantiles!$B$3,Quantiles!$A$3,Quantiles!$A$4))</f>
        <v>Low</v>
      </c>
      <c r="AA437">
        <v>0.14399999999999999</v>
      </c>
      <c r="AB437" s="5">
        <f>MIN(Table1[[#This Row],[DiscountPct]],'scenario modeling'!$B$2)</f>
        <v>0.1</v>
      </c>
      <c r="AC437" t="str">
        <f>IF(Table1[[#This Row],[DiscountPct]]&gt;0.3, "&gt;0.3","")</f>
        <v/>
      </c>
      <c r="AD437">
        <v>6</v>
      </c>
      <c r="AE437">
        <f>Table1[[#This Row],[Quantity]]*(1+'scenario modeling'!$B$4)</f>
        <v>7.1999999999999993</v>
      </c>
      <c r="AF437">
        <f>Table1[[#This Row],[UnitCost]]*Table1[[#This Row],[Quantity]]</f>
        <v>266.52</v>
      </c>
      <c r="AG437">
        <f>SUMIF($U:U,Table1[[#This Row],[ProductCategory]],$AM:AM)</f>
        <v>1773719.1704599999</v>
      </c>
      <c r="AH437">
        <f>SUMIFS($AM$2:AM437,$U$2:U437,U437)</f>
        <v>1671933.8559099999</v>
      </c>
      <c r="AI437" s="5">
        <f>Table1[[#This Row],[Cumulative_revenue]]/Table1[[#This Row],[Category_revenue]]</f>
        <v>0.9426147519600846</v>
      </c>
      <c r="AJ437" t="str">
        <f>IF(Table1[[#This Row],[cumulative_pct]]&lt;=0.8,"A",IF(Table1[[#This Row],[cumulative_pct]]&lt;=0.95,"B","C"))</f>
        <v>B</v>
      </c>
      <c r="AK437">
        <f>Table1[[#This Row],[adj_unit_cost]]*Table1[[#This Row],[scenario_quantity]]</f>
        <v>351.80640000000005</v>
      </c>
      <c r="AL437" s="5">
        <f>Table1[[#This Row],[UnitPrice]]*Table1[[#This Row],[scenario_quantity]]*(1-Table1[[#This Row],[cap_adjusted_discount]])</f>
        <v>271.51199999999994</v>
      </c>
      <c r="AM437" s="5">
        <f>Table1[[#This Row],[UnitPrice]]*Table1[[#This Row],[Quantity]]*(1-Table1[[#This Row],[DiscountPct]])</f>
        <v>215.19839999999996</v>
      </c>
      <c r="AN437" s="5">
        <f>Table1[[#This Row],[gross_revenue]]-Table1[[#This Row],[cost_of_goods]]</f>
        <v>-51.321600000000018</v>
      </c>
      <c r="AO437" s="5">
        <f>Table1[[#This Row],[scenario_revenue]]-Table1[[#This Row],[Scenario_unit_cost]]</f>
        <v>-80.29440000000011</v>
      </c>
      <c r="AP437" s="5">
        <f>IF(Table1[[#This Row],[gross_revenue]]=0,0,Table1[[#This Row],[gross_profit]]/Table1[[#This Row],[gross_revenue]])</f>
        <v>-0.23848504449847224</v>
      </c>
    </row>
    <row r="438" spans="1:42" x14ac:dyDescent="0.35">
      <c r="A438" t="s">
        <v>630</v>
      </c>
      <c r="B438" t="str">
        <f>_xlfn.TEXTAFTER(Table1[[#This Row],[OrderID]],"-",2)</f>
        <v>502205</v>
      </c>
      <c r="C438">
        <f>YEAR(Table1[[#This Row],[OrderDate]])</f>
        <v>2023</v>
      </c>
      <c r="D438" s="9">
        <f>_xlfn.MINIFS(F:F,P:P,Table1[[#This Row],[Country]])</f>
        <v>44941</v>
      </c>
      <c r="E438" s="7">
        <f>DATEDIF(Table1[[#This Row],[first_time_orders]],Table1[[#This Row],[OrderDate]],"m")</f>
        <v>8</v>
      </c>
      <c r="F438" s="9">
        <v>45208</v>
      </c>
      <c r="G438" s="2" t="str">
        <f>TEXT(Table1[[#This Row],[OrderDate]],"MMM-YYYY")</f>
        <v>Oct-2023</v>
      </c>
      <c r="H438" s="7">
        <f>MONTH(Table1[[#This Row],[OrderDate]])</f>
        <v>10</v>
      </c>
      <c r="I438" s="7" t="str">
        <f>"Q"&amp;ROUNDUP(Table1[[#This Row],[months]]/3,0)&amp;"-"&amp;Table1[[#This Row],[order_year]]</f>
        <v>Q4-2023</v>
      </c>
      <c r="J438" s="7">
        <f>Table1[[#This Row],[RequiredDate]]-Table1[[#This Row],[OrderDate]]</f>
        <v>2</v>
      </c>
      <c r="K438" s="7">
        <f>IF(Table1[[#This Row],[lead_time]]&lt;0,MEDIAN(J:J),Table1[[#This Row],[lead_time]])</f>
        <v>2</v>
      </c>
      <c r="L438" s="7">
        <f>IF(Table1[[#This Row],[adj_lead_time]]&lt;=7,1,0)</f>
        <v>1</v>
      </c>
      <c r="M438" s="9">
        <v>45210</v>
      </c>
      <c r="N438" s="9">
        <f>IF(Table1[[#This Row],[lead_time]]&lt;0,(Table1[[#This Row],[OrderDate]]+Table1[[#This Row],[adj_lead_time]]),Table1[[#This Row],[RequiredDate]])</f>
        <v>45210</v>
      </c>
      <c r="O438" t="s">
        <v>646</v>
      </c>
      <c r="P438" t="s">
        <v>651</v>
      </c>
      <c r="Q438" t="s">
        <v>663</v>
      </c>
      <c r="R438" t="s">
        <v>702</v>
      </c>
      <c r="S438" t="s">
        <v>709</v>
      </c>
      <c r="T438" t="s">
        <v>723</v>
      </c>
      <c r="U438" t="s">
        <v>729</v>
      </c>
      <c r="V438" t="s">
        <v>1348</v>
      </c>
      <c r="W438">
        <v>391.16</v>
      </c>
      <c r="X438">
        <f>Table1[[#This Row],[UnitCost]]*(1+'scenario modeling'!$B$3)</f>
        <v>430.27600000000007</v>
      </c>
      <c r="Y438">
        <v>902.47</v>
      </c>
      <c r="Z438" t="str">
        <f>IF(Table1[[#This Row],[UnitPrice]]&lt;=Quantiles!$B$2,Quantiles!$A$2,IF(Table1[[#This Row],[UnitPrice]]&lt;=Quantiles!$B$3,Quantiles!$A$3,Quantiles!$A$4))</f>
        <v>Medium</v>
      </c>
      <c r="AA438">
        <v>4.0000000000000001E-3</v>
      </c>
      <c r="AB438" s="5">
        <f>MIN(Table1[[#This Row],[DiscountPct]],'scenario modeling'!$B$2)</f>
        <v>4.0000000000000001E-3</v>
      </c>
      <c r="AC438" t="str">
        <f>IF(Table1[[#This Row],[DiscountPct]]&gt;0.3, "&gt;0.3","")</f>
        <v/>
      </c>
      <c r="AD438">
        <v>12</v>
      </c>
      <c r="AE438">
        <f>Table1[[#This Row],[Quantity]]*(1+'scenario modeling'!$B$4)</f>
        <v>14.399999999999999</v>
      </c>
      <c r="AF438">
        <f>Table1[[#This Row],[UnitCost]]*Table1[[#This Row],[Quantity]]</f>
        <v>4693.92</v>
      </c>
      <c r="AG438">
        <f>SUMIF($U:U,Table1[[#This Row],[ProductCategory]],$AM:AM)</f>
        <v>1773719.1704599999</v>
      </c>
      <c r="AH438">
        <f>SUMIFS($AM$2:AM438,$U$2:U438,U438)</f>
        <v>1682720.17735</v>
      </c>
      <c r="AI438" s="5">
        <f>Table1[[#This Row],[Cumulative_revenue]]/Table1[[#This Row],[Category_revenue]]</f>
        <v>0.94869594092147069</v>
      </c>
      <c r="AJ438" t="str">
        <f>IF(Table1[[#This Row],[cumulative_pct]]&lt;=0.8,"A",IF(Table1[[#This Row],[cumulative_pct]]&lt;=0.95,"B","C"))</f>
        <v>B</v>
      </c>
      <c r="AK438">
        <f>Table1[[#This Row],[adj_unit_cost]]*Table1[[#This Row],[scenario_quantity]]</f>
        <v>6195.9744000000001</v>
      </c>
      <c r="AL438" s="5">
        <f>Table1[[#This Row],[UnitPrice]]*Table1[[#This Row],[scenario_quantity]]*(1-Table1[[#This Row],[cap_adjusted_discount]])</f>
        <v>12943.585728</v>
      </c>
      <c r="AM438" s="5">
        <f>Table1[[#This Row],[UnitPrice]]*Table1[[#This Row],[Quantity]]*(1-Table1[[#This Row],[DiscountPct]])</f>
        <v>10786.32144</v>
      </c>
      <c r="AN438" s="5">
        <f>Table1[[#This Row],[gross_revenue]]-Table1[[#This Row],[cost_of_goods]]</f>
        <v>6092.4014399999996</v>
      </c>
      <c r="AO438" s="5">
        <f>Table1[[#This Row],[scenario_revenue]]-Table1[[#This Row],[Scenario_unit_cost]]</f>
        <v>6747.611328</v>
      </c>
      <c r="AP438" s="5">
        <f>IF(Table1[[#This Row],[gross_revenue]]=0,0,Table1[[#This Row],[gross_profit]]/Table1[[#This Row],[gross_revenue]])</f>
        <v>0.56482661618139207</v>
      </c>
    </row>
    <row r="439" spans="1:42" x14ac:dyDescent="0.35">
      <c r="A439" t="s">
        <v>129</v>
      </c>
      <c r="B439" t="str">
        <f>_xlfn.TEXTAFTER(Table1[[#This Row],[OrderID]],"-",2)</f>
        <v>975863</v>
      </c>
      <c r="C439">
        <f>YEAR(Table1[[#This Row],[OrderDate]])</f>
        <v>2023</v>
      </c>
      <c r="D439" s="9">
        <f>_xlfn.MINIFS(F:F,P:P,Table1[[#This Row],[Country]])</f>
        <v>44988</v>
      </c>
      <c r="E439" s="7">
        <f>DATEDIF(Table1[[#This Row],[first_time_orders]],Table1[[#This Row],[OrderDate]],"m")</f>
        <v>8</v>
      </c>
      <c r="F439" s="9">
        <v>45250</v>
      </c>
      <c r="G439" s="2" t="str">
        <f>TEXT(Table1[[#This Row],[OrderDate]],"MMM-YYYY")</f>
        <v>Nov-2023</v>
      </c>
      <c r="H439" s="7">
        <f>MONTH(Table1[[#This Row],[OrderDate]])</f>
        <v>11</v>
      </c>
      <c r="I439" s="7" t="str">
        <f>"Q"&amp;ROUNDUP(Table1[[#This Row],[months]]/3,0)&amp;"-"&amp;Table1[[#This Row],[order_year]]</f>
        <v>Q4-2023</v>
      </c>
      <c r="J439" s="7">
        <f>Table1[[#This Row],[RequiredDate]]-Table1[[#This Row],[OrderDate]]</f>
        <v>15</v>
      </c>
      <c r="K439" s="7">
        <f>IF(Table1[[#This Row],[lead_time]]&lt;0,MEDIAN(J:J),Table1[[#This Row],[lead_time]])</f>
        <v>15</v>
      </c>
      <c r="L439" s="7">
        <f>IF(Table1[[#This Row],[adj_lead_time]]&lt;=7,1,0)</f>
        <v>0</v>
      </c>
      <c r="M439" s="9">
        <v>45265</v>
      </c>
      <c r="N439" s="9">
        <f>IF(Table1[[#This Row],[lead_time]]&lt;0,(Table1[[#This Row],[OrderDate]]+Table1[[#This Row],[adj_lead_time]]),Table1[[#This Row],[RequiredDate]])</f>
        <v>45265</v>
      </c>
      <c r="O439" t="s">
        <v>647</v>
      </c>
      <c r="P439" t="s">
        <v>652</v>
      </c>
      <c r="Q439" t="s">
        <v>689</v>
      </c>
      <c r="R439" t="s">
        <v>706</v>
      </c>
      <c r="S439" t="s">
        <v>707</v>
      </c>
      <c r="T439" t="s">
        <v>716</v>
      </c>
      <c r="U439" t="s">
        <v>729</v>
      </c>
      <c r="V439" t="s">
        <v>848</v>
      </c>
      <c r="W439">
        <v>354.24</v>
      </c>
      <c r="X439">
        <f>Table1[[#This Row],[UnitCost]]*(1+'scenario modeling'!$B$3)</f>
        <v>389.66400000000004</v>
      </c>
      <c r="Y439">
        <v>249.87</v>
      </c>
      <c r="Z439" t="str">
        <f>IF(Table1[[#This Row],[UnitPrice]]&lt;=Quantiles!$B$2,Quantiles!$A$2,IF(Table1[[#This Row],[UnitPrice]]&lt;=Quantiles!$B$3,Quantiles!$A$3,Quantiles!$A$4))</f>
        <v>Low</v>
      </c>
      <c r="AA439">
        <v>0</v>
      </c>
      <c r="AB439" s="5">
        <f>MIN(Table1[[#This Row],[DiscountPct]],'scenario modeling'!$B$2)</f>
        <v>0</v>
      </c>
      <c r="AC439" t="str">
        <f>IF(Table1[[#This Row],[DiscountPct]]&gt;0.3, "&gt;0.3","")</f>
        <v/>
      </c>
      <c r="AD439">
        <v>6</v>
      </c>
      <c r="AE439">
        <f>Table1[[#This Row],[Quantity]]*(1+'scenario modeling'!$B$4)</f>
        <v>7.1999999999999993</v>
      </c>
      <c r="AF439">
        <f>Table1[[#This Row],[UnitCost]]*Table1[[#This Row],[Quantity]]</f>
        <v>2125.44</v>
      </c>
      <c r="AG439">
        <f>SUMIF($U:U,Table1[[#This Row],[ProductCategory]],$AM:AM)</f>
        <v>1773719.1704599999</v>
      </c>
      <c r="AH439">
        <f>SUMIFS($AM$2:AM439,$U$2:U439,U439)</f>
        <v>1684219.39735</v>
      </c>
      <c r="AI439" s="5">
        <f>Table1[[#This Row],[Cumulative_revenue]]/Table1[[#This Row],[Category_revenue]]</f>
        <v>0.94954118182824343</v>
      </c>
      <c r="AJ439" t="str">
        <f>IF(Table1[[#This Row],[cumulative_pct]]&lt;=0.8,"A",IF(Table1[[#This Row],[cumulative_pct]]&lt;=0.95,"B","C"))</f>
        <v>B</v>
      </c>
      <c r="AK439">
        <f>Table1[[#This Row],[adj_unit_cost]]*Table1[[#This Row],[scenario_quantity]]</f>
        <v>2805.5808000000002</v>
      </c>
      <c r="AL439" s="5">
        <f>Table1[[#This Row],[UnitPrice]]*Table1[[#This Row],[scenario_quantity]]*(1-Table1[[#This Row],[cap_adjusted_discount]])</f>
        <v>1799.0639999999999</v>
      </c>
      <c r="AM439" s="5">
        <f>Table1[[#This Row],[UnitPrice]]*Table1[[#This Row],[Quantity]]*(1-Table1[[#This Row],[DiscountPct]])</f>
        <v>1499.22</v>
      </c>
      <c r="AN439" s="5">
        <f>Table1[[#This Row],[gross_revenue]]-Table1[[#This Row],[cost_of_goods]]</f>
        <v>-626.22</v>
      </c>
      <c r="AO439" s="5">
        <f>Table1[[#This Row],[scenario_revenue]]-Table1[[#This Row],[Scenario_unit_cost]]</f>
        <v>-1006.5168000000003</v>
      </c>
      <c r="AP439" s="5">
        <f>IF(Table1[[#This Row],[gross_revenue]]=0,0,Table1[[#This Row],[gross_profit]]/Table1[[#This Row],[gross_revenue]])</f>
        <v>-0.41769720254532355</v>
      </c>
    </row>
    <row r="440" spans="1:42" x14ac:dyDescent="0.35">
      <c r="A440" t="s">
        <v>331</v>
      </c>
      <c r="B440" t="str">
        <f>_xlfn.TEXTAFTER(Table1[[#This Row],[OrderID]],"-",2)</f>
        <v>619570</v>
      </c>
      <c r="C440">
        <f>YEAR(Table1[[#This Row],[OrderDate]])</f>
        <v>2023</v>
      </c>
      <c r="D440" s="9">
        <f>_xlfn.MINIFS(F:F,P:P,Table1[[#This Row],[Country]])</f>
        <v>44955</v>
      </c>
      <c r="E440" s="7">
        <f>DATEDIF(Table1[[#This Row],[first_time_orders]],Table1[[#This Row],[OrderDate]],"m")</f>
        <v>9</v>
      </c>
      <c r="F440" s="9">
        <v>45244</v>
      </c>
      <c r="G440" s="2" t="str">
        <f>TEXT(Table1[[#This Row],[OrderDate]],"MMM-YYYY")</f>
        <v>Nov-2023</v>
      </c>
      <c r="H440" s="7">
        <f>MONTH(Table1[[#This Row],[OrderDate]])</f>
        <v>11</v>
      </c>
      <c r="I440" s="7" t="str">
        <f>"Q"&amp;ROUNDUP(Table1[[#This Row],[months]]/3,0)&amp;"-"&amp;Table1[[#This Row],[order_year]]</f>
        <v>Q4-2023</v>
      </c>
      <c r="J440" s="7">
        <f>Table1[[#This Row],[RequiredDate]]-Table1[[#This Row],[OrderDate]]</f>
        <v>16</v>
      </c>
      <c r="K440" s="7">
        <f>IF(Table1[[#This Row],[lead_time]]&lt;0,MEDIAN(J:J),Table1[[#This Row],[lead_time]])</f>
        <v>16</v>
      </c>
      <c r="L440" s="7">
        <f>IF(Table1[[#This Row],[adj_lead_time]]&lt;=7,1,0)</f>
        <v>0</v>
      </c>
      <c r="M440" s="9">
        <v>45260</v>
      </c>
      <c r="N440" s="9">
        <f>IF(Table1[[#This Row],[lead_time]]&lt;0,(Table1[[#This Row],[OrderDate]]+Table1[[#This Row],[adj_lead_time]]),Table1[[#This Row],[RequiredDate]])</f>
        <v>45260</v>
      </c>
      <c r="O440" t="s">
        <v>648</v>
      </c>
      <c r="P440" t="s">
        <v>655</v>
      </c>
      <c r="Q440" t="s">
        <v>670</v>
      </c>
      <c r="R440" t="s">
        <v>706</v>
      </c>
      <c r="S440" t="s">
        <v>711</v>
      </c>
      <c r="T440" t="s">
        <v>723</v>
      </c>
      <c r="U440" t="s">
        <v>729</v>
      </c>
      <c r="V440" t="s">
        <v>1051</v>
      </c>
      <c r="W440">
        <v>1017.92</v>
      </c>
      <c r="X440">
        <f>Table1[[#This Row],[UnitCost]]*(1+'scenario modeling'!$B$3)</f>
        <v>1119.712</v>
      </c>
      <c r="Y440">
        <v>1175.25</v>
      </c>
      <c r="Z440" t="str">
        <f>IF(Table1[[#This Row],[UnitPrice]]&lt;=Quantiles!$B$2,Quantiles!$A$2,IF(Table1[[#This Row],[UnitPrice]]&lt;=Quantiles!$B$3,Quantiles!$A$3,Quantiles!$A$4))</f>
        <v>Medium</v>
      </c>
      <c r="AA440">
        <v>7.4999999999999997E-2</v>
      </c>
      <c r="AB440" s="5">
        <f>MIN(Table1[[#This Row],[DiscountPct]],'scenario modeling'!$B$2)</f>
        <v>7.4999999999999997E-2</v>
      </c>
      <c r="AC440" t="str">
        <f>IF(Table1[[#This Row],[DiscountPct]]&gt;0.3, "&gt;0.3","")</f>
        <v/>
      </c>
      <c r="AD440">
        <v>15</v>
      </c>
      <c r="AE440">
        <f>Table1[[#This Row],[Quantity]]*(1+'scenario modeling'!$B$4)</f>
        <v>18</v>
      </c>
      <c r="AF440">
        <f>Table1[[#This Row],[UnitCost]]*Table1[[#This Row],[Quantity]]</f>
        <v>15268.8</v>
      </c>
      <c r="AG440">
        <f>SUMIF($U:U,Table1[[#This Row],[ProductCategory]],$AM:AM)</f>
        <v>1773719.1704599999</v>
      </c>
      <c r="AH440">
        <f>SUMIFS($AM$2:AM440,$U$2:U440,U440)</f>
        <v>1700525.9911</v>
      </c>
      <c r="AI440" s="5">
        <f>Table1[[#This Row],[Cumulative_revenue]]/Table1[[#This Row],[Category_revenue]]</f>
        <v>0.95873462914593299</v>
      </c>
      <c r="AJ440" t="str">
        <f>IF(Table1[[#This Row],[cumulative_pct]]&lt;=0.8,"A",IF(Table1[[#This Row],[cumulative_pct]]&lt;=0.95,"B","C"))</f>
        <v>C</v>
      </c>
      <c r="AK440">
        <f>Table1[[#This Row],[adj_unit_cost]]*Table1[[#This Row],[scenario_quantity]]</f>
        <v>20154.815999999999</v>
      </c>
      <c r="AL440" s="5">
        <f>Table1[[#This Row],[UnitPrice]]*Table1[[#This Row],[scenario_quantity]]*(1-Table1[[#This Row],[cap_adjusted_discount]])</f>
        <v>19567.912500000002</v>
      </c>
      <c r="AM440" s="5">
        <f>Table1[[#This Row],[UnitPrice]]*Table1[[#This Row],[Quantity]]*(1-Table1[[#This Row],[DiscountPct]])</f>
        <v>16306.59375</v>
      </c>
      <c r="AN440" s="5">
        <f>Table1[[#This Row],[gross_revenue]]-Table1[[#This Row],[cost_of_goods]]</f>
        <v>1037.7937500000007</v>
      </c>
      <c r="AO440" s="5">
        <f>Table1[[#This Row],[scenario_revenue]]-Table1[[#This Row],[Scenario_unit_cost]]</f>
        <v>-586.90349999999671</v>
      </c>
      <c r="AP440" s="5">
        <f>IF(Table1[[#This Row],[gross_revenue]]=0,0,Table1[[#This Row],[gross_profit]]/Table1[[#This Row],[gross_revenue]])</f>
        <v>6.3642583234159542E-2</v>
      </c>
    </row>
    <row r="441" spans="1:42" x14ac:dyDescent="0.35">
      <c r="A441" t="s">
        <v>639</v>
      </c>
      <c r="B441" t="str">
        <f>_xlfn.TEXTAFTER(Table1[[#This Row],[OrderID]],"-",2)</f>
        <v>561823</v>
      </c>
      <c r="C441">
        <f>YEAR(Table1[[#This Row],[OrderDate]])</f>
        <v>2023</v>
      </c>
      <c r="D441" s="9">
        <f>_xlfn.MINIFS(F:F,P:P,Table1[[#This Row],[Country]])</f>
        <v>44955</v>
      </c>
      <c r="E441" s="7">
        <f>DATEDIF(Table1[[#This Row],[first_time_orders]],Table1[[#This Row],[OrderDate]],"m")</f>
        <v>9</v>
      </c>
      <c r="F441" s="9">
        <v>45249</v>
      </c>
      <c r="G441" s="2" t="str">
        <f>TEXT(Table1[[#This Row],[OrderDate]],"MMM-YYYY")</f>
        <v>Nov-2023</v>
      </c>
      <c r="H441" s="7">
        <f>MONTH(Table1[[#This Row],[OrderDate]])</f>
        <v>11</v>
      </c>
      <c r="I441" s="7" t="str">
        <f>"Q"&amp;ROUNDUP(Table1[[#This Row],[months]]/3,0)&amp;"-"&amp;Table1[[#This Row],[order_year]]</f>
        <v>Q4-2023</v>
      </c>
      <c r="J441" s="7">
        <f>Table1[[#This Row],[RequiredDate]]-Table1[[#This Row],[OrderDate]]</f>
        <v>23</v>
      </c>
      <c r="K441" s="7">
        <f>IF(Table1[[#This Row],[lead_time]]&lt;0,MEDIAN(J:J),Table1[[#This Row],[lead_time]])</f>
        <v>23</v>
      </c>
      <c r="L441" s="7">
        <f>IF(Table1[[#This Row],[adj_lead_time]]&lt;=7,1,0)</f>
        <v>0</v>
      </c>
      <c r="M441" s="9">
        <v>45272</v>
      </c>
      <c r="N441" s="9">
        <f>IF(Table1[[#This Row],[lead_time]]&lt;0,(Table1[[#This Row],[OrderDate]]+Table1[[#This Row],[adj_lead_time]]),Table1[[#This Row],[RequiredDate]])</f>
        <v>45272</v>
      </c>
      <c r="O441" t="s">
        <v>647</v>
      </c>
      <c r="P441" t="s">
        <v>654</v>
      </c>
      <c r="Q441" t="s">
        <v>680</v>
      </c>
      <c r="R441" t="s">
        <v>705</v>
      </c>
      <c r="S441" t="s">
        <v>711</v>
      </c>
      <c r="T441" t="s">
        <v>712</v>
      </c>
      <c r="U441" t="s">
        <v>729</v>
      </c>
      <c r="V441" t="s">
        <v>1357</v>
      </c>
      <c r="W441">
        <v>1349.04</v>
      </c>
      <c r="X441">
        <f>Table1[[#This Row],[UnitCost]]*(1+'scenario modeling'!$B$3)</f>
        <v>1483.9440000000002</v>
      </c>
      <c r="Y441">
        <v>2636.6</v>
      </c>
      <c r="Z441" t="str">
        <f>IF(Table1[[#This Row],[UnitPrice]]&lt;=Quantiles!$B$2,Quantiles!$A$2,IF(Table1[[#This Row],[UnitPrice]]&lt;=Quantiles!$B$3,Quantiles!$A$3,Quantiles!$A$4))</f>
        <v>High</v>
      </c>
      <c r="AA441">
        <v>0.114</v>
      </c>
      <c r="AB441" s="5">
        <f>MIN(Table1[[#This Row],[DiscountPct]],'scenario modeling'!$B$2)</f>
        <v>0.1</v>
      </c>
      <c r="AC441" t="str">
        <f>IF(Table1[[#This Row],[DiscountPct]]&gt;0.3, "&gt;0.3","")</f>
        <v/>
      </c>
      <c r="AD441">
        <v>14</v>
      </c>
      <c r="AE441">
        <f>Table1[[#This Row],[Quantity]]*(1+'scenario modeling'!$B$4)</f>
        <v>16.8</v>
      </c>
      <c r="AF441">
        <f>Table1[[#This Row],[UnitCost]]*Table1[[#This Row],[Quantity]]</f>
        <v>18886.559999999998</v>
      </c>
      <c r="AG441">
        <f>SUMIF($U:U,Table1[[#This Row],[ProductCategory]],$AM:AM)</f>
        <v>1773719.1704599999</v>
      </c>
      <c r="AH441">
        <f>SUMIFS($AM$2:AM441,$U$2:U441,U441)</f>
        <v>1733230.3774999999</v>
      </c>
      <c r="AI441" s="5">
        <f>Table1[[#This Row],[Cumulative_revenue]]/Table1[[#This Row],[Category_revenue]]</f>
        <v>0.97717294054531778</v>
      </c>
      <c r="AJ441" t="str">
        <f>IF(Table1[[#This Row],[cumulative_pct]]&lt;=0.8,"A",IF(Table1[[#This Row],[cumulative_pct]]&lt;=0.95,"B","C"))</f>
        <v>C</v>
      </c>
      <c r="AK441">
        <f>Table1[[#This Row],[adj_unit_cost]]*Table1[[#This Row],[scenario_quantity]]</f>
        <v>24930.259200000004</v>
      </c>
      <c r="AL441" s="5">
        <f>Table1[[#This Row],[UnitPrice]]*Table1[[#This Row],[scenario_quantity]]*(1-Table1[[#This Row],[cap_adjusted_discount]])</f>
        <v>39865.392</v>
      </c>
      <c r="AM441" s="5">
        <f>Table1[[#This Row],[UnitPrice]]*Table1[[#This Row],[Quantity]]*(1-Table1[[#This Row],[DiscountPct]])</f>
        <v>32704.386400000003</v>
      </c>
      <c r="AN441" s="5">
        <f>Table1[[#This Row],[gross_revenue]]-Table1[[#This Row],[cost_of_goods]]</f>
        <v>13817.826400000005</v>
      </c>
      <c r="AO441" s="5">
        <f>Table1[[#This Row],[scenario_revenue]]-Table1[[#This Row],[Scenario_unit_cost]]</f>
        <v>14935.132799999996</v>
      </c>
      <c r="AP441" s="5">
        <f>IF(Table1[[#This Row],[gross_revenue]]=0,0,Table1[[#This Row],[gross_profit]]/Table1[[#This Row],[gross_revenue]])</f>
        <v>0.42250682312143928</v>
      </c>
    </row>
    <row r="442" spans="1:42" x14ac:dyDescent="0.35">
      <c r="A442" t="s">
        <v>494</v>
      </c>
      <c r="B442" t="str">
        <f>_xlfn.TEXTAFTER(Table1[[#This Row],[OrderID]],"-",2)</f>
        <v>105586</v>
      </c>
      <c r="C442">
        <f>YEAR(Table1[[#This Row],[OrderDate]])</f>
        <v>2024</v>
      </c>
      <c r="D442" s="9">
        <f>_xlfn.MINIFS(F:F,P:P,Table1[[#This Row],[Country]])</f>
        <v>44988</v>
      </c>
      <c r="E442" s="7">
        <f>DATEDIF(Table1[[#This Row],[first_time_orders]],Table1[[#This Row],[OrderDate]],"m")</f>
        <v>9</v>
      </c>
      <c r="F442" s="9">
        <v>45293</v>
      </c>
      <c r="G442" s="2" t="str">
        <f>TEXT(Table1[[#This Row],[OrderDate]],"MMM-YYYY")</f>
        <v>Jan-2024</v>
      </c>
      <c r="H442" s="7">
        <f>MONTH(Table1[[#This Row],[OrderDate]])</f>
        <v>1</v>
      </c>
      <c r="I442" s="7" t="str">
        <f>"Q"&amp;ROUNDUP(Table1[[#This Row],[months]]/3,0)&amp;"-"&amp;Table1[[#This Row],[order_year]]</f>
        <v>Q1-2024</v>
      </c>
      <c r="J442" s="7">
        <f>Table1[[#This Row],[RequiredDate]]-Table1[[#This Row],[OrderDate]]</f>
        <v>13</v>
      </c>
      <c r="K442" s="7">
        <f>IF(Table1[[#This Row],[lead_time]]&lt;0,MEDIAN(J:J),Table1[[#This Row],[lead_time]])</f>
        <v>13</v>
      </c>
      <c r="L442" s="7">
        <f>IF(Table1[[#This Row],[adj_lead_time]]&lt;=7,1,0)</f>
        <v>0</v>
      </c>
      <c r="M442" s="9">
        <v>45306</v>
      </c>
      <c r="N442" s="9">
        <f>IF(Table1[[#This Row],[lead_time]]&lt;0,(Table1[[#This Row],[OrderDate]]+Table1[[#This Row],[adj_lead_time]]),Table1[[#This Row],[RequiredDate]])</f>
        <v>45306</v>
      </c>
      <c r="O442" t="s">
        <v>647</v>
      </c>
      <c r="P442" t="s">
        <v>652</v>
      </c>
      <c r="Q442" t="s">
        <v>694</v>
      </c>
      <c r="R442" t="s">
        <v>705</v>
      </c>
      <c r="S442" t="s">
        <v>709</v>
      </c>
      <c r="T442" t="s">
        <v>715</v>
      </c>
      <c r="U442" t="s">
        <v>729</v>
      </c>
      <c r="V442" t="s">
        <v>1213</v>
      </c>
      <c r="W442">
        <v>1219.06</v>
      </c>
      <c r="X442">
        <f>Table1[[#This Row],[UnitCost]]*(1+'scenario modeling'!$B$3)</f>
        <v>1340.9660000000001</v>
      </c>
      <c r="Y442">
        <v>2738.69</v>
      </c>
      <c r="Z442" t="str">
        <f>IF(Table1[[#This Row],[UnitPrice]]&lt;=Quantiles!$B$2,Quantiles!$A$2,IF(Table1[[#This Row],[UnitPrice]]&lt;=Quantiles!$B$3,Quantiles!$A$3,Quantiles!$A$4))</f>
        <v>High</v>
      </c>
      <c r="AA442">
        <v>7.5999999999999998E-2</v>
      </c>
      <c r="AB442" s="5">
        <f>MIN(Table1[[#This Row],[DiscountPct]],'scenario modeling'!$B$2)</f>
        <v>7.5999999999999998E-2</v>
      </c>
      <c r="AC442" t="str">
        <f>IF(Table1[[#This Row],[DiscountPct]]&gt;0.3, "&gt;0.3","")</f>
        <v/>
      </c>
      <c r="AD442">
        <v>16</v>
      </c>
      <c r="AE442">
        <f>Table1[[#This Row],[Quantity]]*(1+'scenario modeling'!$B$4)</f>
        <v>19.2</v>
      </c>
      <c r="AF442">
        <f>Table1[[#This Row],[UnitCost]]*Table1[[#This Row],[Quantity]]</f>
        <v>19504.96</v>
      </c>
      <c r="AG442">
        <f>SUMIF($U:U,Table1[[#This Row],[ProductCategory]],$AM:AM)</f>
        <v>1773719.1704599999</v>
      </c>
      <c r="AH442">
        <f>SUMIFS($AM$2:AM442,$U$2:U442,U442)</f>
        <v>1773719.1704599999</v>
      </c>
      <c r="AI442" s="5">
        <f>Table1[[#This Row],[Cumulative_revenue]]/Table1[[#This Row],[Category_revenue]]</f>
        <v>1</v>
      </c>
      <c r="AJ442" t="str">
        <f>IF(Table1[[#This Row],[cumulative_pct]]&lt;=0.8,"A",IF(Table1[[#This Row],[cumulative_pct]]&lt;=0.95,"B","C"))</f>
        <v>C</v>
      </c>
      <c r="AK442">
        <f>Table1[[#This Row],[adj_unit_cost]]*Table1[[#This Row],[scenario_quantity]]</f>
        <v>25746.547200000001</v>
      </c>
      <c r="AL442" s="5">
        <f>Table1[[#This Row],[UnitPrice]]*Table1[[#This Row],[scenario_quantity]]*(1-Table1[[#This Row],[cap_adjusted_discount]])</f>
        <v>48586.551551999997</v>
      </c>
      <c r="AM442" s="5">
        <f>Table1[[#This Row],[UnitPrice]]*Table1[[#This Row],[Quantity]]*(1-Table1[[#This Row],[DiscountPct]])</f>
        <v>40488.792960000006</v>
      </c>
      <c r="AN442" s="5">
        <f>Table1[[#This Row],[gross_revenue]]-Table1[[#This Row],[cost_of_goods]]</f>
        <v>20983.832960000007</v>
      </c>
      <c r="AO442" s="5">
        <f>Table1[[#This Row],[scenario_revenue]]-Table1[[#This Row],[Scenario_unit_cost]]</f>
        <v>22840.004351999996</v>
      </c>
      <c r="AP442" s="5">
        <f>IF(Table1[[#This Row],[gross_revenue]]=0,0,Table1[[#This Row],[gross_profit]]/Table1[[#This Row],[gross_revenue]])</f>
        <v>0.51826274447673737</v>
      </c>
    </row>
    <row r="443" spans="1:42" x14ac:dyDescent="0.35">
      <c r="A443" t="s">
        <v>385</v>
      </c>
      <c r="B443" t="str">
        <f>_xlfn.TEXTAFTER(Table1[[#This Row],[OrderID]],"-",2)</f>
        <v>855675</v>
      </c>
      <c r="C443">
        <f>YEAR(Table1[[#This Row],[OrderDate]])</f>
        <v>2023</v>
      </c>
      <c r="D443" s="9">
        <f>_xlfn.MINIFS(F:F,P:P,Table1[[#This Row],[Country]])</f>
        <v>44939</v>
      </c>
      <c r="E443" s="7">
        <f>DATEDIF(Table1[[#This Row],[first_time_orders]],Table1[[#This Row],[OrderDate]],"m")</f>
        <v>0</v>
      </c>
      <c r="F443" s="9">
        <v>44962</v>
      </c>
      <c r="G443" s="2" t="str">
        <f>TEXT(Table1[[#This Row],[OrderDate]],"MMM-YYYY")</f>
        <v>Feb-2023</v>
      </c>
      <c r="H443" s="7">
        <f>MONTH(Table1[[#This Row],[OrderDate]])</f>
        <v>2</v>
      </c>
      <c r="I443" s="7" t="str">
        <f>"Q"&amp;ROUNDUP(Table1[[#This Row],[months]]/3,0)&amp;"-"&amp;Table1[[#This Row],[order_year]]</f>
        <v>Q1-2023</v>
      </c>
      <c r="J443" s="7">
        <f>Table1[[#This Row],[RequiredDate]]-Table1[[#This Row],[OrderDate]]</f>
        <v>23</v>
      </c>
      <c r="K443" s="7">
        <f>IF(Table1[[#This Row],[lead_time]]&lt;0,MEDIAN(J:J),Table1[[#This Row],[lead_time]])</f>
        <v>23</v>
      </c>
      <c r="L443" s="7">
        <f>IF(Table1[[#This Row],[adj_lead_time]]&lt;=7,1,0)</f>
        <v>0</v>
      </c>
      <c r="M443" s="9">
        <v>44985</v>
      </c>
      <c r="N443" s="9">
        <f>IF(Table1[[#This Row],[lead_time]]&lt;0,(Table1[[#This Row],[OrderDate]]+Table1[[#This Row],[adj_lead_time]]),Table1[[#This Row],[RequiredDate]])</f>
        <v>44985</v>
      </c>
      <c r="O443" t="s">
        <v>648</v>
      </c>
      <c r="P443" t="s">
        <v>660</v>
      </c>
      <c r="Q443" t="s">
        <v>697</v>
      </c>
      <c r="R443" t="s">
        <v>703</v>
      </c>
      <c r="S443" t="s">
        <v>710</v>
      </c>
      <c r="T443" t="s">
        <v>716</v>
      </c>
      <c r="U443" t="s">
        <v>730</v>
      </c>
      <c r="V443" t="s">
        <v>1105</v>
      </c>
      <c r="W443">
        <v>1214.49</v>
      </c>
      <c r="X443">
        <f>Table1[[#This Row],[UnitCost]]*(1+'scenario modeling'!$B$3)</f>
        <v>1335.9390000000001</v>
      </c>
      <c r="Y443">
        <v>1533.95</v>
      </c>
      <c r="Z443" t="str">
        <f>IF(Table1[[#This Row],[UnitPrice]]&lt;=Quantiles!$B$2,Quantiles!$A$2,IF(Table1[[#This Row],[UnitPrice]]&lt;=Quantiles!$B$3,Quantiles!$A$3,Quantiles!$A$4))</f>
        <v>Medium</v>
      </c>
      <c r="AA443">
        <v>0</v>
      </c>
      <c r="AB443" s="5">
        <f>MIN(Table1[[#This Row],[DiscountPct]],'scenario modeling'!$B$2)</f>
        <v>0</v>
      </c>
      <c r="AC443" t="str">
        <f>IF(Table1[[#This Row],[DiscountPct]]&gt;0.3, "&gt;0.3","")</f>
        <v/>
      </c>
      <c r="AD443">
        <v>11</v>
      </c>
      <c r="AE443">
        <f>Table1[[#This Row],[Quantity]]*(1+'scenario modeling'!$B$4)</f>
        <v>13.2</v>
      </c>
      <c r="AF443">
        <f>Table1[[#This Row],[UnitCost]]*Table1[[#This Row],[Quantity]]</f>
        <v>13359.39</v>
      </c>
      <c r="AG443">
        <f>SUMIF($U:U,Table1[[#This Row],[ProductCategory]],$AM:AM)</f>
        <v>1398841.4532999999</v>
      </c>
      <c r="AH443">
        <f>SUMIFS($AM$2:AM443,$U$2:U443,U443)</f>
        <v>16873.45</v>
      </c>
      <c r="AI443" s="5">
        <f>Table1[[#This Row],[Cumulative_revenue]]/Table1[[#This Row],[Category_revenue]]</f>
        <v>1.206244636244796E-2</v>
      </c>
      <c r="AJ443" t="str">
        <f>IF(Table1[[#This Row],[cumulative_pct]]&lt;=0.8,"A",IF(Table1[[#This Row],[cumulative_pct]]&lt;=0.95,"B","C"))</f>
        <v>A</v>
      </c>
      <c r="AK443">
        <f>Table1[[#This Row],[adj_unit_cost]]*Table1[[#This Row],[scenario_quantity]]</f>
        <v>17634.394800000002</v>
      </c>
      <c r="AL443" s="5">
        <f>Table1[[#This Row],[UnitPrice]]*Table1[[#This Row],[scenario_quantity]]*(1-Table1[[#This Row],[cap_adjusted_discount]])</f>
        <v>20248.14</v>
      </c>
      <c r="AM443" s="5">
        <f>Table1[[#This Row],[UnitPrice]]*Table1[[#This Row],[Quantity]]*(1-Table1[[#This Row],[DiscountPct]])</f>
        <v>16873.45</v>
      </c>
      <c r="AN443" s="5">
        <f>Table1[[#This Row],[gross_revenue]]-Table1[[#This Row],[cost_of_goods]]</f>
        <v>3514.0600000000013</v>
      </c>
      <c r="AO443" s="5">
        <f>Table1[[#This Row],[scenario_revenue]]-Table1[[#This Row],[Scenario_unit_cost]]</f>
        <v>2613.7451999999976</v>
      </c>
      <c r="AP443" s="5">
        <f>IF(Table1[[#This Row],[gross_revenue]]=0,0,Table1[[#This Row],[gross_profit]]/Table1[[#This Row],[gross_revenue]])</f>
        <v>0.20825972163369086</v>
      </c>
    </row>
    <row r="444" spans="1:42" x14ac:dyDescent="0.35">
      <c r="A444" t="s">
        <v>214</v>
      </c>
      <c r="B444" t="str">
        <f>_xlfn.TEXTAFTER(Table1[[#This Row],[OrderID]],"-",2)</f>
        <v>382017</v>
      </c>
      <c r="C444">
        <f>YEAR(Table1[[#This Row],[OrderDate]])</f>
        <v>2023</v>
      </c>
      <c r="D444" s="9">
        <f>_xlfn.MINIFS(F:F,P:P,Table1[[#This Row],[Country]])</f>
        <v>44939</v>
      </c>
      <c r="E444" s="7">
        <f>DATEDIF(Table1[[#This Row],[first_time_orders]],Table1[[#This Row],[OrderDate]],"m")</f>
        <v>0</v>
      </c>
      <c r="F444" s="9">
        <v>44939</v>
      </c>
      <c r="G444" s="2" t="str">
        <f>TEXT(Table1[[#This Row],[OrderDate]],"MMM-YYYY")</f>
        <v>Jan-2023</v>
      </c>
      <c r="H444" s="7">
        <f>MONTH(Table1[[#This Row],[OrderDate]])</f>
        <v>1</v>
      </c>
      <c r="I444" s="7" t="str">
        <f>"Q"&amp;ROUNDUP(Table1[[#This Row],[months]]/3,0)&amp;"-"&amp;Table1[[#This Row],[order_year]]</f>
        <v>Q1-2023</v>
      </c>
      <c r="J444" s="7">
        <f>Table1[[#This Row],[RequiredDate]]-Table1[[#This Row],[OrderDate]]</f>
        <v>6</v>
      </c>
      <c r="K444" s="7">
        <f>IF(Table1[[#This Row],[lead_time]]&lt;0,MEDIAN(J:J),Table1[[#This Row],[lead_time]])</f>
        <v>6</v>
      </c>
      <c r="L444" s="7">
        <f>IF(Table1[[#This Row],[adj_lead_time]]&lt;=7,1,0)</f>
        <v>1</v>
      </c>
      <c r="M444" s="9">
        <v>44945</v>
      </c>
      <c r="N444" s="9">
        <f>IF(Table1[[#This Row],[lead_time]]&lt;0,(Table1[[#This Row],[OrderDate]]+Table1[[#This Row],[adj_lead_time]]),Table1[[#This Row],[RequiredDate]])</f>
        <v>44945</v>
      </c>
      <c r="O444" t="s">
        <v>648</v>
      </c>
      <c r="P444" t="s">
        <v>660</v>
      </c>
      <c r="Q444" t="s">
        <v>677</v>
      </c>
      <c r="R444" t="s">
        <v>701</v>
      </c>
      <c r="S444" t="s">
        <v>711</v>
      </c>
      <c r="T444" t="s">
        <v>722</v>
      </c>
      <c r="U444" t="s">
        <v>730</v>
      </c>
      <c r="V444" t="s">
        <v>934</v>
      </c>
      <c r="W444">
        <v>833.57</v>
      </c>
      <c r="X444">
        <f>Table1[[#This Row],[UnitCost]]*(1+'scenario modeling'!$B$3)</f>
        <v>916.92700000000013</v>
      </c>
      <c r="Y444">
        <v>881.57</v>
      </c>
      <c r="Z444" t="str">
        <f>IF(Table1[[#This Row],[UnitPrice]]&lt;=Quantiles!$B$2,Quantiles!$A$2,IF(Table1[[#This Row],[UnitPrice]]&lt;=Quantiles!$B$3,Quantiles!$A$3,Quantiles!$A$4))</f>
        <v>Medium</v>
      </c>
      <c r="AA444">
        <v>5.7000000000000002E-2</v>
      </c>
      <c r="AB444" s="5">
        <f>MIN(Table1[[#This Row],[DiscountPct]],'scenario modeling'!$B$2)</f>
        <v>5.7000000000000002E-2</v>
      </c>
      <c r="AC444" t="str">
        <f>IF(Table1[[#This Row],[DiscountPct]]&gt;0.3, "&gt;0.3","")</f>
        <v/>
      </c>
      <c r="AD444">
        <v>18</v>
      </c>
      <c r="AE444">
        <f>Table1[[#This Row],[Quantity]]*(1+'scenario modeling'!$B$4)</f>
        <v>21.599999999999998</v>
      </c>
      <c r="AF444">
        <f>Table1[[#This Row],[UnitCost]]*Table1[[#This Row],[Quantity]]</f>
        <v>15004.26</v>
      </c>
      <c r="AG444">
        <f>SUMIF($U:U,Table1[[#This Row],[ProductCategory]],$AM:AM)</f>
        <v>1398841.4532999999</v>
      </c>
      <c r="AH444">
        <f>SUMIFS($AM$2:AM444,$U$2:U444,U444)</f>
        <v>31837.21918</v>
      </c>
      <c r="AI444" s="5">
        <f>Table1[[#This Row],[Cumulative_revenue]]/Table1[[#This Row],[Category_revenue]]</f>
        <v>2.2759705258157008E-2</v>
      </c>
      <c r="AJ444" t="str">
        <f>IF(Table1[[#This Row],[cumulative_pct]]&lt;=0.8,"A",IF(Table1[[#This Row],[cumulative_pct]]&lt;=0.95,"B","C"))</f>
        <v>A</v>
      </c>
      <c r="AK444">
        <f>Table1[[#This Row],[adj_unit_cost]]*Table1[[#This Row],[scenario_quantity]]</f>
        <v>19805.623200000002</v>
      </c>
      <c r="AL444" s="5">
        <f>Table1[[#This Row],[UnitPrice]]*Table1[[#This Row],[scenario_quantity]]*(1-Table1[[#This Row],[cap_adjusted_discount]])</f>
        <v>17956.523015999999</v>
      </c>
      <c r="AM444" s="5">
        <f>Table1[[#This Row],[UnitPrice]]*Table1[[#This Row],[Quantity]]*(1-Table1[[#This Row],[DiscountPct]])</f>
        <v>14963.769179999999</v>
      </c>
      <c r="AN444" s="5">
        <f>Table1[[#This Row],[gross_revenue]]-Table1[[#This Row],[cost_of_goods]]</f>
        <v>-40.490820000000895</v>
      </c>
      <c r="AO444" s="5">
        <f>Table1[[#This Row],[scenario_revenue]]-Table1[[#This Row],[Scenario_unit_cost]]</f>
        <v>-1849.1001840000026</v>
      </c>
      <c r="AP444" s="5">
        <f>IF(Table1[[#This Row],[gross_revenue]]=0,0,Table1[[#This Row],[gross_profit]]/Table1[[#This Row],[gross_revenue]])</f>
        <v>-2.7059238560107821E-3</v>
      </c>
    </row>
    <row r="445" spans="1:42" x14ac:dyDescent="0.35">
      <c r="A445" t="s">
        <v>46</v>
      </c>
      <c r="B445" t="str">
        <f>_xlfn.TEXTAFTER(Table1[[#This Row],[OrderID]],"-",2)</f>
        <v>562894</v>
      </c>
      <c r="C445">
        <f>YEAR(Table1[[#This Row],[OrderDate]])</f>
        <v>2023</v>
      </c>
      <c r="D445" s="9">
        <f>_xlfn.MINIFS(F:F,P:P,Table1[[#This Row],[Country]])</f>
        <v>44928</v>
      </c>
      <c r="E445" s="7">
        <f>DATEDIF(Table1[[#This Row],[first_time_orders]],Table1[[#This Row],[OrderDate]],"m")</f>
        <v>1</v>
      </c>
      <c r="F445" s="9">
        <v>44980</v>
      </c>
      <c r="G445" s="2" t="str">
        <f>TEXT(Table1[[#This Row],[OrderDate]],"MMM-YYYY")</f>
        <v>Feb-2023</v>
      </c>
      <c r="H445" s="7">
        <f>MONTH(Table1[[#This Row],[OrderDate]])</f>
        <v>2</v>
      </c>
      <c r="I445" s="7" t="str">
        <f>"Q"&amp;ROUNDUP(Table1[[#This Row],[months]]/3,0)&amp;"-"&amp;Table1[[#This Row],[order_year]]</f>
        <v>Q1-2023</v>
      </c>
      <c r="J445" s="7">
        <f>Table1[[#This Row],[RequiredDate]]-Table1[[#This Row],[OrderDate]]</f>
        <v>30</v>
      </c>
      <c r="K445" s="7">
        <f>IF(Table1[[#This Row],[lead_time]]&lt;0,MEDIAN(J:J),Table1[[#This Row],[lead_time]])</f>
        <v>30</v>
      </c>
      <c r="L445" s="7">
        <f>IF(Table1[[#This Row],[adj_lead_time]]&lt;=7,1,0)</f>
        <v>0</v>
      </c>
      <c r="M445" s="9">
        <v>45010</v>
      </c>
      <c r="N445" s="9">
        <f>IF(Table1[[#This Row],[lead_time]]&lt;0,(Table1[[#This Row],[OrderDate]]+Table1[[#This Row],[adj_lead_time]]),Table1[[#This Row],[RequiredDate]])</f>
        <v>45010</v>
      </c>
      <c r="O445" t="s">
        <v>648</v>
      </c>
      <c r="P445" t="s">
        <v>653</v>
      </c>
      <c r="Q445" t="s">
        <v>681</v>
      </c>
      <c r="R445" t="s">
        <v>706</v>
      </c>
      <c r="S445" t="s">
        <v>708</v>
      </c>
      <c r="T445" t="s">
        <v>726</v>
      </c>
      <c r="U445" t="s">
        <v>730</v>
      </c>
      <c r="V445" t="s">
        <v>765</v>
      </c>
      <c r="W445">
        <v>1242.6600000000001</v>
      </c>
      <c r="X445">
        <f>Table1[[#This Row],[UnitCost]]*(1+'scenario modeling'!$B$3)</f>
        <v>1366.9260000000002</v>
      </c>
      <c r="Y445">
        <v>1794.07</v>
      </c>
      <c r="Z445" t="str">
        <f>IF(Table1[[#This Row],[UnitPrice]]&lt;=Quantiles!$B$2,Quantiles!$A$2,IF(Table1[[#This Row],[UnitPrice]]&lt;=Quantiles!$B$3,Quantiles!$A$3,Quantiles!$A$4))</f>
        <v>High</v>
      </c>
      <c r="AA445">
        <v>8.8999999999999996E-2</v>
      </c>
      <c r="AB445" s="5">
        <f>MIN(Table1[[#This Row],[DiscountPct]],'scenario modeling'!$B$2)</f>
        <v>8.8999999999999996E-2</v>
      </c>
      <c r="AC445" t="str">
        <f>IF(Table1[[#This Row],[DiscountPct]]&gt;0.3, "&gt;0.3","")</f>
        <v/>
      </c>
      <c r="AD445">
        <v>16</v>
      </c>
      <c r="AE445">
        <f>Table1[[#This Row],[Quantity]]*(1+'scenario modeling'!$B$4)</f>
        <v>19.2</v>
      </c>
      <c r="AF445">
        <f>Table1[[#This Row],[UnitCost]]*Table1[[#This Row],[Quantity]]</f>
        <v>19882.560000000001</v>
      </c>
      <c r="AG445">
        <f>SUMIF($U:U,Table1[[#This Row],[ProductCategory]],$AM:AM)</f>
        <v>1398841.4532999999</v>
      </c>
      <c r="AH445">
        <f>SUMIFS($AM$2:AM445,$U$2:U445,U445)</f>
        <v>57987.583500000001</v>
      </c>
      <c r="AI445" s="5">
        <f>Table1[[#This Row],[Cumulative_revenue]]/Table1[[#This Row],[Category_revenue]]</f>
        <v>4.1454007073640678E-2</v>
      </c>
      <c r="AJ445" t="str">
        <f>IF(Table1[[#This Row],[cumulative_pct]]&lt;=0.8,"A",IF(Table1[[#This Row],[cumulative_pct]]&lt;=0.95,"B","C"))</f>
        <v>A</v>
      </c>
      <c r="AK445">
        <f>Table1[[#This Row],[adj_unit_cost]]*Table1[[#This Row],[scenario_quantity]]</f>
        <v>26244.979200000002</v>
      </c>
      <c r="AL445" s="5">
        <f>Table1[[#This Row],[UnitPrice]]*Table1[[#This Row],[scenario_quantity]]*(1-Table1[[#This Row],[cap_adjusted_discount]])</f>
        <v>31380.437184000002</v>
      </c>
      <c r="AM445" s="5">
        <f>Table1[[#This Row],[UnitPrice]]*Table1[[#This Row],[Quantity]]*(1-Table1[[#This Row],[DiscountPct]])</f>
        <v>26150.364320000001</v>
      </c>
      <c r="AN445" s="5">
        <f>Table1[[#This Row],[gross_revenue]]-Table1[[#This Row],[cost_of_goods]]</f>
        <v>6267.8043199999993</v>
      </c>
      <c r="AO445" s="5">
        <f>Table1[[#This Row],[scenario_revenue]]-Table1[[#This Row],[Scenario_unit_cost]]</f>
        <v>5135.4579840000006</v>
      </c>
      <c r="AP445" s="5">
        <f>IF(Table1[[#This Row],[gross_revenue]]=0,0,Table1[[#This Row],[gross_profit]]/Table1[[#This Row],[gross_revenue]])</f>
        <v>0.23968325042440553</v>
      </c>
    </row>
    <row r="446" spans="1:42" x14ac:dyDescent="0.35">
      <c r="A446" t="s">
        <v>426</v>
      </c>
      <c r="B446" t="str">
        <f>_xlfn.TEXTAFTER(Table1[[#This Row],[OrderID]],"-",2)</f>
        <v>933238</v>
      </c>
      <c r="C446">
        <f>YEAR(Table1[[#This Row],[OrderDate]])</f>
        <v>2023</v>
      </c>
      <c r="D446" s="9">
        <f>_xlfn.MINIFS(F:F,P:P,Table1[[#This Row],[Country]])</f>
        <v>44948</v>
      </c>
      <c r="E446" s="7">
        <f>DATEDIF(Table1[[#This Row],[first_time_orders]],Table1[[#This Row],[OrderDate]],"m")</f>
        <v>1</v>
      </c>
      <c r="F446" s="9">
        <v>45002</v>
      </c>
      <c r="G446" s="2" t="str">
        <f>TEXT(Table1[[#This Row],[OrderDate]],"MMM-YYYY")</f>
        <v>Mar-2023</v>
      </c>
      <c r="H446" s="7">
        <f>MONTH(Table1[[#This Row],[OrderDate]])</f>
        <v>3</v>
      </c>
      <c r="I446" s="7" t="str">
        <f>"Q"&amp;ROUNDUP(Table1[[#This Row],[months]]/3,0)&amp;"-"&amp;Table1[[#This Row],[order_year]]</f>
        <v>Q1-2023</v>
      </c>
      <c r="J446" s="7">
        <f>Table1[[#This Row],[RequiredDate]]-Table1[[#This Row],[OrderDate]]</f>
        <v>20</v>
      </c>
      <c r="K446" s="7">
        <f>IF(Table1[[#This Row],[lead_time]]&lt;0,MEDIAN(J:J),Table1[[#This Row],[lead_time]])</f>
        <v>20</v>
      </c>
      <c r="L446" s="7">
        <f>IF(Table1[[#This Row],[adj_lead_time]]&lt;=7,1,0)</f>
        <v>0</v>
      </c>
      <c r="M446" s="9">
        <v>45022</v>
      </c>
      <c r="N446" s="9">
        <f>IF(Table1[[#This Row],[lead_time]]&lt;0,(Table1[[#This Row],[OrderDate]]+Table1[[#This Row],[adj_lead_time]]),Table1[[#This Row],[RequiredDate]])</f>
        <v>45022</v>
      </c>
      <c r="O446" t="s">
        <v>649</v>
      </c>
      <c r="P446" t="s">
        <v>656</v>
      </c>
      <c r="Q446" t="s">
        <v>684</v>
      </c>
      <c r="R446" t="s">
        <v>704</v>
      </c>
      <c r="S446" t="s">
        <v>707</v>
      </c>
      <c r="T446" t="s">
        <v>719</v>
      </c>
      <c r="U446" t="s">
        <v>730</v>
      </c>
      <c r="V446" t="s">
        <v>1145</v>
      </c>
      <c r="W446">
        <v>692.18</v>
      </c>
      <c r="X446">
        <f>Table1[[#This Row],[UnitCost]]*(1+'scenario modeling'!$B$3)</f>
        <v>761.39800000000002</v>
      </c>
      <c r="Y446">
        <v>1159.3499999999999</v>
      </c>
      <c r="Z446" t="str">
        <f>IF(Table1[[#This Row],[UnitPrice]]&lt;=Quantiles!$B$2,Quantiles!$A$2,IF(Table1[[#This Row],[UnitPrice]]&lt;=Quantiles!$B$3,Quantiles!$A$3,Quantiles!$A$4))</f>
        <v>Medium</v>
      </c>
      <c r="AA446">
        <v>0.112</v>
      </c>
      <c r="AB446" s="5">
        <f>MIN(Table1[[#This Row],[DiscountPct]],'scenario modeling'!$B$2)</f>
        <v>0.1</v>
      </c>
      <c r="AC446" t="str">
        <f>IF(Table1[[#This Row],[DiscountPct]]&gt;0.3, "&gt;0.3","")</f>
        <v/>
      </c>
      <c r="AD446">
        <v>2</v>
      </c>
      <c r="AE446">
        <f>Table1[[#This Row],[Quantity]]*(1+'scenario modeling'!$B$4)</f>
        <v>2.4</v>
      </c>
      <c r="AF446">
        <f>Table1[[#This Row],[UnitCost]]*Table1[[#This Row],[Quantity]]</f>
        <v>1384.36</v>
      </c>
      <c r="AG446">
        <f>SUMIF($U:U,Table1[[#This Row],[ProductCategory]],$AM:AM)</f>
        <v>1398841.4532999999</v>
      </c>
      <c r="AH446">
        <f>SUMIFS($AM$2:AM446,$U$2:U446,U446)</f>
        <v>60046.589099999997</v>
      </c>
      <c r="AI446" s="5">
        <f>Table1[[#This Row],[Cumulative_revenue]]/Table1[[#This Row],[Category_revenue]]</f>
        <v>4.2925943435794235E-2</v>
      </c>
      <c r="AJ446" t="str">
        <f>IF(Table1[[#This Row],[cumulative_pct]]&lt;=0.8,"A",IF(Table1[[#This Row],[cumulative_pct]]&lt;=0.95,"B","C"))</f>
        <v>A</v>
      </c>
      <c r="AK446">
        <f>Table1[[#This Row],[adj_unit_cost]]*Table1[[#This Row],[scenario_quantity]]</f>
        <v>1827.3552</v>
      </c>
      <c r="AL446" s="5">
        <f>Table1[[#This Row],[UnitPrice]]*Table1[[#This Row],[scenario_quantity]]*(1-Table1[[#This Row],[cap_adjusted_discount]])</f>
        <v>2504.1959999999999</v>
      </c>
      <c r="AM446" s="5">
        <f>Table1[[#This Row],[UnitPrice]]*Table1[[#This Row],[Quantity]]*(1-Table1[[#This Row],[DiscountPct]])</f>
        <v>2059.0056</v>
      </c>
      <c r="AN446" s="5">
        <f>Table1[[#This Row],[gross_revenue]]-Table1[[#This Row],[cost_of_goods]]</f>
        <v>674.64560000000006</v>
      </c>
      <c r="AO446" s="5">
        <f>Table1[[#This Row],[scenario_revenue]]-Table1[[#This Row],[Scenario_unit_cost]]</f>
        <v>676.84079999999994</v>
      </c>
      <c r="AP446" s="5">
        <f>IF(Table1[[#This Row],[gross_revenue]]=0,0,Table1[[#This Row],[gross_profit]]/Table1[[#This Row],[gross_revenue]])</f>
        <v>0.32765602968734037</v>
      </c>
    </row>
    <row r="447" spans="1:42" x14ac:dyDescent="0.35">
      <c r="A447" t="s">
        <v>470</v>
      </c>
      <c r="B447" t="str">
        <f>_xlfn.TEXTAFTER(Table1[[#This Row],[OrderID]],"-",2)</f>
        <v>581799</v>
      </c>
      <c r="C447">
        <f>YEAR(Table1[[#This Row],[OrderDate]])</f>
        <v>2023</v>
      </c>
      <c r="D447" s="9">
        <f>_xlfn.MINIFS(F:F,P:P,Table1[[#This Row],[Country]])</f>
        <v>44955</v>
      </c>
      <c r="E447" s="7">
        <f>DATEDIF(Table1[[#This Row],[first_time_orders]],Table1[[#This Row],[OrderDate]],"m")</f>
        <v>10</v>
      </c>
      <c r="F447" s="9">
        <v>45265</v>
      </c>
      <c r="G447" s="2" t="str">
        <f>TEXT(Table1[[#This Row],[OrderDate]],"MMM-YYYY")</f>
        <v>Dec-2023</v>
      </c>
      <c r="H447" s="7">
        <f>MONTH(Table1[[#This Row],[OrderDate]])</f>
        <v>12</v>
      </c>
      <c r="I447" s="7" t="str">
        <f>"Q"&amp;ROUNDUP(Table1[[#This Row],[months]]/3,0)&amp;"-"&amp;Table1[[#This Row],[order_year]]</f>
        <v>Q4-2023</v>
      </c>
      <c r="J447" s="7">
        <f>Table1[[#This Row],[RequiredDate]]-Table1[[#This Row],[OrderDate]]</f>
        <v>7</v>
      </c>
      <c r="K447" s="7">
        <f>IF(Table1[[#This Row],[lead_time]]&lt;0,MEDIAN(J:J),Table1[[#This Row],[lead_time]])</f>
        <v>7</v>
      </c>
      <c r="L447" s="7">
        <f>IF(Table1[[#This Row],[adj_lead_time]]&lt;=7,1,0)</f>
        <v>1</v>
      </c>
      <c r="M447" s="9">
        <v>45272</v>
      </c>
      <c r="N447" s="9">
        <f>IF(Table1[[#This Row],[lead_time]]&lt;0,(Table1[[#This Row],[OrderDate]]+Table1[[#This Row],[adj_lead_time]]),Table1[[#This Row],[RequiredDate]])</f>
        <v>45272</v>
      </c>
      <c r="O447" t="s">
        <v>648</v>
      </c>
      <c r="P447" t="s">
        <v>655</v>
      </c>
      <c r="Q447" t="s">
        <v>672</v>
      </c>
      <c r="R447" t="s">
        <v>701</v>
      </c>
      <c r="S447" t="s">
        <v>711</v>
      </c>
      <c r="T447" t="s">
        <v>721</v>
      </c>
      <c r="U447" t="s">
        <v>730</v>
      </c>
      <c r="V447" t="s">
        <v>1189</v>
      </c>
      <c r="W447">
        <v>307.43</v>
      </c>
      <c r="X447">
        <f>Table1[[#This Row],[UnitCost]]*(1+'scenario modeling'!$B$3)</f>
        <v>338.17300000000006</v>
      </c>
      <c r="Y447">
        <v>495.19</v>
      </c>
      <c r="Z447" t="str">
        <f>IF(Table1[[#This Row],[UnitPrice]]&lt;=Quantiles!$B$2,Quantiles!$A$2,IF(Table1[[#This Row],[UnitPrice]]&lt;=Quantiles!$B$3,Quantiles!$A$3,Quantiles!$A$4))</f>
        <v>Low</v>
      </c>
      <c r="AA447">
        <v>0</v>
      </c>
      <c r="AB447" s="5">
        <f>MIN(Table1[[#This Row],[DiscountPct]],'scenario modeling'!$B$2)</f>
        <v>0</v>
      </c>
      <c r="AC447" t="str">
        <f>IF(Table1[[#This Row],[DiscountPct]]&gt;0.3, "&gt;0.3","")</f>
        <v/>
      </c>
      <c r="AD447">
        <v>42</v>
      </c>
      <c r="AE447">
        <f>Table1[[#This Row],[Quantity]]*(1+'scenario modeling'!$B$4)</f>
        <v>50.4</v>
      </c>
      <c r="AF447">
        <f>Table1[[#This Row],[UnitCost]]*Table1[[#This Row],[Quantity]]</f>
        <v>12912.06</v>
      </c>
      <c r="AG447">
        <f>SUMIF($U:U,Table1[[#This Row],[ProductCategory]],$AM:AM)</f>
        <v>1398841.4532999999</v>
      </c>
      <c r="AH447">
        <f>SUMIFS($AM$2:AM447,$U$2:U447,U447)</f>
        <v>80844.569099999993</v>
      </c>
      <c r="AI447" s="5">
        <f>Table1[[#This Row],[Cumulative_revenue]]/Table1[[#This Row],[Category_revenue]]</f>
        <v>5.7793947204867267E-2</v>
      </c>
      <c r="AJ447" t="str">
        <f>IF(Table1[[#This Row],[cumulative_pct]]&lt;=0.8,"A",IF(Table1[[#This Row],[cumulative_pct]]&lt;=0.95,"B","C"))</f>
        <v>A</v>
      </c>
      <c r="AK447">
        <f>Table1[[#This Row],[adj_unit_cost]]*Table1[[#This Row],[scenario_quantity]]</f>
        <v>17043.919200000004</v>
      </c>
      <c r="AL447" s="5">
        <f>Table1[[#This Row],[UnitPrice]]*Table1[[#This Row],[scenario_quantity]]*(1-Table1[[#This Row],[cap_adjusted_discount]])</f>
        <v>24957.576000000001</v>
      </c>
      <c r="AM447" s="5">
        <f>Table1[[#This Row],[UnitPrice]]*Table1[[#This Row],[Quantity]]*(1-Table1[[#This Row],[DiscountPct]])</f>
        <v>20797.98</v>
      </c>
      <c r="AN447" s="5">
        <f>Table1[[#This Row],[gross_revenue]]-Table1[[#This Row],[cost_of_goods]]</f>
        <v>7885.92</v>
      </c>
      <c r="AO447" s="5">
        <f>Table1[[#This Row],[scenario_revenue]]-Table1[[#This Row],[Scenario_unit_cost]]</f>
        <v>7913.656799999997</v>
      </c>
      <c r="AP447" s="5">
        <f>IF(Table1[[#This Row],[gross_revenue]]=0,0,Table1[[#This Row],[gross_profit]]/Table1[[#This Row],[gross_revenue]])</f>
        <v>0.37916759223732305</v>
      </c>
    </row>
    <row r="448" spans="1:42" x14ac:dyDescent="0.35">
      <c r="A448" t="s">
        <v>80</v>
      </c>
      <c r="B448" t="str">
        <f>_xlfn.TEXTAFTER(Table1[[#This Row],[OrderID]],"-",2)</f>
        <v>239789</v>
      </c>
      <c r="C448">
        <f>YEAR(Table1[[#This Row],[OrderDate]])</f>
        <v>2023</v>
      </c>
      <c r="D448" s="9">
        <f>_xlfn.MINIFS(F:F,P:P,Table1[[#This Row],[Country]])</f>
        <v>44955</v>
      </c>
      <c r="E448" s="7">
        <f>DATEDIF(Table1[[#This Row],[first_time_orders]],Table1[[#This Row],[OrderDate]],"m")</f>
        <v>10</v>
      </c>
      <c r="F448" s="9">
        <v>45263</v>
      </c>
      <c r="G448" s="2" t="str">
        <f>TEXT(Table1[[#This Row],[OrderDate]],"MMM-YYYY")</f>
        <v>Dec-2023</v>
      </c>
      <c r="H448" s="7">
        <f>MONTH(Table1[[#This Row],[OrderDate]])</f>
        <v>12</v>
      </c>
      <c r="I448" s="7" t="str">
        <f>"Q"&amp;ROUNDUP(Table1[[#This Row],[months]]/3,0)&amp;"-"&amp;Table1[[#This Row],[order_year]]</f>
        <v>Q4-2023</v>
      </c>
      <c r="J448" s="7">
        <f>Table1[[#This Row],[RequiredDate]]-Table1[[#This Row],[OrderDate]]</f>
        <v>23</v>
      </c>
      <c r="K448" s="7">
        <f>IF(Table1[[#This Row],[lead_time]]&lt;0,MEDIAN(J:J),Table1[[#This Row],[lead_time]])</f>
        <v>23</v>
      </c>
      <c r="L448" s="7">
        <f>IF(Table1[[#This Row],[adj_lead_time]]&lt;=7,1,0)</f>
        <v>0</v>
      </c>
      <c r="M448" s="9">
        <v>45286</v>
      </c>
      <c r="N448" s="9">
        <f>IF(Table1[[#This Row],[lead_time]]&lt;0,(Table1[[#This Row],[OrderDate]]+Table1[[#This Row],[adj_lead_time]]),Table1[[#This Row],[RequiredDate]])</f>
        <v>45286</v>
      </c>
      <c r="O448" t="s">
        <v>648</v>
      </c>
      <c r="P448" t="s">
        <v>655</v>
      </c>
      <c r="Q448" t="s">
        <v>692</v>
      </c>
      <c r="R448" t="s">
        <v>702</v>
      </c>
      <c r="S448" t="s">
        <v>707</v>
      </c>
      <c r="T448" t="s">
        <v>719</v>
      </c>
      <c r="U448" t="s">
        <v>730</v>
      </c>
      <c r="V448" t="s">
        <v>799</v>
      </c>
      <c r="W448">
        <v>1303.1099999999999</v>
      </c>
      <c r="X448">
        <f>Table1[[#This Row],[UnitCost]]*(1+'scenario modeling'!$B$3)</f>
        <v>1433.421</v>
      </c>
      <c r="Y448">
        <v>1145.67</v>
      </c>
      <c r="Z448" t="str">
        <f>IF(Table1[[#This Row],[UnitPrice]]&lt;=Quantiles!$B$2,Quantiles!$A$2,IF(Table1[[#This Row],[UnitPrice]]&lt;=Quantiles!$B$3,Quantiles!$A$3,Quantiles!$A$4))</f>
        <v>Medium</v>
      </c>
      <c r="AA448">
        <v>0.184</v>
      </c>
      <c r="AB448" s="5">
        <f>MIN(Table1[[#This Row],[DiscountPct]],'scenario modeling'!$B$2)</f>
        <v>0.1</v>
      </c>
      <c r="AC448" t="str">
        <f>IF(Table1[[#This Row],[DiscountPct]]&gt;0.3, "&gt;0.3","")</f>
        <v/>
      </c>
      <c r="AD448">
        <v>13</v>
      </c>
      <c r="AE448">
        <f>Table1[[#This Row],[Quantity]]*(1+'scenario modeling'!$B$4)</f>
        <v>15.6</v>
      </c>
      <c r="AF448">
        <f>Table1[[#This Row],[UnitCost]]*Table1[[#This Row],[Quantity]]</f>
        <v>16940.43</v>
      </c>
      <c r="AG448">
        <f>SUMIF($U:U,Table1[[#This Row],[ProductCategory]],$AM:AM)</f>
        <v>1398841.4532999999</v>
      </c>
      <c r="AH448">
        <f>SUMIFS($AM$2:AM448,$U$2:U448,U448)</f>
        <v>92997.836459999991</v>
      </c>
      <c r="AI448" s="5">
        <f>Table1[[#This Row],[Cumulative_revenue]]/Table1[[#This Row],[Category_revenue]]</f>
        <v>6.6482042150387569E-2</v>
      </c>
      <c r="AJ448" t="str">
        <f>IF(Table1[[#This Row],[cumulative_pct]]&lt;=0.8,"A",IF(Table1[[#This Row],[cumulative_pct]]&lt;=0.95,"B","C"))</f>
        <v>A</v>
      </c>
      <c r="AK448">
        <f>Table1[[#This Row],[adj_unit_cost]]*Table1[[#This Row],[scenario_quantity]]</f>
        <v>22361.367600000001</v>
      </c>
      <c r="AL448" s="5">
        <f>Table1[[#This Row],[UnitPrice]]*Table1[[#This Row],[scenario_quantity]]*(1-Table1[[#This Row],[cap_adjusted_discount]])</f>
        <v>16085.206800000002</v>
      </c>
      <c r="AM448" s="5">
        <f>Table1[[#This Row],[UnitPrice]]*Table1[[#This Row],[Quantity]]*(1-Table1[[#This Row],[DiscountPct]])</f>
        <v>12153.267360000002</v>
      </c>
      <c r="AN448" s="5">
        <f>Table1[[#This Row],[gross_revenue]]-Table1[[#This Row],[cost_of_goods]]</f>
        <v>-4787.1626399999986</v>
      </c>
      <c r="AO448" s="5">
        <f>Table1[[#This Row],[scenario_revenue]]-Table1[[#This Row],[Scenario_unit_cost]]</f>
        <v>-6276.1607999999997</v>
      </c>
      <c r="AP448" s="5">
        <f>IF(Table1[[#This Row],[gross_revenue]]=0,0,Table1[[#This Row],[gross_profit]]/Table1[[#This Row],[gross_revenue]])</f>
        <v>-0.39389922875851208</v>
      </c>
    </row>
    <row r="449" spans="1:42" x14ac:dyDescent="0.35">
      <c r="A449" t="s">
        <v>239</v>
      </c>
      <c r="B449" t="str">
        <f>_xlfn.TEXTAFTER(Table1[[#This Row],[OrderID]],"-",2)</f>
        <v>195665</v>
      </c>
      <c r="C449">
        <f>YEAR(Table1[[#This Row],[OrderDate]])</f>
        <v>2023</v>
      </c>
      <c r="D449" s="9">
        <f>_xlfn.MINIFS(F:F,P:P,Table1[[#This Row],[Country]])</f>
        <v>44955</v>
      </c>
      <c r="E449" s="7">
        <f>DATEDIF(Table1[[#This Row],[first_time_orders]],Table1[[#This Row],[OrderDate]],"m")</f>
        <v>10</v>
      </c>
      <c r="F449" s="9">
        <v>45279</v>
      </c>
      <c r="G449" s="2" t="str">
        <f>TEXT(Table1[[#This Row],[OrderDate]],"MMM-YYYY")</f>
        <v>Dec-2023</v>
      </c>
      <c r="H449" s="7">
        <f>MONTH(Table1[[#This Row],[OrderDate]])</f>
        <v>12</v>
      </c>
      <c r="I449" s="7" t="str">
        <f>"Q"&amp;ROUNDUP(Table1[[#This Row],[months]]/3,0)&amp;"-"&amp;Table1[[#This Row],[order_year]]</f>
        <v>Q4-2023</v>
      </c>
      <c r="J449" s="7">
        <f>Table1[[#This Row],[RequiredDate]]-Table1[[#This Row],[OrderDate]]</f>
        <v>1</v>
      </c>
      <c r="K449" s="7">
        <f>IF(Table1[[#This Row],[lead_time]]&lt;0,MEDIAN(J:J),Table1[[#This Row],[lead_time]])</f>
        <v>1</v>
      </c>
      <c r="L449" s="7">
        <f>IF(Table1[[#This Row],[adj_lead_time]]&lt;=7,1,0)</f>
        <v>1</v>
      </c>
      <c r="M449" s="9">
        <v>45280</v>
      </c>
      <c r="N449" s="9">
        <f>IF(Table1[[#This Row],[lead_time]]&lt;0,(Table1[[#This Row],[OrderDate]]+Table1[[#This Row],[adj_lead_time]]),Table1[[#This Row],[RequiredDate]])</f>
        <v>45280</v>
      </c>
      <c r="O449" t="s">
        <v>648</v>
      </c>
      <c r="P449" t="s">
        <v>655</v>
      </c>
      <c r="Q449" t="s">
        <v>692</v>
      </c>
      <c r="R449" t="s">
        <v>704</v>
      </c>
      <c r="S449" t="s">
        <v>710</v>
      </c>
      <c r="T449" t="s">
        <v>713</v>
      </c>
      <c r="U449" t="s">
        <v>730</v>
      </c>
      <c r="V449" t="s">
        <v>959</v>
      </c>
      <c r="W449">
        <v>1080.43</v>
      </c>
      <c r="X449">
        <f>Table1[[#This Row],[UnitCost]]*(1+'scenario modeling'!$B$3)</f>
        <v>1188.4730000000002</v>
      </c>
      <c r="Y449">
        <v>2529.15</v>
      </c>
      <c r="Z449" t="str">
        <f>IF(Table1[[#This Row],[UnitPrice]]&lt;=Quantiles!$B$2,Quantiles!$A$2,IF(Table1[[#This Row],[UnitPrice]]&lt;=Quantiles!$B$3,Quantiles!$A$3,Quantiles!$A$4))</f>
        <v>High</v>
      </c>
      <c r="AA449">
        <v>0.14699999999999999</v>
      </c>
      <c r="AB449" s="5">
        <f>MIN(Table1[[#This Row],[DiscountPct]],'scenario modeling'!$B$2)</f>
        <v>0.1</v>
      </c>
      <c r="AC449" t="str">
        <f>IF(Table1[[#This Row],[DiscountPct]]&gt;0.3, "&gt;0.3","")</f>
        <v/>
      </c>
      <c r="AD449">
        <v>10</v>
      </c>
      <c r="AE449">
        <f>Table1[[#This Row],[Quantity]]*(1+'scenario modeling'!$B$4)</f>
        <v>12</v>
      </c>
      <c r="AF449">
        <f>Table1[[#This Row],[UnitCost]]*Table1[[#This Row],[Quantity]]</f>
        <v>10804.300000000001</v>
      </c>
      <c r="AG449">
        <f>SUMIF($U:U,Table1[[#This Row],[ProductCategory]],$AM:AM)</f>
        <v>1398841.4532999999</v>
      </c>
      <c r="AH449">
        <f>SUMIFS($AM$2:AM449,$U$2:U449,U449)</f>
        <v>114571.48595999999</v>
      </c>
      <c r="AI449" s="5">
        <f>Table1[[#This Row],[Cumulative_revenue]]/Table1[[#This Row],[Category_revenue]]</f>
        <v>8.1904554436612501E-2</v>
      </c>
      <c r="AJ449" t="str">
        <f>IF(Table1[[#This Row],[cumulative_pct]]&lt;=0.8,"A",IF(Table1[[#This Row],[cumulative_pct]]&lt;=0.95,"B","C"))</f>
        <v>A</v>
      </c>
      <c r="AK449">
        <f>Table1[[#This Row],[adj_unit_cost]]*Table1[[#This Row],[scenario_quantity]]</f>
        <v>14261.676000000003</v>
      </c>
      <c r="AL449" s="5">
        <f>Table1[[#This Row],[UnitPrice]]*Table1[[#This Row],[scenario_quantity]]*(1-Table1[[#This Row],[cap_adjusted_discount]])</f>
        <v>27314.820000000003</v>
      </c>
      <c r="AM449" s="5">
        <f>Table1[[#This Row],[UnitPrice]]*Table1[[#This Row],[Quantity]]*(1-Table1[[#This Row],[DiscountPct]])</f>
        <v>21573.6495</v>
      </c>
      <c r="AN449" s="5">
        <f>Table1[[#This Row],[gross_revenue]]-Table1[[#This Row],[cost_of_goods]]</f>
        <v>10769.349499999998</v>
      </c>
      <c r="AO449" s="5">
        <f>Table1[[#This Row],[scenario_revenue]]-Table1[[#This Row],[Scenario_unit_cost]]</f>
        <v>13053.144</v>
      </c>
      <c r="AP449" s="5">
        <f>IF(Table1[[#This Row],[gross_revenue]]=0,0,Table1[[#This Row],[gross_profit]]/Table1[[#This Row],[gross_revenue]])</f>
        <v>0.49918997247081437</v>
      </c>
    </row>
    <row r="450" spans="1:42" x14ac:dyDescent="0.35">
      <c r="A450" t="s">
        <v>282</v>
      </c>
      <c r="B450" t="str">
        <f>_xlfn.TEXTAFTER(Table1[[#This Row],[OrderID]],"-",2)</f>
        <v>967239</v>
      </c>
      <c r="C450">
        <f>YEAR(Table1[[#This Row],[OrderDate]])</f>
        <v>2023</v>
      </c>
      <c r="D450" s="9">
        <f>_xlfn.MINIFS(F:F,P:P,Table1[[#This Row],[Country]])</f>
        <v>44955</v>
      </c>
      <c r="E450" s="7">
        <f>DATEDIF(Table1[[#This Row],[first_time_orders]],Table1[[#This Row],[OrderDate]],"m")</f>
        <v>10</v>
      </c>
      <c r="F450" s="9">
        <v>45284</v>
      </c>
      <c r="G450" s="2" t="str">
        <f>TEXT(Table1[[#This Row],[OrderDate]],"MMM-YYYY")</f>
        <v>Dec-2023</v>
      </c>
      <c r="H450" s="7">
        <f>MONTH(Table1[[#This Row],[OrderDate]])</f>
        <v>12</v>
      </c>
      <c r="I450" s="7" t="str">
        <f>"Q"&amp;ROUNDUP(Table1[[#This Row],[months]]/3,0)&amp;"-"&amp;Table1[[#This Row],[order_year]]</f>
        <v>Q4-2023</v>
      </c>
      <c r="J450" s="7">
        <f>Table1[[#This Row],[RequiredDate]]-Table1[[#This Row],[OrderDate]]</f>
        <v>8</v>
      </c>
      <c r="K450" s="7">
        <f>IF(Table1[[#This Row],[lead_time]]&lt;0,MEDIAN(J:J),Table1[[#This Row],[lead_time]])</f>
        <v>8</v>
      </c>
      <c r="L450" s="7">
        <f>IF(Table1[[#This Row],[adj_lead_time]]&lt;=7,1,0)</f>
        <v>0</v>
      </c>
      <c r="M450" s="9">
        <v>45292</v>
      </c>
      <c r="N450" s="9">
        <f>IF(Table1[[#This Row],[lead_time]]&lt;0,(Table1[[#This Row],[OrderDate]]+Table1[[#This Row],[adj_lead_time]]),Table1[[#This Row],[RequiredDate]])</f>
        <v>45292</v>
      </c>
      <c r="O450" t="s">
        <v>648</v>
      </c>
      <c r="P450" t="s">
        <v>655</v>
      </c>
      <c r="Q450" t="s">
        <v>670</v>
      </c>
      <c r="R450" t="s">
        <v>702</v>
      </c>
      <c r="S450" t="s">
        <v>711</v>
      </c>
      <c r="T450" t="s">
        <v>712</v>
      </c>
      <c r="U450" t="s">
        <v>730</v>
      </c>
      <c r="V450" t="s">
        <v>1002</v>
      </c>
      <c r="W450">
        <v>526.49</v>
      </c>
      <c r="X450">
        <f>Table1[[#This Row],[UnitCost]]*(1+'scenario modeling'!$B$3)</f>
        <v>579.13900000000001</v>
      </c>
      <c r="Y450">
        <v>496.2</v>
      </c>
      <c r="Z450" t="str">
        <f>IF(Table1[[#This Row],[UnitPrice]]&lt;=Quantiles!$B$2,Quantiles!$A$2,IF(Table1[[#This Row],[UnitPrice]]&lt;=Quantiles!$B$3,Quantiles!$A$3,Quantiles!$A$4))</f>
        <v>Low</v>
      </c>
      <c r="AA450">
        <v>0</v>
      </c>
      <c r="AB450" s="5">
        <f>MIN(Table1[[#This Row],[DiscountPct]],'scenario modeling'!$B$2)</f>
        <v>0</v>
      </c>
      <c r="AC450" t="str">
        <f>IF(Table1[[#This Row],[DiscountPct]]&gt;0.3, "&gt;0.3","")</f>
        <v/>
      </c>
      <c r="AD450">
        <v>14</v>
      </c>
      <c r="AE450">
        <f>Table1[[#This Row],[Quantity]]*(1+'scenario modeling'!$B$4)</f>
        <v>16.8</v>
      </c>
      <c r="AF450">
        <f>Table1[[#This Row],[UnitCost]]*Table1[[#This Row],[Quantity]]</f>
        <v>7370.8600000000006</v>
      </c>
      <c r="AG450">
        <f>SUMIF($U:U,Table1[[#This Row],[ProductCategory]],$AM:AM)</f>
        <v>1398841.4532999999</v>
      </c>
      <c r="AH450">
        <f>SUMIFS($AM$2:AM450,$U$2:U450,U450)</f>
        <v>121518.28595999999</v>
      </c>
      <c r="AI450" s="5">
        <f>Table1[[#This Row],[Cumulative_revenue]]/Table1[[#This Row],[Category_revenue]]</f>
        <v>8.6870664057979413E-2</v>
      </c>
      <c r="AJ450" t="str">
        <f>IF(Table1[[#This Row],[cumulative_pct]]&lt;=0.8,"A",IF(Table1[[#This Row],[cumulative_pct]]&lt;=0.95,"B","C"))</f>
        <v>A</v>
      </c>
      <c r="AK450">
        <f>Table1[[#This Row],[adj_unit_cost]]*Table1[[#This Row],[scenario_quantity]]</f>
        <v>9729.5352000000003</v>
      </c>
      <c r="AL450" s="5">
        <f>Table1[[#This Row],[UnitPrice]]*Table1[[#This Row],[scenario_quantity]]*(1-Table1[[#This Row],[cap_adjusted_discount]])</f>
        <v>8336.16</v>
      </c>
      <c r="AM450" s="5">
        <f>Table1[[#This Row],[UnitPrice]]*Table1[[#This Row],[Quantity]]*(1-Table1[[#This Row],[DiscountPct]])</f>
        <v>6946.8</v>
      </c>
      <c r="AN450" s="5">
        <f>Table1[[#This Row],[gross_revenue]]-Table1[[#This Row],[cost_of_goods]]</f>
        <v>-424.0600000000004</v>
      </c>
      <c r="AO450" s="5">
        <f>Table1[[#This Row],[scenario_revenue]]-Table1[[#This Row],[Scenario_unit_cost]]</f>
        <v>-1393.3752000000004</v>
      </c>
      <c r="AP450" s="5">
        <f>IF(Table1[[#This Row],[gross_revenue]]=0,0,Table1[[#This Row],[gross_profit]]/Table1[[#This Row],[gross_revenue]])</f>
        <v>-6.1043933897621985E-2</v>
      </c>
    </row>
    <row r="451" spans="1:42" x14ac:dyDescent="0.35">
      <c r="A451" t="s">
        <v>137</v>
      </c>
      <c r="B451" t="str">
        <f>_xlfn.TEXTAFTER(Table1[[#This Row],[OrderID]],"-",2)</f>
        <v>178249</v>
      </c>
      <c r="C451">
        <f>YEAR(Table1[[#This Row],[OrderDate]])</f>
        <v>2023</v>
      </c>
      <c r="D451" s="9">
        <f>_xlfn.MINIFS(F:F,P:P,Table1[[#This Row],[Country]])</f>
        <v>44946</v>
      </c>
      <c r="E451" s="7">
        <f>DATEDIF(Table1[[#This Row],[first_time_orders]],Table1[[#This Row],[OrderDate]],"m")</f>
        <v>11</v>
      </c>
      <c r="F451" s="9">
        <v>45289</v>
      </c>
      <c r="G451" s="2" t="str">
        <f>TEXT(Table1[[#This Row],[OrderDate]],"MMM-YYYY")</f>
        <v>Dec-2023</v>
      </c>
      <c r="H451" s="7">
        <f>MONTH(Table1[[#This Row],[OrderDate]])</f>
        <v>12</v>
      </c>
      <c r="I451" s="7" t="str">
        <f>"Q"&amp;ROUNDUP(Table1[[#This Row],[months]]/3,0)&amp;"-"&amp;Table1[[#This Row],[order_year]]</f>
        <v>Q4-2023</v>
      </c>
      <c r="J451" s="7">
        <f>Table1[[#This Row],[RequiredDate]]-Table1[[#This Row],[OrderDate]]</f>
        <v>22</v>
      </c>
      <c r="K451" s="7">
        <f>IF(Table1[[#This Row],[lead_time]]&lt;0,MEDIAN(J:J),Table1[[#This Row],[lead_time]])</f>
        <v>22</v>
      </c>
      <c r="L451" s="7">
        <f>IF(Table1[[#This Row],[adj_lead_time]]&lt;=7,1,0)</f>
        <v>0</v>
      </c>
      <c r="M451" s="9">
        <v>45311</v>
      </c>
      <c r="N451" s="9">
        <f>IF(Table1[[#This Row],[lead_time]]&lt;0,(Table1[[#This Row],[OrderDate]]+Table1[[#This Row],[adj_lead_time]]),Table1[[#This Row],[RequiredDate]])</f>
        <v>45311</v>
      </c>
      <c r="O451" t="s">
        <v>646</v>
      </c>
      <c r="P451" t="s">
        <v>650</v>
      </c>
      <c r="Q451" t="s">
        <v>662</v>
      </c>
      <c r="R451" t="s">
        <v>701</v>
      </c>
      <c r="S451" t="s">
        <v>711</v>
      </c>
      <c r="T451" t="s">
        <v>716</v>
      </c>
      <c r="U451" t="s">
        <v>730</v>
      </c>
      <c r="V451" t="s">
        <v>856</v>
      </c>
      <c r="W451">
        <v>1395.49</v>
      </c>
      <c r="X451">
        <f>Table1[[#This Row],[UnitCost]]*(1+'scenario modeling'!$B$3)</f>
        <v>1535.0390000000002</v>
      </c>
      <c r="Y451">
        <v>1679.42</v>
      </c>
      <c r="Z451" t="str">
        <f>IF(Table1[[#This Row],[UnitPrice]]&lt;=Quantiles!$B$2,Quantiles!$A$2,IF(Table1[[#This Row],[UnitPrice]]&lt;=Quantiles!$B$3,Quantiles!$A$3,Quantiles!$A$4))</f>
        <v>High</v>
      </c>
      <c r="AA451">
        <v>0.20300000000000001</v>
      </c>
      <c r="AB451" s="5">
        <f>MIN(Table1[[#This Row],[DiscountPct]],'scenario modeling'!$B$2)</f>
        <v>0.1</v>
      </c>
      <c r="AC451" t="str">
        <f>IF(Table1[[#This Row],[DiscountPct]]&gt;0.3, "&gt;0.3","")</f>
        <v/>
      </c>
      <c r="AD451">
        <v>12</v>
      </c>
      <c r="AE451">
        <f>Table1[[#This Row],[Quantity]]*(1+'scenario modeling'!$B$4)</f>
        <v>14.399999999999999</v>
      </c>
      <c r="AF451">
        <f>Table1[[#This Row],[UnitCost]]*Table1[[#This Row],[Quantity]]</f>
        <v>16745.88</v>
      </c>
      <c r="AG451">
        <f>SUMIF($U:U,Table1[[#This Row],[ProductCategory]],$AM:AM)</f>
        <v>1398841.4532999999</v>
      </c>
      <c r="AH451">
        <f>SUMIFS($AM$2:AM451,$U$2:U451,U451)</f>
        <v>137580.25883999999</v>
      </c>
      <c r="AI451" s="5">
        <f>Table1[[#This Row],[Cumulative_revenue]]/Table1[[#This Row],[Category_revenue]]</f>
        <v>9.835300384860278E-2</v>
      </c>
      <c r="AJ451" t="str">
        <f>IF(Table1[[#This Row],[cumulative_pct]]&lt;=0.8,"A",IF(Table1[[#This Row],[cumulative_pct]]&lt;=0.95,"B","C"))</f>
        <v>A</v>
      </c>
      <c r="AK451">
        <f>Table1[[#This Row],[adj_unit_cost]]*Table1[[#This Row],[scenario_quantity]]</f>
        <v>22104.561600000001</v>
      </c>
      <c r="AL451" s="5">
        <f>Table1[[#This Row],[UnitPrice]]*Table1[[#This Row],[scenario_quantity]]*(1-Table1[[#This Row],[cap_adjusted_discount]])</f>
        <v>21765.283199999998</v>
      </c>
      <c r="AM451" s="5">
        <f>Table1[[#This Row],[UnitPrice]]*Table1[[#This Row],[Quantity]]*(1-Table1[[#This Row],[DiscountPct]])</f>
        <v>16061.972879999999</v>
      </c>
      <c r="AN451" s="5">
        <f>Table1[[#This Row],[gross_revenue]]-Table1[[#This Row],[cost_of_goods]]</f>
        <v>-683.90712000000167</v>
      </c>
      <c r="AO451" s="5">
        <f>Table1[[#This Row],[scenario_revenue]]-Table1[[#This Row],[Scenario_unit_cost]]</f>
        <v>-339.27840000000288</v>
      </c>
      <c r="AP451" s="5">
        <f>IF(Table1[[#This Row],[gross_revenue]]=0,0,Table1[[#This Row],[gross_profit]]/Table1[[#This Row],[gross_revenue]])</f>
        <v>-4.2579272490964493E-2</v>
      </c>
    </row>
    <row r="452" spans="1:42" x14ac:dyDescent="0.35">
      <c r="A452" t="s">
        <v>211</v>
      </c>
      <c r="B452" t="str">
        <f>_xlfn.TEXTAFTER(Table1[[#This Row],[OrderID]],"-",2)</f>
        <v>968374</v>
      </c>
      <c r="C452">
        <f>YEAR(Table1[[#This Row],[OrderDate]])</f>
        <v>2024</v>
      </c>
      <c r="D452" s="9">
        <f>_xlfn.MINIFS(F:F,P:P,Table1[[#This Row],[Country]])</f>
        <v>44946</v>
      </c>
      <c r="E452" s="7">
        <f>DATEDIF(Table1[[#This Row],[first_time_orders]],Table1[[#This Row],[OrderDate]],"m")</f>
        <v>12</v>
      </c>
      <c r="F452" s="9">
        <v>45333</v>
      </c>
      <c r="G452" s="2" t="str">
        <f>TEXT(Table1[[#This Row],[OrderDate]],"MMM-YYYY")</f>
        <v>Feb-2024</v>
      </c>
      <c r="H452" s="7">
        <f>MONTH(Table1[[#This Row],[OrderDate]])</f>
        <v>2</v>
      </c>
      <c r="I452" s="7" t="str">
        <f>"Q"&amp;ROUNDUP(Table1[[#This Row],[months]]/3,0)&amp;"-"&amp;Table1[[#This Row],[order_year]]</f>
        <v>Q1-2024</v>
      </c>
      <c r="J452" s="7">
        <f>Table1[[#This Row],[RequiredDate]]-Table1[[#This Row],[OrderDate]]</f>
        <v>21</v>
      </c>
      <c r="K452" s="7">
        <f>IF(Table1[[#This Row],[lead_time]]&lt;0,MEDIAN(J:J),Table1[[#This Row],[lead_time]])</f>
        <v>21</v>
      </c>
      <c r="L452" s="7">
        <f>IF(Table1[[#This Row],[adj_lead_time]]&lt;=7,1,0)</f>
        <v>0</v>
      </c>
      <c r="M452" s="9">
        <v>45354</v>
      </c>
      <c r="N452" s="9">
        <f>IF(Table1[[#This Row],[lead_time]]&lt;0,(Table1[[#This Row],[OrderDate]]+Table1[[#This Row],[adj_lead_time]]),Table1[[#This Row],[RequiredDate]])</f>
        <v>45354</v>
      </c>
      <c r="O452" t="s">
        <v>646</v>
      </c>
      <c r="P452" t="s">
        <v>650</v>
      </c>
      <c r="Q452" t="s">
        <v>662</v>
      </c>
      <c r="R452" t="s">
        <v>706</v>
      </c>
      <c r="S452" t="s">
        <v>708</v>
      </c>
      <c r="T452" t="s">
        <v>717</v>
      </c>
      <c r="U452" t="s">
        <v>730</v>
      </c>
      <c r="V452" t="s">
        <v>931</v>
      </c>
      <c r="W452">
        <v>516.86</v>
      </c>
      <c r="X452">
        <f>Table1[[#This Row],[UnitCost]]*(1+'scenario modeling'!$B$3)</f>
        <v>568.54600000000005</v>
      </c>
      <c r="Y452">
        <v>852.54</v>
      </c>
      <c r="Z452" t="str">
        <f>IF(Table1[[#This Row],[UnitPrice]]&lt;=Quantiles!$B$2,Quantiles!$A$2,IF(Table1[[#This Row],[UnitPrice]]&lt;=Quantiles!$B$3,Quantiles!$A$3,Quantiles!$A$4))</f>
        <v>Medium</v>
      </c>
      <c r="AA452">
        <v>5.0999999999999997E-2</v>
      </c>
      <c r="AB452" s="5">
        <f>MIN(Table1[[#This Row],[DiscountPct]],'scenario modeling'!$B$2)</f>
        <v>5.0999999999999997E-2</v>
      </c>
      <c r="AC452" t="str">
        <f>IF(Table1[[#This Row],[DiscountPct]]&gt;0.3, "&gt;0.3","")</f>
        <v/>
      </c>
      <c r="AD452">
        <v>14</v>
      </c>
      <c r="AE452">
        <f>Table1[[#This Row],[Quantity]]*(1+'scenario modeling'!$B$4)</f>
        <v>16.8</v>
      </c>
      <c r="AF452">
        <f>Table1[[#This Row],[UnitCost]]*Table1[[#This Row],[Quantity]]</f>
        <v>7236.04</v>
      </c>
      <c r="AG452">
        <f>SUMIF($U:U,Table1[[#This Row],[ProductCategory]],$AM:AM)</f>
        <v>1398841.4532999999</v>
      </c>
      <c r="AH452">
        <f>SUMIFS($AM$2:AM452,$U$2:U452,U452)</f>
        <v>148907.10527999999</v>
      </c>
      <c r="AI452" s="5">
        <f>Table1[[#This Row],[Cumulative_revenue]]/Table1[[#This Row],[Category_revenue]]</f>
        <v>0.10645030923891623</v>
      </c>
      <c r="AJ452" t="str">
        <f>IF(Table1[[#This Row],[cumulative_pct]]&lt;=0.8,"A",IF(Table1[[#This Row],[cumulative_pct]]&lt;=0.95,"B","C"))</f>
        <v>A</v>
      </c>
      <c r="AK452">
        <f>Table1[[#This Row],[adj_unit_cost]]*Table1[[#This Row],[scenario_quantity]]</f>
        <v>9551.5728000000017</v>
      </c>
      <c r="AL452" s="5">
        <f>Table1[[#This Row],[UnitPrice]]*Table1[[#This Row],[scenario_quantity]]*(1-Table1[[#This Row],[cap_adjusted_discount]])</f>
        <v>13592.215727999999</v>
      </c>
      <c r="AM452" s="5">
        <f>Table1[[#This Row],[UnitPrice]]*Table1[[#This Row],[Quantity]]*(1-Table1[[#This Row],[DiscountPct]])</f>
        <v>11326.846439999999</v>
      </c>
      <c r="AN452" s="5">
        <f>Table1[[#This Row],[gross_revenue]]-Table1[[#This Row],[cost_of_goods]]</f>
        <v>4090.8064399999994</v>
      </c>
      <c r="AO452" s="5">
        <f>Table1[[#This Row],[scenario_revenue]]-Table1[[#This Row],[Scenario_unit_cost]]</f>
        <v>4040.6429279999975</v>
      </c>
      <c r="AP452" s="5">
        <f>IF(Table1[[#This Row],[gross_revenue]]=0,0,Table1[[#This Row],[gross_profit]]/Table1[[#This Row],[gross_revenue]])</f>
        <v>0.36116022775355994</v>
      </c>
    </row>
    <row r="453" spans="1:42" x14ac:dyDescent="0.35">
      <c r="A453" t="s">
        <v>357</v>
      </c>
      <c r="B453" t="str">
        <f>_xlfn.TEXTAFTER(Table1[[#This Row],[OrderID]],"-",2)</f>
        <v>647473</v>
      </c>
      <c r="C453">
        <f>YEAR(Table1[[#This Row],[OrderDate]])</f>
        <v>2024</v>
      </c>
      <c r="D453" s="9">
        <f>_xlfn.MINIFS(F:F,P:P,Table1[[#This Row],[Country]])</f>
        <v>44955</v>
      </c>
      <c r="E453" s="7">
        <f>DATEDIF(Table1[[#This Row],[first_time_orders]],Table1[[#This Row],[OrderDate]],"m")</f>
        <v>12</v>
      </c>
      <c r="F453" s="9">
        <v>45339</v>
      </c>
      <c r="G453" s="2" t="str">
        <f>TEXT(Table1[[#This Row],[OrderDate]],"MMM-YYYY")</f>
        <v>Feb-2024</v>
      </c>
      <c r="H453" s="7">
        <f>MONTH(Table1[[#This Row],[OrderDate]])</f>
        <v>2</v>
      </c>
      <c r="I453" s="7" t="str">
        <f>"Q"&amp;ROUNDUP(Table1[[#This Row],[months]]/3,0)&amp;"-"&amp;Table1[[#This Row],[order_year]]</f>
        <v>Q1-2024</v>
      </c>
      <c r="J453" s="7">
        <f>Table1[[#This Row],[RequiredDate]]-Table1[[#This Row],[OrderDate]]</f>
        <v>16</v>
      </c>
      <c r="K453" s="7">
        <f>IF(Table1[[#This Row],[lead_time]]&lt;0,MEDIAN(J:J),Table1[[#This Row],[lead_time]])</f>
        <v>16</v>
      </c>
      <c r="L453" s="7">
        <f>IF(Table1[[#This Row],[adj_lead_time]]&lt;=7,1,0)</f>
        <v>0</v>
      </c>
      <c r="M453" s="9">
        <v>45355</v>
      </c>
      <c r="N453" s="9">
        <f>IF(Table1[[#This Row],[lead_time]]&lt;0,(Table1[[#This Row],[OrderDate]]+Table1[[#This Row],[adj_lead_time]]),Table1[[#This Row],[RequiredDate]])</f>
        <v>45355</v>
      </c>
      <c r="O453" t="s">
        <v>647</v>
      </c>
      <c r="P453" t="s">
        <v>654</v>
      </c>
      <c r="Q453" t="s">
        <v>680</v>
      </c>
      <c r="R453" t="s">
        <v>705</v>
      </c>
      <c r="S453" t="s">
        <v>709</v>
      </c>
      <c r="T453" t="s">
        <v>721</v>
      </c>
      <c r="U453" t="s">
        <v>730</v>
      </c>
      <c r="V453" t="s">
        <v>1077</v>
      </c>
      <c r="W453">
        <v>1231.8</v>
      </c>
      <c r="X453">
        <f>Table1[[#This Row],[UnitCost]]*(1+'scenario modeling'!$B$3)</f>
        <v>1354.98</v>
      </c>
      <c r="Y453">
        <v>2015.99</v>
      </c>
      <c r="Z453" t="str">
        <f>IF(Table1[[#This Row],[UnitPrice]]&lt;=Quantiles!$B$2,Quantiles!$A$2,IF(Table1[[#This Row],[UnitPrice]]&lt;=Quantiles!$B$3,Quantiles!$A$3,Quantiles!$A$4))</f>
        <v>High</v>
      </c>
      <c r="AA453">
        <v>0.26100000000000001</v>
      </c>
      <c r="AB453" s="5">
        <f>MIN(Table1[[#This Row],[DiscountPct]],'scenario modeling'!$B$2)</f>
        <v>0.1</v>
      </c>
      <c r="AC453" t="str">
        <f>IF(Table1[[#This Row],[DiscountPct]]&gt;0.3, "&gt;0.3","")</f>
        <v/>
      </c>
      <c r="AD453">
        <v>6</v>
      </c>
      <c r="AE453">
        <f>Table1[[#This Row],[Quantity]]*(1+'scenario modeling'!$B$4)</f>
        <v>7.1999999999999993</v>
      </c>
      <c r="AF453">
        <f>Table1[[#This Row],[UnitCost]]*Table1[[#This Row],[Quantity]]</f>
        <v>7390.7999999999993</v>
      </c>
      <c r="AG453">
        <f>SUMIF($U:U,Table1[[#This Row],[ProductCategory]],$AM:AM)</f>
        <v>1398841.4532999999</v>
      </c>
      <c r="AH453">
        <f>SUMIFS($AM$2:AM453,$U$2:U453,U453)</f>
        <v>157846.00493999998</v>
      </c>
      <c r="AI453" s="5">
        <f>Table1[[#This Row],[Cumulative_revenue]]/Table1[[#This Row],[Category_revenue]]</f>
        <v>0.11284052568475596</v>
      </c>
      <c r="AJ453" t="str">
        <f>IF(Table1[[#This Row],[cumulative_pct]]&lt;=0.8,"A",IF(Table1[[#This Row],[cumulative_pct]]&lt;=0.95,"B","C"))</f>
        <v>A</v>
      </c>
      <c r="AK453">
        <f>Table1[[#This Row],[adj_unit_cost]]*Table1[[#This Row],[scenario_quantity]]</f>
        <v>9755.8559999999998</v>
      </c>
      <c r="AL453" s="5">
        <f>Table1[[#This Row],[UnitPrice]]*Table1[[#This Row],[scenario_quantity]]*(1-Table1[[#This Row],[cap_adjusted_discount]])</f>
        <v>13063.615199999998</v>
      </c>
      <c r="AM453" s="5">
        <f>Table1[[#This Row],[UnitPrice]]*Table1[[#This Row],[Quantity]]*(1-Table1[[#This Row],[DiscountPct]])</f>
        <v>8938.8996600000009</v>
      </c>
      <c r="AN453" s="5">
        <f>Table1[[#This Row],[gross_revenue]]-Table1[[#This Row],[cost_of_goods]]</f>
        <v>1548.0996600000017</v>
      </c>
      <c r="AO453" s="5">
        <f>Table1[[#This Row],[scenario_revenue]]-Table1[[#This Row],[Scenario_unit_cost]]</f>
        <v>3307.7591999999986</v>
      </c>
      <c r="AP453" s="5">
        <f>IF(Table1[[#This Row],[gross_revenue]]=0,0,Table1[[#This Row],[gross_profit]]/Table1[[#This Row],[gross_revenue]])</f>
        <v>0.17318682599464391</v>
      </c>
    </row>
    <row r="454" spans="1:42" x14ac:dyDescent="0.35">
      <c r="A454" t="s">
        <v>259</v>
      </c>
      <c r="B454" t="str">
        <f>_xlfn.TEXTAFTER(Table1[[#This Row],[OrderID]],"-",2)</f>
        <v>853298</v>
      </c>
      <c r="C454">
        <f>YEAR(Table1[[#This Row],[OrderDate]])</f>
        <v>2024</v>
      </c>
      <c r="D454" s="9">
        <f>_xlfn.MINIFS(F:F,P:P,Table1[[#This Row],[Country]])</f>
        <v>44941</v>
      </c>
      <c r="E454" s="7">
        <f>DATEDIF(Table1[[#This Row],[first_time_orders]],Table1[[#This Row],[OrderDate]],"m")</f>
        <v>13</v>
      </c>
      <c r="F454" s="9">
        <v>45357</v>
      </c>
      <c r="G454" s="2" t="str">
        <f>TEXT(Table1[[#This Row],[OrderDate]],"MMM-YYYY")</f>
        <v>Mar-2024</v>
      </c>
      <c r="H454" s="7">
        <f>MONTH(Table1[[#This Row],[OrderDate]])</f>
        <v>3</v>
      </c>
      <c r="I454" s="7" t="str">
        <f>"Q"&amp;ROUNDUP(Table1[[#This Row],[months]]/3,0)&amp;"-"&amp;Table1[[#This Row],[order_year]]</f>
        <v>Q1-2024</v>
      </c>
      <c r="J454" s="7">
        <f>Table1[[#This Row],[RequiredDate]]-Table1[[#This Row],[OrderDate]]</f>
        <v>20</v>
      </c>
      <c r="K454" s="7">
        <f>IF(Table1[[#This Row],[lead_time]]&lt;0,MEDIAN(J:J),Table1[[#This Row],[lead_time]])</f>
        <v>20</v>
      </c>
      <c r="L454" s="7">
        <f>IF(Table1[[#This Row],[adj_lead_time]]&lt;=7,1,0)</f>
        <v>0</v>
      </c>
      <c r="M454" s="9">
        <v>45377</v>
      </c>
      <c r="N454" s="9">
        <f>IF(Table1[[#This Row],[lead_time]]&lt;0,(Table1[[#This Row],[OrderDate]]+Table1[[#This Row],[adj_lead_time]]),Table1[[#This Row],[RequiredDate]])</f>
        <v>45377</v>
      </c>
      <c r="O454" t="s">
        <v>646</v>
      </c>
      <c r="P454" t="s">
        <v>651</v>
      </c>
      <c r="Q454" t="s">
        <v>663</v>
      </c>
      <c r="R454" t="s">
        <v>704</v>
      </c>
      <c r="S454" t="s">
        <v>709</v>
      </c>
      <c r="T454" t="s">
        <v>714</v>
      </c>
      <c r="U454" t="s">
        <v>730</v>
      </c>
      <c r="V454" t="s">
        <v>979</v>
      </c>
      <c r="W454">
        <v>65.64</v>
      </c>
      <c r="X454">
        <f>Table1[[#This Row],[UnitCost]]*(1+'scenario modeling'!$B$3)</f>
        <v>72.204000000000008</v>
      </c>
      <c r="Y454">
        <v>151.88</v>
      </c>
      <c r="Z454" t="str">
        <f>IF(Table1[[#This Row],[UnitPrice]]&lt;=Quantiles!$B$2,Quantiles!$A$2,IF(Table1[[#This Row],[UnitPrice]]&lt;=Quantiles!$B$3,Quantiles!$A$3,Quantiles!$A$4))</f>
        <v>Low</v>
      </c>
      <c r="AA454">
        <v>0.16700000000000001</v>
      </c>
      <c r="AB454" s="5">
        <f>MIN(Table1[[#This Row],[DiscountPct]],'scenario modeling'!$B$2)</f>
        <v>0.1</v>
      </c>
      <c r="AC454" t="str">
        <f>IF(Table1[[#This Row],[DiscountPct]]&gt;0.3, "&gt;0.3","")</f>
        <v/>
      </c>
      <c r="AD454">
        <v>23</v>
      </c>
      <c r="AE454">
        <f>Table1[[#This Row],[Quantity]]*(1+'scenario modeling'!$B$4)</f>
        <v>27.599999999999998</v>
      </c>
      <c r="AF454">
        <f>Table1[[#This Row],[UnitCost]]*Table1[[#This Row],[Quantity]]</f>
        <v>1509.72</v>
      </c>
      <c r="AG454">
        <f>SUMIF($U:U,Table1[[#This Row],[ProductCategory]],$AM:AM)</f>
        <v>1398841.4532999999</v>
      </c>
      <c r="AH454">
        <f>SUMIFS($AM$2:AM454,$U$2:U454,U454)</f>
        <v>160755.87385999999</v>
      </c>
      <c r="AI454" s="5">
        <f>Table1[[#This Row],[Cumulative_revenue]]/Table1[[#This Row],[Category_revenue]]</f>
        <v>0.11492072491901181</v>
      </c>
      <c r="AJ454" t="str">
        <f>IF(Table1[[#This Row],[cumulative_pct]]&lt;=0.8,"A",IF(Table1[[#This Row],[cumulative_pct]]&lt;=0.95,"B","C"))</f>
        <v>A</v>
      </c>
      <c r="AK454">
        <f>Table1[[#This Row],[adj_unit_cost]]*Table1[[#This Row],[scenario_quantity]]</f>
        <v>1992.8304000000001</v>
      </c>
      <c r="AL454" s="5">
        <f>Table1[[#This Row],[UnitPrice]]*Table1[[#This Row],[scenario_quantity]]*(1-Table1[[#This Row],[cap_adjusted_discount]])</f>
        <v>3772.6992</v>
      </c>
      <c r="AM454" s="5">
        <f>Table1[[#This Row],[UnitPrice]]*Table1[[#This Row],[Quantity]]*(1-Table1[[#This Row],[DiscountPct]])</f>
        <v>2909.8689199999999</v>
      </c>
      <c r="AN454" s="5">
        <f>Table1[[#This Row],[gross_revenue]]-Table1[[#This Row],[cost_of_goods]]</f>
        <v>1400.1489199999999</v>
      </c>
      <c r="AO454" s="5">
        <f>Table1[[#This Row],[scenario_revenue]]-Table1[[#This Row],[Scenario_unit_cost]]</f>
        <v>1779.8688</v>
      </c>
      <c r="AP454" s="5">
        <f>IF(Table1[[#This Row],[gross_revenue]]=0,0,Table1[[#This Row],[gross_profit]]/Table1[[#This Row],[gross_revenue]])</f>
        <v>0.48117250587356353</v>
      </c>
    </row>
    <row r="455" spans="1:42" x14ac:dyDescent="0.35">
      <c r="A455" t="s">
        <v>507</v>
      </c>
      <c r="B455" t="str">
        <f>_xlfn.TEXTAFTER(Table1[[#This Row],[OrderID]],"-",2)</f>
        <v>516704</v>
      </c>
      <c r="C455">
        <f>YEAR(Table1[[#This Row],[OrderDate]])</f>
        <v>2024</v>
      </c>
      <c r="D455" s="9">
        <f>_xlfn.MINIFS(F:F,P:P,Table1[[#This Row],[Country]])</f>
        <v>44955</v>
      </c>
      <c r="E455" s="7">
        <f>DATEDIF(Table1[[#This Row],[first_time_orders]],Table1[[#This Row],[OrderDate]],"m")</f>
        <v>13</v>
      </c>
      <c r="F455" s="9">
        <v>45352</v>
      </c>
      <c r="G455" s="2" t="str">
        <f>TEXT(Table1[[#This Row],[OrderDate]],"MMM-YYYY")</f>
        <v>Mar-2024</v>
      </c>
      <c r="H455" s="7">
        <f>MONTH(Table1[[#This Row],[OrderDate]])</f>
        <v>3</v>
      </c>
      <c r="I455" s="7" t="str">
        <f>"Q"&amp;ROUNDUP(Table1[[#This Row],[months]]/3,0)&amp;"-"&amp;Table1[[#This Row],[order_year]]</f>
        <v>Q1-2024</v>
      </c>
      <c r="J455" s="7">
        <f>Table1[[#This Row],[RequiredDate]]-Table1[[#This Row],[OrderDate]]</f>
        <v>-1</v>
      </c>
      <c r="K455" s="7">
        <f>IF(Table1[[#This Row],[lead_time]]&lt;0,MEDIAN(J:J),Table1[[#This Row],[lead_time]])</f>
        <v>15</v>
      </c>
      <c r="L455" s="7">
        <f>IF(Table1[[#This Row],[adj_lead_time]]&lt;=7,1,0)</f>
        <v>0</v>
      </c>
      <c r="M455" s="9">
        <v>45351</v>
      </c>
      <c r="N455" s="9">
        <f>IF(Table1[[#This Row],[lead_time]]&lt;0,(Table1[[#This Row],[OrderDate]]+Table1[[#This Row],[adj_lead_time]]),Table1[[#This Row],[RequiredDate]])</f>
        <v>45367</v>
      </c>
      <c r="O455" t="s">
        <v>648</v>
      </c>
      <c r="P455" t="s">
        <v>655</v>
      </c>
      <c r="Q455" t="s">
        <v>670</v>
      </c>
      <c r="R455" t="s">
        <v>703</v>
      </c>
      <c r="S455" t="s">
        <v>711</v>
      </c>
      <c r="T455" t="s">
        <v>714</v>
      </c>
      <c r="U455" t="s">
        <v>730</v>
      </c>
      <c r="V455" t="s">
        <v>1226</v>
      </c>
      <c r="W455">
        <v>5.34</v>
      </c>
      <c r="X455">
        <f>Table1[[#This Row],[UnitCost]]*(1+'scenario modeling'!$B$3)</f>
        <v>5.8740000000000006</v>
      </c>
      <c r="Y455">
        <v>12.69</v>
      </c>
      <c r="Z455" t="str">
        <f>IF(Table1[[#This Row],[UnitPrice]]&lt;=Quantiles!$B$2,Quantiles!$A$2,IF(Table1[[#This Row],[UnitPrice]]&lt;=Quantiles!$B$3,Quantiles!$A$3,Quantiles!$A$4))</f>
        <v>Low</v>
      </c>
      <c r="AA455">
        <v>0.13200000000000001</v>
      </c>
      <c r="AB455" s="5">
        <f>MIN(Table1[[#This Row],[DiscountPct]],'scenario modeling'!$B$2)</f>
        <v>0.1</v>
      </c>
      <c r="AC455" t="str">
        <f>IF(Table1[[#This Row],[DiscountPct]]&gt;0.3, "&gt;0.3","")</f>
        <v/>
      </c>
      <c r="AD455">
        <v>10</v>
      </c>
      <c r="AE455">
        <f>Table1[[#This Row],[Quantity]]*(1+'scenario modeling'!$B$4)</f>
        <v>12</v>
      </c>
      <c r="AF455">
        <f>Table1[[#This Row],[UnitCost]]*Table1[[#This Row],[Quantity]]</f>
        <v>53.4</v>
      </c>
      <c r="AG455">
        <f>SUMIF($U:U,Table1[[#This Row],[ProductCategory]],$AM:AM)</f>
        <v>1398841.4532999999</v>
      </c>
      <c r="AH455">
        <f>SUMIFS($AM$2:AM455,$U$2:U455,U455)</f>
        <v>160866.02306000001</v>
      </c>
      <c r="AI455" s="5">
        <f>Table1[[#This Row],[Cumulative_revenue]]/Table1[[#This Row],[Category_revenue]]</f>
        <v>0.11499946808160551</v>
      </c>
      <c r="AJ455" t="str">
        <f>IF(Table1[[#This Row],[cumulative_pct]]&lt;=0.8,"A",IF(Table1[[#This Row],[cumulative_pct]]&lt;=0.95,"B","C"))</f>
        <v>A</v>
      </c>
      <c r="AK455">
        <f>Table1[[#This Row],[adj_unit_cost]]*Table1[[#This Row],[scenario_quantity]]</f>
        <v>70.488</v>
      </c>
      <c r="AL455" s="5">
        <f>Table1[[#This Row],[UnitPrice]]*Table1[[#This Row],[scenario_quantity]]*(1-Table1[[#This Row],[cap_adjusted_discount]])</f>
        <v>137.05199999999999</v>
      </c>
      <c r="AM455" s="5">
        <f>Table1[[#This Row],[UnitPrice]]*Table1[[#This Row],[Quantity]]*(1-Table1[[#This Row],[DiscountPct]])</f>
        <v>110.14919999999999</v>
      </c>
      <c r="AN455" s="5">
        <f>Table1[[#This Row],[gross_revenue]]-Table1[[#This Row],[cost_of_goods]]</f>
        <v>56.749199999999995</v>
      </c>
      <c r="AO455" s="5">
        <f>Table1[[#This Row],[scenario_revenue]]-Table1[[#This Row],[Scenario_unit_cost]]</f>
        <v>66.563999999999993</v>
      </c>
      <c r="AP455" s="5">
        <f>IF(Table1[[#This Row],[gross_revenue]]=0,0,Table1[[#This Row],[gross_profit]]/Table1[[#This Row],[gross_revenue]])</f>
        <v>0.51520301554618642</v>
      </c>
    </row>
    <row r="456" spans="1:42" x14ac:dyDescent="0.35">
      <c r="A456" t="s">
        <v>407</v>
      </c>
      <c r="B456" t="str">
        <f>_xlfn.TEXTAFTER(Table1[[#This Row],[OrderID]],"-",2)</f>
        <v>251426</v>
      </c>
      <c r="C456">
        <f>YEAR(Table1[[#This Row],[OrderDate]])</f>
        <v>2024</v>
      </c>
      <c r="D456" s="9">
        <f>_xlfn.MINIFS(F:F,P:P,Table1[[#This Row],[Country]])</f>
        <v>44939</v>
      </c>
      <c r="E456" s="7">
        <f>DATEDIF(Table1[[#This Row],[first_time_orders]],Table1[[#This Row],[OrderDate]],"m")</f>
        <v>13</v>
      </c>
      <c r="F456" s="9">
        <v>45360</v>
      </c>
      <c r="G456" s="2" t="str">
        <f>TEXT(Table1[[#This Row],[OrderDate]],"MMM-YYYY")</f>
        <v>Mar-2024</v>
      </c>
      <c r="H456" s="7">
        <f>MONTH(Table1[[#This Row],[OrderDate]])</f>
        <v>3</v>
      </c>
      <c r="I456" s="7" t="str">
        <f>"Q"&amp;ROUNDUP(Table1[[#This Row],[months]]/3,0)&amp;"-"&amp;Table1[[#This Row],[order_year]]</f>
        <v>Q1-2024</v>
      </c>
      <c r="J456" s="7">
        <f>Table1[[#This Row],[RequiredDate]]-Table1[[#This Row],[OrderDate]]</f>
        <v>17</v>
      </c>
      <c r="K456" s="7">
        <f>IF(Table1[[#This Row],[lead_time]]&lt;0,MEDIAN(J:J),Table1[[#This Row],[lead_time]])</f>
        <v>17</v>
      </c>
      <c r="L456" s="7">
        <f>IF(Table1[[#This Row],[adj_lead_time]]&lt;=7,1,0)</f>
        <v>0</v>
      </c>
      <c r="M456" s="9">
        <v>45377</v>
      </c>
      <c r="N456" s="9">
        <f>IF(Table1[[#This Row],[lead_time]]&lt;0,(Table1[[#This Row],[OrderDate]]+Table1[[#This Row],[adj_lead_time]]),Table1[[#This Row],[RequiredDate]])</f>
        <v>45377</v>
      </c>
      <c r="O456" t="s">
        <v>648</v>
      </c>
      <c r="P456" t="s">
        <v>660</v>
      </c>
      <c r="Q456" t="s">
        <v>686</v>
      </c>
      <c r="R456" t="s">
        <v>702</v>
      </c>
      <c r="S456" t="s">
        <v>711</v>
      </c>
      <c r="T456" t="s">
        <v>714</v>
      </c>
      <c r="U456" t="s">
        <v>730</v>
      </c>
      <c r="V456" t="s">
        <v>1126</v>
      </c>
      <c r="W456">
        <v>1137.4100000000001</v>
      </c>
      <c r="X456">
        <f>Table1[[#This Row],[UnitCost]]*(1+'scenario modeling'!$B$3)</f>
        <v>1251.1510000000003</v>
      </c>
      <c r="Y456">
        <v>1680.93</v>
      </c>
      <c r="Z456" t="str">
        <f>IF(Table1[[#This Row],[UnitPrice]]&lt;=Quantiles!$B$2,Quantiles!$A$2,IF(Table1[[#This Row],[UnitPrice]]&lt;=Quantiles!$B$3,Quantiles!$A$3,Quantiles!$A$4))</f>
        <v>High</v>
      </c>
      <c r="AA456">
        <v>0.254</v>
      </c>
      <c r="AB456" s="5">
        <f>MIN(Table1[[#This Row],[DiscountPct]],'scenario modeling'!$B$2)</f>
        <v>0.1</v>
      </c>
      <c r="AC456" t="str">
        <f>IF(Table1[[#This Row],[DiscountPct]]&gt;0.3, "&gt;0.3","")</f>
        <v/>
      </c>
      <c r="AD456">
        <v>9</v>
      </c>
      <c r="AE456">
        <f>Table1[[#This Row],[Quantity]]*(1+'scenario modeling'!$B$4)</f>
        <v>10.799999999999999</v>
      </c>
      <c r="AF456">
        <f>Table1[[#This Row],[UnitCost]]*Table1[[#This Row],[Quantity]]</f>
        <v>10236.69</v>
      </c>
      <c r="AG456">
        <f>SUMIF($U:U,Table1[[#This Row],[ProductCategory]],$AM:AM)</f>
        <v>1398841.4532999999</v>
      </c>
      <c r="AH456">
        <f>SUMIFS($AM$2:AM456,$U$2:U456,U456)</f>
        <v>172151.78708000001</v>
      </c>
      <c r="AI456" s="5">
        <f>Table1[[#This Row],[Cumulative_revenue]]/Table1[[#This Row],[Category_revenue]]</f>
        <v>0.12306740458246899</v>
      </c>
      <c r="AJ456" t="str">
        <f>IF(Table1[[#This Row],[cumulative_pct]]&lt;=0.8,"A",IF(Table1[[#This Row],[cumulative_pct]]&lt;=0.95,"B","C"))</f>
        <v>A</v>
      </c>
      <c r="AK456">
        <f>Table1[[#This Row],[adj_unit_cost]]*Table1[[#This Row],[scenario_quantity]]</f>
        <v>13512.430800000002</v>
      </c>
      <c r="AL456" s="5">
        <f>Table1[[#This Row],[UnitPrice]]*Table1[[#This Row],[scenario_quantity]]*(1-Table1[[#This Row],[cap_adjusted_discount]])</f>
        <v>16338.639599999999</v>
      </c>
      <c r="AM456" s="5">
        <f>Table1[[#This Row],[UnitPrice]]*Table1[[#This Row],[Quantity]]*(1-Table1[[#This Row],[DiscountPct]])</f>
        <v>11285.764020000001</v>
      </c>
      <c r="AN456" s="5">
        <f>Table1[[#This Row],[gross_revenue]]-Table1[[#This Row],[cost_of_goods]]</f>
        <v>1049.07402</v>
      </c>
      <c r="AO456" s="5">
        <f>Table1[[#This Row],[scenario_revenue]]-Table1[[#This Row],[Scenario_unit_cost]]</f>
        <v>2826.2087999999967</v>
      </c>
      <c r="AP456" s="5">
        <f>IF(Table1[[#This Row],[gross_revenue]]=0,0,Table1[[#This Row],[gross_profit]]/Table1[[#This Row],[gross_revenue]])</f>
        <v>9.2955516183121464E-2</v>
      </c>
    </row>
    <row r="457" spans="1:42" x14ac:dyDescent="0.35">
      <c r="A457" t="s">
        <v>389</v>
      </c>
      <c r="B457" t="str">
        <f>_xlfn.TEXTAFTER(Table1[[#This Row],[OrderID]],"-",2)</f>
        <v>868223</v>
      </c>
      <c r="C457">
        <f>YEAR(Table1[[#This Row],[OrderDate]])</f>
        <v>2024</v>
      </c>
      <c r="D457" s="9">
        <f>_xlfn.MINIFS(F:F,P:P,Table1[[#This Row],[Country]])</f>
        <v>44938</v>
      </c>
      <c r="E457" s="7">
        <f>DATEDIF(Table1[[#This Row],[first_time_orders]],Table1[[#This Row],[OrderDate]],"m")</f>
        <v>13</v>
      </c>
      <c r="F457" s="9">
        <v>45354</v>
      </c>
      <c r="G457" s="2" t="str">
        <f>TEXT(Table1[[#This Row],[OrderDate]],"MMM-YYYY")</f>
        <v>Mar-2024</v>
      </c>
      <c r="H457" s="7">
        <f>MONTH(Table1[[#This Row],[OrderDate]])</f>
        <v>3</v>
      </c>
      <c r="I457" s="7" t="str">
        <f>"Q"&amp;ROUNDUP(Table1[[#This Row],[months]]/3,0)&amp;"-"&amp;Table1[[#This Row],[order_year]]</f>
        <v>Q1-2024</v>
      </c>
      <c r="J457" s="7">
        <f>Table1[[#This Row],[RequiredDate]]-Table1[[#This Row],[OrderDate]]</f>
        <v>16</v>
      </c>
      <c r="K457" s="7">
        <f>IF(Table1[[#This Row],[lead_time]]&lt;0,MEDIAN(J:J),Table1[[#This Row],[lead_time]])</f>
        <v>16</v>
      </c>
      <c r="L457" s="7">
        <f>IF(Table1[[#This Row],[adj_lead_time]]&lt;=7,1,0)</f>
        <v>0</v>
      </c>
      <c r="M457" s="9">
        <v>45370</v>
      </c>
      <c r="N457" s="9">
        <f>IF(Table1[[#This Row],[lead_time]]&lt;0,(Table1[[#This Row],[OrderDate]]+Table1[[#This Row],[adj_lead_time]]),Table1[[#This Row],[RequiredDate]])</f>
        <v>45370</v>
      </c>
      <c r="O457" t="s">
        <v>647</v>
      </c>
      <c r="P457" t="s">
        <v>659</v>
      </c>
      <c r="Q457" t="s">
        <v>699</v>
      </c>
      <c r="R457" t="s">
        <v>704</v>
      </c>
      <c r="S457" t="s">
        <v>710</v>
      </c>
      <c r="T457" t="s">
        <v>715</v>
      </c>
      <c r="U457" t="s">
        <v>730</v>
      </c>
      <c r="V457" t="s">
        <v>1109</v>
      </c>
      <c r="W457">
        <v>988.83</v>
      </c>
      <c r="X457">
        <f>Table1[[#This Row],[UnitCost]]*(1+'scenario modeling'!$B$3)</f>
        <v>1087.7130000000002</v>
      </c>
      <c r="Y457">
        <v>1206.04</v>
      </c>
      <c r="Z457" t="str">
        <f>IF(Table1[[#This Row],[UnitPrice]]&lt;=Quantiles!$B$2,Quantiles!$A$2,IF(Table1[[#This Row],[UnitPrice]]&lt;=Quantiles!$B$3,Quantiles!$A$3,Quantiles!$A$4))</f>
        <v>Medium</v>
      </c>
      <c r="AA457">
        <v>6.3E-2</v>
      </c>
      <c r="AB457" s="5">
        <f>MIN(Table1[[#This Row],[DiscountPct]],'scenario modeling'!$B$2)</f>
        <v>6.3E-2</v>
      </c>
      <c r="AC457" t="str">
        <f>IF(Table1[[#This Row],[DiscountPct]]&gt;0.3, "&gt;0.3","")</f>
        <v/>
      </c>
      <c r="AD457">
        <v>34</v>
      </c>
      <c r="AE457">
        <f>Table1[[#This Row],[Quantity]]*(1+'scenario modeling'!$B$4)</f>
        <v>40.799999999999997</v>
      </c>
      <c r="AF457">
        <f>Table1[[#This Row],[UnitCost]]*Table1[[#This Row],[Quantity]]</f>
        <v>33620.22</v>
      </c>
      <c r="AG457">
        <f>SUMIF($U:U,Table1[[#This Row],[ProductCategory]],$AM:AM)</f>
        <v>1398841.4532999999</v>
      </c>
      <c r="AH457">
        <f>SUMIFS($AM$2:AM457,$U$2:U457,U457)</f>
        <v>210573.80940000003</v>
      </c>
      <c r="AI457" s="5">
        <f>Table1[[#This Row],[Cumulative_revenue]]/Table1[[#This Row],[Category_revenue]]</f>
        <v>0.15053443612443454</v>
      </c>
      <c r="AJ457" t="str">
        <f>IF(Table1[[#This Row],[cumulative_pct]]&lt;=0.8,"A",IF(Table1[[#This Row],[cumulative_pct]]&lt;=0.95,"B","C"))</f>
        <v>A</v>
      </c>
      <c r="AK457">
        <f>Table1[[#This Row],[adj_unit_cost]]*Table1[[#This Row],[scenario_quantity]]</f>
        <v>44378.690400000007</v>
      </c>
      <c r="AL457" s="5">
        <f>Table1[[#This Row],[UnitPrice]]*Table1[[#This Row],[scenario_quantity]]*(1-Table1[[#This Row],[cap_adjusted_discount]])</f>
        <v>46106.426783999996</v>
      </c>
      <c r="AM457" s="5">
        <f>Table1[[#This Row],[UnitPrice]]*Table1[[#This Row],[Quantity]]*(1-Table1[[#This Row],[DiscountPct]])</f>
        <v>38422.022320000004</v>
      </c>
      <c r="AN457" s="5">
        <f>Table1[[#This Row],[gross_revenue]]-Table1[[#This Row],[cost_of_goods]]</f>
        <v>4801.8023200000025</v>
      </c>
      <c r="AO457" s="5">
        <f>Table1[[#This Row],[scenario_revenue]]-Table1[[#This Row],[Scenario_unit_cost]]</f>
        <v>1727.7363839999889</v>
      </c>
      <c r="AP457" s="5">
        <f>IF(Table1[[#This Row],[gross_revenue]]=0,0,Table1[[#This Row],[gross_profit]]/Table1[[#This Row],[gross_revenue]])</f>
        <v>0.12497526236406606</v>
      </c>
    </row>
    <row r="458" spans="1:42" x14ac:dyDescent="0.35">
      <c r="A458" t="s">
        <v>455</v>
      </c>
      <c r="B458" t="str">
        <f>_xlfn.TEXTAFTER(Table1[[#This Row],[OrderID]],"-",2)</f>
        <v>446030</v>
      </c>
      <c r="C458">
        <f>YEAR(Table1[[#This Row],[OrderDate]])</f>
        <v>2024</v>
      </c>
      <c r="D458" s="9">
        <f>_xlfn.MINIFS(F:F,P:P,Table1[[#This Row],[Country]])</f>
        <v>44955</v>
      </c>
      <c r="E458" s="7">
        <f>DATEDIF(Table1[[#This Row],[first_time_orders]],Table1[[#This Row],[OrderDate]],"m")</f>
        <v>13</v>
      </c>
      <c r="F458" s="9">
        <v>45374</v>
      </c>
      <c r="G458" s="2" t="str">
        <f>TEXT(Table1[[#This Row],[OrderDate]],"MMM-YYYY")</f>
        <v>Mar-2024</v>
      </c>
      <c r="H458" s="7">
        <f>MONTH(Table1[[#This Row],[OrderDate]])</f>
        <v>3</v>
      </c>
      <c r="I458" s="7" t="str">
        <f>"Q"&amp;ROUNDUP(Table1[[#This Row],[months]]/3,0)&amp;"-"&amp;Table1[[#This Row],[order_year]]</f>
        <v>Q1-2024</v>
      </c>
      <c r="J458" s="7">
        <f>Table1[[#This Row],[RequiredDate]]-Table1[[#This Row],[OrderDate]]</f>
        <v>3</v>
      </c>
      <c r="K458" s="7">
        <f>IF(Table1[[#This Row],[lead_time]]&lt;0,MEDIAN(J:J),Table1[[#This Row],[lead_time]])</f>
        <v>3</v>
      </c>
      <c r="L458" s="7">
        <f>IF(Table1[[#This Row],[adj_lead_time]]&lt;=7,1,0)</f>
        <v>1</v>
      </c>
      <c r="M458" s="9">
        <v>45377</v>
      </c>
      <c r="N458" s="9">
        <f>IF(Table1[[#This Row],[lead_time]]&lt;0,(Table1[[#This Row],[OrderDate]]+Table1[[#This Row],[adj_lead_time]]),Table1[[#This Row],[RequiredDate]])</f>
        <v>45377</v>
      </c>
      <c r="O458" t="s">
        <v>647</v>
      </c>
      <c r="P458" t="s">
        <v>654</v>
      </c>
      <c r="Q458" t="s">
        <v>668</v>
      </c>
      <c r="R458" t="s">
        <v>702</v>
      </c>
      <c r="S458" t="s">
        <v>711</v>
      </c>
      <c r="T458" t="s">
        <v>715</v>
      </c>
      <c r="U458" t="s">
        <v>730</v>
      </c>
      <c r="V458" t="s">
        <v>1174</v>
      </c>
      <c r="W458">
        <v>382.21</v>
      </c>
      <c r="X458">
        <f>Table1[[#This Row],[UnitCost]]*(1+'scenario modeling'!$B$3)</f>
        <v>420.43099999999998</v>
      </c>
      <c r="Y458">
        <v>571.89</v>
      </c>
      <c r="Z458" t="str">
        <f>IF(Table1[[#This Row],[UnitPrice]]&lt;=Quantiles!$B$2,Quantiles!$A$2,IF(Table1[[#This Row],[UnitPrice]]&lt;=Quantiles!$B$3,Quantiles!$A$3,Quantiles!$A$4))</f>
        <v>Low</v>
      </c>
      <c r="AA458">
        <v>0.14799999999999999</v>
      </c>
      <c r="AB458" s="5">
        <f>MIN(Table1[[#This Row],[DiscountPct]],'scenario modeling'!$B$2)</f>
        <v>0.1</v>
      </c>
      <c r="AC458" t="str">
        <f>IF(Table1[[#This Row],[DiscountPct]]&gt;0.3, "&gt;0.3","")</f>
        <v/>
      </c>
      <c r="AD458">
        <v>26</v>
      </c>
      <c r="AE458">
        <f>Table1[[#This Row],[Quantity]]*(1+'scenario modeling'!$B$4)</f>
        <v>31.2</v>
      </c>
      <c r="AF458">
        <f>Table1[[#This Row],[UnitCost]]*Table1[[#This Row],[Quantity]]</f>
        <v>9937.4599999999991</v>
      </c>
      <c r="AG458">
        <f>SUMIF($U:U,Table1[[#This Row],[ProductCategory]],$AM:AM)</f>
        <v>1398841.4532999999</v>
      </c>
      <c r="AH458">
        <f>SUMIFS($AM$2:AM458,$U$2:U458,U458)</f>
        <v>223242.31668000002</v>
      </c>
      <c r="AI458" s="5">
        <f>Table1[[#This Row],[Cumulative_revenue]]/Table1[[#This Row],[Category_revenue]]</f>
        <v>0.15959086439235137</v>
      </c>
      <c r="AJ458" t="str">
        <f>IF(Table1[[#This Row],[cumulative_pct]]&lt;=0.8,"A",IF(Table1[[#This Row],[cumulative_pct]]&lt;=0.95,"B","C"))</f>
        <v>A</v>
      </c>
      <c r="AK458">
        <f>Table1[[#This Row],[adj_unit_cost]]*Table1[[#This Row],[scenario_quantity]]</f>
        <v>13117.447199999999</v>
      </c>
      <c r="AL458" s="5">
        <f>Table1[[#This Row],[UnitPrice]]*Table1[[#This Row],[scenario_quantity]]*(1-Table1[[#This Row],[cap_adjusted_discount]])</f>
        <v>16058.671200000001</v>
      </c>
      <c r="AM458" s="5">
        <f>Table1[[#This Row],[UnitPrice]]*Table1[[#This Row],[Quantity]]*(1-Table1[[#This Row],[DiscountPct]])</f>
        <v>12668.50728</v>
      </c>
      <c r="AN458" s="5">
        <f>Table1[[#This Row],[gross_revenue]]-Table1[[#This Row],[cost_of_goods]]</f>
        <v>2731.0472800000007</v>
      </c>
      <c r="AO458" s="5">
        <f>Table1[[#This Row],[scenario_revenue]]-Table1[[#This Row],[Scenario_unit_cost]]</f>
        <v>2941.224000000002</v>
      </c>
      <c r="AP458" s="5">
        <f>IF(Table1[[#This Row],[gross_revenue]]=0,0,Table1[[#This Row],[gross_profit]]/Table1[[#This Row],[gross_revenue]])</f>
        <v>0.2155776698578809</v>
      </c>
    </row>
    <row r="459" spans="1:42" x14ac:dyDescent="0.35">
      <c r="A459" t="s">
        <v>177</v>
      </c>
      <c r="B459" t="str">
        <f>_xlfn.TEXTAFTER(Table1[[#This Row],[OrderID]],"-",2)</f>
        <v>219735</v>
      </c>
      <c r="C459">
        <f>YEAR(Table1[[#This Row],[OrderDate]])</f>
        <v>2024</v>
      </c>
      <c r="D459" s="9">
        <f>_xlfn.MINIFS(F:F,P:P,Table1[[#This Row],[Country]])</f>
        <v>44955</v>
      </c>
      <c r="E459" s="7">
        <f>DATEDIF(Table1[[#This Row],[first_time_orders]],Table1[[#This Row],[OrderDate]],"m")</f>
        <v>14</v>
      </c>
      <c r="F459" s="9">
        <v>45385</v>
      </c>
      <c r="G459" s="2" t="str">
        <f>TEXT(Table1[[#This Row],[OrderDate]],"MMM-YYYY")</f>
        <v>Apr-2024</v>
      </c>
      <c r="H459" s="7">
        <f>MONTH(Table1[[#This Row],[OrderDate]])</f>
        <v>4</v>
      </c>
      <c r="I459" s="7" t="str">
        <f>"Q"&amp;ROUNDUP(Table1[[#This Row],[months]]/3,0)&amp;"-"&amp;Table1[[#This Row],[order_year]]</f>
        <v>Q2-2024</v>
      </c>
      <c r="J459" s="7">
        <f>Table1[[#This Row],[RequiredDate]]-Table1[[#This Row],[OrderDate]]</f>
        <v>4</v>
      </c>
      <c r="K459" s="7">
        <f>IF(Table1[[#This Row],[lead_time]]&lt;0,MEDIAN(J:J),Table1[[#This Row],[lead_time]])</f>
        <v>4</v>
      </c>
      <c r="L459" s="7">
        <f>IF(Table1[[#This Row],[adj_lead_time]]&lt;=7,1,0)</f>
        <v>1</v>
      </c>
      <c r="M459" s="9">
        <v>45389</v>
      </c>
      <c r="N459" s="9">
        <f>IF(Table1[[#This Row],[lead_time]]&lt;0,(Table1[[#This Row],[OrderDate]]+Table1[[#This Row],[adj_lead_time]]),Table1[[#This Row],[RequiredDate]])</f>
        <v>45389</v>
      </c>
      <c r="O459" t="s">
        <v>648</v>
      </c>
      <c r="P459" t="s">
        <v>655</v>
      </c>
      <c r="Q459" t="s">
        <v>672</v>
      </c>
      <c r="R459" t="s">
        <v>703</v>
      </c>
      <c r="S459" t="s">
        <v>711</v>
      </c>
      <c r="T459" t="s">
        <v>725</v>
      </c>
      <c r="U459" t="s">
        <v>730</v>
      </c>
      <c r="V459" t="s">
        <v>896</v>
      </c>
      <c r="W459">
        <v>1023.27</v>
      </c>
      <c r="X459">
        <f>Table1[[#This Row],[UnitCost]]*(1+'scenario modeling'!$B$3)</f>
        <v>1125.597</v>
      </c>
      <c r="Y459">
        <v>1343.64</v>
      </c>
      <c r="Z459" t="str">
        <f>IF(Table1[[#This Row],[UnitPrice]]&lt;=Quantiles!$B$2,Quantiles!$A$2,IF(Table1[[#This Row],[UnitPrice]]&lt;=Quantiles!$B$3,Quantiles!$A$3,Quantiles!$A$4))</f>
        <v>Medium</v>
      </c>
      <c r="AA459">
        <v>0.13300000000000001</v>
      </c>
      <c r="AB459" s="5">
        <f>MIN(Table1[[#This Row],[DiscountPct]],'scenario modeling'!$B$2)</f>
        <v>0.1</v>
      </c>
      <c r="AC459" t="str">
        <f>IF(Table1[[#This Row],[DiscountPct]]&gt;0.3, "&gt;0.3","")</f>
        <v/>
      </c>
      <c r="AD459">
        <v>7</v>
      </c>
      <c r="AE459">
        <f>Table1[[#This Row],[Quantity]]*(1+'scenario modeling'!$B$4)</f>
        <v>8.4</v>
      </c>
      <c r="AF459">
        <f>Table1[[#This Row],[UnitCost]]*Table1[[#This Row],[Quantity]]</f>
        <v>7162.8899999999994</v>
      </c>
      <c r="AG459">
        <f>SUMIF($U:U,Table1[[#This Row],[ProductCategory]],$AM:AM)</f>
        <v>1398841.4532999999</v>
      </c>
      <c r="AH459">
        <f>SUMIFS($AM$2:AM459,$U$2:U459,U459)</f>
        <v>231396.86784000002</v>
      </c>
      <c r="AI459" s="5">
        <f>Table1[[#This Row],[Cumulative_revenue]]/Table1[[#This Row],[Category_revenue]]</f>
        <v>0.16542036790096035</v>
      </c>
      <c r="AJ459" t="str">
        <f>IF(Table1[[#This Row],[cumulative_pct]]&lt;=0.8,"A",IF(Table1[[#This Row],[cumulative_pct]]&lt;=0.95,"B","C"))</f>
        <v>A</v>
      </c>
      <c r="AK459">
        <f>Table1[[#This Row],[adj_unit_cost]]*Table1[[#This Row],[scenario_quantity]]</f>
        <v>9455.0148000000008</v>
      </c>
      <c r="AL459" s="5">
        <f>Table1[[#This Row],[UnitPrice]]*Table1[[#This Row],[scenario_quantity]]*(1-Table1[[#This Row],[cap_adjusted_discount]])</f>
        <v>10157.9184</v>
      </c>
      <c r="AM459" s="5">
        <f>Table1[[#This Row],[UnitPrice]]*Table1[[#This Row],[Quantity]]*(1-Table1[[#This Row],[DiscountPct]])</f>
        <v>8154.5511600000009</v>
      </c>
      <c r="AN459" s="5">
        <f>Table1[[#This Row],[gross_revenue]]-Table1[[#This Row],[cost_of_goods]]</f>
        <v>991.66116000000147</v>
      </c>
      <c r="AO459" s="5">
        <f>Table1[[#This Row],[scenario_revenue]]-Table1[[#This Row],[Scenario_unit_cost]]</f>
        <v>702.90359999999964</v>
      </c>
      <c r="AP459" s="5">
        <f>IF(Table1[[#This Row],[gross_revenue]]=0,0,Table1[[#This Row],[gross_profit]]/Table1[[#This Row],[gross_revenue]])</f>
        <v>0.12160830688810116</v>
      </c>
    </row>
    <row r="460" spans="1:42" x14ac:dyDescent="0.35">
      <c r="A460" t="s">
        <v>602</v>
      </c>
      <c r="B460" t="str">
        <f>_xlfn.TEXTAFTER(Table1[[#This Row],[OrderID]],"-",2)</f>
        <v>572312</v>
      </c>
      <c r="C460">
        <f>YEAR(Table1[[#This Row],[OrderDate]])</f>
        <v>2024</v>
      </c>
      <c r="D460" s="9">
        <f>_xlfn.MINIFS(F:F,P:P,Table1[[#This Row],[Country]])</f>
        <v>44988</v>
      </c>
      <c r="E460" s="7">
        <f>DATEDIF(Table1[[#This Row],[first_time_orders]],Table1[[#This Row],[OrderDate]],"m")</f>
        <v>15</v>
      </c>
      <c r="F460" s="9">
        <v>45459</v>
      </c>
      <c r="G460" s="2" t="str">
        <f>TEXT(Table1[[#This Row],[OrderDate]],"MMM-YYYY")</f>
        <v>Jun-2024</v>
      </c>
      <c r="H460" s="7">
        <f>MONTH(Table1[[#This Row],[OrderDate]])</f>
        <v>6</v>
      </c>
      <c r="I460" s="7" t="str">
        <f>"Q"&amp;ROUNDUP(Table1[[#This Row],[months]]/3,0)&amp;"-"&amp;Table1[[#This Row],[order_year]]</f>
        <v>Q2-2024</v>
      </c>
      <c r="J460" s="7">
        <f>Table1[[#This Row],[RequiredDate]]-Table1[[#This Row],[OrderDate]]</f>
        <v>5</v>
      </c>
      <c r="K460" s="7">
        <f>IF(Table1[[#This Row],[lead_time]]&lt;0,MEDIAN(J:J),Table1[[#This Row],[lead_time]])</f>
        <v>5</v>
      </c>
      <c r="L460" s="7">
        <f>IF(Table1[[#This Row],[adj_lead_time]]&lt;=7,1,0)</f>
        <v>1</v>
      </c>
      <c r="M460" s="9">
        <v>45464</v>
      </c>
      <c r="N460" s="9">
        <f>IF(Table1[[#This Row],[lead_time]]&lt;0,(Table1[[#This Row],[OrderDate]]+Table1[[#This Row],[adj_lead_time]]),Table1[[#This Row],[RequiredDate]])</f>
        <v>45464</v>
      </c>
      <c r="O460" t="s">
        <v>647</v>
      </c>
      <c r="P460" t="s">
        <v>652</v>
      </c>
      <c r="Q460" t="s">
        <v>689</v>
      </c>
      <c r="R460" t="s">
        <v>705</v>
      </c>
      <c r="S460" t="s">
        <v>710</v>
      </c>
      <c r="T460" t="s">
        <v>721</v>
      </c>
      <c r="U460" t="s">
        <v>730</v>
      </c>
      <c r="V460" t="s">
        <v>1320</v>
      </c>
      <c r="W460">
        <v>1367.13</v>
      </c>
      <c r="X460">
        <f>Table1[[#This Row],[UnitCost]]*(1+'scenario modeling'!$B$3)</f>
        <v>1503.8430000000003</v>
      </c>
      <c r="Y460">
        <v>3062.01</v>
      </c>
      <c r="Z460" t="str">
        <f>IF(Table1[[#This Row],[UnitPrice]]&lt;=Quantiles!$B$2,Quantiles!$A$2,IF(Table1[[#This Row],[UnitPrice]]&lt;=Quantiles!$B$3,Quantiles!$A$3,Quantiles!$A$4))</f>
        <v>High</v>
      </c>
      <c r="AA460">
        <v>0.10299999999999999</v>
      </c>
      <c r="AB460" s="5">
        <f>MIN(Table1[[#This Row],[DiscountPct]],'scenario modeling'!$B$2)</f>
        <v>0.1</v>
      </c>
      <c r="AC460" t="str">
        <f>IF(Table1[[#This Row],[DiscountPct]]&gt;0.3, "&gt;0.3","")</f>
        <v/>
      </c>
      <c r="AD460">
        <v>25</v>
      </c>
      <c r="AE460">
        <f>Table1[[#This Row],[Quantity]]*(1+'scenario modeling'!$B$4)</f>
        <v>30</v>
      </c>
      <c r="AF460">
        <f>Table1[[#This Row],[UnitCost]]*Table1[[#This Row],[Quantity]]</f>
        <v>34178.25</v>
      </c>
      <c r="AG460">
        <f>SUMIF($U:U,Table1[[#This Row],[ProductCategory]],$AM:AM)</f>
        <v>1398841.4532999999</v>
      </c>
      <c r="AH460">
        <f>SUMIFS($AM$2:AM460,$U$2:U460,U460)</f>
        <v>300062.44209000003</v>
      </c>
      <c r="AI460" s="5">
        <f>Table1[[#This Row],[Cumulative_revenue]]/Table1[[#This Row],[Category_revenue]]</f>
        <v>0.21450782816174357</v>
      </c>
      <c r="AJ460" t="str">
        <f>IF(Table1[[#This Row],[cumulative_pct]]&lt;=0.8,"A",IF(Table1[[#This Row],[cumulative_pct]]&lt;=0.95,"B","C"))</f>
        <v>A</v>
      </c>
      <c r="AK460">
        <f>Table1[[#This Row],[adj_unit_cost]]*Table1[[#This Row],[scenario_quantity]]</f>
        <v>45115.290000000008</v>
      </c>
      <c r="AL460" s="5">
        <f>Table1[[#This Row],[UnitPrice]]*Table1[[#This Row],[scenario_quantity]]*(1-Table1[[#This Row],[cap_adjusted_discount]])</f>
        <v>82674.27</v>
      </c>
      <c r="AM460" s="5">
        <f>Table1[[#This Row],[UnitPrice]]*Table1[[#This Row],[Quantity]]*(1-Table1[[#This Row],[DiscountPct]])</f>
        <v>68665.574250000005</v>
      </c>
      <c r="AN460" s="5">
        <f>Table1[[#This Row],[gross_revenue]]-Table1[[#This Row],[cost_of_goods]]</f>
        <v>34487.324250000005</v>
      </c>
      <c r="AO460" s="5">
        <f>Table1[[#This Row],[scenario_revenue]]-Table1[[#This Row],[Scenario_unit_cost]]</f>
        <v>37558.979999999996</v>
      </c>
      <c r="AP460" s="5">
        <f>IF(Table1[[#This Row],[gross_revenue]]=0,0,Table1[[#This Row],[gross_profit]]/Table1[[#This Row],[gross_revenue]])</f>
        <v>0.50225057645971705</v>
      </c>
    </row>
    <row r="461" spans="1:42" x14ac:dyDescent="0.35">
      <c r="A461" t="s">
        <v>515</v>
      </c>
      <c r="B461" t="str">
        <f>_xlfn.TEXTAFTER(Table1[[#This Row],[OrderID]],"-",2)</f>
        <v>567435</v>
      </c>
      <c r="C461">
        <f>YEAR(Table1[[#This Row],[OrderDate]])</f>
        <v>2024</v>
      </c>
      <c r="D461" s="9">
        <f>_xlfn.MINIFS(F:F,P:P,Table1[[#This Row],[Country]])</f>
        <v>44945</v>
      </c>
      <c r="E461" s="7">
        <f>DATEDIF(Table1[[#This Row],[first_time_orders]],Table1[[#This Row],[OrderDate]],"m")</f>
        <v>15</v>
      </c>
      <c r="F461" s="9">
        <v>45408</v>
      </c>
      <c r="G461" s="2" t="str">
        <f>TEXT(Table1[[#This Row],[OrderDate]],"MMM-YYYY")</f>
        <v>Apr-2024</v>
      </c>
      <c r="H461" s="7">
        <f>MONTH(Table1[[#This Row],[OrderDate]])</f>
        <v>4</v>
      </c>
      <c r="I461" s="7" t="str">
        <f>"Q"&amp;ROUNDUP(Table1[[#This Row],[months]]/3,0)&amp;"-"&amp;Table1[[#This Row],[order_year]]</f>
        <v>Q2-2024</v>
      </c>
      <c r="J461" s="7">
        <f>Table1[[#This Row],[RequiredDate]]-Table1[[#This Row],[OrderDate]]</f>
        <v>-2</v>
      </c>
      <c r="K461" s="7">
        <f>IF(Table1[[#This Row],[lead_time]]&lt;0,MEDIAN(J:J),Table1[[#This Row],[lead_time]])</f>
        <v>15</v>
      </c>
      <c r="L461" s="7">
        <f>IF(Table1[[#This Row],[adj_lead_time]]&lt;=7,1,0)</f>
        <v>0</v>
      </c>
      <c r="M461" s="9">
        <v>45406</v>
      </c>
      <c r="N461" s="9">
        <f>IF(Table1[[#This Row],[lead_time]]&lt;0,(Table1[[#This Row],[OrderDate]]+Table1[[#This Row],[adj_lead_time]]),Table1[[#This Row],[RequiredDate]])</f>
        <v>45423</v>
      </c>
      <c r="O461" t="s">
        <v>649</v>
      </c>
      <c r="P461" t="s">
        <v>658</v>
      </c>
      <c r="Q461" t="s">
        <v>683</v>
      </c>
      <c r="R461" t="s">
        <v>703</v>
      </c>
      <c r="S461" t="s">
        <v>710</v>
      </c>
      <c r="T461" t="s">
        <v>725</v>
      </c>
      <c r="U461" t="s">
        <v>730</v>
      </c>
      <c r="V461" t="s">
        <v>1234</v>
      </c>
      <c r="W461">
        <v>1232.77</v>
      </c>
      <c r="X461">
        <f>Table1[[#This Row],[UnitCost]]*(1+'scenario modeling'!$B$3)</f>
        <v>1356.047</v>
      </c>
      <c r="Y461">
        <v>891.73</v>
      </c>
      <c r="Z461" t="str">
        <f>IF(Table1[[#This Row],[UnitPrice]]&lt;=Quantiles!$B$2,Quantiles!$A$2,IF(Table1[[#This Row],[UnitPrice]]&lt;=Quantiles!$B$3,Quantiles!$A$3,Quantiles!$A$4))</f>
        <v>Medium</v>
      </c>
      <c r="AA461">
        <v>0.16700000000000001</v>
      </c>
      <c r="AB461" s="5">
        <f>MIN(Table1[[#This Row],[DiscountPct]],'scenario modeling'!$B$2)</f>
        <v>0.1</v>
      </c>
      <c r="AC461" t="str">
        <f>IF(Table1[[#This Row],[DiscountPct]]&gt;0.3, "&gt;0.3","")</f>
        <v/>
      </c>
      <c r="AD461">
        <v>10</v>
      </c>
      <c r="AE461">
        <f>Table1[[#This Row],[Quantity]]*(1+'scenario modeling'!$B$4)</f>
        <v>12</v>
      </c>
      <c r="AF461">
        <f>Table1[[#This Row],[UnitCost]]*Table1[[#This Row],[Quantity]]</f>
        <v>12327.7</v>
      </c>
      <c r="AG461">
        <f>SUMIF($U:U,Table1[[#This Row],[ProductCategory]],$AM:AM)</f>
        <v>1398841.4532999999</v>
      </c>
      <c r="AH461">
        <f>SUMIFS($AM$2:AM461,$U$2:U461,U461)</f>
        <v>307490.55299</v>
      </c>
      <c r="AI461" s="5">
        <f>Table1[[#This Row],[Cumulative_revenue]]/Table1[[#This Row],[Category_revenue]]</f>
        <v>0.2198180160193284</v>
      </c>
      <c r="AJ461" t="str">
        <f>IF(Table1[[#This Row],[cumulative_pct]]&lt;=0.8,"A",IF(Table1[[#This Row],[cumulative_pct]]&lt;=0.95,"B","C"))</f>
        <v>A</v>
      </c>
      <c r="AK461">
        <f>Table1[[#This Row],[adj_unit_cost]]*Table1[[#This Row],[scenario_quantity]]</f>
        <v>16272.564</v>
      </c>
      <c r="AL461" s="5">
        <f>Table1[[#This Row],[UnitPrice]]*Table1[[#This Row],[scenario_quantity]]*(1-Table1[[#This Row],[cap_adjusted_discount]])</f>
        <v>9630.6840000000011</v>
      </c>
      <c r="AM461" s="5">
        <f>Table1[[#This Row],[UnitPrice]]*Table1[[#This Row],[Quantity]]*(1-Table1[[#This Row],[DiscountPct]])</f>
        <v>7428.1108999999988</v>
      </c>
      <c r="AN461" s="5">
        <f>Table1[[#This Row],[gross_revenue]]-Table1[[#This Row],[cost_of_goods]]</f>
        <v>-4899.589100000002</v>
      </c>
      <c r="AO461" s="5">
        <f>Table1[[#This Row],[scenario_revenue]]-Table1[[#This Row],[Scenario_unit_cost]]</f>
        <v>-6641.8799999999992</v>
      </c>
      <c r="AP461" s="5">
        <f>IF(Table1[[#This Row],[gross_revenue]]=0,0,Table1[[#This Row],[gross_profit]]/Table1[[#This Row],[gross_revenue]])</f>
        <v>-0.65960096260813805</v>
      </c>
    </row>
    <row r="462" spans="1:42" x14ac:dyDescent="0.35">
      <c r="A462" t="s">
        <v>380</v>
      </c>
      <c r="B462" t="str">
        <f>_xlfn.TEXTAFTER(Table1[[#This Row],[OrderID]],"-",2)</f>
        <v>819778</v>
      </c>
      <c r="C462">
        <f>YEAR(Table1[[#This Row],[OrderDate]])</f>
        <v>2024</v>
      </c>
      <c r="D462" s="9">
        <f>_xlfn.MINIFS(F:F,P:P,Table1[[#This Row],[Country]])</f>
        <v>44946</v>
      </c>
      <c r="E462" s="7">
        <f>DATEDIF(Table1[[#This Row],[first_time_orders]],Table1[[#This Row],[OrderDate]],"m")</f>
        <v>16</v>
      </c>
      <c r="F462" s="9">
        <v>45445</v>
      </c>
      <c r="G462" s="2" t="str">
        <f>TEXT(Table1[[#This Row],[OrderDate]],"MMM-YYYY")</f>
        <v>Jun-2024</v>
      </c>
      <c r="H462" s="7">
        <f>MONTH(Table1[[#This Row],[OrderDate]])</f>
        <v>6</v>
      </c>
      <c r="I462" s="7" t="str">
        <f>"Q"&amp;ROUNDUP(Table1[[#This Row],[months]]/3,0)&amp;"-"&amp;Table1[[#This Row],[order_year]]</f>
        <v>Q2-2024</v>
      </c>
      <c r="J462" s="7">
        <f>Table1[[#This Row],[RequiredDate]]-Table1[[#This Row],[OrderDate]]</f>
        <v>13</v>
      </c>
      <c r="K462" s="7">
        <f>IF(Table1[[#This Row],[lead_time]]&lt;0,MEDIAN(J:J),Table1[[#This Row],[lead_time]])</f>
        <v>13</v>
      </c>
      <c r="L462" s="7">
        <f>IF(Table1[[#This Row],[adj_lead_time]]&lt;=7,1,0)</f>
        <v>0</v>
      </c>
      <c r="M462" s="9">
        <v>45458</v>
      </c>
      <c r="N462" s="9">
        <f>IF(Table1[[#This Row],[lead_time]]&lt;0,(Table1[[#This Row],[OrderDate]]+Table1[[#This Row],[adj_lead_time]]),Table1[[#This Row],[RequiredDate]])</f>
        <v>45458</v>
      </c>
      <c r="O462" t="s">
        <v>646</v>
      </c>
      <c r="P462" t="s">
        <v>650</v>
      </c>
      <c r="Q462" t="s">
        <v>675</v>
      </c>
      <c r="R462" t="s">
        <v>702</v>
      </c>
      <c r="S462" t="s">
        <v>708</v>
      </c>
      <c r="T462" t="s">
        <v>719</v>
      </c>
      <c r="U462" t="s">
        <v>730</v>
      </c>
      <c r="V462" t="s">
        <v>1100</v>
      </c>
      <c r="W462">
        <v>1295.18</v>
      </c>
      <c r="X462">
        <f>Table1[[#This Row],[UnitCost]]*(1+'scenario modeling'!$B$3)</f>
        <v>1424.6980000000001</v>
      </c>
      <c r="Y462">
        <v>3024.03</v>
      </c>
      <c r="Z462" t="str">
        <f>IF(Table1[[#This Row],[UnitPrice]]&lt;=Quantiles!$B$2,Quantiles!$A$2,IF(Table1[[#This Row],[UnitPrice]]&lt;=Quantiles!$B$3,Quantiles!$A$3,Quantiles!$A$4))</f>
        <v>High</v>
      </c>
      <c r="AA462">
        <v>0.192</v>
      </c>
      <c r="AB462" s="5">
        <f>MIN(Table1[[#This Row],[DiscountPct]],'scenario modeling'!$B$2)</f>
        <v>0.1</v>
      </c>
      <c r="AC462" t="str">
        <f>IF(Table1[[#This Row],[DiscountPct]]&gt;0.3, "&gt;0.3","")</f>
        <v/>
      </c>
      <c r="AD462">
        <v>8</v>
      </c>
      <c r="AE462">
        <f>Table1[[#This Row],[Quantity]]*(1+'scenario modeling'!$B$4)</f>
        <v>9.6</v>
      </c>
      <c r="AF462">
        <f>Table1[[#This Row],[UnitCost]]*Table1[[#This Row],[Quantity]]</f>
        <v>10361.44</v>
      </c>
      <c r="AG462">
        <f>SUMIF($U:U,Table1[[#This Row],[ProductCategory]],$AM:AM)</f>
        <v>1398841.4532999999</v>
      </c>
      <c r="AH462">
        <f>SUMIFS($AM$2:AM462,$U$2:U462,U462)</f>
        <v>327037.88290999999</v>
      </c>
      <c r="AI462" s="5">
        <f>Table1[[#This Row],[Cumulative_revenue]]/Table1[[#This Row],[Category_revenue]]</f>
        <v>0.2337919584370956</v>
      </c>
      <c r="AJ462" t="str">
        <f>IF(Table1[[#This Row],[cumulative_pct]]&lt;=0.8,"A",IF(Table1[[#This Row],[cumulative_pct]]&lt;=0.95,"B","C"))</f>
        <v>A</v>
      </c>
      <c r="AK462">
        <f>Table1[[#This Row],[adj_unit_cost]]*Table1[[#This Row],[scenario_quantity]]</f>
        <v>13677.1008</v>
      </c>
      <c r="AL462" s="5">
        <f>Table1[[#This Row],[UnitPrice]]*Table1[[#This Row],[scenario_quantity]]*(1-Table1[[#This Row],[cap_adjusted_discount]])</f>
        <v>26127.619200000001</v>
      </c>
      <c r="AM462" s="5">
        <f>Table1[[#This Row],[UnitPrice]]*Table1[[#This Row],[Quantity]]*(1-Table1[[#This Row],[DiscountPct]])</f>
        <v>19547.329920000004</v>
      </c>
      <c r="AN462" s="5">
        <f>Table1[[#This Row],[gross_revenue]]-Table1[[#This Row],[cost_of_goods]]</f>
        <v>9185.8899200000033</v>
      </c>
      <c r="AO462" s="5">
        <f>Table1[[#This Row],[scenario_revenue]]-Table1[[#This Row],[Scenario_unit_cost]]</f>
        <v>12450.518400000001</v>
      </c>
      <c r="AP462" s="5">
        <f>IF(Table1[[#This Row],[gross_revenue]]=0,0,Table1[[#This Row],[gross_profit]]/Table1[[#This Row],[gross_revenue]])</f>
        <v>0.46993067378483178</v>
      </c>
    </row>
    <row r="463" spans="1:42" x14ac:dyDescent="0.35">
      <c r="A463" t="s">
        <v>463</v>
      </c>
      <c r="B463" t="str">
        <f>_xlfn.TEXTAFTER(Table1[[#This Row],[OrderID]],"-",2)</f>
        <v>566589</v>
      </c>
      <c r="C463">
        <f>YEAR(Table1[[#This Row],[OrderDate]])</f>
        <v>2024</v>
      </c>
      <c r="D463" s="9">
        <f>_xlfn.MINIFS(F:F,P:P,Table1[[#This Row],[Country]])</f>
        <v>44941</v>
      </c>
      <c r="E463" s="7">
        <f>DATEDIF(Table1[[#This Row],[first_time_orders]],Table1[[#This Row],[OrderDate]],"m")</f>
        <v>16</v>
      </c>
      <c r="F463" s="9">
        <v>45454</v>
      </c>
      <c r="G463" s="2" t="str">
        <f>TEXT(Table1[[#This Row],[OrderDate]],"MMM-YYYY")</f>
        <v>Jun-2024</v>
      </c>
      <c r="H463" s="7">
        <f>MONTH(Table1[[#This Row],[OrderDate]])</f>
        <v>6</v>
      </c>
      <c r="I463" s="7" t="str">
        <f>"Q"&amp;ROUNDUP(Table1[[#This Row],[months]]/3,0)&amp;"-"&amp;Table1[[#This Row],[order_year]]</f>
        <v>Q2-2024</v>
      </c>
      <c r="J463" s="7">
        <f>Table1[[#This Row],[RequiredDate]]-Table1[[#This Row],[OrderDate]]</f>
        <v>28</v>
      </c>
      <c r="K463" s="7">
        <f>IF(Table1[[#This Row],[lead_time]]&lt;0,MEDIAN(J:J),Table1[[#This Row],[lead_time]])</f>
        <v>28</v>
      </c>
      <c r="L463" s="7">
        <f>IF(Table1[[#This Row],[adj_lead_time]]&lt;=7,1,0)</f>
        <v>0</v>
      </c>
      <c r="M463" s="9">
        <v>45482</v>
      </c>
      <c r="N463" s="9">
        <f>IF(Table1[[#This Row],[lead_time]]&lt;0,(Table1[[#This Row],[OrderDate]]+Table1[[#This Row],[adj_lead_time]]),Table1[[#This Row],[RequiredDate]])</f>
        <v>45482</v>
      </c>
      <c r="O463" t="s">
        <v>646</v>
      </c>
      <c r="P463" t="s">
        <v>651</v>
      </c>
      <c r="Q463" t="s">
        <v>663</v>
      </c>
      <c r="R463" t="s">
        <v>701</v>
      </c>
      <c r="S463" t="s">
        <v>709</v>
      </c>
      <c r="T463" t="s">
        <v>714</v>
      </c>
      <c r="U463" t="s">
        <v>730</v>
      </c>
      <c r="V463" t="s">
        <v>1182</v>
      </c>
      <c r="W463">
        <v>895.54</v>
      </c>
      <c r="X463">
        <f>Table1[[#This Row],[UnitCost]]*(1+'scenario modeling'!$B$3)</f>
        <v>985.09400000000005</v>
      </c>
      <c r="Y463">
        <v>1045</v>
      </c>
      <c r="Z463" t="str">
        <f>IF(Table1[[#This Row],[UnitPrice]]&lt;=Quantiles!$B$2,Quantiles!$A$2,IF(Table1[[#This Row],[UnitPrice]]&lt;=Quantiles!$B$3,Quantiles!$A$3,Quantiles!$A$4))</f>
        <v>Medium</v>
      </c>
      <c r="AA463">
        <v>0.216</v>
      </c>
      <c r="AB463" s="5">
        <f>MIN(Table1[[#This Row],[DiscountPct]],'scenario modeling'!$B$2)</f>
        <v>0.1</v>
      </c>
      <c r="AC463" t="str">
        <f>IF(Table1[[#This Row],[DiscountPct]]&gt;0.3, "&gt;0.3","")</f>
        <v/>
      </c>
      <c r="AD463">
        <v>15</v>
      </c>
      <c r="AE463">
        <f>Table1[[#This Row],[Quantity]]*(1+'scenario modeling'!$B$4)</f>
        <v>18</v>
      </c>
      <c r="AF463">
        <f>Table1[[#This Row],[UnitCost]]*Table1[[#This Row],[Quantity]]</f>
        <v>13433.099999999999</v>
      </c>
      <c r="AG463">
        <f>SUMIF($U:U,Table1[[#This Row],[ProductCategory]],$AM:AM)</f>
        <v>1398841.4532999999</v>
      </c>
      <c r="AH463">
        <f>SUMIFS($AM$2:AM463,$U$2:U463,U463)</f>
        <v>339327.08291</v>
      </c>
      <c r="AI463" s="5">
        <f>Table1[[#This Row],[Cumulative_revenue]]/Table1[[#This Row],[Category_revenue]]</f>
        <v>0.24257722854115824</v>
      </c>
      <c r="AJ463" t="str">
        <f>IF(Table1[[#This Row],[cumulative_pct]]&lt;=0.8,"A",IF(Table1[[#This Row],[cumulative_pct]]&lt;=0.95,"B","C"))</f>
        <v>A</v>
      </c>
      <c r="AK463">
        <f>Table1[[#This Row],[adj_unit_cost]]*Table1[[#This Row],[scenario_quantity]]</f>
        <v>17731.692000000003</v>
      </c>
      <c r="AL463" s="5">
        <f>Table1[[#This Row],[UnitPrice]]*Table1[[#This Row],[scenario_quantity]]*(1-Table1[[#This Row],[cap_adjusted_discount]])</f>
        <v>16929</v>
      </c>
      <c r="AM463" s="5">
        <f>Table1[[#This Row],[UnitPrice]]*Table1[[#This Row],[Quantity]]*(1-Table1[[#This Row],[DiscountPct]])</f>
        <v>12289.2</v>
      </c>
      <c r="AN463" s="5">
        <f>Table1[[#This Row],[gross_revenue]]-Table1[[#This Row],[cost_of_goods]]</f>
        <v>-1143.8999999999978</v>
      </c>
      <c r="AO463" s="5">
        <f>Table1[[#This Row],[scenario_revenue]]-Table1[[#This Row],[Scenario_unit_cost]]</f>
        <v>-802.69200000000274</v>
      </c>
      <c r="AP463" s="5">
        <f>IF(Table1[[#This Row],[gross_revenue]]=0,0,Table1[[#This Row],[gross_profit]]/Table1[[#This Row],[gross_revenue]])</f>
        <v>-9.3081730299775234E-2</v>
      </c>
    </row>
    <row r="464" spans="1:42" x14ac:dyDescent="0.35">
      <c r="A464" t="s">
        <v>388</v>
      </c>
      <c r="B464" t="str">
        <f>_xlfn.TEXTAFTER(Table1[[#This Row],[OrderID]],"-",2)</f>
        <v>690270</v>
      </c>
      <c r="C464">
        <f>YEAR(Table1[[#This Row],[OrderDate]])</f>
        <v>2024</v>
      </c>
      <c r="D464" s="9">
        <f>_xlfn.MINIFS(F:F,P:P,Table1[[#This Row],[Country]])</f>
        <v>44939</v>
      </c>
      <c r="E464" s="7">
        <f>DATEDIF(Table1[[#This Row],[first_time_orders]],Table1[[#This Row],[OrderDate]],"m")</f>
        <v>16</v>
      </c>
      <c r="F464" s="9">
        <v>45429</v>
      </c>
      <c r="G464" s="2" t="str">
        <f>TEXT(Table1[[#This Row],[OrderDate]],"MMM-YYYY")</f>
        <v>May-2024</v>
      </c>
      <c r="H464" s="7">
        <f>MONTH(Table1[[#This Row],[OrderDate]])</f>
        <v>5</v>
      </c>
      <c r="I464" s="7" t="str">
        <f>"Q"&amp;ROUNDUP(Table1[[#This Row],[months]]/3,0)&amp;"-"&amp;Table1[[#This Row],[order_year]]</f>
        <v>Q2-2024</v>
      </c>
      <c r="J464" s="7">
        <f>Table1[[#This Row],[RequiredDate]]-Table1[[#This Row],[OrderDate]]</f>
        <v>10</v>
      </c>
      <c r="K464" s="7">
        <f>IF(Table1[[#This Row],[lead_time]]&lt;0,MEDIAN(J:J),Table1[[#This Row],[lead_time]])</f>
        <v>10</v>
      </c>
      <c r="L464" s="7">
        <f>IF(Table1[[#This Row],[adj_lead_time]]&lt;=7,1,0)</f>
        <v>0</v>
      </c>
      <c r="M464" s="9">
        <v>45439</v>
      </c>
      <c r="N464" s="9">
        <f>IF(Table1[[#This Row],[lead_time]]&lt;0,(Table1[[#This Row],[OrderDate]]+Table1[[#This Row],[adj_lead_time]]),Table1[[#This Row],[RequiredDate]])</f>
        <v>45439</v>
      </c>
      <c r="O464" t="s">
        <v>648</v>
      </c>
      <c r="P464" t="s">
        <v>660</v>
      </c>
      <c r="Q464" t="s">
        <v>697</v>
      </c>
      <c r="R464" t="s">
        <v>703</v>
      </c>
      <c r="S464" t="s">
        <v>708</v>
      </c>
      <c r="T464" t="s">
        <v>712</v>
      </c>
      <c r="U464" t="s">
        <v>730</v>
      </c>
      <c r="V464" t="s">
        <v>1108</v>
      </c>
      <c r="W464">
        <v>1484.23</v>
      </c>
      <c r="X464">
        <f>Table1[[#This Row],[UnitCost]]*(1+'scenario modeling'!$B$3)</f>
        <v>1632.6530000000002</v>
      </c>
      <c r="Y464">
        <v>3472.81</v>
      </c>
      <c r="Z464" t="str">
        <f>IF(Table1[[#This Row],[UnitPrice]]&lt;=Quantiles!$B$2,Quantiles!$A$2,IF(Table1[[#This Row],[UnitPrice]]&lt;=Quantiles!$B$3,Quantiles!$A$3,Quantiles!$A$4))</f>
        <v>High</v>
      </c>
      <c r="AA464">
        <v>0.25600000000000001</v>
      </c>
      <c r="AB464" s="5">
        <f>MIN(Table1[[#This Row],[DiscountPct]],'scenario modeling'!$B$2)</f>
        <v>0.1</v>
      </c>
      <c r="AC464" t="str">
        <f>IF(Table1[[#This Row],[DiscountPct]]&gt;0.3, "&gt;0.3","")</f>
        <v/>
      </c>
      <c r="AD464">
        <v>12</v>
      </c>
      <c r="AE464">
        <f>Table1[[#This Row],[Quantity]]*(1+'scenario modeling'!$B$4)</f>
        <v>14.399999999999999</v>
      </c>
      <c r="AF464">
        <f>Table1[[#This Row],[UnitCost]]*Table1[[#This Row],[Quantity]]</f>
        <v>17810.760000000002</v>
      </c>
      <c r="AG464">
        <f>SUMIF($U:U,Table1[[#This Row],[ProductCategory]],$AM:AM)</f>
        <v>1398841.4532999999</v>
      </c>
      <c r="AH464">
        <f>SUMIFS($AM$2:AM464,$U$2:U464,U464)</f>
        <v>370332.33059000003</v>
      </c>
      <c r="AI464" s="5">
        <f>Table1[[#This Row],[Cumulative_revenue]]/Table1[[#This Row],[Category_revenue]]</f>
        <v>0.26474217626046959</v>
      </c>
      <c r="AJ464" t="str">
        <f>IF(Table1[[#This Row],[cumulative_pct]]&lt;=0.8,"A",IF(Table1[[#This Row],[cumulative_pct]]&lt;=0.95,"B","C"))</f>
        <v>A</v>
      </c>
      <c r="AK464">
        <f>Table1[[#This Row],[adj_unit_cost]]*Table1[[#This Row],[scenario_quantity]]</f>
        <v>23510.2032</v>
      </c>
      <c r="AL464" s="5">
        <f>Table1[[#This Row],[UnitPrice]]*Table1[[#This Row],[scenario_quantity]]*(1-Table1[[#This Row],[cap_adjusted_discount]])</f>
        <v>45007.617599999998</v>
      </c>
      <c r="AM464" s="5">
        <f>Table1[[#This Row],[UnitPrice]]*Table1[[#This Row],[Quantity]]*(1-Table1[[#This Row],[DiscountPct]])</f>
        <v>31005.24768</v>
      </c>
      <c r="AN464" s="5">
        <f>Table1[[#This Row],[gross_revenue]]-Table1[[#This Row],[cost_of_goods]]</f>
        <v>13194.487679999998</v>
      </c>
      <c r="AO464" s="5">
        <f>Table1[[#This Row],[scenario_revenue]]-Table1[[#This Row],[Scenario_unit_cost]]</f>
        <v>21497.414399999998</v>
      </c>
      <c r="AP464" s="5">
        <f>IF(Table1[[#This Row],[gross_revenue]]=0,0,Table1[[#This Row],[gross_profit]]/Table1[[#This Row],[gross_revenue]])</f>
        <v>0.42555659661803413</v>
      </c>
    </row>
    <row r="465" spans="1:42" x14ac:dyDescent="0.35">
      <c r="A465" t="s">
        <v>143</v>
      </c>
      <c r="B465" t="str">
        <f>_xlfn.TEXTAFTER(Table1[[#This Row],[OrderID]],"-",2)</f>
        <v>605518</v>
      </c>
      <c r="C465">
        <f>YEAR(Table1[[#This Row],[OrderDate]])</f>
        <v>2024</v>
      </c>
      <c r="D465" s="9">
        <f>_xlfn.MINIFS(F:F,P:P,Table1[[#This Row],[Country]])</f>
        <v>44939</v>
      </c>
      <c r="E465" s="7">
        <f>DATEDIF(Table1[[#This Row],[first_time_orders]],Table1[[#This Row],[OrderDate]],"m")</f>
        <v>16</v>
      </c>
      <c r="F465" s="9">
        <v>45442</v>
      </c>
      <c r="G465" s="2" t="str">
        <f>TEXT(Table1[[#This Row],[OrderDate]],"MMM-YYYY")</f>
        <v>May-2024</v>
      </c>
      <c r="H465" s="7">
        <f>MONTH(Table1[[#This Row],[OrderDate]])</f>
        <v>5</v>
      </c>
      <c r="I465" s="7" t="str">
        <f>"Q"&amp;ROUNDUP(Table1[[#This Row],[months]]/3,0)&amp;"-"&amp;Table1[[#This Row],[order_year]]</f>
        <v>Q2-2024</v>
      </c>
      <c r="J465" s="7">
        <f>Table1[[#This Row],[RequiredDate]]-Table1[[#This Row],[OrderDate]]</f>
        <v>14</v>
      </c>
      <c r="K465" s="7">
        <f>IF(Table1[[#This Row],[lead_time]]&lt;0,MEDIAN(J:J),Table1[[#This Row],[lead_time]])</f>
        <v>14</v>
      </c>
      <c r="L465" s="7">
        <f>IF(Table1[[#This Row],[adj_lead_time]]&lt;=7,1,0)</f>
        <v>0</v>
      </c>
      <c r="M465" s="9">
        <v>45456</v>
      </c>
      <c r="N465" s="9">
        <f>IF(Table1[[#This Row],[lead_time]]&lt;0,(Table1[[#This Row],[OrderDate]]+Table1[[#This Row],[adj_lead_time]]),Table1[[#This Row],[RequiredDate]])</f>
        <v>45456</v>
      </c>
      <c r="O465" t="s">
        <v>648</v>
      </c>
      <c r="P465" t="s">
        <v>660</v>
      </c>
      <c r="Q465" t="s">
        <v>686</v>
      </c>
      <c r="R465" t="s">
        <v>705</v>
      </c>
      <c r="S465" t="s">
        <v>707</v>
      </c>
      <c r="T465" t="s">
        <v>721</v>
      </c>
      <c r="U465" t="s">
        <v>730</v>
      </c>
      <c r="V465" t="s">
        <v>862</v>
      </c>
      <c r="W465">
        <v>157.78</v>
      </c>
      <c r="X465">
        <f>Table1[[#This Row],[UnitCost]]*(1+'scenario modeling'!$B$3)</f>
        <v>173.55800000000002</v>
      </c>
      <c r="Y465">
        <v>361.1</v>
      </c>
      <c r="Z465" t="str">
        <f>IF(Table1[[#This Row],[UnitPrice]]&lt;=Quantiles!$B$2,Quantiles!$A$2,IF(Table1[[#This Row],[UnitPrice]]&lt;=Quantiles!$B$3,Quantiles!$A$3,Quantiles!$A$4))</f>
        <v>Low</v>
      </c>
      <c r="AA465">
        <v>0.187</v>
      </c>
      <c r="AB465" s="5">
        <f>MIN(Table1[[#This Row],[DiscountPct]],'scenario modeling'!$B$2)</f>
        <v>0.1</v>
      </c>
      <c r="AC465" t="str">
        <f>IF(Table1[[#This Row],[DiscountPct]]&gt;0.3, "&gt;0.3","")</f>
        <v/>
      </c>
      <c r="AD465">
        <v>9</v>
      </c>
      <c r="AE465">
        <f>Table1[[#This Row],[Quantity]]*(1+'scenario modeling'!$B$4)</f>
        <v>10.799999999999999</v>
      </c>
      <c r="AF465">
        <f>Table1[[#This Row],[UnitCost]]*Table1[[#This Row],[Quantity]]</f>
        <v>1420.02</v>
      </c>
      <c r="AG465">
        <f>SUMIF($U:U,Table1[[#This Row],[ProductCategory]],$AM:AM)</f>
        <v>1398841.4532999999</v>
      </c>
      <c r="AH465">
        <f>SUMIFS($AM$2:AM465,$U$2:U465,U465)</f>
        <v>372974.49929000001</v>
      </c>
      <c r="AI465" s="5">
        <f>Table1[[#This Row],[Cumulative_revenue]]/Table1[[#This Row],[Category_revenue]]</f>
        <v>0.26663100268448414</v>
      </c>
      <c r="AJ465" t="str">
        <f>IF(Table1[[#This Row],[cumulative_pct]]&lt;=0.8,"A",IF(Table1[[#This Row],[cumulative_pct]]&lt;=0.95,"B","C"))</f>
        <v>A</v>
      </c>
      <c r="AK465">
        <f>Table1[[#This Row],[adj_unit_cost]]*Table1[[#This Row],[scenario_quantity]]</f>
        <v>1874.4264000000001</v>
      </c>
      <c r="AL465" s="5">
        <f>Table1[[#This Row],[UnitPrice]]*Table1[[#This Row],[scenario_quantity]]*(1-Table1[[#This Row],[cap_adjusted_discount]])</f>
        <v>3509.8919999999998</v>
      </c>
      <c r="AM465" s="5">
        <f>Table1[[#This Row],[UnitPrice]]*Table1[[#This Row],[Quantity]]*(1-Table1[[#This Row],[DiscountPct]])</f>
        <v>2642.1686999999997</v>
      </c>
      <c r="AN465" s="5">
        <f>Table1[[#This Row],[gross_revenue]]-Table1[[#This Row],[cost_of_goods]]</f>
        <v>1222.1486999999997</v>
      </c>
      <c r="AO465" s="5">
        <f>Table1[[#This Row],[scenario_revenue]]-Table1[[#This Row],[Scenario_unit_cost]]</f>
        <v>1635.4655999999998</v>
      </c>
      <c r="AP465" s="5">
        <f>IF(Table1[[#This Row],[gross_revenue]]=0,0,Table1[[#This Row],[gross_profit]]/Table1[[#This Row],[gross_revenue]])</f>
        <v>0.46255513510549112</v>
      </c>
    </row>
    <row r="466" spans="1:42" x14ac:dyDescent="0.35">
      <c r="A466" t="s">
        <v>334</v>
      </c>
      <c r="B466" t="str">
        <f>_xlfn.TEXTAFTER(Table1[[#This Row],[OrderID]],"-",2)</f>
        <v>819979</v>
      </c>
      <c r="C466">
        <f>YEAR(Table1[[#This Row],[OrderDate]])</f>
        <v>2024</v>
      </c>
      <c r="D466" s="9">
        <f>_xlfn.MINIFS(F:F,P:P,Table1[[#This Row],[Country]])</f>
        <v>44948</v>
      </c>
      <c r="E466" s="7">
        <f>DATEDIF(Table1[[#This Row],[first_time_orders]],Table1[[#This Row],[OrderDate]],"m")</f>
        <v>16</v>
      </c>
      <c r="F466" s="9">
        <v>45440</v>
      </c>
      <c r="G466" s="2" t="str">
        <f>TEXT(Table1[[#This Row],[OrderDate]],"MMM-YYYY")</f>
        <v>May-2024</v>
      </c>
      <c r="H466" s="7">
        <f>MONTH(Table1[[#This Row],[OrderDate]])</f>
        <v>5</v>
      </c>
      <c r="I466" s="7" t="str">
        <f>"Q"&amp;ROUNDUP(Table1[[#This Row],[months]]/3,0)&amp;"-"&amp;Table1[[#This Row],[order_year]]</f>
        <v>Q2-2024</v>
      </c>
      <c r="J466" s="7">
        <f>Table1[[#This Row],[RequiredDate]]-Table1[[#This Row],[OrderDate]]</f>
        <v>21</v>
      </c>
      <c r="K466" s="7">
        <f>IF(Table1[[#This Row],[lead_time]]&lt;0,MEDIAN(J:J),Table1[[#This Row],[lead_time]])</f>
        <v>21</v>
      </c>
      <c r="L466" s="7">
        <f>IF(Table1[[#This Row],[adj_lead_time]]&lt;=7,1,0)</f>
        <v>0</v>
      </c>
      <c r="M466" s="9">
        <v>45461</v>
      </c>
      <c r="N466" s="9">
        <f>IF(Table1[[#This Row],[lead_time]]&lt;0,(Table1[[#This Row],[OrderDate]]+Table1[[#This Row],[adj_lead_time]]),Table1[[#This Row],[RequiredDate]])</f>
        <v>45461</v>
      </c>
      <c r="O466" t="s">
        <v>649</v>
      </c>
      <c r="P466" t="s">
        <v>656</v>
      </c>
      <c r="Q466" t="s">
        <v>698</v>
      </c>
      <c r="R466" t="s">
        <v>705</v>
      </c>
      <c r="S466" t="s">
        <v>708</v>
      </c>
      <c r="T466" t="s">
        <v>718</v>
      </c>
      <c r="U466" t="s">
        <v>730</v>
      </c>
      <c r="V466" t="s">
        <v>1054</v>
      </c>
      <c r="W466">
        <v>986.85</v>
      </c>
      <c r="X466">
        <f>Table1[[#This Row],[UnitCost]]*(1+'scenario modeling'!$B$3)</f>
        <v>1085.5350000000001</v>
      </c>
      <c r="Y466">
        <v>2422.1</v>
      </c>
      <c r="Z466" t="str">
        <f>IF(Table1[[#This Row],[UnitPrice]]&lt;=Quantiles!$B$2,Quantiles!$A$2,IF(Table1[[#This Row],[UnitPrice]]&lt;=Quantiles!$B$3,Quantiles!$A$3,Quantiles!$A$4))</f>
        <v>High</v>
      </c>
      <c r="AA466">
        <v>7.5999999999999998E-2</v>
      </c>
      <c r="AB466" s="5">
        <f>MIN(Table1[[#This Row],[DiscountPct]],'scenario modeling'!$B$2)</f>
        <v>7.5999999999999998E-2</v>
      </c>
      <c r="AC466" t="str">
        <f>IF(Table1[[#This Row],[DiscountPct]]&gt;0.3, "&gt;0.3","")</f>
        <v/>
      </c>
      <c r="AD466">
        <v>10</v>
      </c>
      <c r="AE466">
        <f>Table1[[#This Row],[Quantity]]*(1+'scenario modeling'!$B$4)</f>
        <v>12</v>
      </c>
      <c r="AF466">
        <f>Table1[[#This Row],[UnitCost]]*Table1[[#This Row],[Quantity]]</f>
        <v>9868.5</v>
      </c>
      <c r="AG466">
        <f>SUMIF($U:U,Table1[[#This Row],[ProductCategory]],$AM:AM)</f>
        <v>1398841.4532999999</v>
      </c>
      <c r="AH466">
        <f>SUMIFS($AM$2:AM466,$U$2:U466,U466)</f>
        <v>395354.70329000003</v>
      </c>
      <c r="AI466" s="5">
        <f>Table1[[#This Row],[Cumulative_revenue]]/Table1[[#This Row],[Category_revenue]]</f>
        <v>0.28263010247324366</v>
      </c>
      <c r="AJ466" t="str">
        <f>IF(Table1[[#This Row],[cumulative_pct]]&lt;=0.8,"A",IF(Table1[[#This Row],[cumulative_pct]]&lt;=0.95,"B","C"))</f>
        <v>A</v>
      </c>
      <c r="AK466">
        <f>Table1[[#This Row],[adj_unit_cost]]*Table1[[#This Row],[scenario_quantity]]</f>
        <v>13026.420000000002</v>
      </c>
      <c r="AL466" s="5">
        <f>Table1[[#This Row],[UnitPrice]]*Table1[[#This Row],[scenario_quantity]]*(1-Table1[[#This Row],[cap_adjusted_discount]])</f>
        <v>26856.244799999997</v>
      </c>
      <c r="AM466" s="5">
        <f>Table1[[#This Row],[UnitPrice]]*Table1[[#This Row],[Quantity]]*(1-Table1[[#This Row],[DiscountPct]])</f>
        <v>22380.204000000002</v>
      </c>
      <c r="AN466" s="5">
        <f>Table1[[#This Row],[gross_revenue]]-Table1[[#This Row],[cost_of_goods]]</f>
        <v>12511.704000000002</v>
      </c>
      <c r="AO466" s="5">
        <f>Table1[[#This Row],[scenario_revenue]]-Table1[[#This Row],[Scenario_unit_cost]]</f>
        <v>13829.824799999995</v>
      </c>
      <c r="AP466" s="5">
        <f>IF(Table1[[#This Row],[gross_revenue]]=0,0,Table1[[#This Row],[gross_profit]]/Table1[[#This Row],[gross_revenue]])</f>
        <v>0.55905227673527913</v>
      </c>
    </row>
    <row r="467" spans="1:42" x14ac:dyDescent="0.35">
      <c r="A467" t="s">
        <v>42</v>
      </c>
      <c r="B467" t="str">
        <f>_xlfn.TEXTAFTER(Table1[[#This Row],[OrderID]],"-",2)</f>
        <v>855073</v>
      </c>
      <c r="C467">
        <f>YEAR(Table1[[#This Row],[OrderDate]])</f>
        <v>2024</v>
      </c>
      <c r="D467" s="9">
        <f>_xlfn.MINIFS(F:F,P:P,Table1[[#This Row],[Country]])</f>
        <v>44946</v>
      </c>
      <c r="E467" s="7">
        <f>DATEDIF(Table1[[#This Row],[first_time_orders]],Table1[[#This Row],[OrderDate]],"m")</f>
        <v>17</v>
      </c>
      <c r="F467" s="9">
        <v>45492</v>
      </c>
      <c r="G467" s="2" t="str">
        <f>TEXT(Table1[[#This Row],[OrderDate]],"MMM-YYYY")</f>
        <v>Jul-2024</v>
      </c>
      <c r="H467" s="7">
        <f>MONTH(Table1[[#This Row],[OrderDate]])</f>
        <v>7</v>
      </c>
      <c r="I467" s="7" t="str">
        <f>"Q"&amp;ROUNDUP(Table1[[#This Row],[months]]/3,0)&amp;"-"&amp;Table1[[#This Row],[order_year]]</f>
        <v>Q3-2024</v>
      </c>
      <c r="J467" s="7">
        <f>Table1[[#This Row],[RequiredDate]]-Table1[[#This Row],[OrderDate]]</f>
        <v>0</v>
      </c>
      <c r="K467" s="7">
        <f>IF(Table1[[#This Row],[lead_time]]&lt;0,MEDIAN(J:J),Table1[[#This Row],[lead_time]])</f>
        <v>0</v>
      </c>
      <c r="L467" s="7">
        <f>IF(Table1[[#This Row],[adj_lead_time]]&lt;=7,1,0)</f>
        <v>1</v>
      </c>
      <c r="M467" s="9">
        <v>45492</v>
      </c>
      <c r="N467" s="9">
        <f>IF(Table1[[#This Row],[lead_time]]&lt;0,(Table1[[#This Row],[OrderDate]]+Table1[[#This Row],[adj_lead_time]]),Table1[[#This Row],[RequiredDate]])</f>
        <v>45492</v>
      </c>
      <c r="O467" t="s">
        <v>646</v>
      </c>
      <c r="P467" t="s">
        <v>650</v>
      </c>
      <c r="Q467" t="s">
        <v>662</v>
      </c>
      <c r="R467" t="s">
        <v>705</v>
      </c>
      <c r="S467" t="s">
        <v>707</v>
      </c>
      <c r="T467" t="s">
        <v>720</v>
      </c>
      <c r="U467" t="s">
        <v>730</v>
      </c>
      <c r="V467" t="s">
        <v>761</v>
      </c>
      <c r="W467">
        <v>857.24</v>
      </c>
      <c r="X467">
        <f>Table1[[#This Row],[UnitCost]]*(1+'scenario modeling'!$B$3)</f>
        <v>942.96400000000006</v>
      </c>
      <c r="Y467">
        <v>758.23</v>
      </c>
      <c r="Z467" t="str">
        <f>IF(Table1[[#This Row],[UnitPrice]]&lt;=Quantiles!$B$2,Quantiles!$A$2,IF(Table1[[#This Row],[UnitPrice]]&lt;=Quantiles!$B$3,Quantiles!$A$3,Quantiles!$A$4))</f>
        <v>Low</v>
      </c>
      <c r="AA467">
        <v>0.125</v>
      </c>
      <c r="AB467" s="5">
        <f>MIN(Table1[[#This Row],[DiscountPct]],'scenario modeling'!$B$2)</f>
        <v>0.1</v>
      </c>
      <c r="AC467" t="str">
        <f>IF(Table1[[#This Row],[DiscountPct]]&gt;0.3, "&gt;0.3","")</f>
        <v/>
      </c>
      <c r="AD467">
        <v>6</v>
      </c>
      <c r="AE467">
        <f>Table1[[#This Row],[Quantity]]*(1+'scenario modeling'!$B$4)</f>
        <v>7.1999999999999993</v>
      </c>
      <c r="AF467">
        <f>Table1[[#This Row],[UnitCost]]*Table1[[#This Row],[Quantity]]</f>
        <v>5143.4400000000005</v>
      </c>
      <c r="AG467">
        <f>SUMIF($U:U,Table1[[#This Row],[ProductCategory]],$AM:AM)</f>
        <v>1398841.4532999999</v>
      </c>
      <c r="AH467">
        <f>SUMIFS($AM$2:AM467,$U$2:U467,U467)</f>
        <v>399335.41079000005</v>
      </c>
      <c r="AI467" s="5">
        <f>Table1[[#This Row],[Cumulative_revenue]]/Table1[[#This Row],[Category_revenue]]</f>
        <v>0.28547581989933873</v>
      </c>
      <c r="AJ467" t="str">
        <f>IF(Table1[[#This Row],[cumulative_pct]]&lt;=0.8,"A",IF(Table1[[#This Row],[cumulative_pct]]&lt;=0.95,"B","C"))</f>
        <v>A</v>
      </c>
      <c r="AK467">
        <f>Table1[[#This Row],[adj_unit_cost]]*Table1[[#This Row],[scenario_quantity]]</f>
        <v>6789.3407999999999</v>
      </c>
      <c r="AL467" s="5">
        <f>Table1[[#This Row],[UnitPrice]]*Table1[[#This Row],[scenario_quantity]]*(1-Table1[[#This Row],[cap_adjusted_discount]])</f>
        <v>4913.3303999999998</v>
      </c>
      <c r="AM467" s="5">
        <f>Table1[[#This Row],[UnitPrice]]*Table1[[#This Row],[Quantity]]*(1-Table1[[#This Row],[DiscountPct]])</f>
        <v>3980.7075</v>
      </c>
      <c r="AN467" s="5">
        <f>Table1[[#This Row],[gross_revenue]]-Table1[[#This Row],[cost_of_goods]]</f>
        <v>-1162.7325000000005</v>
      </c>
      <c r="AO467" s="5">
        <f>Table1[[#This Row],[scenario_revenue]]-Table1[[#This Row],[Scenario_unit_cost]]</f>
        <v>-1876.0104000000001</v>
      </c>
      <c r="AP467" s="5">
        <f>IF(Table1[[#This Row],[gross_revenue]]=0,0,Table1[[#This Row],[gross_profit]]/Table1[[#This Row],[gross_revenue]])</f>
        <v>-0.29209192084572921</v>
      </c>
    </row>
    <row r="468" spans="1:42" x14ac:dyDescent="0.35">
      <c r="A468" t="s">
        <v>292</v>
      </c>
      <c r="B468" t="str">
        <f>_xlfn.TEXTAFTER(Table1[[#This Row],[OrderID]],"-",2)</f>
        <v>580808</v>
      </c>
      <c r="C468">
        <f>YEAR(Table1[[#This Row],[OrderDate]])</f>
        <v>2024</v>
      </c>
      <c r="D468" s="9">
        <f>_xlfn.MINIFS(F:F,P:P,Table1[[#This Row],[Country]])</f>
        <v>44933</v>
      </c>
      <c r="E468" s="7">
        <f>DATEDIF(Table1[[#This Row],[first_time_orders]],Table1[[#This Row],[OrderDate]],"m")</f>
        <v>17</v>
      </c>
      <c r="F468" s="9">
        <v>45459</v>
      </c>
      <c r="G468" s="2" t="str">
        <f>TEXT(Table1[[#This Row],[OrderDate]],"MMM-YYYY")</f>
        <v>Jun-2024</v>
      </c>
      <c r="H468" s="7">
        <f>MONTH(Table1[[#This Row],[OrderDate]])</f>
        <v>6</v>
      </c>
      <c r="I468" s="7" t="str">
        <f>"Q"&amp;ROUNDUP(Table1[[#This Row],[months]]/3,0)&amp;"-"&amp;Table1[[#This Row],[order_year]]</f>
        <v>Q2-2024</v>
      </c>
      <c r="J468" s="7">
        <f>Table1[[#This Row],[RequiredDate]]-Table1[[#This Row],[OrderDate]]</f>
        <v>17</v>
      </c>
      <c r="K468" s="7">
        <f>IF(Table1[[#This Row],[lead_time]]&lt;0,MEDIAN(J:J),Table1[[#This Row],[lead_time]])</f>
        <v>17</v>
      </c>
      <c r="L468" s="7">
        <f>IF(Table1[[#This Row],[adj_lead_time]]&lt;=7,1,0)</f>
        <v>0</v>
      </c>
      <c r="M468" s="9">
        <v>45476</v>
      </c>
      <c r="N468" s="9">
        <f>IF(Table1[[#This Row],[lead_time]]&lt;0,(Table1[[#This Row],[OrderDate]]+Table1[[#This Row],[adj_lead_time]]),Table1[[#This Row],[RequiredDate]])</f>
        <v>45476</v>
      </c>
      <c r="O468" t="s">
        <v>646</v>
      </c>
      <c r="P468" t="s">
        <v>661</v>
      </c>
      <c r="Q468" t="s">
        <v>682</v>
      </c>
      <c r="R468" t="s">
        <v>706</v>
      </c>
      <c r="S468" t="s">
        <v>709</v>
      </c>
      <c r="T468" t="s">
        <v>721</v>
      </c>
      <c r="U468" t="s">
        <v>730</v>
      </c>
      <c r="V468" t="s">
        <v>1012</v>
      </c>
      <c r="W468">
        <v>1173.83</v>
      </c>
      <c r="X468">
        <f>Table1[[#This Row],[UnitCost]]*(1+'scenario modeling'!$B$3)</f>
        <v>1291.213</v>
      </c>
      <c r="Y468">
        <v>2328.9</v>
      </c>
      <c r="Z468" t="str">
        <f>IF(Table1[[#This Row],[UnitPrice]]&lt;=Quantiles!$B$2,Quantiles!$A$2,IF(Table1[[#This Row],[UnitPrice]]&lt;=Quantiles!$B$3,Quantiles!$A$3,Quantiles!$A$4))</f>
        <v>High</v>
      </c>
      <c r="AA468">
        <v>0.12</v>
      </c>
      <c r="AB468" s="5">
        <f>MIN(Table1[[#This Row],[DiscountPct]],'scenario modeling'!$B$2)</f>
        <v>0.1</v>
      </c>
      <c r="AC468" t="str">
        <f>IF(Table1[[#This Row],[DiscountPct]]&gt;0.3, "&gt;0.3","")</f>
        <v/>
      </c>
      <c r="AD468">
        <v>17</v>
      </c>
      <c r="AE468">
        <f>Table1[[#This Row],[Quantity]]*(1+'scenario modeling'!$B$4)</f>
        <v>20.399999999999999</v>
      </c>
      <c r="AF468">
        <f>Table1[[#This Row],[UnitCost]]*Table1[[#This Row],[Quantity]]</f>
        <v>19955.11</v>
      </c>
      <c r="AG468">
        <f>SUMIF($U:U,Table1[[#This Row],[ProductCategory]],$AM:AM)</f>
        <v>1398841.4532999999</v>
      </c>
      <c r="AH468">
        <f>SUMIFS($AM$2:AM468,$U$2:U468,U468)</f>
        <v>434175.75479000004</v>
      </c>
      <c r="AI468" s="5">
        <f>Table1[[#This Row],[Cumulative_revenue]]/Table1[[#This Row],[Category_revenue]]</f>
        <v>0.31038239091766845</v>
      </c>
      <c r="AJ468" t="str">
        <f>IF(Table1[[#This Row],[cumulative_pct]]&lt;=0.8,"A",IF(Table1[[#This Row],[cumulative_pct]]&lt;=0.95,"B","C"))</f>
        <v>A</v>
      </c>
      <c r="AK468">
        <f>Table1[[#This Row],[adj_unit_cost]]*Table1[[#This Row],[scenario_quantity]]</f>
        <v>26340.745199999998</v>
      </c>
      <c r="AL468" s="5">
        <f>Table1[[#This Row],[UnitPrice]]*Table1[[#This Row],[scenario_quantity]]*(1-Table1[[#This Row],[cap_adjusted_discount]])</f>
        <v>42758.603999999999</v>
      </c>
      <c r="AM468" s="5">
        <f>Table1[[#This Row],[UnitPrice]]*Table1[[#This Row],[Quantity]]*(1-Table1[[#This Row],[DiscountPct]])</f>
        <v>34840.344000000005</v>
      </c>
      <c r="AN468" s="5">
        <f>Table1[[#This Row],[gross_revenue]]-Table1[[#This Row],[cost_of_goods]]</f>
        <v>14885.234000000004</v>
      </c>
      <c r="AO468" s="5">
        <f>Table1[[#This Row],[scenario_revenue]]-Table1[[#This Row],[Scenario_unit_cost]]</f>
        <v>16417.858800000002</v>
      </c>
      <c r="AP468" s="5">
        <f>IF(Table1[[#This Row],[gross_revenue]]=0,0,Table1[[#This Row],[gross_profit]]/Table1[[#This Row],[gross_revenue]])</f>
        <v>0.42724130393201637</v>
      </c>
    </row>
    <row r="469" spans="1:42" x14ac:dyDescent="0.35">
      <c r="A469" t="s">
        <v>350</v>
      </c>
      <c r="B469" t="str">
        <f>_xlfn.TEXTAFTER(Table1[[#This Row],[OrderID]],"-",2)</f>
        <v>571797</v>
      </c>
      <c r="C469">
        <f>YEAR(Table1[[#This Row],[OrderDate]])</f>
        <v>2024</v>
      </c>
      <c r="D469" s="9">
        <f>_xlfn.MINIFS(F:F,P:P,Table1[[#This Row],[Country]])</f>
        <v>44938</v>
      </c>
      <c r="E469" s="7">
        <f>DATEDIF(Table1[[#This Row],[first_time_orders]],Table1[[#This Row],[OrderDate]],"m")</f>
        <v>17</v>
      </c>
      <c r="F469" s="9">
        <v>45484</v>
      </c>
      <c r="G469" s="2" t="str">
        <f>TEXT(Table1[[#This Row],[OrderDate]],"MMM-YYYY")</f>
        <v>Jul-2024</v>
      </c>
      <c r="H469" s="7">
        <f>MONTH(Table1[[#This Row],[OrderDate]])</f>
        <v>7</v>
      </c>
      <c r="I469" s="7" t="str">
        <f>"Q"&amp;ROUNDUP(Table1[[#This Row],[months]]/3,0)&amp;"-"&amp;Table1[[#This Row],[order_year]]</f>
        <v>Q3-2024</v>
      </c>
      <c r="J469" s="7">
        <f>Table1[[#This Row],[RequiredDate]]-Table1[[#This Row],[OrderDate]]</f>
        <v>20</v>
      </c>
      <c r="K469" s="7">
        <f>IF(Table1[[#This Row],[lead_time]]&lt;0,MEDIAN(J:J),Table1[[#This Row],[lead_time]])</f>
        <v>20</v>
      </c>
      <c r="L469" s="7">
        <f>IF(Table1[[#This Row],[adj_lead_time]]&lt;=7,1,0)</f>
        <v>0</v>
      </c>
      <c r="M469" s="9">
        <v>45504</v>
      </c>
      <c r="N469" s="9">
        <f>IF(Table1[[#This Row],[lead_time]]&lt;0,(Table1[[#This Row],[OrderDate]]+Table1[[#This Row],[adj_lead_time]]),Table1[[#This Row],[RequiredDate]])</f>
        <v>45504</v>
      </c>
      <c r="O469" t="s">
        <v>647</v>
      </c>
      <c r="P469" t="s">
        <v>659</v>
      </c>
      <c r="Q469" t="s">
        <v>676</v>
      </c>
      <c r="R469" t="s">
        <v>704</v>
      </c>
      <c r="S469" t="s">
        <v>708</v>
      </c>
      <c r="T469" t="s">
        <v>715</v>
      </c>
      <c r="U469" t="s">
        <v>730</v>
      </c>
      <c r="V469" t="s">
        <v>1070</v>
      </c>
      <c r="W469">
        <v>647.26</v>
      </c>
      <c r="X469">
        <f>Table1[[#This Row],[UnitCost]]*(1+'scenario modeling'!$B$3)</f>
        <v>711.9860000000001</v>
      </c>
      <c r="Y469">
        <v>1374.72</v>
      </c>
      <c r="Z469" t="str">
        <f>IF(Table1[[#This Row],[UnitPrice]]&lt;=Quantiles!$B$2,Quantiles!$A$2,IF(Table1[[#This Row],[UnitPrice]]&lt;=Quantiles!$B$3,Quantiles!$A$3,Quantiles!$A$4))</f>
        <v>Medium</v>
      </c>
      <c r="AA469">
        <v>6.6000000000000003E-2</v>
      </c>
      <c r="AB469" s="5">
        <f>MIN(Table1[[#This Row],[DiscountPct]],'scenario modeling'!$B$2)</f>
        <v>6.6000000000000003E-2</v>
      </c>
      <c r="AC469" t="str">
        <f>IF(Table1[[#This Row],[DiscountPct]]&gt;0.3, "&gt;0.3","")</f>
        <v/>
      </c>
      <c r="AD469">
        <v>22</v>
      </c>
      <c r="AE469">
        <f>Table1[[#This Row],[Quantity]]*(1+'scenario modeling'!$B$4)</f>
        <v>26.4</v>
      </c>
      <c r="AF469">
        <f>Table1[[#This Row],[UnitCost]]*Table1[[#This Row],[Quantity]]</f>
        <v>14239.72</v>
      </c>
      <c r="AG469">
        <f>SUMIF($U:U,Table1[[#This Row],[ProductCategory]],$AM:AM)</f>
        <v>1398841.4532999999</v>
      </c>
      <c r="AH469">
        <f>SUMIFS($AM$2:AM469,$U$2:U469,U469)</f>
        <v>462423.50135000004</v>
      </c>
      <c r="AI469" s="5">
        <f>Table1[[#This Row],[Cumulative_revenue]]/Table1[[#This Row],[Category_revenue]]</f>
        <v>0.33057606368405729</v>
      </c>
      <c r="AJ469" t="str">
        <f>IF(Table1[[#This Row],[cumulative_pct]]&lt;=0.8,"A",IF(Table1[[#This Row],[cumulative_pct]]&lt;=0.95,"B","C"))</f>
        <v>A</v>
      </c>
      <c r="AK469">
        <f>Table1[[#This Row],[adj_unit_cost]]*Table1[[#This Row],[scenario_quantity]]</f>
        <v>18796.430400000001</v>
      </c>
      <c r="AL469" s="5">
        <f>Table1[[#This Row],[UnitPrice]]*Table1[[#This Row],[scenario_quantity]]*(1-Table1[[#This Row],[cap_adjusted_discount]])</f>
        <v>33897.295871999995</v>
      </c>
      <c r="AM469" s="5">
        <f>Table1[[#This Row],[UnitPrice]]*Table1[[#This Row],[Quantity]]*(1-Table1[[#This Row],[DiscountPct]])</f>
        <v>28247.74656</v>
      </c>
      <c r="AN469" s="5">
        <f>Table1[[#This Row],[gross_revenue]]-Table1[[#This Row],[cost_of_goods]]</f>
        <v>14008.02656</v>
      </c>
      <c r="AO469" s="5">
        <f>Table1[[#This Row],[scenario_revenue]]-Table1[[#This Row],[Scenario_unit_cost]]</f>
        <v>15100.865471999994</v>
      </c>
      <c r="AP469" s="5">
        <f>IF(Table1[[#This Row],[gross_revenue]]=0,0,Table1[[#This Row],[gross_profit]]/Table1[[#This Row],[gross_revenue]])</f>
        <v>0.49589890401508901</v>
      </c>
    </row>
    <row r="470" spans="1:42" x14ac:dyDescent="0.35">
      <c r="A470" t="s">
        <v>569</v>
      </c>
      <c r="B470" t="str">
        <f>_xlfn.TEXTAFTER(Table1[[#This Row],[OrderID]],"-",2)</f>
        <v>536442</v>
      </c>
      <c r="C470">
        <f>YEAR(Table1[[#This Row],[OrderDate]])</f>
        <v>2024</v>
      </c>
      <c r="D470" s="9">
        <f>_xlfn.MINIFS(F:F,P:P,Table1[[#This Row],[Country]])</f>
        <v>44988</v>
      </c>
      <c r="E470" s="7">
        <f>DATEDIF(Table1[[#This Row],[first_time_orders]],Table1[[#This Row],[OrderDate]],"m")</f>
        <v>17</v>
      </c>
      <c r="F470" s="9">
        <v>45535</v>
      </c>
      <c r="G470" s="2" t="str">
        <f>TEXT(Table1[[#This Row],[OrderDate]],"MMM-YYYY")</f>
        <v>Aug-2024</v>
      </c>
      <c r="H470" s="7">
        <f>MONTH(Table1[[#This Row],[OrderDate]])</f>
        <v>8</v>
      </c>
      <c r="I470" s="7" t="str">
        <f>"Q"&amp;ROUNDUP(Table1[[#This Row],[months]]/3,0)&amp;"-"&amp;Table1[[#This Row],[order_year]]</f>
        <v>Q3-2024</v>
      </c>
      <c r="J470" s="7">
        <f>Table1[[#This Row],[RequiredDate]]-Table1[[#This Row],[OrderDate]]</f>
        <v>26</v>
      </c>
      <c r="K470" s="7">
        <f>IF(Table1[[#This Row],[lead_time]]&lt;0,MEDIAN(J:J),Table1[[#This Row],[lead_time]])</f>
        <v>26</v>
      </c>
      <c r="L470" s="7">
        <f>IF(Table1[[#This Row],[adj_lead_time]]&lt;=7,1,0)</f>
        <v>0</v>
      </c>
      <c r="M470" s="9">
        <v>45561</v>
      </c>
      <c r="N470" s="9">
        <f>IF(Table1[[#This Row],[lead_time]]&lt;0,(Table1[[#This Row],[OrderDate]]+Table1[[#This Row],[adj_lead_time]]),Table1[[#This Row],[RequiredDate]])</f>
        <v>45561</v>
      </c>
      <c r="O470" t="s">
        <v>647</v>
      </c>
      <c r="P470" t="s">
        <v>652</v>
      </c>
      <c r="Q470" t="s">
        <v>689</v>
      </c>
      <c r="R470" t="s">
        <v>702</v>
      </c>
      <c r="S470" t="s">
        <v>708</v>
      </c>
      <c r="T470" t="s">
        <v>714</v>
      </c>
      <c r="U470" t="s">
        <v>730</v>
      </c>
      <c r="V470" t="s">
        <v>1287</v>
      </c>
      <c r="W470">
        <v>1189.03</v>
      </c>
      <c r="X470">
        <f>Table1[[#This Row],[UnitCost]]*(1+'scenario modeling'!$B$3)</f>
        <v>1307.933</v>
      </c>
      <c r="Y470">
        <v>2949.62</v>
      </c>
      <c r="Z470" t="str">
        <f>IF(Table1[[#This Row],[UnitPrice]]&lt;=Quantiles!$B$2,Quantiles!$A$2,IF(Table1[[#This Row],[UnitPrice]]&lt;=Quantiles!$B$3,Quantiles!$A$3,Quantiles!$A$4))</f>
        <v>High</v>
      </c>
      <c r="AA470">
        <v>0.125</v>
      </c>
      <c r="AB470" s="5">
        <f>MIN(Table1[[#This Row],[DiscountPct]],'scenario modeling'!$B$2)</f>
        <v>0.1</v>
      </c>
      <c r="AC470" t="str">
        <f>IF(Table1[[#This Row],[DiscountPct]]&gt;0.3, "&gt;0.3","")</f>
        <v/>
      </c>
      <c r="AD470">
        <v>13</v>
      </c>
      <c r="AE470">
        <f>Table1[[#This Row],[Quantity]]*(1+'scenario modeling'!$B$4)</f>
        <v>15.6</v>
      </c>
      <c r="AF470">
        <f>Table1[[#This Row],[UnitCost]]*Table1[[#This Row],[Quantity]]</f>
        <v>15457.39</v>
      </c>
      <c r="AG470">
        <f>SUMIF($U:U,Table1[[#This Row],[ProductCategory]],$AM:AM)</f>
        <v>1398841.4532999999</v>
      </c>
      <c r="AH470">
        <f>SUMIFS($AM$2:AM470,$U$2:U470,U470)</f>
        <v>495975.42885000003</v>
      </c>
      <c r="AI470" s="5">
        <f>Table1[[#This Row],[Cumulative_revenue]]/Table1[[#This Row],[Category_revenue]]</f>
        <v>0.35456157499475499</v>
      </c>
      <c r="AJ470" t="str">
        <f>IF(Table1[[#This Row],[cumulative_pct]]&lt;=0.8,"A",IF(Table1[[#This Row],[cumulative_pct]]&lt;=0.95,"B","C"))</f>
        <v>A</v>
      </c>
      <c r="AK470">
        <f>Table1[[#This Row],[adj_unit_cost]]*Table1[[#This Row],[scenario_quantity]]</f>
        <v>20403.754799999999</v>
      </c>
      <c r="AL470" s="5">
        <f>Table1[[#This Row],[UnitPrice]]*Table1[[#This Row],[scenario_quantity]]*(1-Table1[[#This Row],[cap_adjusted_discount]])</f>
        <v>41412.664799999999</v>
      </c>
      <c r="AM470" s="5">
        <f>Table1[[#This Row],[UnitPrice]]*Table1[[#This Row],[Quantity]]*(1-Table1[[#This Row],[DiscountPct]])</f>
        <v>33551.927499999998</v>
      </c>
      <c r="AN470" s="5">
        <f>Table1[[#This Row],[gross_revenue]]-Table1[[#This Row],[cost_of_goods]]</f>
        <v>18094.537499999999</v>
      </c>
      <c r="AO470" s="5">
        <f>Table1[[#This Row],[scenario_revenue]]-Table1[[#This Row],[Scenario_unit_cost]]</f>
        <v>21008.91</v>
      </c>
      <c r="AP470" s="5">
        <f>IF(Table1[[#This Row],[gross_revenue]]=0,0,Table1[[#This Row],[gross_profit]]/Table1[[#This Row],[gross_revenue]])</f>
        <v>0.53929949330034765</v>
      </c>
    </row>
    <row r="471" spans="1:42" x14ac:dyDescent="0.35">
      <c r="A471" t="s">
        <v>441</v>
      </c>
      <c r="B471" t="str">
        <f>_xlfn.TEXTAFTER(Table1[[#This Row],[OrderID]],"-",2)</f>
        <v>993481</v>
      </c>
      <c r="C471">
        <f>YEAR(Table1[[#This Row],[OrderDate]])</f>
        <v>2024</v>
      </c>
      <c r="D471" s="9">
        <f>_xlfn.MINIFS(F:F,P:P,Table1[[#This Row],[Country]])</f>
        <v>44955</v>
      </c>
      <c r="E471" s="7">
        <f>DATEDIF(Table1[[#This Row],[first_time_orders]],Table1[[#This Row],[OrderDate]],"m")</f>
        <v>18</v>
      </c>
      <c r="F471" s="9">
        <v>45522</v>
      </c>
      <c r="G471" s="2" t="str">
        <f>TEXT(Table1[[#This Row],[OrderDate]],"MMM-YYYY")</f>
        <v>Aug-2024</v>
      </c>
      <c r="H471" s="7">
        <f>MONTH(Table1[[#This Row],[OrderDate]])</f>
        <v>8</v>
      </c>
      <c r="I471" s="7" t="str">
        <f>"Q"&amp;ROUNDUP(Table1[[#This Row],[months]]/3,0)&amp;"-"&amp;Table1[[#This Row],[order_year]]</f>
        <v>Q3-2024</v>
      </c>
      <c r="J471" s="7">
        <f>Table1[[#This Row],[RequiredDate]]-Table1[[#This Row],[OrderDate]]</f>
        <v>25</v>
      </c>
      <c r="K471" s="7">
        <f>IF(Table1[[#This Row],[lead_time]]&lt;0,MEDIAN(J:J),Table1[[#This Row],[lead_time]])</f>
        <v>25</v>
      </c>
      <c r="L471" s="7">
        <f>IF(Table1[[#This Row],[adj_lead_time]]&lt;=7,1,0)</f>
        <v>0</v>
      </c>
      <c r="M471" s="9">
        <v>45547</v>
      </c>
      <c r="N471" s="9">
        <f>IF(Table1[[#This Row],[lead_time]]&lt;0,(Table1[[#This Row],[OrderDate]]+Table1[[#This Row],[adj_lead_time]]),Table1[[#This Row],[RequiredDate]])</f>
        <v>45547</v>
      </c>
      <c r="O471" t="s">
        <v>647</v>
      </c>
      <c r="P471" t="s">
        <v>654</v>
      </c>
      <c r="Q471" t="s">
        <v>691</v>
      </c>
      <c r="R471" t="s">
        <v>704</v>
      </c>
      <c r="S471" t="s">
        <v>709</v>
      </c>
      <c r="T471" t="s">
        <v>712</v>
      </c>
      <c r="U471" t="s">
        <v>730</v>
      </c>
      <c r="V471" t="s">
        <v>1160</v>
      </c>
      <c r="W471">
        <v>1154.03</v>
      </c>
      <c r="X471">
        <f>Table1[[#This Row],[UnitCost]]*(1+'scenario modeling'!$B$3)</f>
        <v>1269.433</v>
      </c>
      <c r="Y471">
        <v>1590.36</v>
      </c>
      <c r="Z471" t="str">
        <f>IF(Table1[[#This Row],[UnitPrice]]&lt;=Quantiles!$B$2,Quantiles!$A$2,IF(Table1[[#This Row],[UnitPrice]]&lt;=Quantiles!$B$3,Quantiles!$A$3,Quantiles!$A$4))</f>
        <v>Medium</v>
      </c>
      <c r="AA471">
        <v>0.314</v>
      </c>
      <c r="AB471" s="5">
        <f>MIN(Table1[[#This Row],[DiscountPct]],'scenario modeling'!$B$2)</f>
        <v>0.1</v>
      </c>
      <c r="AC471" t="str">
        <f>IF(Table1[[#This Row],[DiscountPct]]&gt;0.3, "&gt;0.3","")</f>
        <v>&gt;0.3</v>
      </c>
      <c r="AD471">
        <v>18</v>
      </c>
      <c r="AE471">
        <f>Table1[[#This Row],[Quantity]]*(1+'scenario modeling'!$B$4)</f>
        <v>21.599999999999998</v>
      </c>
      <c r="AF471">
        <f>Table1[[#This Row],[UnitCost]]*Table1[[#This Row],[Quantity]]</f>
        <v>20772.54</v>
      </c>
      <c r="AG471">
        <f>SUMIF($U:U,Table1[[#This Row],[ProductCategory]],$AM:AM)</f>
        <v>1398841.4532999999</v>
      </c>
      <c r="AH471">
        <f>SUMIFS($AM$2:AM471,$U$2:U471,U471)</f>
        <v>515613.19413000002</v>
      </c>
      <c r="AI471" s="5">
        <f>Table1[[#This Row],[Cumulative_revenue]]/Table1[[#This Row],[Category_revenue]]</f>
        <v>0.3686001675984219</v>
      </c>
      <c r="AJ471" t="str">
        <f>IF(Table1[[#This Row],[cumulative_pct]]&lt;=0.8,"A",IF(Table1[[#This Row],[cumulative_pct]]&lt;=0.95,"B","C"))</f>
        <v>A</v>
      </c>
      <c r="AK471">
        <f>Table1[[#This Row],[adj_unit_cost]]*Table1[[#This Row],[scenario_quantity]]</f>
        <v>27419.752799999998</v>
      </c>
      <c r="AL471" s="5">
        <f>Table1[[#This Row],[UnitPrice]]*Table1[[#This Row],[scenario_quantity]]*(1-Table1[[#This Row],[cap_adjusted_discount]])</f>
        <v>30916.598399999999</v>
      </c>
      <c r="AM471" s="5">
        <f>Table1[[#This Row],[UnitPrice]]*Table1[[#This Row],[Quantity]]*(1-Table1[[#This Row],[DiscountPct]])</f>
        <v>19637.76528</v>
      </c>
      <c r="AN471" s="5">
        <f>Table1[[#This Row],[gross_revenue]]-Table1[[#This Row],[cost_of_goods]]</f>
        <v>-1134.7747200000013</v>
      </c>
      <c r="AO471" s="5">
        <f>Table1[[#This Row],[scenario_revenue]]-Table1[[#This Row],[Scenario_unit_cost]]</f>
        <v>3496.8456000000006</v>
      </c>
      <c r="AP471" s="5">
        <f>IF(Table1[[#This Row],[gross_revenue]]=0,0,Table1[[#This Row],[gross_profit]]/Table1[[#This Row],[gross_revenue]])</f>
        <v>-5.7785328616576745E-2</v>
      </c>
    </row>
    <row r="472" spans="1:42" x14ac:dyDescent="0.35">
      <c r="A472" t="s">
        <v>122</v>
      </c>
      <c r="B472" t="str">
        <f>_xlfn.TEXTAFTER(Table1[[#This Row],[OrderID]],"-",2)</f>
        <v>286833</v>
      </c>
      <c r="C472">
        <f>YEAR(Table1[[#This Row],[OrderDate]])</f>
        <v>2024</v>
      </c>
      <c r="D472" s="9">
        <f>_xlfn.MINIFS(F:F,P:P,Table1[[#This Row],[Country]])</f>
        <v>44945</v>
      </c>
      <c r="E472" s="7">
        <f>DATEDIF(Table1[[#This Row],[first_time_orders]],Table1[[#This Row],[OrderDate]],"m")</f>
        <v>18</v>
      </c>
      <c r="F472" s="9">
        <v>45518</v>
      </c>
      <c r="G472" s="2" t="str">
        <f>TEXT(Table1[[#This Row],[OrderDate]],"MMM-YYYY")</f>
        <v>Aug-2024</v>
      </c>
      <c r="H472" s="7">
        <f>MONTH(Table1[[#This Row],[OrderDate]])</f>
        <v>8</v>
      </c>
      <c r="I472" s="7" t="str">
        <f>"Q"&amp;ROUNDUP(Table1[[#This Row],[months]]/3,0)&amp;"-"&amp;Table1[[#This Row],[order_year]]</f>
        <v>Q3-2024</v>
      </c>
      <c r="J472" s="7">
        <f>Table1[[#This Row],[RequiredDate]]-Table1[[#This Row],[OrderDate]]</f>
        <v>21</v>
      </c>
      <c r="K472" s="7">
        <f>IF(Table1[[#This Row],[lead_time]]&lt;0,MEDIAN(J:J),Table1[[#This Row],[lead_time]])</f>
        <v>21</v>
      </c>
      <c r="L472" s="7">
        <f>IF(Table1[[#This Row],[adj_lead_time]]&lt;=7,1,0)</f>
        <v>0</v>
      </c>
      <c r="M472" s="9">
        <v>45539</v>
      </c>
      <c r="N472" s="9">
        <f>IF(Table1[[#This Row],[lead_time]]&lt;0,(Table1[[#This Row],[OrderDate]]+Table1[[#This Row],[adj_lead_time]]),Table1[[#This Row],[RequiredDate]])</f>
        <v>45539</v>
      </c>
      <c r="O472" t="s">
        <v>649</v>
      </c>
      <c r="P472" t="s">
        <v>658</v>
      </c>
      <c r="Q472" t="s">
        <v>693</v>
      </c>
      <c r="R472" t="s">
        <v>703</v>
      </c>
      <c r="S472" t="s">
        <v>708</v>
      </c>
      <c r="T472" t="s">
        <v>713</v>
      </c>
      <c r="U472" t="s">
        <v>730</v>
      </c>
      <c r="V472" t="s">
        <v>841</v>
      </c>
      <c r="W472">
        <v>1138.8</v>
      </c>
      <c r="X472">
        <f>Table1[[#This Row],[UnitCost]]*(1+'scenario modeling'!$B$3)</f>
        <v>1252.68</v>
      </c>
      <c r="Y472">
        <v>2250.81</v>
      </c>
      <c r="Z472" t="str">
        <f>IF(Table1[[#This Row],[UnitPrice]]&lt;=Quantiles!$B$2,Quantiles!$A$2,IF(Table1[[#This Row],[UnitPrice]]&lt;=Quantiles!$B$3,Quantiles!$A$3,Quantiles!$A$4))</f>
        <v>High</v>
      </c>
      <c r="AA472">
        <v>0.123</v>
      </c>
      <c r="AB472" s="5">
        <f>MIN(Table1[[#This Row],[DiscountPct]],'scenario modeling'!$B$2)</f>
        <v>0.1</v>
      </c>
      <c r="AC472" t="str">
        <f>IF(Table1[[#This Row],[DiscountPct]]&gt;0.3, "&gt;0.3","")</f>
        <v/>
      </c>
      <c r="AD472">
        <v>12</v>
      </c>
      <c r="AE472">
        <f>Table1[[#This Row],[Quantity]]*(1+'scenario modeling'!$B$4)</f>
        <v>14.399999999999999</v>
      </c>
      <c r="AF472">
        <f>Table1[[#This Row],[UnitCost]]*Table1[[#This Row],[Quantity]]</f>
        <v>13665.599999999999</v>
      </c>
      <c r="AG472">
        <f>SUMIF($U:U,Table1[[#This Row],[ProductCategory]],$AM:AM)</f>
        <v>1398841.4532999999</v>
      </c>
      <c r="AH472">
        <f>SUMIFS($AM$2:AM472,$U$2:U472,U472)</f>
        <v>539300.71857000003</v>
      </c>
      <c r="AI472" s="5">
        <f>Table1[[#This Row],[Cumulative_revenue]]/Table1[[#This Row],[Category_revenue]]</f>
        <v>0.38553384109238281</v>
      </c>
      <c r="AJ472" t="str">
        <f>IF(Table1[[#This Row],[cumulative_pct]]&lt;=0.8,"A",IF(Table1[[#This Row],[cumulative_pct]]&lt;=0.95,"B","C"))</f>
        <v>A</v>
      </c>
      <c r="AK472">
        <f>Table1[[#This Row],[adj_unit_cost]]*Table1[[#This Row],[scenario_quantity]]</f>
        <v>18038.592000000001</v>
      </c>
      <c r="AL472" s="5">
        <f>Table1[[#This Row],[UnitPrice]]*Table1[[#This Row],[scenario_quantity]]*(1-Table1[[#This Row],[cap_adjusted_discount]])</f>
        <v>29170.497599999999</v>
      </c>
      <c r="AM472" s="5">
        <f>Table1[[#This Row],[UnitPrice]]*Table1[[#This Row],[Quantity]]*(1-Table1[[#This Row],[DiscountPct]])</f>
        <v>23687.524440000001</v>
      </c>
      <c r="AN472" s="5">
        <f>Table1[[#This Row],[gross_revenue]]-Table1[[#This Row],[cost_of_goods]]</f>
        <v>10021.924440000003</v>
      </c>
      <c r="AO472" s="5">
        <f>Table1[[#This Row],[scenario_revenue]]-Table1[[#This Row],[Scenario_unit_cost]]</f>
        <v>11131.905599999998</v>
      </c>
      <c r="AP472" s="5">
        <f>IF(Table1[[#This Row],[gross_revenue]]=0,0,Table1[[#This Row],[gross_profit]]/Table1[[#This Row],[gross_revenue]])</f>
        <v>0.42308872188756258</v>
      </c>
    </row>
    <row r="473" spans="1:42" x14ac:dyDescent="0.35">
      <c r="A473" t="s">
        <v>250</v>
      </c>
      <c r="B473" t="str">
        <f>_xlfn.TEXTAFTER(Table1[[#This Row],[OrderID]],"-",2)</f>
        <v>805860</v>
      </c>
      <c r="C473">
        <f>YEAR(Table1[[#This Row],[OrderDate]])</f>
        <v>2024</v>
      </c>
      <c r="D473" s="9">
        <f>_xlfn.MINIFS(F:F,P:P,Table1[[#This Row],[Country]])</f>
        <v>44946</v>
      </c>
      <c r="E473" s="7">
        <f>DATEDIF(Table1[[#This Row],[first_time_orders]],Table1[[#This Row],[OrderDate]],"m")</f>
        <v>19</v>
      </c>
      <c r="F473" s="9">
        <v>45548</v>
      </c>
      <c r="G473" s="2" t="str">
        <f>TEXT(Table1[[#This Row],[OrderDate]],"MMM-YYYY")</f>
        <v>Sept-2024</v>
      </c>
      <c r="H473" s="7">
        <f>MONTH(Table1[[#This Row],[OrderDate]])</f>
        <v>9</v>
      </c>
      <c r="I473" s="7" t="str">
        <f>"Q"&amp;ROUNDUP(Table1[[#This Row],[months]]/3,0)&amp;"-"&amp;Table1[[#This Row],[order_year]]</f>
        <v>Q3-2024</v>
      </c>
      <c r="J473" s="7">
        <f>Table1[[#This Row],[RequiredDate]]-Table1[[#This Row],[OrderDate]]</f>
        <v>19</v>
      </c>
      <c r="K473" s="7">
        <f>IF(Table1[[#This Row],[lead_time]]&lt;0,MEDIAN(J:J),Table1[[#This Row],[lead_time]])</f>
        <v>19</v>
      </c>
      <c r="L473" s="7">
        <f>IF(Table1[[#This Row],[adj_lead_time]]&lt;=7,1,0)</f>
        <v>0</v>
      </c>
      <c r="M473" s="9">
        <v>45567</v>
      </c>
      <c r="N473" s="9">
        <f>IF(Table1[[#This Row],[lead_time]]&lt;0,(Table1[[#This Row],[OrderDate]]+Table1[[#This Row],[adj_lead_time]]),Table1[[#This Row],[RequiredDate]])</f>
        <v>45567</v>
      </c>
      <c r="O473" t="s">
        <v>646</v>
      </c>
      <c r="P473" t="s">
        <v>650</v>
      </c>
      <c r="Q473" t="s">
        <v>675</v>
      </c>
      <c r="R473" t="s">
        <v>705</v>
      </c>
      <c r="S473" t="s">
        <v>707</v>
      </c>
      <c r="T473" t="s">
        <v>724</v>
      </c>
      <c r="U473" t="s">
        <v>730</v>
      </c>
      <c r="V473" t="s">
        <v>970</v>
      </c>
      <c r="W473">
        <v>1338.99</v>
      </c>
      <c r="X473">
        <f>Table1[[#This Row],[UnitCost]]*(1+'scenario modeling'!$B$3)</f>
        <v>1472.8890000000001</v>
      </c>
      <c r="Y473">
        <v>1765.76</v>
      </c>
      <c r="Z473" t="str">
        <f>IF(Table1[[#This Row],[UnitPrice]]&lt;=Quantiles!$B$2,Quantiles!$A$2,IF(Table1[[#This Row],[UnitPrice]]&lt;=Quantiles!$B$3,Quantiles!$A$3,Quantiles!$A$4))</f>
        <v>High</v>
      </c>
      <c r="AA473">
        <v>0.126</v>
      </c>
      <c r="AB473" s="5">
        <f>MIN(Table1[[#This Row],[DiscountPct]],'scenario modeling'!$B$2)</f>
        <v>0.1</v>
      </c>
      <c r="AC473" t="str">
        <f>IF(Table1[[#This Row],[DiscountPct]]&gt;0.3, "&gt;0.3","")</f>
        <v/>
      </c>
      <c r="AD473">
        <v>24</v>
      </c>
      <c r="AE473">
        <f>Table1[[#This Row],[Quantity]]*(1+'scenario modeling'!$B$4)</f>
        <v>28.799999999999997</v>
      </c>
      <c r="AF473">
        <f>Table1[[#This Row],[UnitCost]]*Table1[[#This Row],[Quantity]]</f>
        <v>32135.760000000002</v>
      </c>
      <c r="AG473">
        <f>SUMIF($U:U,Table1[[#This Row],[ProductCategory]],$AM:AM)</f>
        <v>1398841.4532999999</v>
      </c>
      <c r="AH473">
        <f>SUMIFS($AM$2:AM473,$U$2:U473,U473)</f>
        <v>576339.30033</v>
      </c>
      <c r="AI473" s="5">
        <f>Table1[[#This Row],[Cumulative_revenue]]/Table1[[#This Row],[Category_revenue]]</f>
        <v>0.41201188238335434</v>
      </c>
      <c r="AJ473" t="str">
        <f>IF(Table1[[#This Row],[cumulative_pct]]&lt;=0.8,"A",IF(Table1[[#This Row],[cumulative_pct]]&lt;=0.95,"B","C"))</f>
        <v>A</v>
      </c>
      <c r="AK473">
        <f>Table1[[#This Row],[adj_unit_cost]]*Table1[[#This Row],[scenario_quantity]]</f>
        <v>42419.203199999996</v>
      </c>
      <c r="AL473" s="5">
        <f>Table1[[#This Row],[UnitPrice]]*Table1[[#This Row],[scenario_quantity]]*(1-Table1[[#This Row],[cap_adjusted_discount]])</f>
        <v>45768.499199999991</v>
      </c>
      <c r="AM473" s="5">
        <f>Table1[[#This Row],[UnitPrice]]*Table1[[#This Row],[Quantity]]*(1-Table1[[#This Row],[DiscountPct]])</f>
        <v>37038.581760000001</v>
      </c>
      <c r="AN473" s="5">
        <f>Table1[[#This Row],[gross_revenue]]-Table1[[#This Row],[cost_of_goods]]</f>
        <v>4902.8217599999989</v>
      </c>
      <c r="AO473" s="5">
        <f>Table1[[#This Row],[scenario_revenue]]-Table1[[#This Row],[Scenario_unit_cost]]</f>
        <v>3349.2959999999948</v>
      </c>
      <c r="AP473" s="5">
        <f>IF(Table1[[#This Row],[gross_revenue]]=0,0,Table1[[#This Row],[gross_profit]]/Table1[[#This Row],[gross_revenue]])</f>
        <v>0.1323706666677725</v>
      </c>
    </row>
    <row r="474" spans="1:42" x14ac:dyDescent="0.35">
      <c r="A474" t="s">
        <v>210</v>
      </c>
      <c r="B474" t="str">
        <f>_xlfn.TEXTAFTER(Table1[[#This Row],[OrderID]],"-",2)</f>
        <v>668926</v>
      </c>
      <c r="C474">
        <f>YEAR(Table1[[#This Row],[OrderDate]])</f>
        <v>2024</v>
      </c>
      <c r="D474" s="9">
        <f>_xlfn.MINIFS(F:F,P:P,Table1[[#This Row],[Country]])</f>
        <v>44988</v>
      </c>
      <c r="E474" s="7">
        <f>DATEDIF(Table1[[#This Row],[first_time_orders]],Table1[[#This Row],[OrderDate]],"m")</f>
        <v>19</v>
      </c>
      <c r="F474" s="9">
        <v>45588</v>
      </c>
      <c r="G474" s="2" t="str">
        <f>TEXT(Table1[[#This Row],[OrderDate]],"MMM-YYYY")</f>
        <v>Oct-2024</v>
      </c>
      <c r="H474" s="7">
        <f>MONTH(Table1[[#This Row],[OrderDate]])</f>
        <v>10</v>
      </c>
      <c r="I474" s="7" t="str">
        <f>"Q"&amp;ROUNDUP(Table1[[#This Row],[months]]/3,0)&amp;"-"&amp;Table1[[#This Row],[order_year]]</f>
        <v>Q4-2024</v>
      </c>
      <c r="J474" s="7">
        <f>Table1[[#This Row],[RequiredDate]]-Table1[[#This Row],[OrderDate]]</f>
        <v>22</v>
      </c>
      <c r="K474" s="7">
        <f>IF(Table1[[#This Row],[lead_time]]&lt;0,MEDIAN(J:J),Table1[[#This Row],[lead_time]])</f>
        <v>22</v>
      </c>
      <c r="L474" s="7">
        <f>IF(Table1[[#This Row],[adj_lead_time]]&lt;=7,1,0)</f>
        <v>0</v>
      </c>
      <c r="M474" s="9">
        <v>45610</v>
      </c>
      <c r="N474" s="9">
        <f>IF(Table1[[#This Row],[lead_time]]&lt;0,(Table1[[#This Row],[OrderDate]]+Table1[[#This Row],[adj_lead_time]]),Table1[[#This Row],[RequiredDate]])</f>
        <v>45610</v>
      </c>
      <c r="O474" t="s">
        <v>647</v>
      </c>
      <c r="P474" t="s">
        <v>652</v>
      </c>
      <c r="Q474" t="s">
        <v>666</v>
      </c>
      <c r="R474" t="s">
        <v>703</v>
      </c>
      <c r="S474" t="s">
        <v>711</v>
      </c>
      <c r="T474" t="s">
        <v>717</v>
      </c>
      <c r="U474" t="s">
        <v>730</v>
      </c>
      <c r="V474" t="s">
        <v>930</v>
      </c>
      <c r="W474">
        <v>1406.4</v>
      </c>
      <c r="X474">
        <f>Table1[[#This Row],[UnitCost]]*(1+'scenario modeling'!$B$3)</f>
        <v>1547.0400000000002</v>
      </c>
      <c r="Y474">
        <v>1564.76</v>
      </c>
      <c r="Z474" t="str">
        <f>IF(Table1[[#This Row],[UnitPrice]]&lt;=Quantiles!$B$2,Quantiles!$A$2,IF(Table1[[#This Row],[UnitPrice]]&lt;=Quantiles!$B$3,Quantiles!$A$3,Quantiles!$A$4))</f>
        <v>Medium</v>
      </c>
      <c r="AA474">
        <v>0.185</v>
      </c>
      <c r="AB474" s="5">
        <f>MIN(Table1[[#This Row],[DiscountPct]],'scenario modeling'!$B$2)</f>
        <v>0.1</v>
      </c>
      <c r="AC474" t="str">
        <f>IF(Table1[[#This Row],[DiscountPct]]&gt;0.3, "&gt;0.3","")</f>
        <v/>
      </c>
      <c r="AD474">
        <v>17</v>
      </c>
      <c r="AE474">
        <f>Table1[[#This Row],[Quantity]]*(1+'scenario modeling'!$B$4)</f>
        <v>20.399999999999999</v>
      </c>
      <c r="AF474">
        <f>Table1[[#This Row],[UnitCost]]*Table1[[#This Row],[Quantity]]</f>
        <v>23908.800000000003</v>
      </c>
      <c r="AG474">
        <f>SUMIF($U:U,Table1[[#This Row],[ProductCategory]],$AM:AM)</f>
        <v>1398841.4532999999</v>
      </c>
      <c r="AH474">
        <f>SUMIFS($AM$2:AM474,$U$2:U474,U474)</f>
        <v>598019.05012999999</v>
      </c>
      <c r="AI474" s="5">
        <f>Table1[[#This Row],[Cumulative_revenue]]/Table1[[#This Row],[Category_revenue]]</f>
        <v>0.42751024336547661</v>
      </c>
      <c r="AJ474" t="str">
        <f>IF(Table1[[#This Row],[cumulative_pct]]&lt;=0.8,"A",IF(Table1[[#This Row],[cumulative_pct]]&lt;=0.95,"B","C"))</f>
        <v>A</v>
      </c>
      <c r="AK474">
        <f>Table1[[#This Row],[adj_unit_cost]]*Table1[[#This Row],[scenario_quantity]]</f>
        <v>31559.616000000002</v>
      </c>
      <c r="AL474" s="5">
        <f>Table1[[#This Row],[UnitPrice]]*Table1[[#This Row],[scenario_quantity]]*(1-Table1[[#This Row],[cap_adjusted_discount]])</f>
        <v>28728.993600000002</v>
      </c>
      <c r="AM474" s="5">
        <f>Table1[[#This Row],[UnitPrice]]*Table1[[#This Row],[Quantity]]*(1-Table1[[#This Row],[DiscountPct]])</f>
        <v>21679.749799999998</v>
      </c>
      <c r="AN474" s="5">
        <f>Table1[[#This Row],[gross_revenue]]-Table1[[#This Row],[cost_of_goods]]</f>
        <v>-2229.0502000000051</v>
      </c>
      <c r="AO474" s="5">
        <f>Table1[[#This Row],[scenario_revenue]]-Table1[[#This Row],[Scenario_unit_cost]]</f>
        <v>-2830.6224000000002</v>
      </c>
      <c r="AP474" s="5">
        <f>IF(Table1[[#This Row],[gross_revenue]]=0,0,Table1[[#This Row],[gross_profit]]/Table1[[#This Row],[gross_revenue]])</f>
        <v>-0.10281715520536151</v>
      </c>
    </row>
    <row r="475" spans="1:42" x14ac:dyDescent="0.35">
      <c r="A475" t="s">
        <v>152</v>
      </c>
      <c r="B475" t="str">
        <f>_xlfn.TEXTAFTER(Table1[[#This Row],[OrderID]],"-",2)</f>
        <v>613287</v>
      </c>
      <c r="C475">
        <f>YEAR(Table1[[#This Row],[OrderDate]])</f>
        <v>2023</v>
      </c>
      <c r="D475" s="9">
        <f>_xlfn.MINIFS(F:F,P:P,Table1[[#This Row],[Country]])</f>
        <v>44946</v>
      </c>
      <c r="E475" s="7">
        <f>DATEDIF(Table1[[#This Row],[first_time_orders]],Table1[[#This Row],[OrderDate]],"m")</f>
        <v>2</v>
      </c>
      <c r="F475" s="9">
        <v>45016</v>
      </c>
      <c r="G475" s="2" t="str">
        <f>TEXT(Table1[[#This Row],[OrderDate]],"MMM-YYYY")</f>
        <v>Mar-2023</v>
      </c>
      <c r="H475" s="7">
        <f>MONTH(Table1[[#This Row],[OrderDate]])</f>
        <v>3</v>
      </c>
      <c r="I475" s="7" t="str">
        <f>"Q"&amp;ROUNDUP(Table1[[#This Row],[months]]/3,0)&amp;"-"&amp;Table1[[#This Row],[order_year]]</f>
        <v>Q1-2023</v>
      </c>
      <c r="J475" s="7">
        <f>Table1[[#This Row],[RequiredDate]]-Table1[[#This Row],[OrderDate]]</f>
        <v>12</v>
      </c>
      <c r="K475" s="7">
        <f>IF(Table1[[#This Row],[lead_time]]&lt;0,MEDIAN(J:J),Table1[[#This Row],[lead_time]])</f>
        <v>12</v>
      </c>
      <c r="L475" s="7">
        <f>IF(Table1[[#This Row],[adj_lead_time]]&lt;=7,1,0)</f>
        <v>0</v>
      </c>
      <c r="M475" s="9">
        <v>45028</v>
      </c>
      <c r="N475" s="9">
        <f>IF(Table1[[#This Row],[lead_time]]&lt;0,(Table1[[#This Row],[OrderDate]]+Table1[[#This Row],[adj_lead_time]]),Table1[[#This Row],[RequiredDate]])</f>
        <v>45028</v>
      </c>
      <c r="O475" t="s">
        <v>646</v>
      </c>
      <c r="P475" t="s">
        <v>650</v>
      </c>
      <c r="Q475" t="s">
        <v>675</v>
      </c>
      <c r="R475" t="s">
        <v>705</v>
      </c>
      <c r="S475" t="s">
        <v>708</v>
      </c>
      <c r="T475" t="s">
        <v>712</v>
      </c>
      <c r="U475" t="s">
        <v>730</v>
      </c>
      <c r="V475" t="s">
        <v>871</v>
      </c>
      <c r="W475">
        <v>304.22000000000003</v>
      </c>
      <c r="X475">
        <f>Table1[[#This Row],[UnitCost]]*(1+'scenario modeling'!$B$3)</f>
        <v>334.64200000000005</v>
      </c>
      <c r="Y475">
        <v>393.31</v>
      </c>
      <c r="Z475" t="str">
        <f>IF(Table1[[#This Row],[UnitPrice]]&lt;=Quantiles!$B$2,Quantiles!$A$2,IF(Table1[[#This Row],[UnitPrice]]&lt;=Quantiles!$B$3,Quantiles!$A$3,Quantiles!$A$4))</f>
        <v>Low</v>
      </c>
      <c r="AA475">
        <v>0.26500000000000001</v>
      </c>
      <c r="AB475" s="5">
        <f>MIN(Table1[[#This Row],[DiscountPct]],'scenario modeling'!$B$2)</f>
        <v>0.1</v>
      </c>
      <c r="AC475" t="str">
        <f>IF(Table1[[#This Row],[DiscountPct]]&gt;0.3, "&gt;0.3","")</f>
        <v/>
      </c>
      <c r="AD475">
        <v>15</v>
      </c>
      <c r="AE475">
        <f>Table1[[#This Row],[Quantity]]*(1+'scenario modeling'!$B$4)</f>
        <v>18</v>
      </c>
      <c r="AF475">
        <f>Table1[[#This Row],[UnitCost]]*Table1[[#This Row],[Quantity]]</f>
        <v>4563.3</v>
      </c>
      <c r="AG475">
        <f>SUMIF($U:U,Table1[[#This Row],[ProductCategory]],$AM:AM)</f>
        <v>1398841.4532999999</v>
      </c>
      <c r="AH475">
        <f>SUMIFS($AM$2:AM475,$U$2:U475,U475)</f>
        <v>602355.29287999996</v>
      </c>
      <c r="AI475" s="5">
        <f>Table1[[#This Row],[Cumulative_revenue]]/Table1[[#This Row],[Category_revenue]]</f>
        <v>0.43061012487082551</v>
      </c>
      <c r="AJ475" t="str">
        <f>IF(Table1[[#This Row],[cumulative_pct]]&lt;=0.8,"A",IF(Table1[[#This Row],[cumulative_pct]]&lt;=0.95,"B","C"))</f>
        <v>A</v>
      </c>
      <c r="AK475">
        <f>Table1[[#This Row],[adj_unit_cost]]*Table1[[#This Row],[scenario_quantity]]</f>
        <v>6023.5560000000005</v>
      </c>
      <c r="AL475" s="5">
        <f>Table1[[#This Row],[UnitPrice]]*Table1[[#This Row],[scenario_quantity]]*(1-Table1[[#This Row],[cap_adjusted_discount]])</f>
        <v>6371.6220000000003</v>
      </c>
      <c r="AM475" s="5">
        <f>Table1[[#This Row],[UnitPrice]]*Table1[[#This Row],[Quantity]]*(1-Table1[[#This Row],[DiscountPct]])</f>
        <v>4336.2427499999994</v>
      </c>
      <c r="AN475" s="5">
        <f>Table1[[#This Row],[gross_revenue]]-Table1[[#This Row],[cost_of_goods]]</f>
        <v>-227.05725000000075</v>
      </c>
      <c r="AO475" s="5">
        <f>Table1[[#This Row],[scenario_revenue]]-Table1[[#This Row],[Scenario_unit_cost]]</f>
        <v>348.0659999999998</v>
      </c>
      <c r="AP475" s="5">
        <f>IF(Table1[[#This Row],[gross_revenue]]=0,0,Table1[[#This Row],[gross_profit]]/Table1[[#This Row],[gross_revenue]])</f>
        <v>-5.2362670424759034E-2</v>
      </c>
    </row>
    <row r="476" spans="1:42" x14ac:dyDescent="0.35">
      <c r="A476" t="s">
        <v>43</v>
      </c>
      <c r="B476" t="str">
        <f>_xlfn.TEXTAFTER(Table1[[#This Row],[OrderID]],"-",2)</f>
        <v>897079</v>
      </c>
      <c r="C476">
        <f>YEAR(Table1[[#This Row],[OrderDate]])</f>
        <v>2023</v>
      </c>
      <c r="D476" s="9">
        <f>_xlfn.MINIFS(F:F,P:P,Table1[[#This Row],[Country]])</f>
        <v>44946</v>
      </c>
      <c r="E476" s="7">
        <f>DATEDIF(Table1[[#This Row],[first_time_orders]],Table1[[#This Row],[OrderDate]],"m")</f>
        <v>2</v>
      </c>
      <c r="F476" s="9">
        <v>45030</v>
      </c>
      <c r="G476" s="2" t="str">
        <f>TEXT(Table1[[#This Row],[OrderDate]],"MMM-YYYY")</f>
        <v>Apr-2023</v>
      </c>
      <c r="H476" s="7">
        <f>MONTH(Table1[[#This Row],[OrderDate]])</f>
        <v>4</v>
      </c>
      <c r="I476" s="7" t="str">
        <f>"Q"&amp;ROUNDUP(Table1[[#This Row],[months]]/3,0)&amp;"-"&amp;Table1[[#This Row],[order_year]]</f>
        <v>Q2-2023</v>
      </c>
      <c r="J476" s="7">
        <f>Table1[[#This Row],[RequiredDate]]-Table1[[#This Row],[OrderDate]]</f>
        <v>30</v>
      </c>
      <c r="K476" s="7">
        <f>IF(Table1[[#This Row],[lead_time]]&lt;0,MEDIAN(J:J),Table1[[#This Row],[lead_time]])</f>
        <v>30</v>
      </c>
      <c r="L476" s="7">
        <f>IF(Table1[[#This Row],[adj_lead_time]]&lt;=7,1,0)</f>
        <v>0</v>
      </c>
      <c r="M476" s="9">
        <v>45060</v>
      </c>
      <c r="N476" s="9">
        <f>IF(Table1[[#This Row],[lead_time]]&lt;0,(Table1[[#This Row],[OrderDate]]+Table1[[#This Row],[adj_lead_time]]),Table1[[#This Row],[RequiredDate]])</f>
        <v>45060</v>
      </c>
      <c r="O476" t="s">
        <v>646</v>
      </c>
      <c r="P476" t="s">
        <v>650</v>
      </c>
      <c r="Q476" t="s">
        <v>678</v>
      </c>
      <c r="R476" t="s">
        <v>704</v>
      </c>
      <c r="S476" t="s">
        <v>709</v>
      </c>
      <c r="T476" t="s">
        <v>724</v>
      </c>
      <c r="U476" t="s">
        <v>730</v>
      </c>
      <c r="V476" t="s">
        <v>762</v>
      </c>
      <c r="W476">
        <v>209.25</v>
      </c>
      <c r="X476">
        <f>Table1[[#This Row],[UnitCost]]*(1+'scenario modeling'!$B$3)</f>
        <v>230.17500000000001</v>
      </c>
      <c r="Y476">
        <v>434.8</v>
      </c>
      <c r="Z476" t="str">
        <f>IF(Table1[[#This Row],[UnitPrice]]&lt;=Quantiles!$B$2,Quantiles!$A$2,IF(Table1[[#This Row],[UnitPrice]]&lt;=Quantiles!$B$3,Quantiles!$A$3,Quantiles!$A$4))</f>
        <v>Low</v>
      </c>
      <c r="AA476">
        <v>0</v>
      </c>
      <c r="AB476" s="5">
        <f>MIN(Table1[[#This Row],[DiscountPct]],'scenario modeling'!$B$2)</f>
        <v>0</v>
      </c>
      <c r="AC476" t="str">
        <f>IF(Table1[[#This Row],[DiscountPct]]&gt;0.3, "&gt;0.3","")</f>
        <v/>
      </c>
      <c r="AD476">
        <v>9</v>
      </c>
      <c r="AE476">
        <f>Table1[[#This Row],[Quantity]]*(1+'scenario modeling'!$B$4)</f>
        <v>10.799999999999999</v>
      </c>
      <c r="AF476">
        <f>Table1[[#This Row],[UnitCost]]*Table1[[#This Row],[Quantity]]</f>
        <v>1883.25</v>
      </c>
      <c r="AG476">
        <f>SUMIF($U:U,Table1[[#This Row],[ProductCategory]],$AM:AM)</f>
        <v>1398841.4532999999</v>
      </c>
      <c r="AH476">
        <f>SUMIFS($AM$2:AM476,$U$2:U476,U476)</f>
        <v>606268.49287999992</v>
      </c>
      <c r="AI476" s="5">
        <f>Table1[[#This Row],[Cumulative_revenue]]/Table1[[#This Row],[Category_revenue]]</f>
        <v>0.43340758271765173</v>
      </c>
      <c r="AJ476" t="str">
        <f>IF(Table1[[#This Row],[cumulative_pct]]&lt;=0.8,"A",IF(Table1[[#This Row],[cumulative_pct]]&lt;=0.95,"B","C"))</f>
        <v>A</v>
      </c>
      <c r="AK476">
        <f>Table1[[#This Row],[adj_unit_cost]]*Table1[[#This Row],[scenario_quantity]]</f>
        <v>2485.89</v>
      </c>
      <c r="AL476" s="5">
        <f>Table1[[#This Row],[UnitPrice]]*Table1[[#This Row],[scenario_quantity]]*(1-Table1[[#This Row],[cap_adjusted_discount]])</f>
        <v>4695.8399999999992</v>
      </c>
      <c r="AM476" s="5">
        <f>Table1[[#This Row],[UnitPrice]]*Table1[[#This Row],[Quantity]]*(1-Table1[[#This Row],[DiscountPct]])</f>
        <v>3913.2000000000003</v>
      </c>
      <c r="AN476" s="5">
        <f>Table1[[#This Row],[gross_revenue]]-Table1[[#This Row],[cost_of_goods]]</f>
        <v>2029.9500000000003</v>
      </c>
      <c r="AO476" s="5">
        <f>Table1[[#This Row],[scenario_revenue]]-Table1[[#This Row],[Scenario_unit_cost]]</f>
        <v>2209.9499999999994</v>
      </c>
      <c r="AP476" s="5">
        <f>IF(Table1[[#This Row],[gross_revenue]]=0,0,Table1[[#This Row],[gross_profit]]/Table1[[#This Row],[gross_revenue]])</f>
        <v>0.51874425022999082</v>
      </c>
    </row>
    <row r="477" spans="1:42" x14ac:dyDescent="0.35">
      <c r="A477" t="s">
        <v>258</v>
      </c>
      <c r="B477" t="str">
        <f>_xlfn.TEXTAFTER(Table1[[#This Row],[OrderID]],"-",2)</f>
        <v>747341</v>
      </c>
      <c r="C477">
        <f>YEAR(Table1[[#This Row],[OrderDate]])</f>
        <v>2023</v>
      </c>
      <c r="D477" s="9">
        <f>_xlfn.MINIFS(F:F,P:P,Table1[[#This Row],[Country]])</f>
        <v>44955</v>
      </c>
      <c r="E477" s="7">
        <f>DATEDIF(Table1[[#This Row],[first_time_orders]],Table1[[#This Row],[OrderDate]],"m")</f>
        <v>2</v>
      </c>
      <c r="F477" s="9">
        <v>45035</v>
      </c>
      <c r="G477" s="2" t="str">
        <f>TEXT(Table1[[#This Row],[OrderDate]],"MMM-YYYY")</f>
        <v>Apr-2023</v>
      </c>
      <c r="H477" s="7">
        <f>MONTH(Table1[[#This Row],[OrderDate]])</f>
        <v>4</v>
      </c>
      <c r="I477" s="7" t="str">
        <f>"Q"&amp;ROUNDUP(Table1[[#This Row],[months]]/3,0)&amp;"-"&amp;Table1[[#This Row],[order_year]]</f>
        <v>Q2-2023</v>
      </c>
      <c r="J477" s="7">
        <f>Table1[[#This Row],[RequiredDate]]-Table1[[#This Row],[OrderDate]]</f>
        <v>9</v>
      </c>
      <c r="K477" s="7">
        <f>IF(Table1[[#This Row],[lead_time]]&lt;0,MEDIAN(J:J),Table1[[#This Row],[lead_time]])</f>
        <v>9</v>
      </c>
      <c r="L477" s="7">
        <f>IF(Table1[[#This Row],[adj_lead_time]]&lt;=7,1,0)</f>
        <v>0</v>
      </c>
      <c r="M477" s="9">
        <v>45044</v>
      </c>
      <c r="N477" s="9">
        <f>IF(Table1[[#This Row],[lead_time]]&lt;0,(Table1[[#This Row],[OrderDate]]+Table1[[#This Row],[adj_lead_time]]),Table1[[#This Row],[RequiredDate]])</f>
        <v>45044</v>
      </c>
      <c r="O477" t="s">
        <v>648</v>
      </c>
      <c r="P477" t="s">
        <v>655</v>
      </c>
      <c r="Q477" t="s">
        <v>692</v>
      </c>
      <c r="R477" t="s">
        <v>701</v>
      </c>
      <c r="S477" t="s">
        <v>710</v>
      </c>
      <c r="T477" t="s">
        <v>724</v>
      </c>
      <c r="U477" t="s">
        <v>730</v>
      </c>
      <c r="V477" t="s">
        <v>978</v>
      </c>
      <c r="W477">
        <v>1013.54</v>
      </c>
      <c r="X477">
        <f>Table1[[#This Row],[UnitCost]]*(1+'scenario modeling'!$B$3)</f>
        <v>1114.894</v>
      </c>
      <c r="Y477">
        <v>927.93</v>
      </c>
      <c r="Z477" t="str">
        <f>IF(Table1[[#This Row],[UnitPrice]]&lt;=Quantiles!$B$2,Quantiles!$A$2,IF(Table1[[#This Row],[UnitPrice]]&lt;=Quantiles!$B$3,Quantiles!$A$3,Quantiles!$A$4))</f>
        <v>Medium</v>
      </c>
      <c r="AA477">
        <v>0.17499999999999999</v>
      </c>
      <c r="AB477" s="5">
        <f>MIN(Table1[[#This Row],[DiscountPct]],'scenario modeling'!$B$2)</f>
        <v>0.1</v>
      </c>
      <c r="AC477" t="str">
        <f>IF(Table1[[#This Row],[DiscountPct]]&gt;0.3, "&gt;0.3","")</f>
        <v/>
      </c>
      <c r="AD477">
        <v>16</v>
      </c>
      <c r="AE477">
        <f>Table1[[#This Row],[Quantity]]*(1+'scenario modeling'!$B$4)</f>
        <v>19.2</v>
      </c>
      <c r="AF477">
        <f>Table1[[#This Row],[UnitCost]]*Table1[[#This Row],[Quantity]]</f>
        <v>16216.64</v>
      </c>
      <c r="AG477">
        <f>SUMIF($U:U,Table1[[#This Row],[ProductCategory]],$AM:AM)</f>
        <v>1398841.4532999999</v>
      </c>
      <c r="AH477">
        <f>SUMIFS($AM$2:AM477,$U$2:U477,U477)</f>
        <v>618517.1688799999</v>
      </c>
      <c r="AI477" s="5">
        <f>Table1[[#This Row],[Cumulative_revenue]]/Table1[[#This Row],[Category_revenue]]</f>
        <v>0.44216388313404575</v>
      </c>
      <c r="AJ477" t="str">
        <f>IF(Table1[[#This Row],[cumulative_pct]]&lt;=0.8,"A",IF(Table1[[#This Row],[cumulative_pct]]&lt;=0.95,"B","C"))</f>
        <v>A</v>
      </c>
      <c r="AK477">
        <f>Table1[[#This Row],[adj_unit_cost]]*Table1[[#This Row],[scenario_quantity]]</f>
        <v>21405.964799999998</v>
      </c>
      <c r="AL477" s="5">
        <f>Table1[[#This Row],[UnitPrice]]*Table1[[#This Row],[scenario_quantity]]*(1-Table1[[#This Row],[cap_adjusted_discount]])</f>
        <v>16034.630399999998</v>
      </c>
      <c r="AM477" s="5">
        <f>Table1[[#This Row],[UnitPrice]]*Table1[[#This Row],[Quantity]]*(1-Table1[[#This Row],[DiscountPct]])</f>
        <v>12248.675999999999</v>
      </c>
      <c r="AN477" s="5">
        <f>Table1[[#This Row],[gross_revenue]]-Table1[[#This Row],[cost_of_goods]]</f>
        <v>-3967.9639999999999</v>
      </c>
      <c r="AO477" s="5">
        <f>Table1[[#This Row],[scenario_revenue]]-Table1[[#This Row],[Scenario_unit_cost]]</f>
        <v>-5371.3343999999997</v>
      </c>
      <c r="AP477" s="5">
        <f>IF(Table1[[#This Row],[gross_revenue]]=0,0,Table1[[#This Row],[gross_profit]]/Table1[[#This Row],[gross_revenue]])</f>
        <v>-0.32395044166406234</v>
      </c>
    </row>
    <row r="478" spans="1:42" x14ac:dyDescent="0.35">
      <c r="A478" t="s">
        <v>330</v>
      </c>
      <c r="B478" t="str">
        <f>_xlfn.TEXTAFTER(Table1[[#This Row],[OrderID]],"-",2)</f>
        <v>363031</v>
      </c>
      <c r="C478">
        <f>YEAR(Table1[[#This Row],[OrderDate]])</f>
        <v>2023</v>
      </c>
      <c r="D478" s="9">
        <f>_xlfn.MINIFS(F:F,P:P,Table1[[#This Row],[Country]])</f>
        <v>44988</v>
      </c>
      <c r="E478" s="7">
        <f>DATEDIF(Table1[[#This Row],[first_time_orders]],Table1[[#This Row],[OrderDate]],"m")</f>
        <v>2</v>
      </c>
      <c r="F478" s="9">
        <v>45052</v>
      </c>
      <c r="G478" s="2" t="str">
        <f>TEXT(Table1[[#This Row],[OrderDate]],"MMM-YYYY")</f>
        <v>May-2023</v>
      </c>
      <c r="H478" s="7">
        <f>MONTH(Table1[[#This Row],[OrderDate]])</f>
        <v>5</v>
      </c>
      <c r="I478" s="7" t="str">
        <f>"Q"&amp;ROUNDUP(Table1[[#This Row],[months]]/3,0)&amp;"-"&amp;Table1[[#This Row],[order_year]]</f>
        <v>Q2-2023</v>
      </c>
      <c r="J478" s="7">
        <f>Table1[[#This Row],[RequiredDate]]-Table1[[#This Row],[OrderDate]]</f>
        <v>8</v>
      </c>
      <c r="K478" s="7">
        <f>IF(Table1[[#This Row],[lead_time]]&lt;0,MEDIAN(J:J),Table1[[#This Row],[lead_time]])</f>
        <v>8</v>
      </c>
      <c r="L478" s="7">
        <f>IF(Table1[[#This Row],[adj_lead_time]]&lt;=7,1,0)</f>
        <v>0</v>
      </c>
      <c r="M478" s="9">
        <v>45060</v>
      </c>
      <c r="N478" s="9">
        <f>IF(Table1[[#This Row],[lead_time]]&lt;0,(Table1[[#This Row],[OrderDate]]+Table1[[#This Row],[adj_lead_time]]),Table1[[#This Row],[RequiredDate]])</f>
        <v>45060</v>
      </c>
      <c r="O478" t="s">
        <v>647</v>
      </c>
      <c r="P478" t="s">
        <v>652</v>
      </c>
      <c r="Q478" t="s">
        <v>666</v>
      </c>
      <c r="R478" t="s">
        <v>706</v>
      </c>
      <c r="S478" t="s">
        <v>709</v>
      </c>
      <c r="T478" t="s">
        <v>717</v>
      </c>
      <c r="U478" t="s">
        <v>730</v>
      </c>
      <c r="V478" t="s">
        <v>1050</v>
      </c>
      <c r="W478">
        <v>291.18</v>
      </c>
      <c r="X478">
        <f>Table1[[#This Row],[UnitCost]]*(1+'scenario modeling'!$B$3)</f>
        <v>320.29800000000006</v>
      </c>
      <c r="Y478">
        <v>479.54</v>
      </c>
      <c r="Z478" t="str">
        <f>IF(Table1[[#This Row],[UnitPrice]]&lt;=Quantiles!$B$2,Quantiles!$A$2,IF(Table1[[#This Row],[UnitPrice]]&lt;=Quantiles!$B$3,Quantiles!$A$3,Quantiles!$A$4))</f>
        <v>Low</v>
      </c>
      <c r="AA478">
        <v>0.14099999999999999</v>
      </c>
      <c r="AB478" s="5">
        <f>MIN(Table1[[#This Row],[DiscountPct]],'scenario modeling'!$B$2)</f>
        <v>0.1</v>
      </c>
      <c r="AC478" t="str">
        <f>IF(Table1[[#This Row],[DiscountPct]]&gt;0.3, "&gt;0.3","")</f>
        <v/>
      </c>
      <c r="AD478">
        <v>22</v>
      </c>
      <c r="AE478">
        <f>Table1[[#This Row],[Quantity]]*(1+'scenario modeling'!$B$4)</f>
        <v>26.4</v>
      </c>
      <c r="AF478">
        <f>Table1[[#This Row],[UnitCost]]*Table1[[#This Row],[Quantity]]</f>
        <v>6405.96</v>
      </c>
      <c r="AG478">
        <f>SUMIF($U:U,Table1[[#This Row],[ProductCategory]],$AM:AM)</f>
        <v>1398841.4532999999</v>
      </c>
      <c r="AH478">
        <f>SUMIFS($AM$2:AM478,$U$2:U478,U478)</f>
        <v>627579.51579999994</v>
      </c>
      <c r="AI478" s="5">
        <f>Table1[[#This Row],[Cumulative_revenue]]/Table1[[#This Row],[Category_revenue]]</f>
        <v>0.44864234922369522</v>
      </c>
      <c r="AJ478" t="str">
        <f>IF(Table1[[#This Row],[cumulative_pct]]&lt;=0.8,"A",IF(Table1[[#This Row],[cumulative_pct]]&lt;=0.95,"B","C"))</f>
        <v>A</v>
      </c>
      <c r="AK478">
        <f>Table1[[#This Row],[adj_unit_cost]]*Table1[[#This Row],[scenario_quantity]]</f>
        <v>8455.8672000000006</v>
      </c>
      <c r="AL478" s="5">
        <f>Table1[[#This Row],[UnitPrice]]*Table1[[#This Row],[scenario_quantity]]*(1-Table1[[#This Row],[cap_adjusted_discount]])</f>
        <v>11393.8704</v>
      </c>
      <c r="AM478" s="5">
        <f>Table1[[#This Row],[UnitPrice]]*Table1[[#This Row],[Quantity]]*(1-Table1[[#This Row],[DiscountPct]])</f>
        <v>9062.34692</v>
      </c>
      <c r="AN478" s="5">
        <f>Table1[[#This Row],[gross_revenue]]-Table1[[#This Row],[cost_of_goods]]</f>
        <v>2656.3869199999999</v>
      </c>
      <c r="AO478" s="5">
        <f>Table1[[#This Row],[scenario_revenue]]-Table1[[#This Row],[Scenario_unit_cost]]</f>
        <v>2938.0031999999992</v>
      </c>
      <c r="AP478" s="5">
        <f>IF(Table1[[#This Row],[gross_revenue]]=0,0,Table1[[#This Row],[gross_profit]]/Table1[[#This Row],[gross_revenue]])</f>
        <v>0.29312350801066001</v>
      </c>
    </row>
    <row r="479" spans="1:42" x14ac:dyDescent="0.35">
      <c r="A479" t="s">
        <v>164</v>
      </c>
      <c r="B479" t="str">
        <f>_xlfn.TEXTAFTER(Table1[[#This Row],[OrderID]],"-",2)</f>
        <v>438404</v>
      </c>
      <c r="C479">
        <f>YEAR(Table1[[#This Row],[OrderDate]])</f>
        <v>2024</v>
      </c>
      <c r="D479" s="9">
        <f>_xlfn.MINIFS(F:F,P:P,Table1[[#This Row],[Country]])</f>
        <v>44928</v>
      </c>
      <c r="E479" s="7">
        <f>DATEDIF(Table1[[#This Row],[first_time_orders]],Table1[[#This Row],[OrderDate]],"m")</f>
        <v>20</v>
      </c>
      <c r="F479" s="9">
        <v>45558</v>
      </c>
      <c r="G479" s="2" t="str">
        <f>TEXT(Table1[[#This Row],[OrderDate]],"MMM-YYYY")</f>
        <v>Sept-2024</v>
      </c>
      <c r="H479" s="7">
        <f>MONTH(Table1[[#This Row],[OrderDate]])</f>
        <v>9</v>
      </c>
      <c r="I479" s="7" t="str">
        <f>"Q"&amp;ROUNDUP(Table1[[#This Row],[months]]/3,0)&amp;"-"&amp;Table1[[#This Row],[order_year]]</f>
        <v>Q3-2024</v>
      </c>
      <c r="J479" s="7">
        <f>Table1[[#This Row],[RequiredDate]]-Table1[[#This Row],[OrderDate]]</f>
        <v>25</v>
      </c>
      <c r="K479" s="7">
        <f>IF(Table1[[#This Row],[lead_time]]&lt;0,MEDIAN(J:J),Table1[[#This Row],[lead_time]])</f>
        <v>25</v>
      </c>
      <c r="L479" s="7">
        <f>IF(Table1[[#This Row],[adj_lead_time]]&lt;=7,1,0)</f>
        <v>0</v>
      </c>
      <c r="M479" s="9">
        <v>45583</v>
      </c>
      <c r="N479" s="9">
        <f>IF(Table1[[#This Row],[lead_time]]&lt;0,(Table1[[#This Row],[OrderDate]]+Table1[[#This Row],[adj_lead_time]]),Table1[[#This Row],[RequiredDate]])</f>
        <v>45583</v>
      </c>
      <c r="O479" t="s">
        <v>648</v>
      </c>
      <c r="P479" t="s">
        <v>653</v>
      </c>
      <c r="Q479" t="s">
        <v>688</v>
      </c>
      <c r="R479" t="s">
        <v>705</v>
      </c>
      <c r="S479" t="s">
        <v>708</v>
      </c>
      <c r="T479" t="s">
        <v>725</v>
      </c>
      <c r="U479" t="s">
        <v>730</v>
      </c>
      <c r="V479" t="s">
        <v>883</v>
      </c>
      <c r="W479">
        <v>1297</v>
      </c>
      <c r="X479">
        <f>Table1[[#This Row],[UnitCost]]*(1+'scenario modeling'!$B$3)</f>
        <v>1426.7</v>
      </c>
      <c r="Y479">
        <v>2411.52</v>
      </c>
      <c r="Z479" t="str">
        <f>IF(Table1[[#This Row],[UnitPrice]]&lt;=Quantiles!$B$2,Quantiles!$A$2,IF(Table1[[#This Row],[UnitPrice]]&lt;=Quantiles!$B$3,Quantiles!$A$3,Quantiles!$A$4))</f>
        <v>High</v>
      </c>
      <c r="AA479">
        <v>2.1000000000000001E-2</v>
      </c>
      <c r="AB479" s="5">
        <f>MIN(Table1[[#This Row],[DiscountPct]],'scenario modeling'!$B$2)</f>
        <v>2.1000000000000001E-2</v>
      </c>
      <c r="AC479" t="str">
        <f>IF(Table1[[#This Row],[DiscountPct]]&gt;0.3, "&gt;0.3","")</f>
        <v/>
      </c>
      <c r="AD479">
        <v>18</v>
      </c>
      <c r="AE479">
        <f>Table1[[#This Row],[Quantity]]*(1+'scenario modeling'!$B$4)</f>
        <v>21.599999999999998</v>
      </c>
      <c r="AF479">
        <f>Table1[[#This Row],[UnitCost]]*Table1[[#This Row],[Quantity]]</f>
        <v>23346</v>
      </c>
      <c r="AG479">
        <f>SUMIF($U:U,Table1[[#This Row],[ProductCategory]],$AM:AM)</f>
        <v>1398841.4532999999</v>
      </c>
      <c r="AH479">
        <f>SUMIFS($AM$2:AM479,$U$2:U479,U479)</f>
        <v>670075.32123999996</v>
      </c>
      <c r="AI479" s="5">
        <f>Table1[[#This Row],[Cumulative_revenue]]/Table1[[#This Row],[Category_revenue]]</f>
        <v>0.47902163583959323</v>
      </c>
      <c r="AJ479" t="str">
        <f>IF(Table1[[#This Row],[cumulative_pct]]&lt;=0.8,"A",IF(Table1[[#This Row],[cumulative_pct]]&lt;=0.95,"B","C"))</f>
        <v>A</v>
      </c>
      <c r="AK479">
        <f>Table1[[#This Row],[adj_unit_cost]]*Table1[[#This Row],[scenario_quantity]]</f>
        <v>30816.719999999998</v>
      </c>
      <c r="AL479" s="5">
        <f>Table1[[#This Row],[UnitPrice]]*Table1[[#This Row],[scenario_quantity]]*(1-Table1[[#This Row],[cap_adjusted_discount]])</f>
        <v>50994.966527999997</v>
      </c>
      <c r="AM479" s="5">
        <f>Table1[[#This Row],[UnitPrice]]*Table1[[#This Row],[Quantity]]*(1-Table1[[#This Row],[DiscountPct]])</f>
        <v>42495.805439999996</v>
      </c>
      <c r="AN479" s="5">
        <f>Table1[[#This Row],[gross_revenue]]-Table1[[#This Row],[cost_of_goods]]</f>
        <v>19149.805439999996</v>
      </c>
      <c r="AO479" s="5">
        <f>Table1[[#This Row],[scenario_revenue]]-Table1[[#This Row],[Scenario_unit_cost]]</f>
        <v>20178.246528</v>
      </c>
      <c r="AP479" s="5">
        <f>IF(Table1[[#This Row],[gross_revenue]]=0,0,Table1[[#This Row],[gross_profit]]/Table1[[#This Row],[gross_revenue]])</f>
        <v>0.45062813239385913</v>
      </c>
    </row>
    <row r="480" spans="1:42" x14ac:dyDescent="0.35">
      <c r="A480" t="s">
        <v>196</v>
      </c>
      <c r="B480" t="str">
        <f>_xlfn.TEXTAFTER(Table1[[#This Row],[OrderID]],"-",2)</f>
        <v>237478</v>
      </c>
      <c r="C480">
        <f>YEAR(Table1[[#This Row],[OrderDate]])</f>
        <v>2024</v>
      </c>
      <c r="D480" s="9">
        <f>_xlfn.MINIFS(F:F,P:P,Table1[[#This Row],[Country]])</f>
        <v>44938</v>
      </c>
      <c r="E480" s="7">
        <f>DATEDIF(Table1[[#This Row],[first_time_orders]],Table1[[#This Row],[OrderDate]],"m")</f>
        <v>20</v>
      </c>
      <c r="F480" s="9">
        <v>45568</v>
      </c>
      <c r="G480" s="2" t="str">
        <f>TEXT(Table1[[#This Row],[OrderDate]],"MMM-YYYY")</f>
        <v>Oct-2024</v>
      </c>
      <c r="H480" s="7">
        <f>MONTH(Table1[[#This Row],[OrderDate]])</f>
        <v>10</v>
      </c>
      <c r="I480" s="7" t="str">
        <f>"Q"&amp;ROUNDUP(Table1[[#This Row],[months]]/3,0)&amp;"-"&amp;Table1[[#This Row],[order_year]]</f>
        <v>Q4-2024</v>
      </c>
      <c r="J480" s="7">
        <f>Table1[[#This Row],[RequiredDate]]-Table1[[#This Row],[OrderDate]]</f>
        <v>8</v>
      </c>
      <c r="K480" s="7">
        <f>IF(Table1[[#This Row],[lead_time]]&lt;0,MEDIAN(J:J),Table1[[#This Row],[lead_time]])</f>
        <v>8</v>
      </c>
      <c r="L480" s="7">
        <f>IF(Table1[[#This Row],[adj_lead_time]]&lt;=7,1,0)</f>
        <v>0</v>
      </c>
      <c r="M480" s="9">
        <v>45576</v>
      </c>
      <c r="N480" s="9">
        <f>IF(Table1[[#This Row],[lead_time]]&lt;0,(Table1[[#This Row],[OrderDate]]+Table1[[#This Row],[adj_lead_time]]),Table1[[#This Row],[RequiredDate]])</f>
        <v>45576</v>
      </c>
      <c r="O480" t="s">
        <v>647</v>
      </c>
      <c r="P480" t="s">
        <v>659</v>
      </c>
      <c r="Q480" t="s">
        <v>699</v>
      </c>
      <c r="R480" t="s">
        <v>706</v>
      </c>
      <c r="S480" t="s">
        <v>711</v>
      </c>
      <c r="T480" t="s">
        <v>717</v>
      </c>
      <c r="U480" t="s">
        <v>730</v>
      </c>
      <c r="V480" t="s">
        <v>915</v>
      </c>
      <c r="W480">
        <v>1132.6099999999999</v>
      </c>
      <c r="X480">
        <f>Table1[[#This Row],[UnitCost]]*(1+'scenario modeling'!$B$3)</f>
        <v>1245.8710000000001</v>
      </c>
      <c r="Y480">
        <v>2206.63</v>
      </c>
      <c r="Z480" t="str">
        <f>IF(Table1[[#This Row],[UnitPrice]]&lt;=Quantiles!$B$2,Quantiles!$A$2,IF(Table1[[#This Row],[UnitPrice]]&lt;=Quantiles!$B$3,Quantiles!$A$3,Quantiles!$A$4))</f>
        <v>High</v>
      </c>
      <c r="AA480">
        <v>6.3E-2</v>
      </c>
      <c r="AB480" s="5">
        <f>MIN(Table1[[#This Row],[DiscountPct]],'scenario modeling'!$B$2)</f>
        <v>6.3E-2</v>
      </c>
      <c r="AC480" t="str">
        <f>IF(Table1[[#This Row],[DiscountPct]]&gt;0.3, "&gt;0.3","")</f>
        <v/>
      </c>
      <c r="AD480">
        <v>20</v>
      </c>
      <c r="AE480">
        <f>Table1[[#This Row],[Quantity]]*(1+'scenario modeling'!$B$4)</f>
        <v>24</v>
      </c>
      <c r="AF480">
        <f>Table1[[#This Row],[UnitCost]]*Table1[[#This Row],[Quantity]]</f>
        <v>22652.199999999997</v>
      </c>
      <c r="AG480">
        <f>SUMIF($U:U,Table1[[#This Row],[ProductCategory]],$AM:AM)</f>
        <v>1398841.4532999999</v>
      </c>
      <c r="AH480">
        <f>SUMIFS($AM$2:AM480,$U$2:U480,U480)</f>
        <v>711427.56744000001</v>
      </c>
      <c r="AI480" s="5">
        <f>Table1[[#This Row],[Cumulative_revenue]]/Table1[[#This Row],[Category_revenue]]</f>
        <v>0.50858341791464268</v>
      </c>
      <c r="AJ480" t="str">
        <f>IF(Table1[[#This Row],[cumulative_pct]]&lt;=0.8,"A",IF(Table1[[#This Row],[cumulative_pct]]&lt;=0.95,"B","C"))</f>
        <v>A</v>
      </c>
      <c r="AK480">
        <f>Table1[[#This Row],[adj_unit_cost]]*Table1[[#This Row],[scenario_quantity]]</f>
        <v>29900.904000000002</v>
      </c>
      <c r="AL480" s="5">
        <f>Table1[[#This Row],[UnitPrice]]*Table1[[#This Row],[scenario_quantity]]*(1-Table1[[#This Row],[cap_adjusted_discount]])</f>
        <v>49622.695440000003</v>
      </c>
      <c r="AM480" s="5">
        <f>Table1[[#This Row],[UnitPrice]]*Table1[[#This Row],[Quantity]]*(1-Table1[[#This Row],[DiscountPct]])</f>
        <v>41352.246200000009</v>
      </c>
      <c r="AN480" s="5">
        <f>Table1[[#This Row],[gross_revenue]]-Table1[[#This Row],[cost_of_goods]]</f>
        <v>18700.046200000012</v>
      </c>
      <c r="AO480" s="5">
        <f>Table1[[#This Row],[scenario_revenue]]-Table1[[#This Row],[Scenario_unit_cost]]</f>
        <v>19721.791440000001</v>
      </c>
      <c r="AP480" s="5">
        <f>IF(Table1[[#This Row],[gross_revenue]]=0,0,Table1[[#This Row],[gross_profit]]/Table1[[#This Row],[gross_revenue]])</f>
        <v>0.45221355351671338</v>
      </c>
    </row>
    <row r="481" spans="1:42" x14ac:dyDescent="0.35">
      <c r="A481" t="s">
        <v>576</v>
      </c>
      <c r="B481" t="str">
        <f>_xlfn.TEXTAFTER(Table1[[#This Row],[OrderID]],"-",2)</f>
        <v>331226</v>
      </c>
      <c r="C481">
        <f>YEAR(Table1[[#This Row],[OrderDate]])</f>
        <v>2024</v>
      </c>
      <c r="D481" s="9">
        <f>_xlfn.MINIFS(F:F,P:P,Table1[[#This Row],[Country]])</f>
        <v>44946</v>
      </c>
      <c r="E481" s="7">
        <f>DATEDIF(Table1[[#This Row],[first_time_orders]],Table1[[#This Row],[OrderDate]],"m")</f>
        <v>22</v>
      </c>
      <c r="F481" s="9">
        <v>45626</v>
      </c>
      <c r="G481" s="2" t="str">
        <f>TEXT(Table1[[#This Row],[OrderDate]],"MMM-YYYY")</f>
        <v>Nov-2024</v>
      </c>
      <c r="H481" s="7">
        <f>MONTH(Table1[[#This Row],[OrderDate]])</f>
        <v>11</v>
      </c>
      <c r="I481" s="7" t="str">
        <f>"Q"&amp;ROUNDUP(Table1[[#This Row],[months]]/3,0)&amp;"-"&amp;Table1[[#This Row],[order_year]]</f>
        <v>Q4-2024</v>
      </c>
      <c r="J481" s="7">
        <f>Table1[[#This Row],[RequiredDate]]-Table1[[#This Row],[OrderDate]]</f>
        <v>19</v>
      </c>
      <c r="K481" s="7">
        <f>IF(Table1[[#This Row],[lead_time]]&lt;0,MEDIAN(J:J),Table1[[#This Row],[lead_time]])</f>
        <v>19</v>
      </c>
      <c r="L481" s="7">
        <f>IF(Table1[[#This Row],[adj_lead_time]]&lt;=7,1,0)</f>
        <v>0</v>
      </c>
      <c r="M481" s="9">
        <v>45645</v>
      </c>
      <c r="N481" s="9">
        <f>IF(Table1[[#This Row],[lead_time]]&lt;0,(Table1[[#This Row],[OrderDate]]+Table1[[#This Row],[adj_lead_time]]),Table1[[#This Row],[RequiredDate]])</f>
        <v>45645</v>
      </c>
      <c r="O481" t="s">
        <v>646</v>
      </c>
      <c r="P481" t="s">
        <v>650</v>
      </c>
      <c r="Q481" t="s">
        <v>662</v>
      </c>
      <c r="R481" t="s">
        <v>701</v>
      </c>
      <c r="S481" t="s">
        <v>708</v>
      </c>
      <c r="T481" t="s">
        <v>716</v>
      </c>
      <c r="U481" t="s">
        <v>730</v>
      </c>
      <c r="V481" t="s">
        <v>1294</v>
      </c>
      <c r="W481">
        <v>1195.98</v>
      </c>
      <c r="X481">
        <f>Table1[[#This Row],[UnitCost]]*(1+'scenario modeling'!$B$3)</f>
        <v>1315.5780000000002</v>
      </c>
      <c r="Y481">
        <v>1841.9</v>
      </c>
      <c r="Z481" t="str">
        <f>IF(Table1[[#This Row],[UnitPrice]]&lt;=Quantiles!$B$2,Quantiles!$A$2,IF(Table1[[#This Row],[UnitPrice]]&lt;=Quantiles!$B$3,Quantiles!$A$3,Quantiles!$A$4))</f>
        <v>High</v>
      </c>
      <c r="AA481">
        <v>5.5E-2</v>
      </c>
      <c r="AB481" s="5">
        <f>MIN(Table1[[#This Row],[DiscountPct]],'scenario modeling'!$B$2)</f>
        <v>5.5E-2</v>
      </c>
      <c r="AC481" t="str">
        <f>IF(Table1[[#This Row],[DiscountPct]]&gt;0.3, "&gt;0.3","")</f>
        <v/>
      </c>
      <c r="AD481">
        <v>19</v>
      </c>
      <c r="AE481">
        <f>Table1[[#This Row],[Quantity]]*(1+'scenario modeling'!$B$4)</f>
        <v>22.8</v>
      </c>
      <c r="AF481">
        <f>Table1[[#This Row],[UnitCost]]*Table1[[#This Row],[Quantity]]</f>
        <v>22723.62</v>
      </c>
      <c r="AG481">
        <f>SUMIF($U:U,Table1[[#This Row],[ProductCategory]],$AM:AM)</f>
        <v>1398841.4532999999</v>
      </c>
      <c r="AH481">
        <f>SUMIFS($AM$2:AM481,$U$2:U481,U481)</f>
        <v>744498.88193999999</v>
      </c>
      <c r="AI481" s="5">
        <f>Table1[[#This Row],[Cumulative_revenue]]/Table1[[#This Row],[Category_revenue]]</f>
        <v>0.53222534990198955</v>
      </c>
      <c r="AJ481" t="str">
        <f>IF(Table1[[#This Row],[cumulative_pct]]&lt;=0.8,"A",IF(Table1[[#This Row],[cumulative_pct]]&lt;=0.95,"B","C"))</f>
        <v>A</v>
      </c>
      <c r="AK481">
        <f>Table1[[#This Row],[adj_unit_cost]]*Table1[[#This Row],[scenario_quantity]]</f>
        <v>29995.178400000004</v>
      </c>
      <c r="AL481" s="5">
        <f>Table1[[#This Row],[UnitPrice]]*Table1[[#This Row],[scenario_quantity]]*(1-Table1[[#This Row],[cap_adjusted_discount]])</f>
        <v>39685.577400000002</v>
      </c>
      <c r="AM481" s="5">
        <f>Table1[[#This Row],[UnitPrice]]*Table1[[#This Row],[Quantity]]*(1-Table1[[#This Row],[DiscountPct]])</f>
        <v>33071.3145</v>
      </c>
      <c r="AN481" s="5">
        <f>Table1[[#This Row],[gross_revenue]]-Table1[[#This Row],[cost_of_goods]]</f>
        <v>10347.694500000001</v>
      </c>
      <c r="AO481" s="5">
        <f>Table1[[#This Row],[scenario_revenue]]-Table1[[#This Row],[Scenario_unit_cost]]</f>
        <v>9690.3989999999976</v>
      </c>
      <c r="AP481" s="5">
        <f>IF(Table1[[#This Row],[gross_revenue]]=0,0,Table1[[#This Row],[gross_profit]]/Table1[[#This Row],[gross_revenue]])</f>
        <v>0.31289032977506842</v>
      </c>
    </row>
    <row r="482" spans="1:42" x14ac:dyDescent="0.35">
      <c r="A482" t="s">
        <v>26</v>
      </c>
      <c r="B482" t="str">
        <f>_xlfn.TEXTAFTER(Table1[[#This Row],[OrderID]],"-",2)</f>
        <v>515515</v>
      </c>
      <c r="C482">
        <f>YEAR(Table1[[#This Row],[OrderDate]])</f>
        <v>2025</v>
      </c>
      <c r="D482" s="9">
        <f>_xlfn.MINIFS(F:F,P:P,Table1[[#This Row],[Country]])</f>
        <v>44988</v>
      </c>
      <c r="E482" s="7">
        <f>DATEDIF(Table1[[#This Row],[first_time_orders]],Table1[[#This Row],[OrderDate]],"m")</f>
        <v>22</v>
      </c>
      <c r="F482" s="9">
        <v>45660</v>
      </c>
      <c r="G482" s="2" t="str">
        <f>TEXT(Table1[[#This Row],[OrderDate]],"MMM-YYYY")</f>
        <v>Jan-2025</v>
      </c>
      <c r="H482" s="7">
        <f>MONTH(Table1[[#This Row],[OrderDate]])</f>
        <v>1</v>
      </c>
      <c r="I482" s="7" t="str">
        <f>"Q"&amp;ROUNDUP(Table1[[#This Row],[months]]/3,0)&amp;"-"&amp;Table1[[#This Row],[order_year]]</f>
        <v>Q1-2025</v>
      </c>
      <c r="J482" s="7">
        <f>Table1[[#This Row],[RequiredDate]]-Table1[[#This Row],[OrderDate]]</f>
        <v>20</v>
      </c>
      <c r="K482" s="7">
        <f>IF(Table1[[#This Row],[lead_time]]&lt;0,MEDIAN(J:J),Table1[[#This Row],[lead_time]])</f>
        <v>20</v>
      </c>
      <c r="L482" s="7">
        <f>IF(Table1[[#This Row],[adj_lead_time]]&lt;=7,1,0)</f>
        <v>0</v>
      </c>
      <c r="M482" s="9">
        <v>45680</v>
      </c>
      <c r="N482" s="9">
        <f>IF(Table1[[#This Row],[lead_time]]&lt;0,(Table1[[#This Row],[OrderDate]]+Table1[[#This Row],[adj_lead_time]]),Table1[[#This Row],[RequiredDate]])</f>
        <v>45680</v>
      </c>
      <c r="O482" t="s">
        <v>647</v>
      </c>
      <c r="P482" t="s">
        <v>652</v>
      </c>
      <c r="Q482" t="s">
        <v>666</v>
      </c>
      <c r="R482" t="s">
        <v>701</v>
      </c>
      <c r="S482" t="s">
        <v>710</v>
      </c>
      <c r="T482" t="s">
        <v>721</v>
      </c>
      <c r="U482" t="s">
        <v>730</v>
      </c>
      <c r="V482" t="s">
        <v>745</v>
      </c>
      <c r="W482">
        <v>908.6</v>
      </c>
      <c r="X482">
        <f>Table1[[#This Row],[UnitCost]]*(1+'scenario modeling'!$B$3)</f>
        <v>999.46000000000015</v>
      </c>
      <c r="Y482">
        <v>691.37</v>
      </c>
      <c r="Z482" t="str">
        <f>IF(Table1[[#This Row],[UnitPrice]]&lt;=Quantiles!$B$2,Quantiles!$A$2,IF(Table1[[#This Row],[UnitPrice]]&lt;=Quantiles!$B$3,Quantiles!$A$3,Quantiles!$A$4))</f>
        <v>Low</v>
      </c>
      <c r="AA482">
        <v>0.25</v>
      </c>
      <c r="AB482" s="5">
        <f>MIN(Table1[[#This Row],[DiscountPct]],'scenario modeling'!$B$2)</f>
        <v>0.1</v>
      </c>
      <c r="AC482" t="str">
        <f>IF(Table1[[#This Row],[DiscountPct]]&gt;0.3, "&gt;0.3","")</f>
        <v/>
      </c>
      <c r="AD482">
        <v>20</v>
      </c>
      <c r="AE482">
        <f>Table1[[#This Row],[Quantity]]*(1+'scenario modeling'!$B$4)</f>
        <v>24</v>
      </c>
      <c r="AF482">
        <f>Table1[[#This Row],[UnitCost]]*Table1[[#This Row],[Quantity]]</f>
        <v>18172</v>
      </c>
      <c r="AG482">
        <f>SUMIF($U:U,Table1[[#This Row],[ProductCategory]],$AM:AM)</f>
        <v>1398841.4532999999</v>
      </c>
      <c r="AH482">
        <f>SUMIFS($AM$2:AM482,$U$2:U482,U482)</f>
        <v>754869.43194000004</v>
      </c>
      <c r="AI482" s="5">
        <f>Table1[[#This Row],[Cumulative_revenue]]/Table1[[#This Row],[Category_revenue]]</f>
        <v>0.53963902067613978</v>
      </c>
      <c r="AJ482" t="str">
        <f>IF(Table1[[#This Row],[cumulative_pct]]&lt;=0.8,"A",IF(Table1[[#This Row],[cumulative_pct]]&lt;=0.95,"B","C"))</f>
        <v>A</v>
      </c>
      <c r="AK482">
        <f>Table1[[#This Row],[adj_unit_cost]]*Table1[[#This Row],[scenario_quantity]]</f>
        <v>23987.040000000005</v>
      </c>
      <c r="AL482" s="5">
        <f>Table1[[#This Row],[UnitPrice]]*Table1[[#This Row],[scenario_quantity]]*(1-Table1[[#This Row],[cap_adjusted_discount]])</f>
        <v>14933.592000000001</v>
      </c>
      <c r="AM482" s="5">
        <f>Table1[[#This Row],[UnitPrice]]*Table1[[#This Row],[Quantity]]*(1-Table1[[#This Row],[DiscountPct]])</f>
        <v>10370.549999999999</v>
      </c>
      <c r="AN482" s="5">
        <f>Table1[[#This Row],[gross_revenue]]-Table1[[#This Row],[cost_of_goods]]</f>
        <v>-7801.4500000000007</v>
      </c>
      <c r="AO482" s="5">
        <f>Table1[[#This Row],[scenario_revenue]]-Table1[[#This Row],[Scenario_unit_cost]]</f>
        <v>-9053.448000000004</v>
      </c>
      <c r="AP482" s="5">
        <f>IF(Table1[[#This Row],[gross_revenue]]=0,0,Table1[[#This Row],[gross_profit]]/Table1[[#This Row],[gross_revenue]])</f>
        <v>-0.75226964818645115</v>
      </c>
    </row>
    <row r="483" spans="1:42" x14ac:dyDescent="0.35">
      <c r="A483" t="s">
        <v>344</v>
      </c>
      <c r="B483" t="str">
        <f>_xlfn.TEXTAFTER(Table1[[#This Row],[OrderID]],"-",2)</f>
        <v>653781</v>
      </c>
      <c r="C483">
        <f>YEAR(Table1[[#This Row],[OrderDate]])</f>
        <v>2025</v>
      </c>
      <c r="D483" s="9">
        <f>_xlfn.MINIFS(F:F,P:P,Table1[[#This Row],[Country]])</f>
        <v>44939</v>
      </c>
      <c r="E483" s="7">
        <f>DATEDIF(Table1[[#This Row],[first_time_orders]],Table1[[#This Row],[OrderDate]],"m")</f>
        <v>23</v>
      </c>
      <c r="F483" s="9">
        <v>45668</v>
      </c>
      <c r="G483" s="2" t="str">
        <f>TEXT(Table1[[#This Row],[OrderDate]],"MMM-YYYY")</f>
        <v>Jan-2025</v>
      </c>
      <c r="H483" s="7">
        <f>MONTH(Table1[[#This Row],[OrderDate]])</f>
        <v>1</v>
      </c>
      <c r="I483" s="7" t="str">
        <f>"Q"&amp;ROUNDUP(Table1[[#This Row],[months]]/3,0)&amp;"-"&amp;Table1[[#This Row],[order_year]]</f>
        <v>Q1-2025</v>
      </c>
      <c r="J483" s="7">
        <f>Table1[[#This Row],[RequiredDate]]-Table1[[#This Row],[OrderDate]]</f>
        <v>12</v>
      </c>
      <c r="K483" s="7">
        <f>IF(Table1[[#This Row],[lead_time]]&lt;0,MEDIAN(J:J),Table1[[#This Row],[lead_time]])</f>
        <v>12</v>
      </c>
      <c r="L483" s="7">
        <f>IF(Table1[[#This Row],[adj_lead_time]]&lt;=7,1,0)</f>
        <v>0</v>
      </c>
      <c r="M483" s="9">
        <v>45680</v>
      </c>
      <c r="N483" s="9">
        <f>IF(Table1[[#This Row],[lead_time]]&lt;0,(Table1[[#This Row],[OrderDate]]+Table1[[#This Row],[adj_lead_time]]),Table1[[#This Row],[RequiredDate]])</f>
        <v>45680</v>
      </c>
      <c r="O483" t="s">
        <v>648</v>
      </c>
      <c r="P483" t="s">
        <v>660</v>
      </c>
      <c r="Q483" t="s">
        <v>697</v>
      </c>
      <c r="R483" t="s">
        <v>704</v>
      </c>
      <c r="S483" t="s">
        <v>710</v>
      </c>
      <c r="T483" t="s">
        <v>722</v>
      </c>
      <c r="U483" t="s">
        <v>730</v>
      </c>
      <c r="V483" t="s">
        <v>1064</v>
      </c>
      <c r="W483">
        <v>100.69</v>
      </c>
      <c r="X483">
        <f>Table1[[#This Row],[UnitCost]]*(1+'scenario modeling'!$B$3)</f>
        <v>110.759</v>
      </c>
      <c r="Y483">
        <v>226.14</v>
      </c>
      <c r="Z483" t="str">
        <f>IF(Table1[[#This Row],[UnitPrice]]&lt;=Quantiles!$B$2,Quantiles!$A$2,IF(Table1[[#This Row],[UnitPrice]]&lt;=Quantiles!$B$3,Quantiles!$A$3,Quantiles!$A$4))</f>
        <v>Low</v>
      </c>
      <c r="AA483">
        <v>6.5000000000000002E-2</v>
      </c>
      <c r="AB483" s="5">
        <f>MIN(Table1[[#This Row],[DiscountPct]],'scenario modeling'!$B$2)</f>
        <v>6.5000000000000002E-2</v>
      </c>
      <c r="AC483" t="str">
        <f>IF(Table1[[#This Row],[DiscountPct]]&gt;0.3, "&gt;0.3","")</f>
        <v/>
      </c>
      <c r="AD483">
        <v>12</v>
      </c>
      <c r="AE483">
        <f>Table1[[#This Row],[Quantity]]*(1+'scenario modeling'!$B$4)</f>
        <v>14.399999999999999</v>
      </c>
      <c r="AF483">
        <f>Table1[[#This Row],[UnitCost]]*Table1[[#This Row],[Quantity]]</f>
        <v>1208.28</v>
      </c>
      <c r="AG483">
        <f>SUMIF($U:U,Table1[[#This Row],[ProductCategory]],$AM:AM)</f>
        <v>1398841.4532999999</v>
      </c>
      <c r="AH483">
        <f>SUMIFS($AM$2:AM483,$U$2:U483,U483)</f>
        <v>757406.72274</v>
      </c>
      <c r="AI483" s="5">
        <f>Table1[[#This Row],[Cumulative_revenue]]/Table1[[#This Row],[Category_revenue]]</f>
        <v>0.54145287227026728</v>
      </c>
      <c r="AJ483" t="str">
        <f>IF(Table1[[#This Row],[cumulative_pct]]&lt;=0.8,"A",IF(Table1[[#This Row],[cumulative_pct]]&lt;=0.95,"B","C"))</f>
        <v>A</v>
      </c>
      <c r="AK483">
        <f>Table1[[#This Row],[adj_unit_cost]]*Table1[[#This Row],[scenario_quantity]]</f>
        <v>1594.9295999999999</v>
      </c>
      <c r="AL483" s="5">
        <f>Table1[[#This Row],[UnitPrice]]*Table1[[#This Row],[scenario_quantity]]*(1-Table1[[#This Row],[cap_adjusted_discount]])</f>
        <v>3044.7489599999994</v>
      </c>
      <c r="AM483" s="5">
        <f>Table1[[#This Row],[UnitPrice]]*Table1[[#This Row],[Quantity]]*(1-Table1[[#This Row],[DiscountPct]])</f>
        <v>2537.2908000000002</v>
      </c>
      <c r="AN483" s="5">
        <f>Table1[[#This Row],[gross_revenue]]-Table1[[#This Row],[cost_of_goods]]</f>
        <v>1329.0108000000002</v>
      </c>
      <c r="AO483" s="5">
        <f>Table1[[#This Row],[scenario_revenue]]-Table1[[#This Row],[Scenario_unit_cost]]</f>
        <v>1449.8193599999995</v>
      </c>
      <c r="AP483" s="5">
        <f>IF(Table1[[#This Row],[gross_revenue]]=0,0,Table1[[#This Row],[gross_profit]]/Table1[[#This Row],[gross_revenue]])</f>
        <v>0.52379128162999689</v>
      </c>
    </row>
    <row r="484" spans="1:42" x14ac:dyDescent="0.35">
      <c r="A484" t="s">
        <v>148</v>
      </c>
      <c r="B484" t="str">
        <f>_xlfn.TEXTAFTER(Table1[[#This Row],[OrderID]],"-",2)</f>
        <v>354346</v>
      </c>
      <c r="C484">
        <f>YEAR(Table1[[#This Row],[OrderDate]])</f>
        <v>2025</v>
      </c>
      <c r="D484" s="9">
        <f>_xlfn.MINIFS(F:F,P:P,Table1[[#This Row],[Country]])</f>
        <v>44938</v>
      </c>
      <c r="E484" s="7">
        <f>DATEDIF(Table1[[#This Row],[first_time_orders]],Table1[[#This Row],[OrderDate]],"m")</f>
        <v>23</v>
      </c>
      <c r="F484" s="9">
        <v>45666</v>
      </c>
      <c r="G484" s="2" t="str">
        <f>TEXT(Table1[[#This Row],[OrderDate]],"MMM-YYYY")</f>
        <v>Jan-2025</v>
      </c>
      <c r="H484" s="7">
        <f>MONTH(Table1[[#This Row],[OrderDate]])</f>
        <v>1</v>
      </c>
      <c r="I484" s="7" t="str">
        <f>"Q"&amp;ROUNDUP(Table1[[#This Row],[months]]/3,0)&amp;"-"&amp;Table1[[#This Row],[order_year]]</f>
        <v>Q1-2025</v>
      </c>
      <c r="J484" s="7">
        <f>Table1[[#This Row],[RequiredDate]]-Table1[[#This Row],[OrderDate]]</f>
        <v>6</v>
      </c>
      <c r="K484" s="7">
        <f>IF(Table1[[#This Row],[lead_time]]&lt;0,MEDIAN(J:J),Table1[[#This Row],[lead_time]])</f>
        <v>6</v>
      </c>
      <c r="L484" s="7">
        <f>IF(Table1[[#This Row],[adj_lead_time]]&lt;=7,1,0)</f>
        <v>1</v>
      </c>
      <c r="M484" s="9">
        <v>45672</v>
      </c>
      <c r="N484" s="9">
        <f>IF(Table1[[#This Row],[lead_time]]&lt;0,(Table1[[#This Row],[OrderDate]]+Table1[[#This Row],[adj_lead_time]]),Table1[[#This Row],[RequiredDate]])</f>
        <v>45672</v>
      </c>
      <c r="O484" t="s">
        <v>647</v>
      </c>
      <c r="P484" t="s">
        <v>659</v>
      </c>
      <c r="Q484" t="s">
        <v>699</v>
      </c>
      <c r="R484" t="s">
        <v>702</v>
      </c>
      <c r="S484" t="s">
        <v>708</v>
      </c>
      <c r="T484" t="s">
        <v>712</v>
      </c>
      <c r="U484" t="s">
        <v>730</v>
      </c>
      <c r="V484" t="s">
        <v>867</v>
      </c>
      <c r="W484">
        <v>304.77999999999997</v>
      </c>
      <c r="X484">
        <f>Table1[[#This Row],[UnitCost]]*(1+'scenario modeling'!$B$3)</f>
        <v>335.25799999999998</v>
      </c>
      <c r="Y484">
        <v>537.27</v>
      </c>
      <c r="Z484" t="str">
        <f>IF(Table1[[#This Row],[UnitPrice]]&lt;=Quantiles!$B$2,Quantiles!$A$2,IF(Table1[[#This Row],[UnitPrice]]&lt;=Quantiles!$B$3,Quantiles!$A$3,Quantiles!$A$4))</f>
        <v>Low</v>
      </c>
      <c r="AA484">
        <v>0.187</v>
      </c>
      <c r="AB484" s="5">
        <f>MIN(Table1[[#This Row],[DiscountPct]],'scenario modeling'!$B$2)</f>
        <v>0.1</v>
      </c>
      <c r="AC484" t="str">
        <f>IF(Table1[[#This Row],[DiscountPct]]&gt;0.3, "&gt;0.3","")</f>
        <v/>
      </c>
      <c r="AD484">
        <v>8</v>
      </c>
      <c r="AE484">
        <f>Table1[[#This Row],[Quantity]]*(1+'scenario modeling'!$B$4)</f>
        <v>9.6</v>
      </c>
      <c r="AF484">
        <f>Table1[[#This Row],[UnitCost]]*Table1[[#This Row],[Quantity]]</f>
        <v>2438.2399999999998</v>
      </c>
      <c r="AG484">
        <f>SUMIF($U:U,Table1[[#This Row],[ProductCategory]],$AM:AM)</f>
        <v>1398841.4532999999</v>
      </c>
      <c r="AH484">
        <f>SUMIFS($AM$2:AM484,$U$2:U484,U484)</f>
        <v>760901.12682</v>
      </c>
      <c r="AI484" s="5">
        <f>Table1[[#This Row],[Cumulative_revenue]]/Table1[[#This Row],[Category_revenue]]</f>
        <v>0.54395094242093123</v>
      </c>
      <c r="AJ484" t="str">
        <f>IF(Table1[[#This Row],[cumulative_pct]]&lt;=0.8,"A",IF(Table1[[#This Row],[cumulative_pct]]&lt;=0.95,"B","C"))</f>
        <v>A</v>
      </c>
      <c r="AK484">
        <f>Table1[[#This Row],[adj_unit_cost]]*Table1[[#This Row],[scenario_quantity]]</f>
        <v>3218.4767999999999</v>
      </c>
      <c r="AL484" s="5">
        <f>Table1[[#This Row],[UnitPrice]]*Table1[[#This Row],[scenario_quantity]]*(1-Table1[[#This Row],[cap_adjusted_discount]])</f>
        <v>4642.0127999999995</v>
      </c>
      <c r="AM484" s="5">
        <f>Table1[[#This Row],[UnitPrice]]*Table1[[#This Row],[Quantity]]*(1-Table1[[#This Row],[DiscountPct]])</f>
        <v>3494.4040799999998</v>
      </c>
      <c r="AN484" s="5">
        <f>Table1[[#This Row],[gross_revenue]]-Table1[[#This Row],[cost_of_goods]]</f>
        <v>1056.16408</v>
      </c>
      <c r="AO484" s="5">
        <f>Table1[[#This Row],[scenario_revenue]]-Table1[[#This Row],[Scenario_unit_cost]]</f>
        <v>1423.5359999999996</v>
      </c>
      <c r="AP484" s="5">
        <f>IF(Table1[[#This Row],[gross_revenue]]=0,0,Table1[[#This Row],[gross_profit]]/Table1[[#This Row],[gross_revenue]])</f>
        <v>0.3022444044307549</v>
      </c>
    </row>
    <row r="485" spans="1:42" x14ac:dyDescent="0.35">
      <c r="A485" t="s">
        <v>156</v>
      </c>
      <c r="B485" t="str">
        <f>_xlfn.TEXTAFTER(Table1[[#This Row],[OrderID]],"-",2)</f>
        <v>902741</v>
      </c>
      <c r="C485">
        <f>YEAR(Table1[[#This Row],[OrderDate]])</f>
        <v>2024</v>
      </c>
      <c r="D485" s="9">
        <f>_xlfn.MINIFS(F:F,P:P,Table1[[#This Row],[Country]])</f>
        <v>44948</v>
      </c>
      <c r="E485" s="7">
        <f>DATEDIF(Table1[[#This Row],[first_time_orders]],Table1[[#This Row],[OrderDate]],"m")</f>
        <v>23</v>
      </c>
      <c r="F485" s="9">
        <v>45649</v>
      </c>
      <c r="G485" s="2" t="str">
        <f>TEXT(Table1[[#This Row],[OrderDate]],"MMM-YYYY")</f>
        <v>Dec-2024</v>
      </c>
      <c r="H485" s="7">
        <f>MONTH(Table1[[#This Row],[OrderDate]])</f>
        <v>12</v>
      </c>
      <c r="I485" s="7" t="str">
        <f>"Q"&amp;ROUNDUP(Table1[[#This Row],[months]]/3,0)&amp;"-"&amp;Table1[[#This Row],[order_year]]</f>
        <v>Q4-2024</v>
      </c>
      <c r="J485" s="7">
        <f>Table1[[#This Row],[RequiredDate]]-Table1[[#This Row],[OrderDate]]</f>
        <v>19</v>
      </c>
      <c r="K485" s="7">
        <f>IF(Table1[[#This Row],[lead_time]]&lt;0,MEDIAN(J:J),Table1[[#This Row],[lead_time]])</f>
        <v>19</v>
      </c>
      <c r="L485" s="7">
        <f>IF(Table1[[#This Row],[adj_lead_time]]&lt;=7,1,0)</f>
        <v>0</v>
      </c>
      <c r="M485" s="9">
        <v>45668</v>
      </c>
      <c r="N485" s="9">
        <f>IF(Table1[[#This Row],[lead_time]]&lt;0,(Table1[[#This Row],[OrderDate]]+Table1[[#This Row],[adj_lead_time]]),Table1[[#This Row],[RequiredDate]])</f>
        <v>45668</v>
      </c>
      <c r="O485" t="s">
        <v>649</v>
      </c>
      <c r="P485" t="s">
        <v>656</v>
      </c>
      <c r="Q485" t="s">
        <v>671</v>
      </c>
      <c r="R485" t="s">
        <v>702</v>
      </c>
      <c r="S485" t="s">
        <v>707</v>
      </c>
      <c r="T485" t="s">
        <v>723</v>
      </c>
      <c r="U485" t="s">
        <v>730</v>
      </c>
      <c r="V485" t="s">
        <v>875</v>
      </c>
      <c r="W485">
        <v>501.81</v>
      </c>
      <c r="X485">
        <f>Table1[[#This Row],[UnitCost]]*(1+'scenario modeling'!$B$3)</f>
        <v>551.9910000000001</v>
      </c>
      <c r="Y485">
        <v>921.62</v>
      </c>
      <c r="Z485" t="str">
        <f>IF(Table1[[#This Row],[UnitPrice]]&lt;=Quantiles!$B$2,Quantiles!$A$2,IF(Table1[[#This Row],[UnitPrice]]&lt;=Quantiles!$B$3,Quantiles!$A$3,Quantiles!$A$4))</f>
        <v>Medium</v>
      </c>
      <c r="AA485">
        <v>0.01</v>
      </c>
      <c r="AB485" s="5">
        <f>MIN(Table1[[#This Row],[DiscountPct]],'scenario modeling'!$B$2)</f>
        <v>0.01</v>
      </c>
      <c r="AC485" t="str">
        <f>IF(Table1[[#This Row],[DiscountPct]]&gt;0.3, "&gt;0.3","")</f>
        <v/>
      </c>
      <c r="AD485">
        <v>9</v>
      </c>
      <c r="AE485">
        <f>Table1[[#This Row],[Quantity]]*(1+'scenario modeling'!$B$4)</f>
        <v>10.799999999999999</v>
      </c>
      <c r="AF485">
        <f>Table1[[#This Row],[UnitCost]]*Table1[[#This Row],[Quantity]]</f>
        <v>4516.29</v>
      </c>
      <c r="AG485">
        <f>SUMIF($U:U,Table1[[#This Row],[ProductCategory]],$AM:AM)</f>
        <v>1398841.4532999999</v>
      </c>
      <c r="AH485">
        <f>SUMIFS($AM$2:AM485,$U$2:U485,U485)</f>
        <v>769112.76101999998</v>
      </c>
      <c r="AI485" s="5">
        <f>Table1[[#This Row],[Cumulative_revenue]]/Table1[[#This Row],[Category_revenue]]</f>
        <v>0.54982125329899956</v>
      </c>
      <c r="AJ485" t="str">
        <f>IF(Table1[[#This Row],[cumulative_pct]]&lt;=0.8,"A",IF(Table1[[#This Row],[cumulative_pct]]&lt;=0.95,"B","C"))</f>
        <v>A</v>
      </c>
      <c r="AK485">
        <f>Table1[[#This Row],[adj_unit_cost]]*Table1[[#This Row],[scenario_quantity]]</f>
        <v>5961.5028000000002</v>
      </c>
      <c r="AL485" s="5">
        <f>Table1[[#This Row],[UnitPrice]]*Table1[[#This Row],[scenario_quantity]]*(1-Table1[[#This Row],[cap_adjusted_discount]])</f>
        <v>9853.9610399999983</v>
      </c>
      <c r="AM485" s="5">
        <f>Table1[[#This Row],[UnitPrice]]*Table1[[#This Row],[Quantity]]*(1-Table1[[#This Row],[DiscountPct]])</f>
        <v>8211.6342000000004</v>
      </c>
      <c r="AN485" s="5">
        <f>Table1[[#This Row],[gross_revenue]]-Table1[[#This Row],[cost_of_goods]]</f>
        <v>3695.3442000000005</v>
      </c>
      <c r="AO485" s="5">
        <f>Table1[[#This Row],[scenario_revenue]]-Table1[[#This Row],[Scenario_unit_cost]]</f>
        <v>3892.4582399999981</v>
      </c>
      <c r="AP485" s="5">
        <f>IF(Table1[[#This Row],[gross_revenue]]=0,0,Table1[[#This Row],[gross_profit]]/Table1[[#This Row],[gross_revenue]])</f>
        <v>0.45001325071202031</v>
      </c>
    </row>
    <row r="486" spans="1:42" x14ac:dyDescent="0.35">
      <c r="A486" t="s">
        <v>227</v>
      </c>
      <c r="B486" t="str">
        <f>_xlfn.TEXTAFTER(Table1[[#This Row],[OrderID]],"-",2)</f>
        <v>564184</v>
      </c>
      <c r="C486">
        <f>YEAR(Table1[[#This Row],[OrderDate]])</f>
        <v>2025</v>
      </c>
      <c r="D486" s="9">
        <f>_xlfn.MINIFS(F:F,P:P,Table1[[#This Row],[Country]])</f>
        <v>44946</v>
      </c>
      <c r="E486" s="7">
        <f>DATEDIF(Table1[[#This Row],[first_time_orders]],Table1[[#This Row],[OrderDate]],"m")</f>
        <v>24</v>
      </c>
      <c r="F486" s="9">
        <v>45686</v>
      </c>
      <c r="G486" s="2" t="str">
        <f>TEXT(Table1[[#This Row],[OrderDate]],"MMM-YYYY")</f>
        <v>Jan-2025</v>
      </c>
      <c r="H486" s="7">
        <f>MONTH(Table1[[#This Row],[OrderDate]])</f>
        <v>1</v>
      </c>
      <c r="I486" s="7" t="str">
        <f>"Q"&amp;ROUNDUP(Table1[[#This Row],[months]]/3,0)&amp;"-"&amp;Table1[[#This Row],[order_year]]</f>
        <v>Q1-2025</v>
      </c>
      <c r="J486" s="7">
        <f>Table1[[#This Row],[RequiredDate]]-Table1[[#This Row],[OrderDate]]</f>
        <v>8</v>
      </c>
      <c r="K486" s="7">
        <f>IF(Table1[[#This Row],[lead_time]]&lt;0,MEDIAN(J:J),Table1[[#This Row],[lead_time]])</f>
        <v>8</v>
      </c>
      <c r="L486" s="7">
        <f>IF(Table1[[#This Row],[adj_lead_time]]&lt;=7,1,0)</f>
        <v>0</v>
      </c>
      <c r="M486" s="9">
        <v>45694</v>
      </c>
      <c r="N486" s="9">
        <f>IF(Table1[[#This Row],[lead_time]]&lt;0,(Table1[[#This Row],[OrderDate]]+Table1[[#This Row],[adj_lead_time]]),Table1[[#This Row],[RequiredDate]])</f>
        <v>45694</v>
      </c>
      <c r="O486" t="s">
        <v>646</v>
      </c>
      <c r="P486" t="s">
        <v>650</v>
      </c>
      <c r="Q486" t="s">
        <v>662</v>
      </c>
      <c r="R486" t="s">
        <v>702</v>
      </c>
      <c r="S486" t="s">
        <v>707</v>
      </c>
      <c r="T486" t="s">
        <v>717</v>
      </c>
      <c r="U486" t="s">
        <v>730</v>
      </c>
      <c r="V486" t="s">
        <v>947</v>
      </c>
      <c r="W486">
        <v>1445.27</v>
      </c>
      <c r="X486">
        <f>Table1[[#This Row],[UnitCost]]*(1+'scenario modeling'!$B$3)</f>
        <v>1589.797</v>
      </c>
      <c r="Y486">
        <v>2691.45</v>
      </c>
      <c r="Z486" t="str">
        <f>IF(Table1[[#This Row],[UnitPrice]]&lt;=Quantiles!$B$2,Quantiles!$A$2,IF(Table1[[#This Row],[UnitPrice]]&lt;=Quantiles!$B$3,Quantiles!$A$3,Quantiles!$A$4))</f>
        <v>High</v>
      </c>
      <c r="AA486">
        <v>0</v>
      </c>
      <c r="AB486" s="5">
        <f>MIN(Table1[[#This Row],[DiscountPct]],'scenario modeling'!$B$2)</f>
        <v>0</v>
      </c>
      <c r="AC486" t="str">
        <f>IF(Table1[[#This Row],[DiscountPct]]&gt;0.3, "&gt;0.3","")</f>
        <v/>
      </c>
      <c r="AD486">
        <v>9</v>
      </c>
      <c r="AE486">
        <f>Table1[[#This Row],[Quantity]]*(1+'scenario modeling'!$B$4)</f>
        <v>10.799999999999999</v>
      </c>
      <c r="AF486">
        <f>Table1[[#This Row],[UnitCost]]*Table1[[#This Row],[Quantity]]</f>
        <v>13007.43</v>
      </c>
      <c r="AG486">
        <f>SUMIF($U:U,Table1[[#This Row],[ProductCategory]],$AM:AM)</f>
        <v>1398841.4532999999</v>
      </c>
      <c r="AH486">
        <f>SUMIFS($AM$2:AM486,$U$2:U486,U486)</f>
        <v>793335.81102000002</v>
      </c>
      <c r="AI486" s="5">
        <f>Table1[[#This Row],[Cumulative_revenue]]/Table1[[#This Row],[Category_revenue]]</f>
        <v>0.56713776185889075</v>
      </c>
      <c r="AJ486" t="str">
        <f>IF(Table1[[#This Row],[cumulative_pct]]&lt;=0.8,"A",IF(Table1[[#This Row],[cumulative_pct]]&lt;=0.95,"B","C"))</f>
        <v>A</v>
      </c>
      <c r="AK486">
        <f>Table1[[#This Row],[adj_unit_cost]]*Table1[[#This Row],[scenario_quantity]]</f>
        <v>17169.8076</v>
      </c>
      <c r="AL486" s="5">
        <f>Table1[[#This Row],[UnitPrice]]*Table1[[#This Row],[scenario_quantity]]*(1-Table1[[#This Row],[cap_adjusted_discount]])</f>
        <v>29067.659999999996</v>
      </c>
      <c r="AM486" s="5">
        <f>Table1[[#This Row],[UnitPrice]]*Table1[[#This Row],[Quantity]]*(1-Table1[[#This Row],[DiscountPct]])</f>
        <v>24223.05</v>
      </c>
      <c r="AN486" s="5">
        <f>Table1[[#This Row],[gross_revenue]]-Table1[[#This Row],[cost_of_goods]]</f>
        <v>11215.619999999999</v>
      </c>
      <c r="AO486" s="5">
        <f>Table1[[#This Row],[scenario_revenue]]-Table1[[#This Row],[Scenario_unit_cost]]</f>
        <v>11897.852399999996</v>
      </c>
      <c r="AP486" s="5">
        <f>IF(Table1[[#This Row],[gross_revenue]]=0,0,Table1[[#This Row],[gross_profit]]/Table1[[#This Row],[gross_revenue]])</f>
        <v>0.46301436028906351</v>
      </c>
    </row>
    <row r="487" spans="1:42" x14ac:dyDescent="0.35">
      <c r="A487" t="s">
        <v>115</v>
      </c>
      <c r="B487" t="str">
        <f>_xlfn.TEXTAFTER(Table1[[#This Row],[OrderID]],"-",2)</f>
        <v>328504</v>
      </c>
      <c r="C487">
        <f>YEAR(Table1[[#This Row],[OrderDate]])</f>
        <v>2025</v>
      </c>
      <c r="D487" s="9">
        <f>_xlfn.MINIFS(F:F,P:P,Table1[[#This Row],[Country]])</f>
        <v>44938</v>
      </c>
      <c r="E487" s="7">
        <f>DATEDIF(Table1[[#This Row],[first_time_orders]],Table1[[#This Row],[OrderDate]],"m")</f>
        <v>24</v>
      </c>
      <c r="F487" s="9">
        <v>45684</v>
      </c>
      <c r="G487" s="2" t="str">
        <f>TEXT(Table1[[#This Row],[OrderDate]],"MMM-YYYY")</f>
        <v>Jan-2025</v>
      </c>
      <c r="H487" s="7">
        <f>MONTH(Table1[[#This Row],[OrderDate]])</f>
        <v>1</v>
      </c>
      <c r="I487" s="7" t="str">
        <f>"Q"&amp;ROUNDUP(Table1[[#This Row],[months]]/3,0)&amp;"-"&amp;Table1[[#This Row],[order_year]]</f>
        <v>Q1-2025</v>
      </c>
      <c r="J487" s="7">
        <f>Table1[[#This Row],[RequiredDate]]-Table1[[#This Row],[OrderDate]]</f>
        <v>19</v>
      </c>
      <c r="K487" s="7">
        <f>IF(Table1[[#This Row],[lead_time]]&lt;0,MEDIAN(J:J),Table1[[#This Row],[lead_time]])</f>
        <v>19</v>
      </c>
      <c r="L487" s="7">
        <f>IF(Table1[[#This Row],[adj_lead_time]]&lt;=7,1,0)</f>
        <v>0</v>
      </c>
      <c r="M487" s="9">
        <v>45703</v>
      </c>
      <c r="N487" s="9">
        <f>IF(Table1[[#This Row],[lead_time]]&lt;0,(Table1[[#This Row],[OrderDate]]+Table1[[#This Row],[adj_lead_time]]),Table1[[#This Row],[RequiredDate]])</f>
        <v>45703</v>
      </c>
      <c r="O487" t="s">
        <v>647</v>
      </c>
      <c r="P487" t="s">
        <v>659</v>
      </c>
      <c r="Q487" t="s">
        <v>676</v>
      </c>
      <c r="R487" t="s">
        <v>703</v>
      </c>
      <c r="S487" t="s">
        <v>711</v>
      </c>
      <c r="T487" t="s">
        <v>716</v>
      </c>
      <c r="U487" t="s">
        <v>730</v>
      </c>
      <c r="V487" t="s">
        <v>834</v>
      </c>
      <c r="W487">
        <v>1253.22</v>
      </c>
      <c r="X487">
        <f>Table1[[#This Row],[UnitCost]]*(1+'scenario modeling'!$B$3)</f>
        <v>1378.5420000000001</v>
      </c>
      <c r="Y487">
        <v>3104.71</v>
      </c>
      <c r="Z487" t="str">
        <f>IF(Table1[[#This Row],[UnitPrice]]&lt;=Quantiles!$B$2,Quantiles!$A$2,IF(Table1[[#This Row],[UnitPrice]]&lt;=Quantiles!$B$3,Quantiles!$A$3,Quantiles!$A$4))</f>
        <v>High</v>
      </c>
      <c r="AA487">
        <v>0</v>
      </c>
      <c r="AB487" s="5">
        <f>MIN(Table1[[#This Row],[DiscountPct]],'scenario modeling'!$B$2)</f>
        <v>0</v>
      </c>
      <c r="AC487" t="str">
        <f>IF(Table1[[#This Row],[DiscountPct]]&gt;0.3, "&gt;0.3","")</f>
        <v/>
      </c>
      <c r="AD487">
        <v>17</v>
      </c>
      <c r="AE487">
        <f>Table1[[#This Row],[Quantity]]*(1+'scenario modeling'!$B$4)</f>
        <v>20.399999999999999</v>
      </c>
      <c r="AF487">
        <f>Table1[[#This Row],[UnitCost]]*Table1[[#This Row],[Quantity]]</f>
        <v>21304.74</v>
      </c>
      <c r="AG487">
        <f>SUMIF($U:U,Table1[[#This Row],[ProductCategory]],$AM:AM)</f>
        <v>1398841.4532999999</v>
      </c>
      <c r="AH487">
        <f>SUMIFS($AM$2:AM487,$U$2:U487,U487)</f>
        <v>846115.88101999997</v>
      </c>
      <c r="AI487" s="5">
        <f>Table1[[#This Row],[Cumulative_revenue]]/Table1[[#This Row],[Category_revenue]]</f>
        <v>0.6048690357466403</v>
      </c>
      <c r="AJ487" t="str">
        <f>IF(Table1[[#This Row],[cumulative_pct]]&lt;=0.8,"A",IF(Table1[[#This Row],[cumulative_pct]]&lt;=0.95,"B","C"))</f>
        <v>A</v>
      </c>
      <c r="AK487">
        <f>Table1[[#This Row],[adj_unit_cost]]*Table1[[#This Row],[scenario_quantity]]</f>
        <v>28122.256799999999</v>
      </c>
      <c r="AL487" s="5">
        <f>Table1[[#This Row],[UnitPrice]]*Table1[[#This Row],[scenario_quantity]]*(1-Table1[[#This Row],[cap_adjusted_discount]])</f>
        <v>63336.083999999995</v>
      </c>
      <c r="AM487" s="5">
        <f>Table1[[#This Row],[UnitPrice]]*Table1[[#This Row],[Quantity]]*(1-Table1[[#This Row],[DiscountPct]])</f>
        <v>52780.07</v>
      </c>
      <c r="AN487" s="5">
        <f>Table1[[#This Row],[gross_revenue]]-Table1[[#This Row],[cost_of_goods]]</f>
        <v>31475.329999999998</v>
      </c>
      <c r="AO487" s="5">
        <f>Table1[[#This Row],[scenario_revenue]]-Table1[[#This Row],[Scenario_unit_cost]]</f>
        <v>35213.8272</v>
      </c>
      <c r="AP487" s="5">
        <f>IF(Table1[[#This Row],[gross_revenue]]=0,0,Table1[[#This Row],[gross_profit]]/Table1[[#This Row],[gross_revenue]])</f>
        <v>0.59634877331538205</v>
      </c>
    </row>
    <row r="488" spans="1:42" x14ac:dyDescent="0.35">
      <c r="A488" t="s">
        <v>421</v>
      </c>
      <c r="B488" t="str">
        <f>_xlfn.TEXTAFTER(Table1[[#This Row],[OrderID]],"-",2)</f>
        <v>881624</v>
      </c>
      <c r="C488">
        <f>YEAR(Table1[[#This Row],[OrderDate]])</f>
        <v>2025</v>
      </c>
      <c r="D488" s="9">
        <f>_xlfn.MINIFS(F:F,P:P,Table1[[#This Row],[Country]])</f>
        <v>44941</v>
      </c>
      <c r="E488" s="7">
        <f>DATEDIF(Table1[[#This Row],[first_time_orders]],Table1[[#This Row],[OrderDate]],"m")</f>
        <v>25</v>
      </c>
      <c r="F488" s="9">
        <v>45709</v>
      </c>
      <c r="G488" s="2" t="str">
        <f>TEXT(Table1[[#This Row],[OrderDate]],"MMM-YYYY")</f>
        <v>Feb-2025</v>
      </c>
      <c r="H488" s="7">
        <f>MONTH(Table1[[#This Row],[OrderDate]])</f>
        <v>2</v>
      </c>
      <c r="I488" s="7" t="str">
        <f>"Q"&amp;ROUNDUP(Table1[[#This Row],[months]]/3,0)&amp;"-"&amp;Table1[[#This Row],[order_year]]</f>
        <v>Q1-2025</v>
      </c>
      <c r="J488" s="7">
        <f>Table1[[#This Row],[RequiredDate]]-Table1[[#This Row],[OrderDate]]</f>
        <v>28</v>
      </c>
      <c r="K488" s="7">
        <f>IF(Table1[[#This Row],[lead_time]]&lt;0,MEDIAN(J:J),Table1[[#This Row],[lead_time]])</f>
        <v>28</v>
      </c>
      <c r="L488" s="7">
        <f>IF(Table1[[#This Row],[adj_lead_time]]&lt;=7,1,0)</f>
        <v>0</v>
      </c>
      <c r="M488" s="9">
        <v>45737</v>
      </c>
      <c r="N488" s="9">
        <f>IF(Table1[[#This Row],[lead_time]]&lt;0,(Table1[[#This Row],[OrderDate]]+Table1[[#This Row],[adj_lead_time]]),Table1[[#This Row],[RequiredDate]])</f>
        <v>45737</v>
      </c>
      <c r="O488" t="s">
        <v>646</v>
      </c>
      <c r="P488" t="s">
        <v>651</v>
      </c>
      <c r="Q488" t="s">
        <v>669</v>
      </c>
      <c r="R488" t="s">
        <v>706</v>
      </c>
      <c r="S488" t="s">
        <v>709</v>
      </c>
      <c r="T488" t="s">
        <v>714</v>
      </c>
      <c r="U488" t="s">
        <v>730</v>
      </c>
      <c r="V488" t="s">
        <v>1140</v>
      </c>
      <c r="W488">
        <v>1437.39</v>
      </c>
      <c r="X488">
        <f>Table1[[#This Row],[UnitCost]]*(1+'scenario modeling'!$B$3)</f>
        <v>1581.1290000000001</v>
      </c>
      <c r="Y488">
        <v>1388.31</v>
      </c>
      <c r="Z488" t="str">
        <f>IF(Table1[[#This Row],[UnitPrice]]&lt;=Quantiles!$B$2,Quantiles!$A$2,IF(Table1[[#This Row],[UnitPrice]]&lt;=Quantiles!$B$3,Quantiles!$A$3,Quantiles!$A$4))</f>
        <v>Medium</v>
      </c>
      <c r="AA488">
        <v>0.13800000000000001</v>
      </c>
      <c r="AB488" s="5">
        <f>MIN(Table1[[#This Row],[DiscountPct]],'scenario modeling'!$B$2)</f>
        <v>0.1</v>
      </c>
      <c r="AC488" t="str">
        <f>IF(Table1[[#This Row],[DiscountPct]]&gt;0.3, "&gt;0.3","")</f>
        <v/>
      </c>
      <c r="AD488">
        <v>18</v>
      </c>
      <c r="AE488">
        <f>Table1[[#This Row],[Quantity]]*(1+'scenario modeling'!$B$4)</f>
        <v>21.599999999999998</v>
      </c>
      <c r="AF488">
        <f>Table1[[#This Row],[UnitCost]]*Table1[[#This Row],[Quantity]]</f>
        <v>25873.02</v>
      </c>
      <c r="AG488">
        <f>SUMIF($U:U,Table1[[#This Row],[ProductCategory]],$AM:AM)</f>
        <v>1398841.4532999999</v>
      </c>
      <c r="AH488">
        <f>SUMIFS($AM$2:AM488,$U$2:U488,U488)</f>
        <v>867656.89897999994</v>
      </c>
      <c r="AI488" s="5">
        <f>Table1[[#This Row],[Cumulative_revenue]]/Table1[[#This Row],[Category_revenue]]</f>
        <v>0.62026822048568464</v>
      </c>
      <c r="AJ488" t="str">
        <f>IF(Table1[[#This Row],[cumulative_pct]]&lt;=0.8,"A",IF(Table1[[#This Row],[cumulative_pct]]&lt;=0.95,"B","C"))</f>
        <v>A</v>
      </c>
      <c r="AK488">
        <f>Table1[[#This Row],[adj_unit_cost]]*Table1[[#This Row],[scenario_quantity]]</f>
        <v>34152.386400000003</v>
      </c>
      <c r="AL488" s="5">
        <f>Table1[[#This Row],[UnitPrice]]*Table1[[#This Row],[scenario_quantity]]*(1-Table1[[#This Row],[cap_adjusted_discount]])</f>
        <v>26988.746399999996</v>
      </c>
      <c r="AM488" s="5">
        <f>Table1[[#This Row],[UnitPrice]]*Table1[[#This Row],[Quantity]]*(1-Table1[[#This Row],[DiscountPct]])</f>
        <v>21541.017959999997</v>
      </c>
      <c r="AN488" s="5">
        <f>Table1[[#This Row],[gross_revenue]]-Table1[[#This Row],[cost_of_goods]]</f>
        <v>-4332.002040000003</v>
      </c>
      <c r="AO488" s="5">
        <f>Table1[[#This Row],[scenario_revenue]]-Table1[[#This Row],[Scenario_unit_cost]]</f>
        <v>-7163.6400000000067</v>
      </c>
      <c r="AP488" s="5">
        <f>IF(Table1[[#This Row],[gross_revenue]]=0,0,Table1[[#This Row],[gross_profit]]/Table1[[#This Row],[gross_revenue]])</f>
        <v>-0.20110479681341872</v>
      </c>
    </row>
    <row r="489" spans="1:42" x14ac:dyDescent="0.35">
      <c r="A489" t="s">
        <v>435</v>
      </c>
      <c r="B489" t="str">
        <f>_xlfn.TEXTAFTER(Table1[[#This Row],[OrderID]],"-",2)</f>
        <v>276968</v>
      </c>
      <c r="C489">
        <f>YEAR(Table1[[#This Row],[OrderDate]])</f>
        <v>2025</v>
      </c>
      <c r="D489" s="9">
        <f>_xlfn.MINIFS(F:F,P:P,Table1[[#This Row],[Country]])</f>
        <v>44939</v>
      </c>
      <c r="E489" s="7">
        <f>DATEDIF(Table1[[#This Row],[first_time_orders]],Table1[[#This Row],[OrderDate]],"m")</f>
        <v>25</v>
      </c>
      <c r="F489" s="9">
        <v>45713</v>
      </c>
      <c r="G489" s="2" t="str">
        <f>TEXT(Table1[[#This Row],[OrderDate]],"MMM-YYYY")</f>
        <v>Feb-2025</v>
      </c>
      <c r="H489" s="7">
        <f>MONTH(Table1[[#This Row],[OrderDate]])</f>
        <v>2</v>
      </c>
      <c r="I489" s="7" t="str">
        <f>"Q"&amp;ROUNDUP(Table1[[#This Row],[months]]/3,0)&amp;"-"&amp;Table1[[#This Row],[order_year]]</f>
        <v>Q1-2025</v>
      </c>
      <c r="J489" s="7">
        <f>Table1[[#This Row],[RequiredDate]]-Table1[[#This Row],[OrderDate]]</f>
        <v>20</v>
      </c>
      <c r="K489" s="7">
        <f>IF(Table1[[#This Row],[lead_time]]&lt;0,MEDIAN(J:J),Table1[[#This Row],[lead_time]])</f>
        <v>20</v>
      </c>
      <c r="L489" s="7">
        <f>IF(Table1[[#This Row],[adj_lead_time]]&lt;=7,1,0)</f>
        <v>0</v>
      </c>
      <c r="M489" s="9">
        <v>45733</v>
      </c>
      <c r="N489" s="9">
        <f>IF(Table1[[#This Row],[lead_time]]&lt;0,(Table1[[#This Row],[OrderDate]]+Table1[[#This Row],[adj_lead_time]]),Table1[[#This Row],[RequiredDate]])</f>
        <v>45733</v>
      </c>
      <c r="O489" t="s">
        <v>648</v>
      </c>
      <c r="P489" t="s">
        <v>660</v>
      </c>
      <c r="Q489" t="s">
        <v>686</v>
      </c>
      <c r="R489" t="s">
        <v>703</v>
      </c>
      <c r="S489" t="s">
        <v>709</v>
      </c>
      <c r="T489" t="s">
        <v>722</v>
      </c>
      <c r="U489" t="s">
        <v>730</v>
      </c>
      <c r="V489" t="s">
        <v>1154</v>
      </c>
      <c r="W489">
        <v>1205.26</v>
      </c>
      <c r="X489">
        <f>Table1[[#This Row],[UnitCost]]*(1+'scenario modeling'!$B$3)</f>
        <v>1325.7860000000001</v>
      </c>
      <c r="Y489">
        <v>1696.35</v>
      </c>
      <c r="Z489" t="str">
        <f>IF(Table1[[#This Row],[UnitPrice]]&lt;=Quantiles!$B$2,Quantiles!$A$2,IF(Table1[[#This Row],[UnitPrice]]&lt;=Quantiles!$B$3,Quantiles!$A$3,Quantiles!$A$4))</f>
        <v>High</v>
      </c>
      <c r="AA489">
        <v>1.9E-2</v>
      </c>
      <c r="AB489" s="5">
        <f>MIN(Table1[[#This Row],[DiscountPct]],'scenario modeling'!$B$2)</f>
        <v>1.9E-2</v>
      </c>
      <c r="AC489" t="str">
        <f>IF(Table1[[#This Row],[DiscountPct]]&gt;0.3, "&gt;0.3","")</f>
        <v/>
      </c>
      <c r="AD489">
        <v>6</v>
      </c>
      <c r="AE489">
        <f>Table1[[#This Row],[Quantity]]*(1+'scenario modeling'!$B$4)</f>
        <v>7.1999999999999993</v>
      </c>
      <c r="AF489">
        <f>Table1[[#This Row],[UnitCost]]*Table1[[#This Row],[Quantity]]</f>
        <v>7231.5599999999995</v>
      </c>
      <c r="AG489">
        <f>SUMIF($U:U,Table1[[#This Row],[ProductCategory]],$AM:AM)</f>
        <v>1398841.4532999999</v>
      </c>
      <c r="AH489">
        <f>SUMIFS($AM$2:AM489,$U$2:U489,U489)</f>
        <v>877641.6150799999</v>
      </c>
      <c r="AI489" s="5">
        <f>Table1[[#This Row],[Cumulative_revenue]]/Table1[[#This Row],[Category_revenue]]</f>
        <v>0.6274060673635028</v>
      </c>
      <c r="AJ489" t="str">
        <f>IF(Table1[[#This Row],[cumulative_pct]]&lt;=0.8,"A",IF(Table1[[#This Row],[cumulative_pct]]&lt;=0.95,"B","C"))</f>
        <v>A</v>
      </c>
      <c r="AK489">
        <f>Table1[[#This Row],[adj_unit_cost]]*Table1[[#This Row],[scenario_quantity]]</f>
        <v>9545.6592000000001</v>
      </c>
      <c r="AL489" s="5">
        <f>Table1[[#This Row],[UnitPrice]]*Table1[[#This Row],[scenario_quantity]]*(1-Table1[[#This Row],[cap_adjusted_discount]])</f>
        <v>11981.659319999997</v>
      </c>
      <c r="AM489" s="5">
        <f>Table1[[#This Row],[UnitPrice]]*Table1[[#This Row],[Quantity]]*(1-Table1[[#This Row],[DiscountPct]])</f>
        <v>9984.7160999999978</v>
      </c>
      <c r="AN489" s="5">
        <f>Table1[[#This Row],[gross_revenue]]-Table1[[#This Row],[cost_of_goods]]</f>
        <v>2753.1560999999983</v>
      </c>
      <c r="AO489" s="5">
        <f>Table1[[#This Row],[scenario_revenue]]-Table1[[#This Row],[Scenario_unit_cost]]</f>
        <v>2436.000119999997</v>
      </c>
      <c r="AP489" s="5">
        <f>IF(Table1[[#This Row],[gross_revenue]]=0,0,Table1[[#This Row],[gross_profit]]/Table1[[#This Row],[gross_revenue]])</f>
        <v>0.27573704374028213</v>
      </c>
    </row>
    <row r="490" spans="1:42" x14ac:dyDescent="0.35">
      <c r="A490" t="s">
        <v>586</v>
      </c>
      <c r="B490" t="str">
        <f>_xlfn.TEXTAFTER(Table1[[#This Row],[OrderID]],"-",2)</f>
        <v>177994</v>
      </c>
      <c r="C490">
        <f>YEAR(Table1[[#This Row],[OrderDate]])</f>
        <v>2025</v>
      </c>
      <c r="D490" s="9">
        <f>_xlfn.MINIFS(F:F,P:P,Table1[[#This Row],[Country]])</f>
        <v>44955</v>
      </c>
      <c r="E490" s="7">
        <f>DATEDIF(Table1[[#This Row],[first_time_orders]],Table1[[#This Row],[OrderDate]],"m")</f>
        <v>25</v>
      </c>
      <c r="F490" s="9">
        <v>45740</v>
      </c>
      <c r="G490" s="2" t="str">
        <f>TEXT(Table1[[#This Row],[OrderDate]],"MMM-YYYY")</f>
        <v>Mar-2025</v>
      </c>
      <c r="H490" s="7">
        <f>MONTH(Table1[[#This Row],[OrderDate]])</f>
        <v>3</v>
      </c>
      <c r="I490" s="7" t="str">
        <f>"Q"&amp;ROUNDUP(Table1[[#This Row],[months]]/3,0)&amp;"-"&amp;Table1[[#This Row],[order_year]]</f>
        <v>Q1-2025</v>
      </c>
      <c r="J490" s="7">
        <f>Table1[[#This Row],[RequiredDate]]-Table1[[#This Row],[OrderDate]]</f>
        <v>11</v>
      </c>
      <c r="K490" s="7">
        <f>IF(Table1[[#This Row],[lead_time]]&lt;0,MEDIAN(J:J),Table1[[#This Row],[lead_time]])</f>
        <v>11</v>
      </c>
      <c r="L490" s="7">
        <f>IF(Table1[[#This Row],[adj_lead_time]]&lt;=7,1,0)</f>
        <v>0</v>
      </c>
      <c r="M490" s="9">
        <v>45751</v>
      </c>
      <c r="N490" s="9">
        <f>IF(Table1[[#This Row],[lead_time]]&lt;0,(Table1[[#This Row],[OrderDate]]+Table1[[#This Row],[adj_lead_time]]),Table1[[#This Row],[RequiredDate]])</f>
        <v>45751</v>
      </c>
      <c r="O490" t="s">
        <v>647</v>
      </c>
      <c r="P490" t="s">
        <v>654</v>
      </c>
      <c r="Q490" t="s">
        <v>691</v>
      </c>
      <c r="R490" t="s">
        <v>702</v>
      </c>
      <c r="S490" t="s">
        <v>709</v>
      </c>
      <c r="T490" t="s">
        <v>713</v>
      </c>
      <c r="U490" t="s">
        <v>730</v>
      </c>
      <c r="V490" t="s">
        <v>1304</v>
      </c>
      <c r="W490">
        <v>23.83</v>
      </c>
      <c r="X490">
        <f>Table1[[#This Row],[UnitCost]]*(1+'scenario modeling'!$B$3)</f>
        <v>26.213000000000001</v>
      </c>
      <c r="Y490">
        <v>47.29</v>
      </c>
      <c r="Z490" t="str">
        <f>IF(Table1[[#This Row],[UnitPrice]]&lt;=Quantiles!$B$2,Quantiles!$A$2,IF(Table1[[#This Row],[UnitPrice]]&lt;=Quantiles!$B$3,Quantiles!$A$3,Quantiles!$A$4))</f>
        <v>Low</v>
      </c>
      <c r="AA490">
        <v>6.4000000000000001E-2</v>
      </c>
      <c r="AB490" s="5">
        <f>MIN(Table1[[#This Row],[DiscountPct]],'scenario modeling'!$B$2)</f>
        <v>6.4000000000000001E-2</v>
      </c>
      <c r="AC490" t="str">
        <f>IF(Table1[[#This Row],[DiscountPct]]&gt;0.3, "&gt;0.3","")</f>
        <v/>
      </c>
      <c r="AD490">
        <v>19</v>
      </c>
      <c r="AE490">
        <f>Table1[[#This Row],[Quantity]]*(1+'scenario modeling'!$B$4)</f>
        <v>22.8</v>
      </c>
      <c r="AF490">
        <f>Table1[[#This Row],[UnitCost]]*Table1[[#This Row],[Quantity]]</f>
        <v>452.77</v>
      </c>
      <c r="AG490">
        <f>SUMIF($U:U,Table1[[#This Row],[ProductCategory]],$AM:AM)</f>
        <v>1398841.4532999999</v>
      </c>
      <c r="AH490">
        <f>SUMIFS($AM$2:AM490,$U$2:U490,U490)</f>
        <v>878482.62043999985</v>
      </c>
      <c r="AI490" s="5">
        <f>Table1[[#This Row],[Cumulative_revenue]]/Table1[[#This Row],[Category_revenue]]</f>
        <v>0.62800728300378561</v>
      </c>
      <c r="AJ490" t="str">
        <f>IF(Table1[[#This Row],[cumulative_pct]]&lt;=0.8,"A",IF(Table1[[#This Row],[cumulative_pct]]&lt;=0.95,"B","C"))</f>
        <v>A</v>
      </c>
      <c r="AK490">
        <f>Table1[[#This Row],[adj_unit_cost]]*Table1[[#This Row],[scenario_quantity]]</f>
        <v>597.65640000000008</v>
      </c>
      <c r="AL490" s="5">
        <f>Table1[[#This Row],[UnitPrice]]*Table1[[#This Row],[scenario_quantity]]*(1-Table1[[#This Row],[cap_adjusted_discount]])</f>
        <v>1009.2064319999999</v>
      </c>
      <c r="AM490" s="5">
        <f>Table1[[#This Row],[UnitPrice]]*Table1[[#This Row],[Quantity]]*(1-Table1[[#This Row],[DiscountPct]])</f>
        <v>841.00536</v>
      </c>
      <c r="AN490" s="5">
        <f>Table1[[#This Row],[gross_revenue]]-Table1[[#This Row],[cost_of_goods]]</f>
        <v>388.23536000000001</v>
      </c>
      <c r="AO490" s="5">
        <f>Table1[[#This Row],[scenario_revenue]]-Table1[[#This Row],[Scenario_unit_cost]]</f>
        <v>411.55003199999987</v>
      </c>
      <c r="AP490" s="5">
        <f>IF(Table1[[#This Row],[gross_revenue]]=0,0,Table1[[#This Row],[gross_profit]]/Table1[[#This Row],[gross_revenue]])</f>
        <v>0.46163244429262618</v>
      </c>
    </row>
    <row r="491" spans="1:42" x14ac:dyDescent="0.35">
      <c r="A491" t="s">
        <v>545</v>
      </c>
      <c r="B491" t="str">
        <f>_xlfn.TEXTAFTER(Table1[[#This Row],[OrderID]],"-",2)</f>
        <v>926547</v>
      </c>
      <c r="C491">
        <f>YEAR(Table1[[#This Row],[OrderDate]])</f>
        <v>2025</v>
      </c>
      <c r="D491" s="9">
        <f>_xlfn.MINIFS(F:F,P:P,Table1[[#This Row],[Country]])</f>
        <v>44948</v>
      </c>
      <c r="E491" s="7">
        <f>DATEDIF(Table1[[#This Row],[first_time_orders]],Table1[[#This Row],[OrderDate]],"m")</f>
        <v>25</v>
      </c>
      <c r="F491" s="9">
        <v>45727</v>
      </c>
      <c r="G491" s="2" t="str">
        <f>TEXT(Table1[[#This Row],[OrderDate]],"MMM-YYYY")</f>
        <v>Mar-2025</v>
      </c>
      <c r="H491" s="7">
        <f>MONTH(Table1[[#This Row],[OrderDate]])</f>
        <v>3</v>
      </c>
      <c r="I491" s="7" t="str">
        <f>"Q"&amp;ROUNDUP(Table1[[#This Row],[months]]/3,0)&amp;"-"&amp;Table1[[#This Row],[order_year]]</f>
        <v>Q1-2025</v>
      </c>
      <c r="J491" s="7">
        <f>Table1[[#This Row],[RequiredDate]]-Table1[[#This Row],[OrderDate]]</f>
        <v>15</v>
      </c>
      <c r="K491" s="7">
        <f>IF(Table1[[#This Row],[lead_time]]&lt;0,MEDIAN(J:J),Table1[[#This Row],[lead_time]])</f>
        <v>15</v>
      </c>
      <c r="L491" s="7">
        <f>IF(Table1[[#This Row],[adj_lead_time]]&lt;=7,1,0)</f>
        <v>0</v>
      </c>
      <c r="M491" s="9">
        <v>45742</v>
      </c>
      <c r="N491" s="9">
        <f>IF(Table1[[#This Row],[lead_time]]&lt;0,(Table1[[#This Row],[OrderDate]]+Table1[[#This Row],[adj_lead_time]]),Table1[[#This Row],[RequiredDate]])</f>
        <v>45742</v>
      </c>
      <c r="O491" t="s">
        <v>649</v>
      </c>
      <c r="P491" t="s">
        <v>656</v>
      </c>
      <c r="Q491" t="s">
        <v>671</v>
      </c>
      <c r="R491" t="s">
        <v>705</v>
      </c>
      <c r="S491" t="s">
        <v>708</v>
      </c>
      <c r="T491" t="s">
        <v>714</v>
      </c>
      <c r="U491" t="s">
        <v>730</v>
      </c>
      <c r="V491" t="s">
        <v>1264</v>
      </c>
      <c r="W491">
        <v>116.97</v>
      </c>
      <c r="X491">
        <f>Table1[[#This Row],[UnitCost]]*(1+'scenario modeling'!$B$3)</f>
        <v>128.667</v>
      </c>
      <c r="Y491">
        <v>140.82</v>
      </c>
      <c r="Z491" t="str">
        <f>IF(Table1[[#This Row],[UnitPrice]]&lt;=Quantiles!$B$2,Quantiles!$A$2,IF(Table1[[#This Row],[UnitPrice]]&lt;=Quantiles!$B$3,Quantiles!$A$3,Quantiles!$A$4))</f>
        <v>Low</v>
      </c>
      <c r="AA491">
        <v>0.122</v>
      </c>
      <c r="AB491" s="5">
        <f>MIN(Table1[[#This Row],[DiscountPct]],'scenario modeling'!$B$2)</f>
        <v>0.1</v>
      </c>
      <c r="AC491" t="str">
        <f>IF(Table1[[#This Row],[DiscountPct]]&gt;0.3, "&gt;0.3","")</f>
        <v/>
      </c>
      <c r="AD491">
        <v>5</v>
      </c>
      <c r="AE491">
        <f>Table1[[#This Row],[Quantity]]*(1+'scenario modeling'!$B$4)</f>
        <v>6</v>
      </c>
      <c r="AF491">
        <f>Table1[[#This Row],[UnitCost]]*Table1[[#This Row],[Quantity]]</f>
        <v>584.85</v>
      </c>
      <c r="AG491">
        <f>SUMIF($U:U,Table1[[#This Row],[ProductCategory]],$AM:AM)</f>
        <v>1398841.4532999999</v>
      </c>
      <c r="AH491">
        <f>SUMIFS($AM$2:AM491,$U$2:U491,U491)</f>
        <v>879100.8202399998</v>
      </c>
      <c r="AI491" s="5">
        <f>Table1[[#This Row],[Cumulative_revenue]]/Table1[[#This Row],[Category_revenue]]</f>
        <v>0.6284492200071119</v>
      </c>
      <c r="AJ491" t="str">
        <f>IF(Table1[[#This Row],[cumulative_pct]]&lt;=0.8,"A",IF(Table1[[#This Row],[cumulative_pct]]&lt;=0.95,"B","C"))</f>
        <v>A</v>
      </c>
      <c r="AK491">
        <f>Table1[[#This Row],[adj_unit_cost]]*Table1[[#This Row],[scenario_quantity]]</f>
        <v>772.00199999999995</v>
      </c>
      <c r="AL491" s="5">
        <f>Table1[[#This Row],[UnitPrice]]*Table1[[#This Row],[scenario_quantity]]*(1-Table1[[#This Row],[cap_adjusted_discount]])</f>
        <v>760.428</v>
      </c>
      <c r="AM491" s="5">
        <f>Table1[[#This Row],[UnitPrice]]*Table1[[#This Row],[Quantity]]*(1-Table1[[#This Row],[DiscountPct]])</f>
        <v>618.19979999999987</v>
      </c>
      <c r="AN491" s="5">
        <f>Table1[[#This Row],[gross_revenue]]-Table1[[#This Row],[cost_of_goods]]</f>
        <v>33.349799999999846</v>
      </c>
      <c r="AO491" s="5">
        <f>Table1[[#This Row],[scenario_revenue]]-Table1[[#This Row],[Scenario_unit_cost]]</f>
        <v>-11.573999999999955</v>
      </c>
      <c r="AP491" s="5">
        <f>IF(Table1[[#This Row],[gross_revenue]]=0,0,Table1[[#This Row],[gross_profit]]/Table1[[#This Row],[gross_revenue]])</f>
        <v>5.3946636669891926E-2</v>
      </c>
    </row>
    <row r="492" spans="1:42" x14ac:dyDescent="0.35">
      <c r="A492" t="s">
        <v>18</v>
      </c>
      <c r="B492" t="str">
        <f>_xlfn.TEXTAFTER(Table1[[#This Row],[OrderID]],"-",2)</f>
        <v>168148</v>
      </c>
      <c r="C492">
        <f>YEAR(Table1[[#This Row],[OrderDate]])</f>
        <v>2025</v>
      </c>
      <c r="D492" s="9">
        <f>_xlfn.MINIFS(F:F,P:P,Table1[[#This Row],[Country]])</f>
        <v>44941</v>
      </c>
      <c r="E492" s="7">
        <f>DATEDIF(Table1[[#This Row],[first_time_orders]],Table1[[#This Row],[OrderDate]],"m")</f>
        <v>26</v>
      </c>
      <c r="F492" s="9">
        <v>45745</v>
      </c>
      <c r="G492" s="2" t="str">
        <f>TEXT(Table1[[#This Row],[OrderDate]],"MMM-YYYY")</f>
        <v>Mar-2025</v>
      </c>
      <c r="H492" s="7">
        <f>MONTH(Table1[[#This Row],[OrderDate]])</f>
        <v>3</v>
      </c>
      <c r="I492" s="7" t="str">
        <f>"Q"&amp;ROUNDUP(Table1[[#This Row],[months]]/3,0)&amp;"-"&amp;Table1[[#This Row],[order_year]]</f>
        <v>Q1-2025</v>
      </c>
      <c r="J492" s="7">
        <f>Table1[[#This Row],[RequiredDate]]-Table1[[#This Row],[OrderDate]]</f>
        <v>4</v>
      </c>
      <c r="K492" s="7">
        <f>IF(Table1[[#This Row],[lead_time]]&lt;0,MEDIAN(J:J),Table1[[#This Row],[lead_time]])</f>
        <v>4</v>
      </c>
      <c r="L492" s="7">
        <f>IF(Table1[[#This Row],[adj_lead_time]]&lt;=7,1,0)</f>
        <v>1</v>
      </c>
      <c r="M492" s="9">
        <v>45749</v>
      </c>
      <c r="N492" s="9">
        <f>IF(Table1[[#This Row],[lead_time]]&lt;0,(Table1[[#This Row],[OrderDate]]+Table1[[#This Row],[adj_lead_time]]),Table1[[#This Row],[RequiredDate]])</f>
        <v>45749</v>
      </c>
      <c r="O492" t="s">
        <v>646</v>
      </c>
      <c r="P492" t="s">
        <v>651</v>
      </c>
      <c r="Q492" t="s">
        <v>665</v>
      </c>
      <c r="R492" t="s">
        <v>703</v>
      </c>
      <c r="S492" t="s">
        <v>709</v>
      </c>
      <c r="T492" t="s">
        <v>715</v>
      </c>
      <c r="U492" t="s">
        <v>730</v>
      </c>
      <c r="V492" t="s">
        <v>737</v>
      </c>
      <c r="W492">
        <v>259.93</v>
      </c>
      <c r="X492">
        <f>Table1[[#This Row],[UnitCost]]*(1+'scenario modeling'!$B$3)</f>
        <v>285.92300000000006</v>
      </c>
      <c r="Y492">
        <v>255.94</v>
      </c>
      <c r="Z492" t="str">
        <f>IF(Table1[[#This Row],[UnitPrice]]&lt;=Quantiles!$B$2,Quantiles!$A$2,IF(Table1[[#This Row],[UnitPrice]]&lt;=Quantiles!$B$3,Quantiles!$A$3,Quantiles!$A$4))</f>
        <v>Low</v>
      </c>
      <c r="AA492">
        <v>7.1999999999999995E-2</v>
      </c>
      <c r="AB492" s="5">
        <f>MIN(Table1[[#This Row],[DiscountPct]],'scenario modeling'!$B$2)</f>
        <v>7.1999999999999995E-2</v>
      </c>
      <c r="AC492" t="str">
        <f>IF(Table1[[#This Row],[DiscountPct]]&gt;0.3, "&gt;0.3","")</f>
        <v/>
      </c>
      <c r="AD492">
        <v>22</v>
      </c>
      <c r="AE492">
        <f>Table1[[#This Row],[Quantity]]*(1+'scenario modeling'!$B$4)</f>
        <v>26.4</v>
      </c>
      <c r="AF492">
        <f>Table1[[#This Row],[UnitCost]]*Table1[[#This Row],[Quantity]]</f>
        <v>5718.46</v>
      </c>
      <c r="AG492">
        <f>SUMIF($U:U,Table1[[#This Row],[ProductCategory]],$AM:AM)</f>
        <v>1398841.4532999999</v>
      </c>
      <c r="AH492">
        <f>SUMIFS($AM$2:AM492,$U$2:U492,U492)</f>
        <v>884326.09127999982</v>
      </c>
      <c r="AI492" s="5">
        <f>Table1[[#This Row],[Cumulative_revenue]]/Table1[[#This Row],[Category_revenue]]</f>
        <v>0.63218464765523674</v>
      </c>
      <c r="AJ492" t="str">
        <f>IF(Table1[[#This Row],[cumulative_pct]]&lt;=0.8,"A",IF(Table1[[#This Row],[cumulative_pct]]&lt;=0.95,"B","C"))</f>
        <v>A</v>
      </c>
      <c r="AK492">
        <f>Table1[[#This Row],[adj_unit_cost]]*Table1[[#This Row],[scenario_quantity]]</f>
        <v>7548.3672000000015</v>
      </c>
      <c r="AL492" s="5">
        <f>Table1[[#This Row],[UnitPrice]]*Table1[[#This Row],[scenario_quantity]]*(1-Table1[[#This Row],[cap_adjusted_discount]])</f>
        <v>6270.3252480000001</v>
      </c>
      <c r="AM492" s="5">
        <f>Table1[[#This Row],[UnitPrice]]*Table1[[#This Row],[Quantity]]*(1-Table1[[#This Row],[DiscountPct]])</f>
        <v>5225.2710400000005</v>
      </c>
      <c r="AN492" s="5">
        <f>Table1[[#This Row],[gross_revenue]]-Table1[[#This Row],[cost_of_goods]]</f>
        <v>-493.1889599999995</v>
      </c>
      <c r="AO492" s="5">
        <f>Table1[[#This Row],[scenario_revenue]]-Table1[[#This Row],[Scenario_unit_cost]]</f>
        <v>-1278.0419520000014</v>
      </c>
      <c r="AP492" s="5">
        <f>IF(Table1[[#This Row],[gross_revenue]]=0,0,Table1[[#This Row],[gross_profit]]/Table1[[#This Row],[gross_revenue]])</f>
        <v>-9.4385335463861311E-2</v>
      </c>
    </row>
    <row r="493" spans="1:42" x14ac:dyDescent="0.35">
      <c r="A493" t="s">
        <v>245</v>
      </c>
      <c r="B493" t="str">
        <f>_xlfn.TEXTAFTER(Table1[[#This Row],[OrderID]],"-",2)</f>
        <v>757957</v>
      </c>
      <c r="C493">
        <f>YEAR(Table1[[#This Row],[OrderDate]])</f>
        <v>2025</v>
      </c>
      <c r="D493" s="9">
        <f>_xlfn.MINIFS(F:F,P:P,Table1[[#This Row],[Country]])</f>
        <v>44955</v>
      </c>
      <c r="E493" s="7">
        <f>DATEDIF(Table1[[#This Row],[first_time_orders]],Table1[[#This Row],[OrderDate]],"m")</f>
        <v>26</v>
      </c>
      <c r="F493" s="9">
        <v>45771</v>
      </c>
      <c r="G493" s="2" t="str">
        <f>TEXT(Table1[[#This Row],[OrderDate]],"MMM-YYYY")</f>
        <v>Apr-2025</v>
      </c>
      <c r="H493" s="7">
        <f>MONTH(Table1[[#This Row],[OrderDate]])</f>
        <v>4</v>
      </c>
      <c r="I493" s="7" t="str">
        <f>"Q"&amp;ROUNDUP(Table1[[#This Row],[months]]/3,0)&amp;"-"&amp;Table1[[#This Row],[order_year]]</f>
        <v>Q2-2025</v>
      </c>
      <c r="J493" s="7">
        <f>Table1[[#This Row],[RequiredDate]]-Table1[[#This Row],[OrderDate]]</f>
        <v>12</v>
      </c>
      <c r="K493" s="7">
        <f>IF(Table1[[#This Row],[lead_time]]&lt;0,MEDIAN(J:J),Table1[[#This Row],[lead_time]])</f>
        <v>12</v>
      </c>
      <c r="L493" s="7">
        <f>IF(Table1[[#This Row],[adj_lead_time]]&lt;=7,1,0)</f>
        <v>0</v>
      </c>
      <c r="M493" s="9">
        <v>45783</v>
      </c>
      <c r="N493" s="9">
        <f>IF(Table1[[#This Row],[lead_time]]&lt;0,(Table1[[#This Row],[OrderDate]]+Table1[[#This Row],[adj_lead_time]]),Table1[[#This Row],[RequiredDate]])</f>
        <v>45783</v>
      </c>
      <c r="O493" t="s">
        <v>648</v>
      </c>
      <c r="P493" t="s">
        <v>655</v>
      </c>
      <c r="Q493" t="s">
        <v>672</v>
      </c>
      <c r="R493" t="s">
        <v>704</v>
      </c>
      <c r="S493" t="s">
        <v>708</v>
      </c>
      <c r="T493" t="s">
        <v>712</v>
      </c>
      <c r="U493" t="s">
        <v>730</v>
      </c>
      <c r="V493" t="s">
        <v>965</v>
      </c>
      <c r="W493">
        <v>394.13</v>
      </c>
      <c r="X493">
        <f>Table1[[#This Row],[UnitCost]]*(1+'scenario modeling'!$B$3)</f>
        <v>433.54300000000001</v>
      </c>
      <c r="Y493">
        <v>932.29</v>
      </c>
      <c r="Z493" t="str">
        <f>IF(Table1[[#This Row],[UnitPrice]]&lt;=Quantiles!$B$2,Quantiles!$A$2,IF(Table1[[#This Row],[UnitPrice]]&lt;=Quantiles!$B$3,Quantiles!$A$3,Quantiles!$A$4))</f>
        <v>Medium</v>
      </c>
      <c r="AA493">
        <v>0.109</v>
      </c>
      <c r="AB493" s="5">
        <f>MIN(Table1[[#This Row],[DiscountPct]],'scenario modeling'!$B$2)</f>
        <v>0.1</v>
      </c>
      <c r="AC493" t="str">
        <f>IF(Table1[[#This Row],[DiscountPct]]&gt;0.3, "&gt;0.3","")</f>
        <v/>
      </c>
      <c r="AD493">
        <v>7</v>
      </c>
      <c r="AE493">
        <f>Table1[[#This Row],[Quantity]]*(1+'scenario modeling'!$B$4)</f>
        <v>8.4</v>
      </c>
      <c r="AF493">
        <f>Table1[[#This Row],[UnitCost]]*Table1[[#This Row],[Quantity]]</f>
        <v>2758.91</v>
      </c>
      <c r="AG493">
        <f>SUMIF($U:U,Table1[[#This Row],[ProductCategory]],$AM:AM)</f>
        <v>1398841.4532999999</v>
      </c>
      <c r="AH493">
        <f>SUMIFS($AM$2:AM493,$U$2:U493,U493)</f>
        <v>890140.78400999983</v>
      </c>
      <c r="AI493" s="5">
        <f>Table1[[#This Row],[Cumulative_revenue]]/Table1[[#This Row],[Category_revenue]]</f>
        <v>0.63634143948913802</v>
      </c>
      <c r="AJ493" t="str">
        <f>IF(Table1[[#This Row],[cumulative_pct]]&lt;=0.8,"A",IF(Table1[[#This Row],[cumulative_pct]]&lt;=0.95,"B","C"))</f>
        <v>A</v>
      </c>
      <c r="AK493">
        <f>Table1[[#This Row],[adj_unit_cost]]*Table1[[#This Row],[scenario_quantity]]</f>
        <v>3641.7612000000004</v>
      </c>
      <c r="AL493" s="5">
        <f>Table1[[#This Row],[UnitPrice]]*Table1[[#This Row],[scenario_quantity]]*(1-Table1[[#This Row],[cap_adjusted_discount]])</f>
        <v>7048.1124</v>
      </c>
      <c r="AM493" s="5">
        <f>Table1[[#This Row],[UnitPrice]]*Table1[[#This Row],[Quantity]]*(1-Table1[[#This Row],[DiscountPct]])</f>
        <v>5814.6927299999998</v>
      </c>
      <c r="AN493" s="5">
        <f>Table1[[#This Row],[gross_revenue]]-Table1[[#This Row],[cost_of_goods]]</f>
        <v>3055.7827299999999</v>
      </c>
      <c r="AO493" s="5">
        <f>Table1[[#This Row],[scenario_revenue]]-Table1[[#This Row],[Scenario_unit_cost]]</f>
        <v>3406.3511999999996</v>
      </c>
      <c r="AP493" s="5">
        <f>IF(Table1[[#This Row],[gross_revenue]]=0,0,Table1[[#This Row],[gross_profit]]/Table1[[#This Row],[gross_revenue]])</f>
        <v>0.5255278089303268</v>
      </c>
    </row>
    <row r="494" spans="1:42" x14ac:dyDescent="0.35">
      <c r="A494" t="s">
        <v>599</v>
      </c>
      <c r="B494" t="str">
        <f>_xlfn.TEXTAFTER(Table1[[#This Row],[OrderID]],"-",2)</f>
        <v>246692</v>
      </c>
      <c r="C494">
        <f>YEAR(Table1[[#This Row],[OrderDate]])</f>
        <v>2025</v>
      </c>
      <c r="D494" s="9">
        <f>_xlfn.MINIFS(F:F,P:P,Table1[[#This Row],[Country]])</f>
        <v>44955</v>
      </c>
      <c r="E494" s="7">
        <f>DATEDIF(Table1[[#This Row],[first_time_orders]],Table1[[#This Row],[OrderDate]],"m")</f>
        <v>26</v>
      </c>
      <c r="F494" s="9">
        <v>45764</v>
      </c>
      <c r="G494" s="2" t="str">
        <f>TEXT(Table1[[#This Row],[OrderDate]],"MMM-YYYY")</f>
        <v>Apr-2025</v>
      </c>
      <c r="H494" s="7">
        <f>MONTH(Table1[[#This Row],[OrderDate]])</f>
        <v>4</v>
      </c>
      <c r="I494" s="7" t="str">
        <f>"Q"&amp;ROUNDUP(Table1[[#This Row],[months]]/3,0)&amp;"-"&amp;Table1[[#This Row],[order_year]]</f>
        <v>Q2-2025</v>
      </c>
      <c r="J494" s="7">
        <f>Table1[[#This Row],[RequiredDate]]-Table1[[#This Row],[OrderDate]]</f>
        <v>0</v>
      </c>
      <c r="K494" s="7">
        <f>IF(Table1[[#This Row],[lead_time]]&lt;0,MEDIAN(J:J),Table1[[#This Row],[lead_time]])</f>
        <v>0</v>
      </c>
      <c r="L494" s="7">
        <f>IF(Table1[[#This Row],[adj_lead_time]]&lt;=7,1,0)</f>
        <v>1</v>
      </c>
      <c r="M494" s="9">
        <v>45764</v>
      </c>
      <c r="N494" s="9">
        <f>IF(Table1[[#This Row],[lead_time]]&lt;0,(Table1[[#This Row],[OrderDate]]+Table1[[#This Row],[adj_lead_time]]),Table1[[#This Row],[RequiredDate]])</f>
        <v>45764</v>
      </c>
      <c r="O494" t="s">
        <v>648</v>
      </c>
      <c r="P494" t="s">
        <v>655</v>
      </c>
      <c r="Q494" t="s">
        <v>670</v>
      </c>
      <c r="R494" t="s">
        <v>701</v>
      </c>
      <c r="S494" t="s">
        <v>710</v>
      </c>
      <c r="T494" t="s">
        <v>716</v>
      </c>
      <c r="U494" t="s">
        <v>730</v>
      </c>
      <c r="V494" t="s">
        <v>1317</v>
      </c>
      <c r="W494">
        <v>719.41</v>
      </c>
      <c r="X494">
        <f>Table1[[#This Row],[UnitCost]]*(1+'scenario modeling'!$B$3)</f>
        <v>791.351</v>
      </c>
      <c r="Y494">
        <v>1125.99</v>
      </c>
      <c r="Z494" t="str">
        <f>IF(Table1[[#This Row],[UnitPrice]]&lt;=Quantiles!$B$2,Quantiles!$A$2,IF(Table1[[#This Row],[UnitPrice]]&lt;=Quantiles!$B$3,Quantiles!$A$3,Quantiles!$A$4))</f>
        <v>Medium</v>
      </c>
      <c r="AA494">
        <v>4.1000000000000002E-2</v>
      </c>
      <c r="AB494" s="5">
        <f>MIN(Table1[[#This Row],[DiscountPct]],'scenario modeling'!$B$2)</f>
        <v>4.1000000000000002E-2</v>
      </c>
      <c r="AC494" t="str">
        <f>IF(Table1[[#This Row],[DiscountPct]]&gt;0.3, "&gt;0.3","")</f>
        <v/>
      </c>
      <c r="AD494">
        <v>21</v>
      </c>
      <c r="AE494">
        <f>Table1[[#This Row],[Quantity]]*(1+'scenario modeling'!$B$4)</f>
        <v>25.2</v>
      </c>
      <c r="AF494">
        <f>Table1[[#This Row],[UnitCost]]*Table1[[#This Row],[Quantity]]</f>
        <v>15107.609999999999</v>
      </c>
      <c r="AG494">
        <f>SUMIF($U:U,Table1[[#This Row],[ProductCategory]],$AM:AM)</f>
        <v>1398841.4532999999</v>
      </c>
      <c r="AH494">
        <f>SUMIFS($AM$2:AM494,$U$2:U494,U494)</f>
        <v>912817.09661999985</v>
      </c>
      <c r="AI494" s="5">
        <f>Table1[[#This Row],[Cumulative_revenue]]/Table1[[#This Row],[Category_revenue]]</f>
        <v>0.65255222060125373</v>
      </c>
      <c r="AJ494" t="str">
        <f>IF(Table1[[#This Row],[cumulative_pct]]&lt;=0.8,"A",IF(Table1[[#This Row],[cumulative_pct]]&lt;=0.95,"B","C"))</f>
        <v>A</v>
      </c>
      <c r="AK494">
        <f>Table1[[#This Row],[adj_unit_cost]]*Table1[[#This Row],[scenario_quantity]]</f>
        <v>19942.0452</v>
      </c>
      <c r="AL494" s="5">
        <f>Table1[[#This Row],[UnitPrice]]*Table1[[#This Row],[scenario_quantity]]*(1-Table1[[#This Row],[cap_adjusted_discount]])</f>
        <v>27211.575131999998</v>
      </c>
      <c r="AM494" s="5">
        <f>Table1[[#This Row],[UnitPrice]]*Table1[[#This Row],[Quantity]]*(1-Table1[[#This Row],[DiscountPct]])</f>
        <v>22676.312610000001</v>
      </c>
      <c r="AN494" s="5">
        <f>Table1[[#This Row],[gross_revenue]]-Table1[[#This Row],[cost_of_goods]]</f>
        <v>7568.7026100000021</v>
      </c>
      <c r="AO494" s="5">
        <f>Table1[[#This Row],[scenario_revenue]]-Table1[[#This Row],[Scenario_unit_cost]]</f>
        <v>7269.5299319999976</v>
      </c>
      <c r="AP494" s="5">
        <f>IF(Table1[[#This Row],[gross_revenue]]=0,0,Table1[[#This Row],[gross_profit]]/Table1[[#This Row],[gross_revenue]])</f>
        <v>0.33377131194876403</v>
      </c>
    </row>
    <row r="495" spans="1:42" x14ac:dyDescent="0.35">
      <c r="A495" t="s">
        <v>348</v>
      </c>
      <c r="B495" t="str">
        <f>_xlfn.TEXTAFTER(Table1[[#This Row],[OrderID]],"-",2)</f>
        <v>323492</v>
      </c>
      <c r="C495">
        <f>YEAR(Table1[[#This Row],[OrderDate]])</f>
        <v>2025</v>
      </c>
      <c r="D495" s="9">
        <f>_xlfn.MINIFS(F:F,P:P,Table1[[#This Row],[Country]])</f>
        <v>44955</v>
      </c>
      <c r="E495" s="7">
        <f>DATEDIF(Table1[[#This Row],[first_time_orders]],Table1[[#This Row],[OrderDate]],"m")</f>
        <v>26</v>
      </c>
      <c r="F495" s="9">
        <v>45774</v>
      </c>
      <c r="G495" s="2" t="str">
        <f>TEXT(Table1[[#This Row],[OrderDate]],"MMM-YYYY")</f>
        <v>Apr-2025</v>
      </c>
      <c r="H495" s="7">
        <f>MONTH(Table1[[#This Row],[OrderDate]])</f>
        <v>4</v>
      </c>
      <c r="I495" s="7" t="str">
        <f>"Q"&amp;ROUNDUP(Table1[[#This Row],[months]]/3,0)&amp;"-"&amp;Table1[[#This Row],[order_year]]</f>
        <v>Q2-2025</v>
      </c>
      <c r="J495" s="7">
        <f>Table1[[#This Row],[RequiredDate]]-Table1[[#This Row],[OrderDate]]</f>
        <v>30</v>
      </c>
      <c r="K495" s="7">
        <f>IF(Table1[[#This Row],[lead_time]]&lt;0,MEDIAN(J:J),Table1[[#This Row],[lead_time]])</f>
        <v>30</v>
      </c>
      <c r="L495" s="7">
        <f>IF(Table1[[#This Row],[adj_lead_time]]&lt;=7,1,0)</f>
        <v>0</v>
      </c>
      <c r="M495" s="9">
        <v>45804</v>
      </c>
      <c r="N495" s="9">
        <f>IF(Table1[[#This Row],[lead_time]]&lt;0,(Table1[[#This Row],[OrderDate]]+Table1[[#This Row],[adj_lead_time]]),Table1[[#This Row],[RequiredDate]])</f>
        <v>45804</v>
      </c>
      <c r="O495" t="s">
        <v>647</v>
      </c>
      <c r="P495" t="s">
        <v>654</v>
      </c>
      <c r="Q495" t="s">
        <v>680</v>
      </c>
      <c r="R495" t="s">
        <v>706</v>
      </c>
      <c r="S495" t="s">
        <v>709</v>
      </c>
      <c r="T495" t="s">
        <v>722</v>
      </c>
      <c r="U495" t="s">
        <v>730</v>
      </c>
      <c r="V495" t="s">
        <v>1068</v>
      </c>
      <c r="W495">
        <v>481.32</v>
      </c>
      <c r="X495">
        <f>Table1[[#This Row],[UnitCost]]*(1+'scenario modeling'!$B$3)</f>
        <v>529.452</v>
      </c>
      <c r="Y495">
        <v>1135.99</v>
      </c>
      <c r="Z495" t="str">
        <f>IF(Table1[[#This Row],[UnitPrice]]&lt;=Quantiles!$B$2,Quantiles!$A$2,IF(Table1[[#This Row],[UnitPrice]]&lt;=Quantiles!$B$3,Quantiles!$A$3,Quantiles!$A$4))</f>
        <v>Medium</v>
      </c>
      <c r="AA495">
        <v>0.14499999999999999</v>
      </c>
      <c r="AB495" s="5">
        <f>MIN(Table1[[#This Row],[DiscountPct]],'scenario modeling'!$B$2)</f>
        <v>0.1</v>
      </c>
      <c r="AC495" t="str">
        <f>IF(Table1[[#This Row],[DiscountPct]]&gt;0.3, "&gt;0.3","")</f>
        <v/>
      </c>
      <c r="AD495">
        <v>5</v>
      </c>
      <c r="AE495">
        <f>Table1[[#This Row],[Quantity]]*(1+'scenario modeling'!$B$4)</f>
        <v>6</v>
      </c>
      <c r="AF495">
        <f>Table1[[#This Row],[UnitCost]]*Table1[[#This Row],[Quantity]]</f>
        <v>2406.6</v>
      </c>
      <c r="AG495">
        <f>SUMIF($U:U,Table1[[#This Row],[ProductCategory]],$AM:AM)</f>
        <v>1398841.4532999999</v>
      </c>
      <c r="AH495">
        <f>SUMIFS($AM$2:AM495,$U$2:U495,U495)</f>
        <v>917673.45386999985</v>
      </c>
      <c r="AI495" s="5">
        <f>Table1[[#This Row],[Cumulative_revenue]]/Table1[[#This Row],[Category_revenue]]</f>
        <v>0.65602392015558375</v>
      </c>
      <c r="AJ495" t="str">
        <f>IF(Table1[[#This Row],[cumulative_pct]]&lt;=0.8,"A",IF(Table1[[#This Row],[cumulative_pct]]&lt;=0.95,"B","C"))</f>
        <v>A</v>
      </c>
      <c r="AK495">
        <f>Table1[[#This Row],[adj_unit_cost]]*Table1[[#This Row],[scenario_quantity]]</f>
        <v>3176.712</v>
      </c>
      <c r="AL495" s="5">
        <f>Table1[[#This Row],[UnitPrice]]*Table1[[#This Row],[scenario_quantity]]*(1-Table1[[#This Row],[cap_adjusted_discount]])</f>
        <v>6134.3460000000005</v>
      </c>
      <c r="AM495" s="5">
        <f>Table1[[#This Row],[UnitPrice]]*Table1[[#This Row],[Quantity]]*(1-Table1[[#This Row],[DiscountPct]])</f>
        <v>4856.35725</v>
      </c>
      <c r="AN495" s="5">
        <f>Table1[[#This Row],[gross_revenue]]-Table1[[#This Row],[cost_of_goods]]</f>
        <v>2449.7572500000001</v>
      </c>
      <c r="AO495" s="5">
        <f>Table1[[#This Row],[scenario_revenue]]-Table1[[#This Row],[Scenario_unit_cost]]</f>
        <v>2957.6340000000005</v>
      </c>
      <c r="AP495" s="5">
        <f>IF(Table1[[#This Row],[gross_revenue]]=0,0,Table1[[#This Row],[gross_profit]]/Table1[[#This Row],[gross_revenue]])</f>
        <v>0.50444337677175621</v>
      </c>
    </row>
    <row r="496" spans="1:42" x14ac:dyDescent="0.35">
      <c r="A496" t="s">
        <v>503</v>
      </c>
      <c r="B496" t="str">
        <f>_xlfn.TEXTAFTER(Table1[[#This Row],[OrderID]],"-",2)</f>
        <v>254721</v>
      </c>
      <c r="C496">
        <f>YEAR(Table1[[#This Row],[OrderDate]])</f>
        <v>2025</v>
      </c>
      <c r="D496" s="9">
        <f>_xlfn.MINIFS(F:F,P:P,Table1[[#This Row],[Country]])</f>
        <v>44988</v>
      </c>
      <c r="E496" s="7">
        <f>DATEDIF(Table1[[#This Row],[first_time_orders]],Table1[[#This Row],[OrderDate]],"m")</f>
        <v>26</v>
      </c>
      <c r="F496" s="9">
        <v>45792</v>
      </c>
      <c r="G496" s="2" t="str">
        <f>TEXT(Table1[[#This Row],[OrderDate]],"MMM-YYYY")</f>
        <v>May-2025</v>
      </c>
      <c r="H496" s="7">
        <f>MONTH(Table1[[#This Row],[OrderDate]])</f>
        <v>5</v>
      </c>
      <c r="I496" s="7" t="str">
        <f>"Q"&amp;ROUNDUP(Table1[[#This Row],[months]]/3,0)&amp;"-"&amp;Table1[[#This Row],[order_year]]</f>
        <v>Q2-2025</v>
      </c>
      <c r="J496" s="7">
        <f>Table1[[#This Row],[RequiredDate]]-Table1[[#This Row],[OrderDate]]</f>
        <v>21</v>
      </c>
      <c r="K496" s="7">
        <f>IF(Table1[[#This Row],[lead_time]]&lt;0,MEDIAN(J:J),Table1[[#This Row],[lead_time]])</f>
        <v>21</v>
      </c>
      <c r="L496" s="7">
        <f>IF(Table1[[#This Row],[adj_lead_time]]&lt;=7,1,0)</f>
        <v>0</v>
      </c>
      <c r="M496" s="9">
        <v>45813</v>
      </c>
      <c r="N496" s="9">
        <f>IF(Table1[[#This Row],[lead_time]]&lt;0,(Table1[[#This Row],[OrderDate]]+Table1[[#This Row],[adj_lead_time]]),Table1[[#This Row],[RequiredDate]])</f>
        <v>45813</v>
      </c>
      <c r="O496" t="s">
        <v>647</v>
      </c>
      <c r="P496" t="s">
        <v>652</v>
      </c>
      <c r="Q496" t="s">
        <v>666</v>
      </c>
      <c r="R496" t="s">
        <v>706</v>
      </c>
      <c r="S496" t="s">
        <v>711</v>
      </c>
      <c r="T496" t="s">
        <v>722</v>
      </c>
      <c r="U496" t="s">
        <v>730</v>
      </c>
      <c r="V496" t="s">
        <v>1222</v>
      </c>
      <c r="W496">
        <v>1466.5</v>
      </c>
      <c r="X496">
        <f>Table1[[#This Row],[UnitCost]]*(1+'scenario modeling'!$B$3)</f>
        <v>1613.15</v>
      </c>
      <c r="Y496">
        <v>2778.74</v>
      </c>
      <c r="Z496" t="str">
        <f>IF(Table1[[#This Row],[UnitPrice]]&lt;=Quantiles!$B$2,Quantiles!$A$2,IF(Table1[[#This Row],[UnitPrice]]&lt;=Quantiles!$B$3,Quantiles!$A$3,Quantiles!$A$4))</f>
        <v>High</v>
      </c>
      <c r="AA496">
        <v>0.13500000000000001</v>
      </c>
      <c r="AB496" s="5">
        <f>MIN(Table1[[#This Row],[DiscountPct]],'scenario modeling'!$B$2)</f>
        <v>0.1</v>
      </c>
      <c r="AC496" t="str">
        <f>IF(Table1[[#This Row],[DiscountPct]]&gt;0.3, "&gt;0.3","")</f>
        <v/>
      </c>
      <c r="AD496">
        <v>4</v>
      </c>
      <c r="AE496">
        <f>Table1[[#This Row],[Quantity]]*(1+'scenario modeling'!$B$4)</f>
        <v>4.8</v>
      </c>
      <c r="AF496">
        <f>Table1[[#This Row],[UnitCost]]*Table1[[#This Row],[Quantity]]</f>
        <v>5866</v>
      </c>
      <c r="AG496">
        <f>SUMIF($U:U,Table1[[#This Row],[ProductCategory]],$AM:AM)</f>
        <v>1398841.4532999999</v>
      </c>
      <c r="AH496">
        <f>SUMIFS($AM$2:AM496,$U$2:U496,U496)</f>
        <v>927287.89426999982</v>
      </c>
      <c r="AI496" s="5">
        <f>Table1[[#This Row],[Cumulative_revenue]]/Table1[[#This Row],[Category_revenue]]</f>
        <v>0.66289706534106463</v>
      </c>
      <c r="AJ496" t="str">
        <f>IF(Table1[[#This Row],[cumulative_pct]]&lt;=0.8,"A",IF(Table1[[#This Row],[cumulative_pct]]&lt;=0.95,"B","C"))</f>
        <v>A</v>
      </c>
      <c r="AK496">
        <f>Table1[[#This Row],[adj_unit_cost]]*Table1[[#This Row],[scenario_quantity]]</f>
        <v>7743.12</v>
      </c>
      <c r="AL496" s="5">
        <f>Table1[[#This Row],[UnitPrice]]*Table1[[#This Row],[scenario_quantity]]*(1-Table1[[#This Row],[cap_adjusted_discount]])</f>
        <v>12004.156799999999</v>
      </c>
      <c r="AM496" s="5">
        <f>Table1[[#This Row],[UnitPrice]]*Table1[[#This Row],[Quantity]]*(1-Table1[[#This Row],[DiscountPct]])</f>
        <v>9614.4403999999995</v>
      </c>
      <c r="AN496" s="5">
        <f>Table1[[#This Row],[gross_revenue]]-Table1[[#This Row],[cost_of_goods]]</f>
        <v>3748.4403999999995</v>
      </c>
      <c r="AO496" s="5">
        <f>Table1[[#This Row],[scenario_revenue]]-Table1[[#This Row],[Scenario_unit_cost]]</f>
        <v>4261.0367999999989</v>
      </c>
      <c r="AP496" s="5">
        <f>IF(Table1[[#This Row],[gross_revenue]]=0,0,Table1[[#This Row],[gross_profit]]/Table1[[#This Row],[gross_revenue]])</f>
        <v>0.38987608680792279</v>
      </c>
    </row>
    <row r="497" spans="1:42" x14ac:dyDescent="0.35">
      <c r="A497" t="s">
        <v>300</v>
      </c>
      <c r="B497" t="str">
        <f>_xlfn.TEXTAFTER(Table1[[#This Row],[OrderID]],"-",2)</f>
        <v>541048</v>
      </c>
      <c r="C497">
        <f>YEAR(Table1[[#This Row],[OrderDate]])</f>
        <v>2025</v>
      </c>
      <c r="D497" s="9">
        <f>_xlfn.MINIFS(F:F,P:P,Table1[[#This Row],[Country]])</f>
        <v>44948</v>
      </c>
      <c r="E497" s="7">
        <f>DATEDIF(Table1[[#This Row],[first_time_orders]],Table1[[#This Row],[OrderDate]],"m")</f>
        <v>26</v>
      </c>
      <c r="F497" s="9">
        <v>45751</v>
      </c>
      <c r="G497" s="2" t="str">
        <f>TEXT(Table1[[#This Row],[OrderDate]],"MMM-YYYY")</f>
        <v>Apr-2025</v>
      </c>
      <c r="H497" s="7">
        <f>MONTH(Table1[[#This Row],[OrderDate]])</f>
        <v>4</v>
      </c>
      <c r="I497" s="7" t="str">
        <f>"Q"&amp;ROUNDUP(Table1[[#This Row],[months]]/3,0)&amp;"-"&amp;Table1[[#This Row],[order_year]]</f>
        <v>Q2-2025</v>
      </c>
      <c r="J497" s="7">
        <f>Table1[[#This Row],[RequiredDate]]-Table1[[#This Row],[OrderDate]]</f>
        <v>9</v>
      </c>
      <c r="K497" s="7">
        <f>IF(Table1[[#This Row],[lead_time]]&lt;0,MEDIAN(J:J),Table1[[#This Row],[lead_time]])</f>
        <v>9</v>
      </c>
      <c r="L497" s="7">
        <f>IF(Table1[[#This Row],[adj_lead_time]]&lt;=7,1,0)</f>
        <v>0</v>
      </c>
      <c r="M497" s="9">
        <v>45760</v>
      </c>
      <c r="N497" s="9">
        <f>IF(Table1[[#This Row],[lead_time]]&lt;0,(Table1[[#This Row],[OrderDate]]+Table1[[#This Row],[adj_lead_time]]),Table1[[#This Row],[RequiredDate]])</f>
        <v>45760</v>
      </c>
      <c r="O497" t="s">
        <v>649</v>
      </c>
      <c r="P497" t="s">
        <v>656</v>
      </c>
      <c r="Q497" t="s">
        <v>684</v>
      </c>
      <c r="R497" t="s">
        <v>704</v>
      </c>
      <c r="S497" t="s">
        <v>709</v>
      </c>
      <c r="T497" t="s">
        <v>721</v>
      </c>
      <c r="U497" t="s">
        <v>730</v>
      </c>
      <c r="V497" t="s">
        <v>1020</v>
      </c>
      <c r="W497">
        <v>7.02</v>
      </c>
      <c r="X497">
        <f>Table1[[#This Row],[UnitCost]]*(1+'scenario modeling'!$B$3)</f>
        <v>7.7220000000000004</v>
      </c>
      <c r="Y497">
        <v>6.28</v>
      </c>
      <c r="Z497" t="str">
        <f>IF(Table1[[#This Row],[UnitPrice]]&lt;=Quantiles!$B$2,Quantiles!$A$2,IF(Table1[[#This Row],[UnitPrice]]&lt;=Quantiles!$B$3,Quantiles!$A$3,Quantiles!$A$4))</f>
        <v>Low</v>
      </c>
      <c r="AA497">
        <v>0.13400000000000001</v>
      </c>
      <c r="AB497" s="5">
        <f>MIN(Table1[[#This Row],[DiscountPct]],'scenario modeling'!$B$2)</f>
        <v>0.1</v>
      </c>
      <c r="AC497" t="str">
        <f>IF(Table1[[#This Row],[DiscountPct]]&gt;0.3, "&gt;0.3","")</f>
        <v/>
      </c>
      <c r="AD497">
        <v>14</v>
      </c>
      <c r="AE497">
        <f>Table1[[#This Row],[Quantity]]*(1+'scenario modeling'!$B$4)</f>
        <v>16.8</v>
      </c>
      <c r="AF497">
        <f>Table1[[#This Row],[UnitCost]]*Table1[[#This Row],[Quantity]]</f>
        <v>98.28</v>
      </c>
      <c r="AG497">
        <f>SUMIF($U:U,Table1[[#This Row],[ProductCategory]],$AM:AM)</f>
        <v>1398841.4532999999</v>
      </c>
      <c r="AH497">
        <f>SUMIFS($AM$2:AM497,$U$2:U497,U497)</f>
        <v>927364.03298999986</v>
      </c>
      <c r="AI497" s="5">
        <f>Table1[[#This Row],[Cumulative_revenue]]/Table1[[#This Row],[Category_revenue]]</f>
        <v>0.66295149518357488</v>
      </c>
      <c r="AJ497" t="str">
        <f>IF(Table1[[#This Row],[cumulative_pct]]&lt;=0.8,"A",IF(Table1[[#This Row],[cumulative_pct]]&lt;=0.95,"B","C"))</f>
        <v>A</v>
      </c>
      <c r="AK497">
        <f>Table1[[#This Row],[adj_unit_cost]]*Table1[[#This Row],[scenario_quantity]]</f>
        <v>129.7296</v>
      </c>
      <c r="AL497" s="5">
        <f>Table1[[#This Row],[UnitPrice]]*Table1[[#This Row],[scenario_quantity]]*(1-Table1[[#This Row],[cap_adjusted_discount]])</f>
        <v>94.953600000000009</v>
      </c>
      <c r="AM497" s="5">
        <f>Table1[[#This Row],[UnitPrice]]*Table1[[#This Row],[Quantity]]*(1-Table1[[#This Row],[DiscountPct]])</f>
        <v>76.138720000000006</v>
      </c>
      <c r="AN497" s="5">
        <f>Table1[[#This Row],[gross_revenue]]-Table1[[#This Row],[cost_of_goods]]</f>
        <v>-22.141279999999995</v>
      </c>
      <c r="AO497" s="5">
        <f>Table1[[#This Row],[scenario_revenue]]-Table1[[#This Row],[Scenario_unit_cost]]</f>
        <v>-34.775999999999996</v>
      </c>
      <c r="AP497" s="5">
        <f>IF(Table1[[#This Row],[gross_revenue]]=0,0,Table1[[#This Row],[gross_profit]]/Table1[[#This Row],[gross_revenue]])</f>
        <v>-0.29080184169106066</v>
      </c>
    </row>
    <row r="498" spans="1:42" x14ac:dyDescent="0.35">
      <c r="A498" t="s">
        <v>520</v>
      </c>
      <c r="B498" t="str">
        <f>_xlfn.TEXTAFTER(Table1[[#This Row],[OrderID]],"-",2)</f>
        <v>474368</v>
      </c>
      <c r="C498">
        <f>YEAR(Table1[[#This Row],[OrderDate]])</f>
        <v>2025</v>
      </c>
      <c r="D498" s="9">
        <f>_xlfn.MINIFS(F:F,P:P,Table1[[#This Row],[Country]])</f>
        <v>44939</v>
      </c>
      <c r="E498" s="7">
        <f>DATEDIF(Table1[[#This Row],[first_time_orders]],Table1[[#This Row],[OrderDate]],"m")</f>
        <v>27</v>
      </c>
      <c r="F498" s="9">
        <v>45774</v>
      </c>
      <c r="G498" s="2" t="str">
        <f>TEXT(Table1[[#This Row],[OrderDate]],"MMM-YYYY")</f>
        <v>Apr-2025</v>
      </c>
      <c r="H498" s="7">
        <f>MONTH(Table1[[#This Row],[OrderDate]])</f>
        <v>4</v>
      </c>
      <c r="I498" s="7" t="str">
        <f>"Q"&amp;ROUNDUP(Table1[[#This Row],[months]]/3,0)&amp;"-"&amp;Table1[[#This Row],[order_year]]</f>
        <v>Q2-2025</v>
      </c>
      <c r="J498" s="7">
        <f>Table1[[#This Row],[RequiredDate]]-Table1[[#This Row],[OrderDate]]</f>
        <v>20</v>
      </c>
      <c r="K498" s="7">
        <f>IF(Table1[[#This Row],[lead_time]]&lt;0,MEDIAN(J:J),Table1[[#This Row],[lead_time]])</f>
        <v>20</v>
      </c>
      <c r="L498" s="7">
        <f>IF(Table1[[#This Row],[adj_lead_time]]&lt;=7,1,0)</f>
        <v>0</v>
      </c>
      <c r="M498" s="9">
        <v>45794</v>
      </c>
      <c r="N498" s="9">
        <f>IF(Table1[[#This Row],[lead_time]]&lt;0,(Table1[[#This Row],[OrderDate]]+Table1[[#This Row],[adj_lead_time]]),Table1[[#This Row],[RequiredDate]])</f>
        <v>45794</v>
      </c>
      <c r="O498" t="s">
        <v>648</v>
      </c>
      <c r="P498" t="s">
        <v>660</v>
      </c>
      <c r="Q498" t="s">
        <v>697</v>
      </c>
      <c r="R498" t="s">
        <v>701</v>
      </c>
      <c r="S498" t="s">
        <v>711</v>
      </c>
      <c r="T498" t="s">
        <v>725</v>
      </c>
      <c r="U498" t="s">
        <v>730</v>
      </c>
      <c r="V498" t="s">
        <v>1239</v>
      </c>
      <c r="W498">
        <v>932.26</v>
      </c>
      <c r="X498">
        <f>Table1[[#This Row],[UnitCost]]*(1+'scenario modeling'!$B$3)</f>
        <v>1025.4860000000001</v>
      </c>
      <c r="Y498">
        <v>1624.67</v>
      </c>
      <c r="Z498" t="str">
        <f>IF(Table1[[#This Row],[UnitPrice]]&lt;=Quantiles!$B$2,Quantiles!$A$2,IF(Table1[[#This Row],[UnitPrice]]&lt;=Quantiles!$B$3,Quantiles!$A$3,Quantiles!$A$4))</f>
        <v>Medium</v>
      </c>
      <c r="AA498">
        <v>0.23499999999999999</v>
      </c>
      <c r="AB498" s="5">
        <f>MIN(Table1[[#This Row],[DiscountPct]],'scenario modeling'!$B$2)</f>
        <v>0.1</v>
      </c>
      <c r="AC498" t="str">
        <f>IF(Table1[[#This Row],[DiscountPct]]&gt;0.3, "&gt;0.3","")</f>
        <v/>
      </c>
      <c r="AD498">
        <v>28</v>
      </c>
      <c r="AE498">
        <f>Table1[[#This Row],[Quantity]]*(1+'scenario modeling'!$B$4)</f>
        <v>33.6</v>
      </c>
      <c r="AF498">
        <f>Table1[[#This Row],[UnitCost]]*Table1[[#This Row],[Quantity]]</f>
        <v>26103.279999999999</v>
      </c>
      <c r="AG498">
        <f>SUMIF($U:U,Table1[[#This Row],[ProductCategory]],$AM:AM)</f>
        <v>1398841.4532999999</v>
      </c>
      <c r="AH498">
        <f>SUMIFS($AM$2:AM498,$U$2:U498,U498)</f>
        <v>962164.46438999986</v>
      </c>
      <c r="AI498" s="5">
        <f>Table1[[#This Row],[Cumulative_revenue]]/Table1[[#This Row],[Category_revenue]]</f>
        <v>0.6878295335902167</v>
      </c>
      <c r="AJ498" t="str">
        <f>IF(Table1[[#This Row],[cumulative_pct]]&lt;=0.8,"A",IF(Table1[[#This Row],[cumulative_pct]]&lt;=0.95,"B","C"))</f>
        <v>A</v>
      </c>
      <c r="AK498">
        <f>Table1[[#This Row],[adj_unit_cost]]*Table1[[#This Row],[scenario_quantity]]</f>
        <v>34456.329600000005</v>
      </c>
      <c r="AL498" s="5">
        <f>Table1[[#This Row],[UnitPrice]]*Table1[[#This Row],[scenario_quantity]]*(1-Table1[[#This Row],[cap_adjusted_discount]])</f>
        <v>49130.020800000006</v>
      </c>
      <c r="AM498" s="5">
        <f>Table1[[#This Row],[UnitPrice]]*Table1[[#This Row],[Quantity]]*(1-Table1[[#This Row],[DiscountPct]])</f>
        <v>34800.431400000001</v>
      </c>
      <c r="AN498" s="5">
        <f>Table1[[#This Row],[gross_revenue]]-Table1[[#This Row],[cost_of_goods]]</f>
        <v>8697.1514000000025</v>
      </c>
      <c r="AO498" s="5">
        <f>Table1[[#This Row],[scenario_revenue]]-Table1[[#This Row],[Scenario_unit_cost]]</f>
        <v>14673.691200000001</v>
      </c>
      <c r="AP498" s="5">
        <f>IF(Table1[[#This Row],[gross_revenue]]=0,0,Table1[[#This Row],[gross_profit]]/Table1[[#This Row],[gross_revenue]])</f>
        <v>0.24991504559337163</v>
      </c>
    </row>
    <row r="499" spans="1:42" x14ac:dyDescent="0.35">
      <c r="A499" t="s">
        <v>443</v>
      </c>
      <c r="B499" t="str">
        <f>_xlfn.TEXTAFTER(Table1[[#This Row],[OrderID]],"-",2)</f>
        <v>673091</v>
      </c>
      <c r="C499">
        <f>YEAR(Table1[[#This Row],[OrderDate]])</f>
        <v>2025</v>
      </c>
      <c r="D499" s="9">
        <f>_xlfn.MINIFS(F:F,P:P,Table1[[#This Row],[Country]])</f>
        <v>44955</v>
      </c>
      <c r="E499" s="7">
        <f>DATEDIF(Table1[[#This Row],[first_time_orders]],Table1[[#This Row],[OrderDate]],"m")</f>
        <v>27</v>
      </c>
      <c r="F499" s="9">
        <v>45784</v>
      </c>
      <c r="G499" s="2" t="str">
        <f>TEXT(Table1[[#This Row],[OrderDate]],"MMM-YYYY")</f>
        <v>May-2025</v>
      </c>
      <c r="H499" s="7">
        <f>MONTH(Table1[[#This Row],[OrderDate]])</f>
        <v>5</v>
      </c>
      <c r="I499" s="7" t="str">
        <f>"Q"&amp;ROUNDUP(Table1[[#This Row],[months]]/3,0)&amp;"-"&amp;Table1[[#This Row],[order_year]]</f>
        <v>Q2-2025</v>
      </c>
      <c r="J499" s="7">
        <f>Table1[[#This Row],[RequiredDate]]-Table1[[#This Row],[OrderDate]]</f>
        <v>6</v>
      </c>
      <c r="K499" s="7">
        <f>IF(Table1[[#This Row],[lead_time]]&lt;0,MEDIAN(J:J),Table1[[#This Row],[lead_time]])</f>
        <v>6</v>
      </c>
      <c r="L499" s="7">
        <f>IF(Table1[[#This Row],[adj_lead_time]]&lt;=7,1,0)</f>
        <v>1</v>
      </c>
      <c r="M499" s="9">
        <v>45790</v>
      </c>
      <c r="N499" s="9">
        <f>IF(Table1[[#This Row],[lead_time]]&lt;0,(Table1[[#This Row],[OrderDate]]+Table1[[#This Row],[adj_lead_time]]),Table1[[#This Row],[RequiredDate]])</f>
        <v>45790</v>
      </c>
      <c r="O499" t="s">
        <v>647</v>
      </c>
      <c r="P499" t="s">
        <v>654</v>
      </c>
      <c r="Q499" t="s">
        <v>668</v>
      </c>
      <c r="R499" t="s">
        <v>706</v>
      </c>
      <c r="S499" t="s">
        <v>711</v>
      </c>
      <c r="T499" t="s">
        <v>713</v>
      </c>
      <c r="U499" t="s">
        <v>730</v>
      </c>
      <c r="V499" t="s">
        <v>1162</v>
      </c>
      <c r="W499">
        <v>935.98</v>
      </c>
      <c r="X499">
        <f>Table1[[#This Row],[UnitCost]]*(1+'scenario modeling'!$B$3)</f>
        <v>1029.5780000000002</v>
      </c>
      <c r="Y499">
        <v>2077.69</v>
      </c>
      <c r="Z499" t="str">
        <f>IF(Table1[[#This Row],[UnitPrice]]&lt;=Quantiles!$B$2,Quantiles!$A$2,IF(Table1[[#This Row],[UnitPrice]]&lt;=Quantiles!$B$3,Quantiles!$A$3,Quantiles!$A$4))</f>
        <v>High</v>
      </c>
      <c r="AA499">
        <v>0.17499999999999999</v>
      </c>
      <c r="AB499" s="5">
        <f>MIN(Table1[[#This Row],[DiscountPct]],'scenario modeling'!$B$2)</f>
        <v>0.1</v>
      </c>
      <c r="AC499" t="str">
        <f>IF(Table1[[#This Row],[DiscountPct]]&gt;0.3, "&gt;0.3","")</f>
        <v/>
      </c>
      <c r="AD499">
        <v>24</v>
      </c>
      <c r="AE499">
        <f>Table1[[#This Row],[Quantity]]*(1+'scenario modeling'!$B$4)</f>
        <v>28.799999999999997</v>
      </c>
      <c r="AF499">
        <f>Table1[[#This Row],[UnitCost]]*Table1[[#This Row],[Quantity]]</f>
        <v>22463.52</v>
      </c>
      <c r="AG499">
        <f>SUMIF($U:U,Table1[[#This Row],[ProductCategory]],$AM:AM)</f>
        <v>1398841.4532999999</v>
      </c>
      <c r="AH499">
        <f>SUMIFS($AM$2:AM499,$U$2:U499,U499)</f>
        <v>1003302.7263899999</v>
      </c>
      <c r="AI499" s="5">
        <f>Table1[[#This Row],[Cumulative_revenue]]/Table1[[#This Row],[Category_revenue]]</f>
        <v>0.7172383432183207</v>
      </c>
      <c r="AJ499" t="str">
        <f>IF(Table1[[#This Row],[cumulative_pct]]&lt;=0.8,"A",IF(Table1[[#This Row],[cumulative_pct]]&lt;=0.95,"B","C"))</f>
        <v>A</v>
      </c>
      <c r="AK499">
        <f>Table1[[#This Row],[adj_unit_cost]]*Table1[[#This Row],[scenario_quantity]]</f>
        <v>29651.846400000002</v>
      </c>
      <c r="AL499" s="5">
        <f>Table1[[#This Row],[UnitPrice]]*Table1[[#This Row],[scenario_quantity]]*(1-Table1[[#This Row],[cap_adjusted_discount]])</f>
        <v>53853.724799999996</v>
      </c>
      <c r="AM499" s="5">
        <f>Table1[[#This Row],[UnitPrice]]*Table1[[#This Row],[Quantity]]*(1-Table1[[#This Row],[DiscountPct]])</f>
        <v>41138.261999999995</v>
      </c>
      <c r="AN499" s="5">
        <f>Table1[[#This Row],[gross_revenue]]-Table1[[#This Row],[cost_of_goods]]</f>
        <v>18674.741999999995</v>
      </c>
      <c r="AO499" s="5">
        <f>Table1[[#This Row],[scenario_revenue]]-Table1[[#This Row],[Scenario_unit_cost]]</f>
        <v>24201.878399999994</v>
      </c>
      <c r="AP499" s="5">
        <f>IF(Table1[[#This Row],[gross_revenue]]=0,0,Table1[[#This Row],[gross_profit]]/Table1[[#This Row],[gross_revenue]])</f>
        <v>0.45395067978321491</v>
      </c>
    </row>
    <row r="500" spans="1:42" x14ac:dyDescent="0.35">
      <c r="A500" t="s">
        <v>467</v>
      </c>
      <c r="B500" t="str">
        <f>_xlfn.TEXTAFTER(Table1[[#This Row],[OrderID]],"-",2)</f>
        <v>417942</v>
      </c>
      <c r="C500">
        <f>YEAR(Table1[[#This Row],[OrderDate]])</f>
        <v>2025</v>
      </c>
      <c r="D500" s="9">
        <f>_xlfn.MINIFS(F:F,P:P,Table1[[#This Row],[Country]])</f>
        <v>44988</v>
      </c>
      <c r="E500" s="7">
        <f>DATEDIF(Table1[[#This Row],[first_time_orders]],Table1[[#This Row],[OrderDate]],"m")</f>
        <v>27</v>
      </c>
      <c r="F500" s="9">
        <v>45817</v>
      </c>
      <c r="G500" s="2" t="str">
        <f>TEXT(Table1[[#This Row],[OrderDate]],"MMM-YYYY")</f>
        <v>Jun-2025</v>
      </c>
      <c r="H500" s="7">
        <f>MONTH(Table1[[#This Row],[OrderDate]])</f>
        <v>6</v>
      </c>
      <c r="I500" s="7" t="str">
        <f>"Q"&amp;ROUNDUP(Table1[[#This Row],[months]]/3,0)&amp;"-"&amp;Table1[[#This Row],[order_year]]</f>
        <v>Q2-2025</v>
      </c>
      <c r="J500" s="7">
        <f>Table1[[#This Row],[RequiredDate]]-Table1[[#This Row],[OrderDate]]</f>
        <v>15</v>
      </c>
      <c r="K500" s="7">
        <f>IF(Table1[[#This Row],[lead_time]]&lt;0,MEDIAN(J:J),Table1[[#This Row],[lead_time]])</f>
        <v>15</v>
      </c>
      <c r="L500" s="7">
        <f>IF(Table1[[#This Row],[adj_lead_time]]&lt;=7,1,0)</f>
        <v>0</v>
      </c>
      <c r="M500" s="9">
        <v>45832</v>
      </c>
      <c r="N500" s="9">
        <f>IF(Table1[[#This Row],[lead_time]]&lt;0,(Table1[[#This Row],[OrderDate]]+Table1[[#This Row],[adj_lead_time]]),Table1[[#This Row],[RequiredDate]])</f>
        <v>45832</v>
      </c>
      <c r="O500" t="s">
        <v>647</v>
      </c>
      <c r="P500" t="s">
        <v>652</v>
      </c>
      <c r="Q500" t="s">
        <v>694</v>
      </c>
      <c r="R500" t="s">
        <v>701</v>
      </c>
      <c r="S500" t="s">
        <v>711</v>
      </c>
      <c r="T500" t="s">
        <v>717</v>
      </c>
      <c r="U500" t="s">
        <v>730</v>
      </c>
      <c r="V500" t="s">
        <v>1186</v>
      </c>
      <c r="W500">
        <v>400.39</v>
      </c>
      <c r="X500">
        <f>Table1[[#This Row],[UnitCost]]*(1+'scenario modeling'!$B$3)</f>
        <v>440.42900000000003</v>
      </c>
      <c r="Y500">
        <v>712.75</v>
      </c>
      <c r="Z500" t="str">
        <f>IF(Table1[[#This Row],[UnitPrice]]&lt;=Quantiles!$B$2,Quantiles!$A$2,IF(Table1[[#This Row],[UnitPrice]]&lt;=Quantiles!$B$3,Quantiles!$A$3,Quantiles!$A$4))</f>
        <v>Low</v>
      </c>
      <c r="AA500">
        <v>0.115</v>
      </c>
      <c r="AB500" s="5">
        <f>MIN(Table1[[#This Row],[DiscountPct]],'scenario modeling'!$B$2)</f>
        <v>0.1</v>
      </c>
      <c r="AC500" t="str">
        <f>IF(Table1[[#This Row],[DiscountPct]]&gt;0.3, "&gt;0.3","")</f>
        <v/>
      </c>
      <c r="AD500">
        <v>19</v>
      </c>
      <c r="AE500">
        <f>Table1[[#This Row],[Quantity]]*(1+'scenario modeling'!$B$4)</f>
        <v>22.8</v>
      </c>
      <c r="AF500">
        <f>Table1[[#This Row],[UnitCost]]*Table1[[#This Row],[Quantity]]</f>
        <v>7607.41</v>
      </c>
      <c r="AG500">
        <f>SUMIF($U:U,Table1[[#This Row],[ProductCategory]],$AM:AM)</f>
        <v>1398841.4532999999</v>
      </c>
      <c r="AH500">
        <f>SUMIFS($AM$2:AM500,$U$2:U500,U500)</f>
        <v>1015287.6176399998</v>
      </c>
      <c r="AI500" s="5">
        <f>Table1[[#This Row],[Cumulative_revenue]]/Table1[[#This Row],[Category_revenue]]</f>
        <v>0.72580606990509167</v>
      </c>
      <c r="AJ500" t="str">
        <f>IF(Table1[[#This Row],[cumulative_pct]]&lt;=0.8,"A",IF(Table1[[#This Row],[cumulative_pct]]&lt;=0.95,"B","C"))</f>
        <v>A</v>
      </c>
      <c r="AK500">
        <f>Table1[[#This Row],[adj_unit_cost]]*Table1[[#This Row],[scenario_quantity]]</f>
        <v>10041.781200000001</v>
      </c>
      <c r="AL500" s="5">
        <f>Table1[[#This Row],[UnitPrice]]*Table1[[#This Row],[scenario_quantity]]*(1-Table1[[#This Row],[cap_adjusted_discount]])</f>
        <v>14625.630000000001</v>
      </c>
      <c r="AM500" s="5">
        <f>Table1[[#This Row],[UnitPrice]]*Table1[[#This Row],[Quantity]]*(1-Table1[[#This Row],[DiscountPct]])</f>
        <v>11984.891250000001</v>
      </c>
      <c r="AN500" s="5">
        <f>Table1[[#This Row],[gross_revenue]]-Table1[[#This Row],[cost_of_goods]]</f>
        <v>4377.4812500000007</v>
      </c>
      <c r="AO500" s="5">
        <f>Table1[[#This Row],[scenario_revenue]]-Table1[[#This Row],[Scenario_unit_cost]]</f>
        <v>4583.8487999999998</v>
      </c>
      <c r="AP500" s="5">
        <f>IF(Table1[[#This Row],[gross_revenue]]=0,0,Table1[[#This Row],[gross_profit]]/Table1[[#This Row],[gross_revenue]])</f>
        <v>0.36524997671547504</v>
      </c>
    </row>
    <row r="501" spans="1:42" x14ac:dyDescent="0.35">
      <c r="A501" t="s">
        <v>77</v>
      </c>
      <c r="B501" t="str">
        <f>_xlfn.TEXTAFTER(Table1[[#This Row],[OrderID]],"-",2)</f>
        <v>526650</v>
      </c>
      <c r="C501">
        <f>YEAR(Table1[[#This Row],[OrderDate]])</f>
        <v>2025</v>
      </c>
      <c r="D501" s="9">
        <f>_xlfn.MINIFS(F:F,P:P,Table1[[#This Row],[Country]])</f>
        <v>44936</v>
      </c>
      <c r="E501" s="7">
        <f>DATEDIF(Table1[[#This Row],[first_time_orders]],Table1[[#This Row],[OrderDate]],"m")</f>
        <v>27</v>
      </c>
      <c r="F501" s="9">
        <v>45774</v>
      </c>
      <c r="G501" s="2" t="str">
        <f>TEXT(Table1[[#This Row],[OrderDate]],"MMM-YYYY")</f>
        <v>Apr-2025</v>
      </c>
      <c r="H501" s="7">
        <f>MONTH(Table1[[#This Row],[OrderDate]])</f>
        <v>4</v>
      </c>
      <c r="I501" s="7" t="str">
        <f>"Q"&amp;ROUNDUP(Table1[[#This Row],[months]]/3,0)&amp;"-"&amp;Table1[[#This Row],[order_year]]</f>
        <v>Q2-2025</v>
      </c>
      <c r="J501" s="7">
        <f>Table1[[#This Row],[RequiredDate]]-Table1[[#This Row],[OrderDate]]</f>
        <v>28</v>
      </c>
      <c r="K501" s="7">
        <f>IF(Table1[[#This Row],[lead_time]]&lt;0,MEDIAN(J:J),Table1[[#This Row],[lead_time]])</f>
        <v>28</v>
      </c>
      <c r="L501" s="7">
        <f>IF(Table1[[#This Row],[adj_lead_time]]&lt;=7,1,0)</f>
        <v>0</v>
      </c>
      <c r="M501" s="9">
        <v>45802</v>
      </c>
      <c r="N501" s="9">
        <f>IF(Table1[[#This Row],[lead_time]]&lt;0,(Table1[[#This Row],[OrderDate]]+Table1[[#This Row],[adj_lead_time]]),Table1[[#This Row],[RequiredDate]])</f>
        <v>45802</v>
      </c>
      <c r="O501" t="s">
        <v>649</v>
      </c>
      <c r="P501" t="s">
        <v>657</v>
      </c>
      <c r="Q501" t="s">
        <v>690</v>
      </c>
      <c r="R501" t="s">
        <v>705</v>
      </c>
      <c r="S501" t="s">
        <v>709</v>
      </c>
      <c r="T501" t="s">
        <v>714</v>
      </c>
      <c r="U501" t="s">
        <v>730</v>
      </c>
      <c r="V501" t="s">
        <v>796</v>
      </c>
      <c r="W501">
        <v>603.45000000000005</v>
      </c>
      <c r="X501">
        <f>Table1[[#This Row],[UnitCost]]*(1+'scenario modeling'!$B$3)</f>
        <v>663.79500000000007</v>
      </c>
      <c r="Y501">
        <v>1244.08</v>
      </c>
      <c r="Z501" t="str">
        <f>IF(Table1[[#This Row],[UnitPrice]]&lt;=Quantiles!$B$2,Quantiles!$A$2,IF(Table1[[#This Row],[UnitPrice]]&lt;=Quantiles!$B$3,Quantiles!$A$3,Quantiles!$A$4))</f>
        <v>Medium</v>
      </c>
      <c r="AA501">
        <v>0.2</v>
      </c>
      <c r="AB501" s="5">
        <f>MIN(Table1[[#This Row],[DiscountPct]],'scenario modeling'!$B$2)</f>
        <v>0.1</v>
      </c>
      <c r="AC501" t="str">
        <f>IF(Table1[[#This Row],[DiscountPct]]&gt;0.3, "&gt;0.3","")</f>
        <v/>
      </c>
      <c r="AD501">
        <v>11</v>
      </c>
      <c r="AE501">
        <f>Table1[[#This Row],[Quantity]]*(1+'scenario modeling'!$B$4)</f>
        <v>13.2</v>
      </c>
      <c r="AF501">
        <f>Table1[[#This Row],[UnitCost]]*Table1[[#This Row],[Quantity]]</f>
        <v>6637.9500000000007</v>
      </c>
      <c r="AG501">
        <f>SUMIF($U:U,Table1[[#This Row],[ProductCategory]],$AM:AM)</f>
        <v>1398841.4532999999</v>
      </c>
      <c r="AH501">
        <f>SUMIFS($AM$2:AM501,$U$2:U501,U501)</f>
        <v>1026235.5216399998</v>
      </c>
      <c r="AI501" s="5">
        <f>Table1[[#This Row],[Cumulative_revenue]]/Table1[[#This Row],[Category_revenue]]</f>
        <v>0.73363247794738473</v>
      </c>
      <c r="AJ501" t="str">
        <f>IF(Table1[[#This Row],[cumulative_pct]]&lt;=0.8,"A",IF(Table1[[#This Row],[cumulative_pct]]&lt;=0.95,"B","C"))</f>
        <v>A</v>
      </c>
      <c r="AK501">
        <f>Table1[[#This Row],[adj_unit_cost]]*Table1[[#This Row],[scenario_quantity]]</f>
        <v>8762.094000000001</v>
      </c>
      <c r="AL501" s="5">
        <f>Table1[[#This Row],[UnitPrice]]*Table1[[#This Row],[scenario_quantity]]*(1-Table1[[#This Row],[cap_adjusted_discount]])</f>
        <v>14779.670400000001</v>
      </c>
      <c r="AM501" s="5">
        <f>Table1[[#This Row],[UnitPrice]]*Table1[[#This Row],[Quantity]]*(1-Table1[[#This Row],[DiscountPct]])</f>
        <v>10947.904</v>
      </c>
      <c r="AN501" s="5">
        <f>Table1[[#This Row],[gross_revenue]]-Table1[[#This Row],[cost_of_goods]]</f>
        <v>4309.9539999999997</v>
      </c>
      <c r="AO501" s="5">
        <f>Table1[[#This Row],[scenario_revenue]]-Table1[[#This Row],[Scenario_unit_cost]]</f>
        <v>6017.5763999999999</v>
      </c>
      <c r="AP501" s="5">
        <f>IF(Table1[[#This Row],[gross_revenue]]=0,0,Table1[[#This Row],[gross_profit]]/Table1[[#This Row],[gross_revenue]])</f>
        <v>0.39367846119220623</v>
      </c>
    </row>
    <row r="502" spans="1:42" x14ac:dyDescent="0.35">
      <c r="A502" t="s">
        <v>497</v>
      </c>
      <c r="B502" t="str">
        <f>_xlfn.TEXTAFTER(Table1[[#This Row],[OrderID]],"-",2)</f>
        <v>252117</v>
      </c>
      <c r="C502">
        <f>YEAR(Table1[[#This Row],[OrderDate]])</f>
        <v>2025</v>
      </c>
      <c r="D502" s="9">
        <f>_xlfn.MINIFS(F:F,P:P,Table1[[#This Row],[Country]])</f>
        <v>44948</v>
      </c>
      <c r="E502" s="7">
        <f>DATEDIF(Table1[[#This Row],[first_time_orders]],Table1[[#This Row],[OrderDate]],"m")</f>
        <v>27</v>
      </c>
      <c r="F502" s="9">
        <v>45775</v>
      </c>
      <c r="G502" s="2" t="str">
        <f>TEXT(Table1[[#This Row],[OrderDate]],"MMM-YYYY")</f>
        <v>Apr-2025</v>
      </c>
      <c r="H502" s="7">
        <f>MONTH(Table1[[#This Row],[OrderDate]])</f>
        <v>4</v>
      </c>
      <c r="I502" s="7" t="str">
        <f>"Q"&amp;ROUNDUP(Table1[[#This Row],[months]]/3,0)&amp;"-"&amp;Table1[[#This Row],[order_year]]</f>
        <v>Q2-2025</v>
      </c>
      <c r="J502" s="7">
        <f>Table1[[#This Row],[RequiredDate]]-Table1[[#This Row],[OrderDate]]</f>
        <v>21</v>
      </c>
      <c r="K502" s="7">
        <f>IF(Table1[[#This Row],[lead_time]]&lt;0,MEDIAN(J:J),Table1[[#This Row],[lead_time]])</f>
        <v>21</v>
      </c>
      <c r="L502" s="7">
        <f>IF(Table1[[#This Row],[adj_lead_time]]&lt;=7,1,0)</f>
        <v>0</v>
      </c>
      <c r="M502" s="9">
        <v>45796</v>
      </c>
      <c r="N502" s="9">
        <f>IF(Table1[[#This Row],[lead_time]]&lt;0,(Table1[[#This Row],[OrderDate]]+Table1[[#This Row],[adj_lead_time]]),Table1[[#This Row],[RequiredDate]])</f>
        <v>45796</v>
      </c>
      <c r="O502" t="s">
        <v>649</v>
      </c>
      <c r="P502" t="s">
        <v>656</v>
      </c>
      <c r="Q502" t="s">
        <v>671</v>
      </c>
      <c r="R502" t="s">
        <v>701</v>
      </c>
      <c r="S502" t="s">
        <v>710</v>
      </c>
      <c r="T502" t="s">
        <v>717</v>
      </c>
      <c r="U502" t="s">
        <v>730</v>
      </c>
      <c r="V502" t="s">
        <v>1216</v>
      </c>
      <c r="W502">
        <v>350.76</v>
      </c>
      <c r="X502">
        <f>Table1[[#This Row],[UnitCost]]*(1+'scenario modeling'!$B$3)</f>
        <v>385.83600000000001</v>
      </c>
      <c r="Y502">
        <v>492.18</v>
      </c>
      <c r="Z502" t="str">
        <f>IF(Table1[[#This Row],[UnitPrice]]&lt;=Quantiles!$B$2,Quantiles!$A$2,IF(Table1[[#This Row],[UnitPrice]]&lt;=Quantiles!$B$3,Quantiles!$A$3,Quantiles!$A$4))</f>
        <v>Low</v>
      </c>
      <c r="AA502">
        <v>5.2999999999999999E-2</v>
      </c>
      <c r="AB502" s="5">
        <f>MIN(Table1[[#This Row],[DiscountPct]],'scenario modeling'!$B$2)</f>
        <v>5.2999999999999999E-2</v>
      </c>
      <c r="AC502" t="str">
        <f>IF(Table1[[#This Row],[DiscountPct]]&gt;0.3, "&gt;0.3","")</f>
        <v/>
      </c>
      <c r="AD502">
        <v>11</v>
      </c>
      <c r="AE502">
        <f>Table1[[#This Row],[Quantity]]*(1+'scenario modeling'!$B$4)</f>
        <v>13.2</v>
      </c>
      <c r="AF502">
        <f>Table1[[#This Row],[UnitCost]]*Table1[[#This Row],[Quantity]]</f>
        <v>3858.3599999999997</v>
      </c>
      <c r="AG502">
        <f>SUMIF($U:U,Table1[[#This Row],[ProductCategory]],$AM:AM)</f>
        <v>1398841.4532999999</v>
      </c>
      <c r="AH502">
        <f>SUMIFS($AM$2:AM502,$U$2:U502,U502)</f>
        <v>1031362.5606999998</v>
      </c>
      <c r="AI502" s="5">
        <f>Table1[[#This Row],[Cumulative_revenue]]/Table1[[#This Row],[Category_revenue]]</f>
        <v>0.73729768178296229</v>
      </c>
      <c r="AJ502" t="str">
        <f>IF(Table1[[#This Row],[cumulative_pct]]&lt;=0.8,"A",IF(Table1[[#This Row],[cumulative_pct]]&lt;=0.95,"B","C"))</f>
        <v>A</v>
      </c>
      <c r="AK502">
        <f>Table1[[#This Row],[adj_unit_cost]]*Table1[[#This Row],[scenario_quantity]]</f>
        <v>5093.0352000000003</v>
      </c>
      <c r="AL502" s="5">
        <f>Table1[[#This Row],[UnitPrice]]*Table1[[#This Row],[scenario_quantity]]*(1-Table1[[#This Row],[cap_adjusted_discount]])</f>
        <v>6152.4468719999995</v>
      </c>
      <c r="AM502" s="5">
        <f>Table1[[#This Row],[UnitPrice]]*Table1[[#This Row],[Quantity]]*(1-Table1[[#This Row],[DiscountPct]])</f>
        <v>5127.0390600000001</v>
      </c>
      <c r="AN502" s="5">
        <f>Table1[[#This Row],[gross_revenue]]-Table1[[#This Row],[cost_of_goods]]</f>
        <v>1268.6790600000004</v>
      </c>
      <c r="AO502" s="5">
        <f>Table1[[#This Row],[scenario_revenue]]-Table1[[#This Row],[Scenario_unit_cost]]</f>
        <v>1059.4116719999993</v>
      </c>
      <c r="AP502" s="5">
        <f>IF(Table1[[#This Row],[gross_revenue]]=0,0,Table1[[#This Row],[gross_profit]]/Table1[[#This Row],[gross_revenue]])</f>
        <v>0.24744868239798437</v>
      </c>
    </row>
    <row r="503" spans="1:42" x14ac:dyDescent="0.35">
      <c r="A503" t="s">
        <v>255</v>
      </c>
      <c r="B503" t="str">
        <f>_xlfn.TEXTAFTER(Table1[[#This Row],[OrderID]],"-",2)</f>
        <v>509940</v>
      </c>
      <c r="C503">
        <f>YEAR(Table1[[#This Row],[OrderDate]])</f>
        <v>2025</v>
      </c>
      <c r="D503" s="9">
        <f>_xlfn.MINIFS(F:F,P:P,Table1[[#This Row],[Country]])</f>
        <v>44938</v>
      </c>
      <c r="E503" s="7">
        <f>DATEDIF(Table1[[#This Row],[first_time_orders]],Table1[[#This Row],[OrderDate]],"m")</f>
        <v>28</v>
      </c>
      <c r="F503" s="9">
        <v>45793</v>
      </c>
      <c r="G503" s="2" t="str">
        <f>TEXT(Table1[[#This Row],[OrderDate]],"MMM-YYYY")</f>
        <v>May-2025</v>
      </c>
      <c r="H503" s="7">
        <f>MONTH(Table1[[#This Row],[OrderDate]])</f>
        <v>5</v>
      </c>
      <c r="I503" s="7" t="str">
        <f>"Q"&amp;ROUNDUP(Table1[[#This Row],[months]]/3,0)&amp;"-"&amp;Table1[[#This Row],[order_year]]</f>
        <v>Q2-2025</v>
      </c>
      <c r="J503" s="7">
        <f>Table1[[#This Row],[RequiredDate]]-Table1[[#This Row],[OrderDate]]</f>
        <v>11</v>
      </c>
      <c r="K503" s="7">
        <f>IF(Table1[[#This Row],[lead_time]]&lt;0,MEDIAN(J:J),Table1[[#This Row],[lead_time]])</f>
        <v>11</v>
      </c>
      <c r="L503" s="7">
        <f>IF(Table1[[#This Row],[adj_lead_time]]&lt;=7,1,0)</f>
        <v>0</v>
      </c>
      <c r="M503" s="9">
        <v>45804</v>
      </c>
      <c r="N503" s="9">
        <f>IF(Table1[[#This Row],[lead_time]]&lt;0,(Table1[[#This Row],[OrderDate]]+Table1[[#This Row],[adj_lead_time]]),Table1[[#This Row],[RequiredDate]])</f>
        <v>45804</v>
      </c>
      <c r="O503" t="s">
        <v>647</v>
      </c>
      <c r="P503" t="s">
        <v>659</v>
      </c>
      <c r="Q503" t="s">
        <v>699</v>
      </c>
      <c r="R503" t="s">
        <v>706</v>
      </c>
      <c r="S503" t="s">
        <v>708</v>
      </c>
      <c r="T503" t="s">
        <v>721</v>
      </c>
      <c r="U503" t="s">
        <v>730</v>
      </c>
      <c r="V503" t="s">
        <v>975</v>
      </c>
      <c r="W503">
        <v>918.12</v>
      </c>
      <c r="X503">
        <f>Table1[[#This Row],[UnitCost]]*(1+'scenario modeling'!$B$3)</f>
        <v>1009.9320000000001</v>
      </c>
      <c r="Y503">
        <v>1337.69</v>
      </c>
      <c r="Z503" t="str">
        <f>IF(Table1[[#This Row],[UnitPrice]]&lt;=Quantiles!$B$2,Quantiles!$A$2,IF(Table1[[#This Row],[UnitPrice]]&lt;=Quantiles!$B$3,Quantiles!$A$3,Quantiles!$A$4))</f>
        <v>Medium</v>
      </c>
      <c r="AA503">
        <v>9.5000000000000001E-2</v>
      </c>
      <c r="AB503" s="5">
        <f>MIN(Table1[[#This Row],[DiscountPct]],'scenario modeling'!$B$2)</f>
        <v>9.5000000000000001E-2</v>
      </c>
      <c r="AC503" t="str">
        <f>IF(Table1[[#This Row],[DiscountPct]]&gt;0.3, "&gt;0.3","")</f>
        <v/>
      </c>
      <c r="AD503">
        <v>8</v>
      </c>
      <c r="AE503">
        <f>Table1[[#This Row],[Quantity]]*(1+'scenario modeling'!$B$4)</f>
        <v>9.6</v>
      </c>
      <c r="AF503">
        <f>Table1[[#This Row],[UnitCost]]*Table1[[#This Row],[Quantity]]</f>
        <v>7344.96</v>
      </c>
      <c r="AG503">
        <f>SUMIF($U:U,Table1[[#This Row],[ProductCategory]],$AM:AM)</f>
        <v>1398841.4532999999</v>
      </c>
      <c r="AH503">
        <f>SUMIFS($AM$2:AM503,$U$2:U503,U503)</f>
        <v>1041047.4362999998</v>
      </c>
      <c r="AI503" s="5">
        <f>Table1[[#This Row],[Cumulative_revenue]]/Table1[[#This Row],[Category_revenue]]</f>
        <v>0.74422117949398048</v>
      </c>
      <c r="AJ503" t="str">
        <f>IF(Table1[[#This Row],[cumulative_pct]]&lt;=0.8,"A",IF(Table1[[#This Row],[cumulative_pct]]&lt;=0.95,"B","C"))</f>
        <v>A</v>
      </c>
      <c r="AK503">
        <f>Table1[[#This Row],[adj_unit_cost]]*Table1[[#This Row],[scenario_quantity]]</f>
        <v>9695.3472000000002</v>
      </c>
      <c r="AL503" s="5">
        <f>Table1[[#This Row],[UnitPrice]]*Table1[[#This Row],[scenario_quantity]]*(1-Table1[[#This Row],[cap_adjusted_discount]])</f>
        <v>11621.85072</v>
      </c>
      <c r="AM503" s="5">
        <f>Table1[[#This Row],[UnitPrice]]*Table1[[#This Row],[Quantity]]*(1-Table1[[#This Row],[DiscountPct]])</f>
        <v>9684.8756000000012</v>
      </c>
      <c r="AN503" s="5">
        <f>Table1[[#This Row],[gross_revenue]]-Table1[[#This Row],[cost_of_goods]]</f>
        <v>2339.9156000000012</v>
      </c>
      <c r="AO503" s="5">
        <f>Table1[[#This Row],[scenario_revenue]]-Table1[[#This Row],[Scenario_unit_cost]]</f>
        <v>1926.5035200000002</v>
      </c>
      <c r="AP503" s="5">
        <f>IF(Table1[[#This Row],[gross_revenue]]=0,0,Table1[[#This Row],[gross_profit]]/Table1[[#This Row],[gross_revenue]])</f>
        <v>0.24160512707050164</v>
      </c>
    </row>
    <row r="504" spans="1:42" x14ac:dyDescent="0.35">
      <c r="A504" t="s">
        <v>106</v>
      </c>
      <c r="B504" t="str">
        <f>_xlfn.TEXTAFTER(Table1[[#This Row],[OrderID]],"-",2)</f>
        <v>526752</v>
      </c>
      <c r="C504">
        <f>YEAR(Table1[[#This Row],[OrderDate]])</f>
        <v>2025</v>
      </c>
      <c r="D504" s="9">
        <f>_xlfn.MINIFS(F:F,P:P,Table1[[#This Row],[Country]])</f>
        <v>44955</v>
      </c>
      <c r="E504" s="7">
        <f>DATEDIF(Table1[[#This Row],[first_time_orders]],Table1[[#This Row],[OrderDate]],"m")</f>
        <v>28</v>
      </c>
      <c r="F504" s="9">
        <v>45817</v>
      </c>
      <c r="G504" s="2" t="str">
        <f>TEXT(Table1[[#This Row],[OrderDate]],"MMM-YYYY")</f>
        <v>Jun-2025</v>
      </c>
      <c r="H504" s="7">
        <f>MONTH(Table1[[#This Row],[OrderDate]])</f>
        <v>6</v>
      </c>
      <c r="I504" s="7" t="str">
        <f>"Q"&amp;ROUNDUP(Table1[[#This Row],[months]]/3,0)&amp;"-"&amp;Table1[[#This Row],[order_year]]</f>
        <v>Q2-2025</v>
      </c>
      <c r="J504" s="7">
        <f>Table1[[#This Row],[RequiredDate]]-Table1[[#This Row],[OrderDate]]</f>
        <v>16</v>
      </c>
      <c r="K504" s="7">
        <f>IF(Table1[[#This Row],[lead_time]]&lt;0,MEDIAN(J:J),Table1[[#This Row],[lead_time]])</f>
        <v>16</v>
      </c>
      <c r="L504" s="7">
        <f>IF(Table1[[#This Row],[adj_lead_time]]&lt;=7,1,0)</f>
        <v>0</v>
      </c>
      <c r="M504" s="9">
        <v>45833</v>
      </c>
      <c r="N504" s="9">
        <f>IF(Table1[[#This Row],[lead_time]]&lt;0,(Table1[[#This Row],[OrderDate]]+Table1[[#This Row],[adj_lead_time]]),Table1[[#This Row],[RequiredDate]])</f>
        <v>45833</v>
      </c>
      <c r="O504" t="s">
        <v>647</v>
      </c>
      <c r="P504" t="s">
        <v>654</v>
      </c>
      <c r="Q504" t="s">
        <v>696</v>
      </c>
      <c r="R504" t="s">
        <v>706</v>
      </c>
      <c r="S504" t="s">
        <v>710</v>
      </c>
      <c r="T504" t="s">
        <v>724</v>
      </c>
      <c r="U504" t="s">
        <v>730</v>
      </c>
      <c r="V504" t="s">
        <v>825</v>
      </c>
      <c r="W504">
        <v>527.33000000000004</v>
      </c>
      <c r="X504">
        <f>Table1[[#This Row],[UnitCost]]*(1+'scenario modeling'!$B$3)</f>
        <v>580.0630000000001</v>
      </c>
      <c r="Y504">
        <v>911.72</v>
      </c>
      <c r="Z504" t="str">
        <f>IF(Table1[[#This Row],[UnitPrice]]&lt;=Quantiles!$B$2,Quantiles!$A$2,IF(Table1[[#This Row],[UnitPrice]]&lt;=Quantiles!$B$3,Quantiles!$A$3,Quantiles!$A$4))</f>
        <v>Medium</v>
      </c>
      <c r="AA504">
        <v>0.14399999999999999</v>
      </c>
      <c r="AB504" s="5">
        <f>MIN(Table1[[#This Row],[DiscountPct]],'scenario modeling'!$B$2)</f>
        <v>0.1</v>
      </c>
      <c r="AC504" t="str">
        <f>IF(Table1[[#This Row],[DiscountPct]]&gt;0.3, "&gt;0.3","")</f>
        <v/>
      </c>
      <c r="AD504">
        <v>25</v>
      </c>
      <c r="AE504">
        <f>Table1[[#This Row],[Quantity]]*(1+'scenario modeling'!$B$4)</f>
        <v>30</v>
      </c>
      <c r="AF504">
        <f>Table1[[#This Row],[UnitCost]]*Table1[[#This Row],[Quantity]]</f>
        <v>13183.250000000002</v>
      </c>
      <c r="AG504">
        <f>SUMIF($U:U,Table1[[#This Row],[ProductCategory]],$AM:AM)</f>
        <v>1398841.4532999999</v>
      </c>
      <c r="AH504">
        <f>SUMIFS($AM$2:AM504,$U$2:U504,U504)</f>
        <v>1060558.2442999999</v>
      </c>
      <c r="AI504" s="5">
        <f>Table1[[#This Row],[Cumulative_revenue]]/Table1[[#This Row],[Category_revenue]]</f>
        <v>0.75816901322022034</v>
      </c>
      <c r="AJ504" t="str">
        <f>IF(Table1[[#This Row],[cumulative_pct]]&lt;=0.8,"A",IF(Table1[[#This Row],[cumulative_pct]]&lt;=0.95,"B","C"))</f>
        <v>A</v>
      </c>
      <c r="AK504">
        <f>Table1[[#This Row],[adj_unit_cost]]*Table1[[#This Row],[scenario_quantity]]</f>
        <v>17401.890000000003</v>
      </c>
      <c r="AL504" s="5">
        <f>Table1[[#This Row],[UnitPrice]]*Table1[[#This Row],[scenario_quantity]]*(1-Table1[[#This Row],[cap_adjusted_discount]])</f>
        <v>24616.440000000002</v>
      </c>
      <c r="AM504" s="5">
        <f>Table1[[#This Row],[UnitPrice]]*Table1[[#This Row],[Quantity]]*(1-Table1[[#This Row],[DiscountPct]])</f>
        <v>19510.808000000001</v>
      </c>
      <c r="AN504" s="5">
        <f>Table1[[#This Row],[gross_revenue]]-Table1[[#This Row],[cost_of_goods]]</f>
        <v>6327.5579999999991</v>
      </c>
      <c r="AO504" s="5">
        <f>Table1[[#This Row],[scenario_revenue]]-Table1[[#This Row],[Scenario_unit_cost]]</f>
        <v>7214.5499999999993</v>
      </c>
      <c r="AP504" s="5">
        <f>IF(Table1[[#This Row],[gross_revenue]]=0,0,Table1[[#This Row],[gross_profit]]/Table1[[#This Row],[gross_revenue]])</f>
        <v>0.32431040272652978</v>
      </c>
    </row>
    <row r="505" spans="1:42" x14ac:dyDescent="0.35">
      <c r="A505" t="s">
        <v>594</v>
      </c>
      <c r="B505" t="str">
        <f>_xlfn.TEXTAFTER(Table1[[#This Row],[OrderID]],"-",2)</f>
        <v>155182</v>
      </c>
      <c r="C505">
        <f>YEAR(Table1[[#This Row],[OrderDate]])</f>
        <v>2025</v>
      </c>
      <c r="D505" s="9">
        <f>_xlfn.MINIFS(F:F,P:P,Table1[[#This Row],[Country]])</f>
        <v>44946</v>
      </c>
      <c r="E505" s="7">
        <f>DATEDIF(Table1[[#This Row],[first_time_orders]],Table1[[#This Row],[OrderDate]],"m")</f>
        <v>29</v>
      </c>
      <c r="F505" s="9">
        <v>45849</v>
      </c>
      <c r="G505" s="2" t="str">
        <f>TEXT(Table1[[#This Row],[OrderDate]],"MMM-YYYY")</f>
        <v>Jul-2025</v>
      </c>
      <c r="H505" s="7">
        <f>MONTH(Table1[[#This Row],[OrderDate]])</f>
        <v>7</v>
      </c>
      <c r="I505" s="7" t="str">
        <f>"Q"&amp;ROUNDUP(Table1[[#This Row],[months]]/3,0)&amp;"-"&amp;Table1[[#This Row],[order_year]]</f>
        <v>Q3-2025</v>
      </c>
      <c r="J505" s="7">
        <f>Table1[[#This Row],[RequiredDate]]-Table1[[#This Row],[OrderDate]]</f>
        <v>23</v>
      </c>
      <c r="K505" s="7">
        <f>IF(Table1[[#This Row],[lead_time]]&lt;0,MEDIAN(J:J),Table1[[#This Row],[lead_time]])</f>
        <v>23</v>
      </c>
      <c r="L505" s="7">
        <f>IF(Table1[[#This Row],[adj_lead_time]]&lt;=7,1,0)</f>
        <v>0</v>
      </c>
      <c r="M505" s="9">
        <v>45872</v>
      </c>
      <c r="N505" s="9">
        <f>IF(Table1[[#This Row],[lead_time]]&lt;0,(Table1[[#This Row],[OrderDate]]+Table1[[#This Row],[adj_lead_time]]),Table1[[#This Row],[RequiredDate]])</f>
        <v>45872</v>
      </c>
      <c r="O505" t="s">
        <v>646</v>
      </c>
      <c r="P505" t="s">
        <v>650</v>
      </c>
      <c r="Q505" t="s">
        <v>678</v>
      </c>
      <c r="R505" t="s">
        <v>705</v>
      </c>
      <c r="S505" t="s">
        <v>707</v>
      </c>
      <c r="T505" t="s">
        <v>712</v>
      </c>
      <c r="U505" t="s">
        <v>730</v>
      </c>
      <c r="V505" t="s">
        <v>1312</v>
      </c>
      <c r="W505">
        <v>389.93</v>
      </c>
      <c r="X505">
        <f>Table1[[#This Row],[UnitCost]]*(1+'scenario modeling'!$B$3)</f>
        <v>428.92300000000006</v>
      </c>
      <c r="Y505">
        <v>486.13</v>
      </c>
      <c r="Z505" t="str">
        <f>IF(Table1[[#This Row],[UnitPrice]]&lt;=Quantiles!$B$2,Quantiles!$A$2,IF(Table1[[#This Row],[UnitPrice]]&lt;=Quantiles!$B$3,Quantiles!$A$3,Quantiles!$A$4))</f>
        <v>Low</v>
      </c>
      <c r="AA505">
        <v>0.13200000000000001</v>
      </c>
      <c r="AB505" s="5">
        <f>MIN(Table1[[#This Row],[DiscountPct]],'scenario modeling'!$B$2)</f>
        <v>0.1</v>
      </c>
      <c r="AC505" t="str">
        <f>IF(Table1[[#This Row],[DiscountPct]]&gt;0.3, "&gt;0.3","")</f>
        <v/>
      </c>
      <c r="AD505">
        <v>17</v>
      </c>
      <c r="AE505">
        <f>Table1[[#This Row],[Quantity]]*(1+'scenario modeling'!$B$4)</f>
        <v>20.399999999999999</v>
      </c>
      <c r="AF505">
        <f>Table1[[#This Row],[UnitCost]]*Table1[[#This Row],[Quantity]]</f>
        <v>6628.81</v>
      </c>
      <c r="AG505">
        <f>SUMIF($U:U,Table1[[#This Row],[ProductCategory]],$AM:AM)</f>
        <v>1398841.4532999999</v>
      </c>
      <c r="AH505">
        <f>SUMIFS($AM$2:AM505,$U$2:U505,U505)</f>
        <v>1067731.57858</v>
      </c>
      <c r="AI505" s="5">
        <f>Table1[[#This Row],[Cumulative_revenue]]/Table1[[#This Row],[Category_revenue]]</f>
        <v>0.76329706705582656</v>
      </c>
      <c r="AJ505" t="str">
        <f>IF(Table1[[#This Row],[cumulative_pct]]&lt;=0.8,"A",IF(Table1[[#This Row],[cumulative_pct]]&lt;=0.95,"B","C"))</f>
        <v>A</v>
      </c>
      <c r="AK505">
        <f>Table1[[#This Row],[adj_unit_cost]]*Table1[[#This Row],[scenario_quantity]]</f>
        <v>8750.0292000000009</v>
      </c>
      <c r="AL505" s="5">
        <f>Table1[[#This Row],[UnitPrice]]*Table1[[#This Row],[scenario_quantity]]*(1-Table1[[#This Row],[cap_adjusted_discount]])</f>
        <v>8925.3467999999993</v>
      </c>
      <c r="AM505" s="5">
        <f>Table1[[#This Row],[UnitPrice]]*Table1[[#This Row],[Quantity]]*(1-Table1[[#This Row],[DiscountPct]])</f>
        <v>7173.3342799999991</v>
      </c>
      <c r="AN505" s="5">
        <f>Table1[[#This Row],[gross_revenue]]-Table1[[#This Row],[cost_of_goods]]</f>
        <v>544.52427999999873</v>
      </c>
      <c r="AO505" s="5">
        <f>Table1[[#This Row],[scenario_revenue]]-Table1[[#This Row],[Scenario_unit_cost]]</f>
        <v>175.31759999999849</v>
      </c>
      <c r="AP505" s="5">
        <f>IF(Table1[[#This Row],[gross_revenue]]=0,0,Table1[[#This Row],[gross_profit]]/Table1[[#This Row],[gross_revenue]])</f>
        <v>7.5909508569562828E-2</v>
      </c>
    </row>
    <row r="506" spans="1:42" x14ac:dyDescent="0.35">
      <c r="A506" t="s">
        <v>277</v>
      </c>
      <c r="B506" t="str">
        <f>_xlfn.TEXTAFTER(Table1[[#This Row],[OrderID]],"-",2)</f>
        <v>908258</v>
      </c>
      <c r="C506">
        <f>YEAR(Table1[[#This Row],[OrderDate]])</f>
        <v>2025</v>
      </c>
      <c r="D506" s="9">
        <f>_xlfn.MINIFS(F:F,P:P,Table1[[#This Row],[Country]])</f>
        <v>44933</v>
      </c>
      <c r="E506" s="7">
        <f>DATEDIF(Table1[[#This Row],[first_time_orders]],Table1[[#This Row],[OrderDate]],"m")</f>
        <v>29</v>
      </c>
      <c r="F506" s="9">
        <v>45829</v>
      </c>
      <c r="G506" s="2" t="str">
        <f>TEXT(Table1[[#This Row],[OrderDate]],"MMM-YYYY")</f>
        <v>Jun-2025</v>
      </c>
      <c r="H506" s="7">
        <f>MONTH(Table1[[#This Row],[OrderDate]])</f>
        <v>6</v>
      </c>
      <c r="I506" s="7" t="str">
        <f>"Q"&amp;ROUNDUP(Table1[[#This Row],[months]]/3,0)&amp;"-"&amp;Table1[[#This Row],[order_year]]</f>
        <v>Q2-2025</v>
      </c>
      <c r="J506" s="7">
        <f>Table1[[#This Row],[RequiredDate]]-Table1[[#This Row],[OrderDate]]</f>
        <v>6</v>
      </c>
      <c r="K506" s="7">
        <f>IF(Table1[[#This Row],[lead_time]]&lt;0,MEDIAN(J:J),Table1[[#This Row],[lead_time]])</f>
        <v>6</v>
      </c>
      <c r="L506" s="7">
        <f>IF(Table1[[#This Row],[adj_lead_time]]&lt;=7,1,0)</f>
        <v>1</v>
      </c>
      <c r="M506" s="9">
        <v>45835</v>
      </c>
      <c r="N506" s="9">
        <f>IF(Table1[[#This Row],[lead_time]]&lt;0,(Table1[[#This Row],[OrderDate]]+Table1[[#This Row],[adj_lead_time]]),Table1[[#This Row],[RequiredDate]])</f>
        <v>45835</v>
      </c>
      <c r="O506" t="s">
        <v>646</v>
      </c>
      <c r="P506" t="s">
        <v>661</v>
      </c>
      <c r="Q506" t="s">
        <v>687</v>
      </c>
      <c r="R506" t="s">
        <v>706</v>
      </c>
      <c r="S506" t="s">
        <v>710</v>
      </c>
      <c r="T506" t="s">
        <v>725</v>
      </c>
      <c r="U506" t="s">
        <v>730</v>
      </c>
      <c r="V506" t="s">
        <v>997</v>
      </c>
      <c r="W506">
        <v>93.91</v>
      </c>
      <c r="X506">
        <f>Table1[[#This Row],[UnitCost]]*(1+'scenario modeling'!$B$3)</f>
        <v>103.301</v>
      </c>
      <c r="Y506">
        <v>99.04</v>
      </c>
      <c r="Z506" t="str">
        <f>IF(Table1[[#This Row],[UnitPrice]]&lt;=Quantiles!$B$2,Quantiles!$A$2,IF(Table1[[#This Row],[UnitPrice]]&lt;=Quantiles!$B$3,Quantiles!$A$3,Quantiles!$A$4))</f>
        <v>Low</v>
      </c>
      <c r="AA506">
        <v>5.7000000000000002E-2</v>
      </c>
      <c r="AB506" s="5">
        <f>MIN(Table1[[#This Row],[DiscountPct]],'scenario modeling'!$B$2)</f>
        <v>5.7000000000000002E-2</v>
      </c>
      <c r="AC506" t="str">
        <f>IF(Table1[[#This Row],[DiscountPct]]&gt;0.3, "&gt;0.3","")</f>
        <v/>
      </c>
      <c r="AD506">
        <v>6</v>
      </c>
      <c r="AE506">
        <f>Table1[[#This Row],[Quantity]]*(1+'scenario modeling'!$B$4)</f>
        <v>7.1999999999999993</v>
      </c>
      <c r="AF506">
        <f>Table1[[#This Row],[UnitCost]]*Table1[[#This Row],[Quantity]]</f>
        <v>563.46</v>
      </c>
      <c r="AG506">
        <f>SUMIF($U:U,Table1[[#This Row],[ProductCategory]],$AM:AM)</f>
        <v>1398841.4532999999</v>
      </c>
      <c r="AH506">
        <f>SUMIFS($AM$2:AM506,$U$2:U506,U506)</f>
        <v>1068291.9468999999</v>
      </c>
      <c r="AI506" s="5">
        <f>Table1[[#This Row],[Cumulative_revenue]]/Table1[[#This Row],[Category_revenue]]</f>
        <v>0.76369766164692765</v>
      </c>
      <c r="AJ506" t="str">
        <f>IF(Table1[[#This Row],[cumulative_pct]]&lt;=0.8,"A",IF(Table1[[#This Row],[cumulative_pct]]&lt;=0.95,"B","C"))</f>
        <v>A</v>
      </c>
      <c r="AK506">
        <f>Table1[[#This Row],[adj_unit_cost]]*Table1[[#This Row],[scenario_quantity]]</f>
        <v>743.76719999999989</v>
      </c>
      <c r="AL506" s="5">
        <f>Table1[[#This Row],[UnitPrice]]*Table1[[#This Row],[scenario_quantity]]*(1-Table1[[#This Row],[cap_adjusted_discount]])</f>
        <v>672.44198399999993</v>
      </c>
      <c r="AM506" s="5">
        <f>Table1[[#This Row],[UnitPrice]]*Table1[[#This Row],[Quantity]]*(1-Table1[[#This Row],[DiscountPct]])</f>
        <v>560.36831999999993</v>
      </c>
      <c r="AN506" s="5">
        <f>Table1[[#This Row],[gross_revenue]]-Table1[[#This Row],[cost_of_goods]]</f>
        <v>-3.0916800000001103</v>
      </c>
      <c r="AO506" s="5">
        <f>Table1[[#This Row],[scenario_revenue]]-Table1[[#This Row],[Scenario_unit_cost]]</f>
        <v>-71.325215999999955</v>
      </c>
      <c r="AP506" s="5">
        <f>IF(Table1[[#This Row],[gross_revenue]]=0,0,Table1[[#This Row],[gross_profit]]/Table1[[#This Row],[gross_revenue]])</f>
        <v>-5.5172283829323376E-3</v>
      </c>
    </row>
    <row r="507" spans="1:42" x14ac:dyDescent="0.35">
      <c r="A507" t="s">
        <v>621</v>
      </c>
      <c r="B507" t="str">
        <f>_xlfn.TEXTAFTER(Table1[[#This Row],[OrderID]],"-",2)</f>
        <v>262434</v>
      </c>
      <c r="C507">
        <f>YEAR(Table1[[#This Row],[OrderDate]])</f>
        <v>2025</v>
      </c>
      <c r="D507" s="9">
        <f>_xlfn.MINIFS(F:F,P:P,Table1[[#This Row],[Country]])</f>
        <v>44933</v>
      </c>
      <c r="E507" s="7">
        <f>DATEDIF(Table1[[#This Row],[first_time_orders]],Table1[[#This Row],[OrderDate]],"m")</f>
        <v>29</v>
      </c>
      <c r="F507" s="9">
        <v>45827</v>
      </c>
      <c r="G507" s="2" t="str">
        <f>TEXT(Table1[[#This Row],[OrderDate]],"MMM-YYYY")</f>
        <v>Jun-2025</v>
      </c>
      <c r="H507" s="7">
        <f>MONTH(Table1[[#This Row],[OrderDate]])</f>
        <v>6</v>
      </c>
      <c r="I507" s="7" t="str">
        <f>"Q"&amp;ROUNDUP(Table1[[#This Row],[months]]/3,0)&amp;"-"&amp;Table1[[#This Row],[order_year]]</f>
        <v>Q2-2025</v>
      </c>
      <c r="J507" s="7">
        <f>Table1[[#This Row],[RequiredDate]]-Table1[[#This Row],[OrderDate]]</f>
        <v>2</v>
      </c>
      <c r="K507" s="7">
        <f>IF(Table1[[#This Row],[lead_time]]&lt;0,MEDIAN(J:J),Table1[[#This Row],[lead_time]])</f>
        <v>2</v>
      </c>
      <c r="L507" s="7">
        <f>IF(Table1[[#This Row],[adj_lead_time]]&lt;=7,1,0)</f>
        <v>1</v>
      </c>
      <c r="M507" s="9">
        <v>45829</v>
      </c>
      <c r="N507" s="9">
        <f>IF(Table1[[#This Row],[lead_time]]&lt;0,(Table1[[#This Row],[OrderDate]]+Table1[[#This Row],[adj_lead_time]]),Table1[[#This Row],[RequiredDate]])</f>
        <v>45829</v>
      </c>
      <c r="O507" t="s">
        <v>646</v>
      </c>
      <c r="P507" t="s">
        <v>661</v>
      </c>
      <c r="Q507" t="s">
        <v>682</v>
      </c>
      <c r="R507" t="s">
        <v>705</v>
      </c>
      <c r="S507" t="s">
        <v>710</v>
      </c>
      <c r="T507" t="s">
        <v>722</v>
      </c>
      <c r="U507" t="s">
        <v>730</v>
      </c>
      <c r="V507" t="s">
        <v>1339</v>
      </c>
      <c r="W507">
        <v>1466.27</v>
      </c>
      <c r="X507">
        <f>Table1[[#This Row],[UnitCost]]*(1+'scenario modeling'!$B$3)</f>
        <v>1612.8970000000002</v>
      </c>
      <c r="Y507">
        <v>3589.89</v>
      </c>
      <c r="Z507" t="str">
        <f>IF(Table1[[#This Row],[UnitPrice]]&lt;=Quantiles!$B$2,Quantiles!$A$2,IF(Table1[[#This Row],[UnitPrice]]&lt;=Quantiles!$B$3,Quantiles!$A$3,Quantiles!$A$4))</f>
        <v>High</v>
      </c>
      <c r="AA507">
        <v>9.7000000000000003E-2</v>
      </c>
      <c r="AB507" s="5">
        <f>MIN(Table1[[#This Row],[DiscountPct]],'scenario modeling'!$B$2)</f>
        <v>9.7000000000000003E-2</v>
      </c>
      <c r="AC507" t="str">
        <f>IF(Table1[[#This Row],[DiscountPct]]&gt;0.3, "&gt;0.3","")</f>
        <v/>
      </c>
      <c r="AD507">
        <v>9</v>
      </c>
      <c r="AE507">
        <f>Table1[[#This Row],[Quantity]]*(1+'scenario modeling'!$B$4)</f>
        <v>10.799999999999999</v>
      </c>
      <c r="AF507">
        <f>Table1[[#This Row],[UnitCost]]*Table1[[#This Row],[Quantity]]</f>
        <v>13196.43</v>
      </c>
      <c r="AG507">
        <f>SUMIF($U:U,Table1[[#This Row],[ProductCategory]],$AM:AM)</f>
        <v>1398841.4532999999</v>
      </c>
      <c r="AH507">
        <f>SUMIFS($AM$2:AM507,$U$2:U507,U507)</f>
        <v>1097466.9829299999</v>
      </c>
      <c r="AI507" s="5">
        <f>Table1[[#This Row],[Cumulative_revenue]]/Table1[[#This Row],[Category_revenue]]</f>
        <v>0.78455423260511115</v>
      </c>
      <c r="AJ507" t="str">
        <f>IF(Table1[[#This Row],[cumulative_pct]]&lt;=0.8,"A",IF(Table1[[#This Row],[cumulative_pct]]&lt;=0.95,"B","C"))</f>
        <v>A</v>
      </c>
      <c r="AK507">
        <f>Table1[[#This Row],[adj_unit_cost]]*Table1[[#This Row],[scenario_quantity]]</f>
        <v>17419.2876</v>
      </c>
      <c r="AL507" s="5">
        <f>Table1[[#This Row],[UnitPrice]]*Table1[[#This Row],[scenario_quantity]]*(1-Table1[[#This Row],[cap_adjusted_discount]])</f>
        <v>35010.043235999998</v>
      </c>
      <c r="AM507" s="5">
        <f>Table1[[#This Row],[UnitPrice]]*Table1[[#This Row],[Quantity]]*(1-Table1[[#This Row],[DiscountPct]])</f>
        <v>29175.036029999999</v>
      </c>
      <c r="AN507" s="5">
        <f>Table1[[#This Row],[gross_revenue]]-Table1[[#This Row],[cost_of_goods]]</f>
        <v>15978.606029999999</v>
      </c>
      <c r="AO507" s="5">
        <f>Table1[[#This Row],[scenario_revenue]]-Table1[[#This Row],[Scenario_unit_cost]]</f>
        <v>17590.755635999998</v>
      </c>
      <c r="AP507" s="5">
        <f>IF(Table1[[#This Row],[gross_revenue]]=0,0,Table1[[#This Row],[gross_profit]]/Table1[[#This Row],[gross_revenue]])</f>
        <v>0.54768076425234147</v>
      </c>
    </row>
    <row r="508" spans="1:42" x14ac:dyDescent="0.35">
      <c r="A508" t="s">
        <v>375</v>
      </c>
      <c r="B508" t="str">
        <f>_xlfn.TEXTAFTER(Table1[[#This Row],[OrderID]],"-",2)</f>
        <v>591006</v>
      </c>
      <c r="C508">
        <f>YEAR(Table1[[#This Row],[OrderDate]])</f>
        <v>2025</v>
      </c>
      <c r="D508" s="9">
        <f>_xlfn.MINIFS(F:F,P:P,Table1[[#This Row],[Country]])</f>
        <v>44945</v>
      </c>
      <c r="E508" s="7">
        <f>DATEDIF(Table1[[#This Row],[first_time_orders]],Table1[[#This Row],[OrderDate]],"m")</f>
        <v>29</v>
      </c>
      <c r="F508" s="9">
        <v>45833</v>
      </c>
      <c r="G508" s="2" t="str">
        <f>TEXT(Table1[[#This Row],[OrderDate]],"MMM-YYYY")</f>
        <v>Jun-2025</v>
      </c>
      <c r="H508" s="7">
        <f>MONTH(Table1[[#This Row],[OrderDate]])</f>
        <v>6</v>
      </c>
      <c r="I508" s="7" t="str">
        <f>"Q"&amp;ROUNDUP(Table1[[#This Row],[months]]/3,0)&amp;"-"&amp;Table1[[#This Row],[order_year]]</f>
        <v>Q2-2025</v>
      </c>
      <c r="J508" s="7">
        <f>Table1[[#This Row],[RequiredDate]]-Table1[[#This Row],[OrderDate]]</f>
        <v>15</v>
      </c>
      <c r="K508" s="7">
        <f>IF(Table1[[#This Row],[lead_time]]&lt;0,MEDIAN(J:J),Table1[[#This Row],[lead_time]])</f>
        <v>15</v>
      </c>
      <c r="L508" s="7">
        <f>IF(Table1[[#This Row],[adj_lead_time]]&lt;=7,1,0)</f>
        <v>0</v>
      </c>
      <c r="M508" s="9">
        <v>45848</v>
      </c>
      <c r="N508" s="9">
        <f>IF(Table1[[#This Row],[lead_time]]&lt;0,(Table1[[#This Row],[OrderDate]]+Table1[[#This Row],[adj_lead_time]]),Table1[[#This Row],[RequiredDate]])</f>
        <v>45848</v>
      </c>
      <c r="O508" t="s">
        <v>649</v>
      </c>
      <c r="P508" t="s">
        <v>658</v>
      </c>
      <c r="Q508" t="s">
        <v>674</v>
      </c>
      <c r="R508" t="s">
        <v>703</v>
      </c>
      <c r="S508" t="s">
        <v>709</v>
      </c>
      <c r="T508" t="s">
        <v>726</v>
      </c>
      <c r="U508" t="s">
        <v>730</v>
      </c>
      <c r="V508" t="s">
        <v>1095</v>
      </c>
      <c r="W508">
        <v>546.83000000000004</v>
      </c>
      <c r="X508">
        <f>Table1[[#This Row],[UnitCost]]*(1+'scenario modeling'!$B$3)</f>
        <v>601.51300000000015</v>
      </c>
      <c r="Y508">
        <v>400.84</v>
      </c>
      <c r="Z508" t="str">
        <f>IF(Table1[[#This Row],[UnitPrice]]&lt;=Quantiles!$B$2,Quantiles!$A$2,IF(Table1[[#This Row],[UnitPrice]]&lt;=Quantiles!$B$3,Quantiles!$A$3,Quantiles!$A$4))</f>
        <v>Low</v>
      </c>
      <c r="AA508">
        <v>7.8E-2</v>
      </c>
      <c r="AB508" s="5">
        <f>MIN(Table1[[#This Row],[DiscountPct]],'scenario modeling'!$B$2)</f>
        <v>7.8E-2</v>
      </c>
      <c r="AC508" t="str">
        <f>IF(Table1[[#This Row],[DiscountPct]]&gt;0.3, "&gt;0.3","")</f>
        <v/>
      </c>
      <c r="AD508">
        <v>13</v>
      </c>
      <c r="AE508">
        <f>Table1[[#This Row],[Quantity]]*(1+'scenario modeling'!$B$4)</f>
        <v>15.6</v>
      </c>
      <c r="AF508">
        <f>Table1[[#This Row],[UnitCost]]*Table1[[#This Row],[Quantity]]</f>
        <v>7108.7900000000009</v>
      </c>
      <c r="AG508">
        <f>SUMIF($U:U,Table1[[#This Row],[ProductCategory]],$AM:AM)</f>
        <v>1398841.4532999999</v>
      </c>
      <c r="AH508">
        <f>SUMIFS($AM$2:AM508,$U$2:U508,U508)</f>
        <v>1102271.45117</v>
      </c>
      <c r="AI508" s="5">
        <f>Table1[[#This Row],[Cumulative_revenue]]/Table1[[#This Row],[Category_revenue]]</f>
        <v>0.78798883788411966</v>
      </c>
      <c r="AJ508" t="str">
        <f>IF(Table1[[#This Row],[cumulative_pct]]&lt;=0.8,"A",IF(Table1[[#This Row],[cumulative_pct]]&lt;=0.95,"B","C"))</f>
        <v>A</v>
      </c>
      <c r="AK508">
        <f>Table1[[#This Row],[adj_unit_cost]]*Table1[[#This Row],[scenario_quantity]]</f>
        <v>9383.6028000000024</v>
      </c>
      <c r="AL508" s="5">
        <f>Table1[[#This Row],[UnitPrice]]*Table1[[#This Row],[scenario_quantity]]*(1-Table1[[#This Row],[cap_adjusted_discount]])</f>
        <v>5765.3618879999995</v>
      </c>
      <c r="AM508" s="5">
        <f>Table1[[#This Row],[UnitPrice]]*Table1[[#This Row],[Quantity]]*(1-Table1[[#This Row],[DiscountPct]])</f>
        <v>4804.4682400000002</v>
      </c>
      <c r="AN508" s="5">
        <f>Table1[[#This Row],[gross_revenue]]-Table1[[#This Row],[cost_of_goods]]</f>
        <v>-2304.3217600000007</v>
      </c>
      <c r="AO508" s="5">
        <f>Table1[[#This Row],[scenario_revenue]]-Table1[[#This Row],[Scenario_unit_cost]]</f>
        <v>-3618.2409120000029</v>
      </c>
      <c r="AP508" s="5">
        <f>IF(Table1[[#This Row],[gross_revenue]]=0,0,Table1[[#This Row],[gross_profit]]/Table1[[#This Row],[gross_revenue]])</f>
        <v>-0.47962056254533608</v>
      </c>
    </row>
    <row r="509" spans="1:42" x14ac:dyDescent="0.35">
      <c r="A509" t="s">
        <v>317</v>
      </c>
      <c r="B509" t="str">
        <f>_xlfn.TEXTAFTER(Table1[[#This Row],[OrderID]],"-",2)</f>
        <v>278048</v>
      </c>
      <c r="C509">
        <f>YEAR(Table1[[#This Row],[OrderDate]])</f>
        <v>2025</v>
      </c>
      <c r="D509" s="9">
        <f>_xlfn.MINIFS(F:F,P:P,Table1[[#This Row],[Country]])</f>
        <v>44945</v>
      </c>
      <c r="E509" s="7">
        <f>DATEDIF(Table1[[#This Row],[first_time_orders]],Table1[[#This Row],[OrderDate]],"m")</f>
        <v>29</v>
      </c>
      <c r="F509" s="9">
        <v>45830</v>
      </c>
      <c r="G509" s="2" t="str">
        <f>TEXT(Table1[[#This Row],[OrderDate]],"MMM-YYYY")</f>
        <v>Jun-2025</v>
      </c>
      <c r="H509" s="7">
        <f>MONTH(Table1[[#This Row],[OrderDate]])</f>
        <v>6</v>
      </c>
      <c r="I509" s="7" t="str">
        <f>"Q"&amp;ROUNDUP(Table1[[#This Row],[months]]/3,0)&amp;"-"&amp;Table1[[#This Row],[order_year]]</f>
        <v>Q2-2025</v>
      </c>
      <c r="J509" s="7">
        <f>Table1[[#This Row],[RequiredDate]]-Table1[[#This Row],[OrderDate]]</f>
        <v>16</v>
      </c>
      <c r="K509" s="7">
        <f>IF(Table1[[#This Row],[lead_time]]&lt;0,MEDIAN(J:J),Table1[[#This Row],[lead_time]])</f>
        <v>16</v>
      </c>
      <c r="L509" s="7">
        <f>IF(Table1[[#This Row],[adj_lead_time]]&lt;=7,1,0)</f>
        <v>0</v>
      </c>
      <c r="M509" s="9">
        <v>45846</v>
      </c>
      <c r="N509" s="9">
        <f>IF(Table1[[#This Row],[lead_time]]&lt;0,(Table1[[#This Row],[OrderDate]]+Table1[[#This Row],[adj_lead_time]]),Table1[[#This Row],[RequiredDate]])</f>
        <v>45846</v>
      </c>
      <c r="O509" t="s">
        <v>649</v>
      </c>
      <c r="P509" t="s">
        <v>658</v>
      </c>
      <c r="Q509" t="s">
        <v>683</v>
      </c>
      <c r="R509" t="s">
        <v>702</v>
      </c>
      <c r="S509" t="s">
        <v>711</v>
      </c>
      <c r="T509" t="s">
        <v>720</v>
      </c>
      <c r="U509" t="s">
        <v>730</v>
      </c>
      <c r="V509" t="s">
        <v>1037</v>
      </c>
      <c r="W509">
        <v>892.73</v>
      </c>
      <c r="X509">
        <f>Table1[[#This Row],[UnitCost]]*(1+'scenario modeling'!$B$3)</f>
        <v>982.00300000000004</v>
      </c>
      <c r="Y509">
        <v>979.84</v>
      </c>
      <c r="Z509" t="str">
        <f>IF(Table1[[#This Row],[UnitPrice]]&lt;=Quantiles!$B$2,Quantiles!$A$2,IF(Table1[[#This Row],[UnitPrice]]&lt;=Quantiles!$B$3,Quantiles!$A$3,Quantiles!$A$4))</f>
        <v>Medium</v>
      </c>
      <c r="AA509">
        <v>0.17399999999999999</v>
      </c>
      <c r="AB509" s="5">
        <f>MIN(Table1[[#This Row],[DiscountPct]],'scenario modeling'!$B$2)</f>
        <v>0.1</v>
      </c>
      <c r="AC509" t="str">
        <f>IF(Table1[[#This Row],[DiscountPct]]&gt;0.3, "&gt;0.3","")</f>
        <v/>
      </c>
      <c r="AD509">
        <v>10</v>
      </c>
      <c r="AE509">
        <f>Table1[[#This Row],[Quantity]]*(1+'scenario modeling'!$B$4)</f>
        <v>12</v>
      </c>
      <c r="AF509">
        <f>Table1[[#This Row],[UnitCost]]*Table1[[#This Row],[Quantity]]</f>
        <v>8927.2999999999993</v>
      </c>
      <c r="AG509">
        <f>SUMIF($U:U,Table1[[#This Row],[ProductCategory]],$AM:AM)</f>
        <v>1398841.4532999999</v>
      </c>
      <c r="AH509">
        <f>SUMIFS($AM$2:AM509,$U$2:U509,U509)</f>
        <v>1110364.9295699999</v>
      </c>
      <c r="AI509" s="5">
        <f>Table1[[#This Row],[Cumulative_revenue]]/Table1[[#This Row],[Category_revenue]]</f>
        <v>0.79377468186301137</v>
      </c>
      <c r="AJ509" t="str">
        <f>IF(Table1[[#This Row],[cumulative_pct]]&lt;=0.8,"A",IF(Table1[[#This Row],[cumulative_pct]]&lt;=0.95,"B","C"))</f>
        <v>A</v>
      </c>
      <c r="AK509">
        <f>Table1[[#This Row],[adj_unit_cost]]*Table1[[#This Row],[scenario_quantity]]</f>
        <v>11784.036</v>
      </c>
      <c r="AL509" s="5">
        <f>Table1[[#This Row],[UnitPrice]]*Table1[[#This Row],[scenario_quantity]]*(1-Table1[[#This Row],[cap_adjusted_discount]])</f>
        <v>10582.272000000001</v>
      </c>
      <c r="AM509" s="5">
        <f>Table1[[#This Row],[UnitPrice]]*Table1[[#This Row],[Quantity]]*(1-Table1[[#This Row],[DiscountPct]])</f>
        <v>8093.4784</v>
      </c>
      <c r="AN509" s="5">
        <f>Table1[[#This Row],[gross_revenue]]-Table1[[#This Row],[cost_of_goods]]</f>
        <v>-833.82159999999931</v>
      </c>
      <c r="AO509" s="5">
        <f>Table1[[#This Row],[scenario_revenue]]-Table1[[#This Row],[Scenario_unit_cost]]</f>
        <v>-1201.7639999999992</v>
      </c>
      <c r="AP509" s="5">
        <f>IF(Table1[[#This Row],[gross_revenue]]=0,0,Table1[[#This Row],[gross_profit]]/Table1[[#This Row],[gross_revenue]])</f>
        <v>-0.10302388649112838</v>
      </c>
    </row>
    <row r="510" spans="1:42" x14ac:dyDescent="0.35">
      <c r="A510" t="s">
        <v>121</v>
      </c>
      <c r="B510" t="str">
        <f>_xlfn.TEXTAFTER(Table1[[#This Row],[OrderID]],"-",2)</f>
        <v>251563</v>
      </c>
      <c r="C510">
        <f>YEAR(Table1[[#This Row],[OrderDate]])</f>
        <v>2023</v>
      </c>
      <c r="D510" s="9">
        <f>_xlfn.MINIFS(F:F,P:P,Table1[[#This Row],[Country]])</f>
        <v>44946</v>
      </c>
      <c r="E510" s="7">
        <f>DATEDIF(Table1[[#This Row],[first_time_orders]],Table1[[#This Row],[OrderDate]],"m")</f>
        <v>3</v>
      </c>
      <c r="F510" s="9">
        <v>45057</v>
      </c>
      <c r="G510" s="2" t="str">
        <f>TEXT(Table1[[#This Row],[OrderDate]],"MMM-YYYY")</f>
        <v>May-2023</v>
      </c>
      <c r="H510" s="7">
        <f>MONTH(Table1[[#This Row],[OrderDate]])</f>
        <v>5</v>
      </c>
      <c r="I510" s="7" t="str">
        <f>"Q"&amp;ROUNDUP(Table1[[#This Row],[months]]/3,0)&amp;"-"&amp;Table1[[#This Row],[order_year]]</f>
        <v>Q2-2023</v>
      </c>
      <c r="J510" s="7">
        <f>Table1[[#This Row],[RequiredDate]]-Table1[[#This Row],[OrderDate]]</f>
        <v>27</v>
      </c>
      <c r="K510" s="7">
        <f>IF(Table1[[#This Row],[lead_time]]&lt;0,MEDIAN(J:J),Table1[[#This Row],[lead_time]])</f>
        <v>27</v>
      </c>
      <c r="L510" s="7">
        <f>IF(Table1[[#This Row],[adj_lead_time]]&lt;=7,1,0)</f>
        <v>0</v>
      </c>
      <c r="M510" s="9">
        <v>45084</v>
      </c>
      <c r="N510" s="9">
        <f>IF(Table1[[#This Row],[lead_time]]&lt;0,(Table1[[#This Row],[OrderDate]]+Table1[[#This Row],[adj_lead_time]]),Table1[[#This Row],[RequiredDate]])</f>
        <v>45084</v>
      </c>
      <c r="O510" t="s">
        <v>646</v>
      </c>
      <c r="P510" t="s">
        <v>650</v>
      </c>
      <c r="Q510" t="s">
        <v>675</v>
      </c>
      <c r="R510" t="s">
        <v>701</v>
      </c>
      <c r="S510" t="s">
        <v>708</v>
      </c>
      <c r="T510" t="s">
        <v>713</v>
      </c>
      <c r="U510" t="s">
        <v>730</v>
      </c>
      <c r="V510" t="s">
        <v>840</v>
      </c>
      <c r="W510">
        <v>12.85</v>
      </c>
      <c r="X510">
        <f>Table1[[#This Row],[UnitCost]]*(1+'scenario modeling'!$B$3)</f>
        <v>14.135000000000002</v>
      </c>
      <c r="Y510">
        <v>15.41</v>
      </c>
      <c r="Z510" t="str">
        <f>IF(Table1[[#This Row],[UnitPrice]]&lt;=Quantiles!$B$2,Quantiles!$A$2,IF(Table1[[#This Row],[UnitPrice]]&lt;=Quantiles!$B$3,Quantiles!$A$3,Quantiles!$A$4))</f>
        <v>Low</v>
      </c>
      <c r="AA510">
        <v>0.13700000000000001</v>
      </c>
      <c r="AB510" s="5">
        <f>MIN(Table1[[#This Row],[DiscountPct]],'scenario modeling'!$B$2)</f>
        <v>0.1</v>
      </c>
      <c r="AC510" t="str">
        <f>IF(Table1[[#This Row],[DiscountPct]]&gt;0.3, "&gt;0.3","")</f>
        <v/>
      </c>
      <c r="AD510">
        <v>39</v>
      </c>
      <c r="AE510">
        <f>Table1[[#This Row],[Quantity]]*(1+'scenario modeling'!$B$4)</f>
        <v>46.8</v>
      </c>
      <c r="AF510">
        <f>Table1[[#This Row],[UnitCost]]*Table1[[#This Row],[Quantity]]</f>
        <v>501.15</v>
      </c>
      <c r="AG510">
        <f>SUMIF($U:U,Table1[[#This Row],[ProductCategory]],$AM:AM)</f>
        <v>1398841.4532999999</v>
      </c>
      <c r="AH510">
        <f>SUMIFS($AM$2:AM510,$U$2:U510,U510)</f>
        <v>1110883.5839399998</v>
      </c>
      <c r="AI510" s="5">
        <f>Table1[[#This Row],[Cumulative_revenue]]/Table1[[#This Row],[Category_revenue]]</f>
        <v>0.79414545609820175</v>
      </c>
      <c r="AJ510" t="str">
        <f>IF(Table1[[#This Row],[cumulative_pct]]&lt;=0.8,"A",IF(Table1[[#This Row],[cumulative_pct]]&lt;=0.95,"B","C"))</f>
        <v>A</v>
      </c>
      <c r="AK510">
        <f>Table1[[#This Row],[adj_unit_cost]]*Table1[[#This Row],[scenario_quantity]]</f>
        <v>661.51800000000003</v>
      </c>
      <c r="AL510" s="5">
        <f>Table1[[#This Row],[UnitPrice]]*Table1[[#This Row],[scenario_quantity]]*(1-Table1[[#This Row],[cap_adjusted_discount]])</f>
        <v>649.06920000000002</v>
      </c>
      <c r="AM510" s="5">
        <f>Table1[[#This Row],[UnitPrice]]*Table1[[#This Row],[Quantity]]*(1-Table1[[#This Row],[DiscountPct]])</f>
        <v>518.65436999999997</v>
      </c>
      <c r="AN510" s="5">
        <f>Table1[[#This Row],[gross_revenue]]-Table1[[#This Row],[cost_of_goods]]</f>
        <v>17.504369999999994</v>
      </c>
      <c r="AO510" s="5">
        <f>Table1[[#This Row],[scenario_revenue]]-Table1[[#This Row],[Scenario_unit_cost]]</f>
        <v>-12.448800000000006</v>
      </c>
      <c r="AP510" s="5">
        <f>IF(Table1[[#This Row],[gross_revenue]]=0,0,Table1[[#This Row],[gross_profit]]/Table1[[#This Row],[gross_revenue]])</f>
        <v>3.3749585489851353E-2</v>
      </c>
    </row>
    <row r="511" spans="1:42" x14ac:dyDescent="0.35">
      <c r="A511" t="s">
        <v>361</v>
      </c>
      <c r="B511" t="str">
        <f>_xlfn.TEXTAFTER(Table1[[#This Row],[OrderID]],"-",2)</f>
        <v>898009</v>
      </c>
      <c r="C511">
        <f>YEAR(Table1[[#This Row],[OrderDate]])</f>
        <v>2023</v>
      </c>
      <c r="D511" s="9">
        <f>_xlfn.MINIFS(F:F,P:P,Table1[[#This Row],[Country]])</f>
        <v>44941</v>
      </c>
      <c r="E511" s="7">
        <f>DATEDIF(Table1[[#This Row],[first_time_orders]],Table1[[#This Row],[OrderDate]],"m")</f>
        <v>3</v>
      </c>
      <c r="F511" s="9">
        <v>45050</v>
      </c>
      <c r="G511" s="2" t="str">
        <f>TEXT(Table1[[#This Row],[OrderDate]],"MMM-YYYY")</f>
        <v>May-2023</v>
      </c>
      <c r="H511" s="7">
        <f>MONTH(Table1[[#This Row],[OrderDate]])</f>
        <v>5</v>
      </c>
      <c r="I511" s="7" t="str">
        <f>"Q"&amp;ROUNDUP(Table1[[#This Row],[months]]/3,0)&amp;"-"&amp;Table1[[#This Row],[order_year]]</f>
        <v>Q2-2023</v>
      </c>
      <c r="J511" s="7">
        <f>Table1[[#This Row],[RequiredDate]]-Table1[[#This Row],[OrderDate]]</f>
        <v>12</v>
      </c>
      <c r="K511" s="7">
        <f>IF(Table1[[#This Row],[lead_time]]&lt;0,MEDIAN(J:J),Table1[[#This Row],[lead_time]])</f>
        <v>12</v>
      </c>
      <c r="L511" s="7">
        <f>IF(Table1[[#This Row],[adj_lead_time]]&lt;=7,1,0)</f>
        <v>0</v>
      </c>
      <c r="M511" s="9">
        <v>45062</v>
      </c>
      <c r="N511" s="9">
        <f>IF(Table1[[#This Row],[lead_time]]&lt;0,(Table1[[#This Row],[OrderDate]]+Table1[[#This Row],[adj_lead_time]]),Table1[[#This Row],[RequiredDate]])</f>
        <v>45062</v>
      </c>
      <c r="O511" t="s">
        <v>646</v>
      </c>
      <c r="P511" t="s">
        <v>651</v>
      </c>
      <c r="Q511" t="s">
        <v>669</v>
      </c>
      <c r="R511" t="s">
        <v>705</v>
      </c>
      <c r="S511" t="s">
        <v>709</v>
      </c>
      <c r="T511" t="s">
        <v>713</v>
      </c>
      <c r="U511" t="s">
        <v>730</v>
      </c>
      <c r="V511" t="s">
        <v>1081</v>
      </c>
      <c r="W511">
        <v>77.739999999999995</v>
      </c>
      <c r="X511">
        <f>Table1[[#This Row],[UnitCost]]*(1+'scenario modeling'!$B$3)</f>
        <v>85.513999999999996</v>
      </c>
      <c r="Y511">
        <v>147.12</v>
      </c>
      <c r="Z511" t="str">
        <f>IF(Table1[[#This Row],[UnitPrice]]&lt;=Quantiles!$B$2,Quantiles!$A$2,IF(Table1[[#This Row],[UnitPrice]]&lt;=Quantiles!$B$3,Quantiles!$A$3,Quantiles!$A$4))</f>
        <v>Low</v>
      </c>
      <c r="AA511">
        <v>0</v>
      </c>
      <c r="AB511" s="5">
        <f>MIN(Table1[[#This Row],[DiscountPct]],'scenario modeling'!$B$2)</f>
        <v>0</v>
      </c>
      <c r="AC511" t="str">
        <f>IF(Table1[[#This Row],[DiscountPct]]&gt;0.3, "&gt;0.3","")</f>
        <v/>
      </c>
      <c r="AD511">
        <v>15</v>
      </c>
      <c r="AE511">
        <f>Table1[[#This Row],[Quantity]]*(1+'scenario modeling'!$B$4)</f>
        <v>18</v>
      </c>
      <c r="AF511">
        <f>Table1[[#This Row],[UnitCost]]*Table1[[#This Row],[Quantity]]</f>
        <v>1166.0999999999999</v>
      </c>
      <c r="AG511">
        <f>SUMIF($U:U,Table1[[#This Row],[ProductCategory]],$AM:AM)</f>
        <v>1398841.4532999999</v>
      </c>
      <c r="AH511">
        <f>SUMIFS($AM$2:AM511,$U$2:U511,U511)</f>
        <v>1113090.3839399999</v>
      </c>
      <c r="AI511" s="5">
        <f>Table1[[#This Row],[Cumulative_revenue]]/Table1[[#This Row],[Category_revenue]]</f>
        <v>0.79572304732184895</v>
      </c>
      <c r="AJ511" t="str">
        <f>IF(Table1[[#This Row],[cumulative_pct]]&lt;=0.8,"A",IF(Table1[[#This Row],[cumulative_pct]]&lt;=0.95,"B","C"))</f>
        <v>A</v>
      </c>
      <c r="AK511">
        <f>Table1[[#This Row],[adj_unit_cost]]*Table1[[#This Row],[scenario_quantity]]</f>
        <v>1539.252</v>
      </c>
      <c r="AL511" s="5">
        <f>Table1[[#This Row],[UnitPrice]]*Table1[[#This Row],[scenario_quantity]]*(1-Table1[[#This Row],[cap_adjusted_discount]])</f>
        <v>2648.16</v>
      </c>
      <c r="AM511" s="5">
        <f>Table1[[#This Row],[UnitPrice]]*Table1[[#This Row],[Quantity]]*(1-Table1[[#This Row],[DiscountPct]])</f>
        <v>2206.8000000000002</v>
      </c>
      <c r="AN511" s="5">
        <f>Table1[[#This Row],[gross_revenue]]-Table1[[#This Row],[cost_of_goods]]</f>
        <v>1040.7000000000003</v>
      </c>
      <c r="AO511" s="5">
        <f>Table1[[#This Row],[scenario_revenue]]-Table1[[#This Row],[Scenario_unit_cost]]</f>
        <v>1108.9079999999999</v>
      </c>
      <c r="AP511" s="5">
        <f>IF(Table1[[#This Row],[gross_revenue]]=0,0,Table1[[#This Row],[gross_profit]]/Table1[[#This Row],[gross_revenue]])</f>
        <v>0.47158781946710177</v>
      </c>
    </row>
    <row r="512" spans="1:42" x14ac:dyDescent="0.35">
      <c r="A512" t="s">
        <v>600</v>
      </c>
      <c r="B512" t="str">
        <f>_xlfn.TEXTAFTER(Table1[[#This Row],[OrderID]],"-",2)</f>
        <v>378676</v>
      </c>
      <c r="C512">
        <f>YEAR(Table1[[#This Row],[OrderDate]])</f>
        <v>2023</v>
      </c>
      <c r="D512" s="9">
        <f>_xlfn.MINIFS(F:F,P:P,Table1[[#This Row],[Country]])</f>
        <v>44939</v>
      </c>
      <c r="E512" s="7">
        <f>DATEDIF(Table1[[#This Row],[first_time_orders]],Table1[[#This Row],[OrderDate]],"m")</f>
        <v>3</v>
      </c>
      <c r="F512" s="9">
        <v>45049</v>
      </c>
      <c r="G512" s="2" t="str">
        <f>TEXT(Table1[[#This Row],[OrderDate]],"MMM-YYYY")</f>
        <v>May-2023</v>
      </c>
      <c r="H512" s="7">
        <f>MONTH(Table1[[#This Row],[OrderDate]])</f>
        <v>5</v>
      </c>
      <c r="I512" s="7" t="str">
        <f>"Q"&amp;ROUNDUP(Table1[[#This Row],[months]]/3,0)&amp;"-"&amp;Table1[[#This Row],[order_year]]</f>
        <v>Q2-2023</v>
      </c>
      <c r="J512" s="7">
        <f>Table1[[#This Row],[RequiredDate]]-Table1[[#This Row],[OrderDate]]</f>
        <v>13</v>
      </c>
      <c r="K512" s="7">
        <f>IF(Table1[[#This Row],[lead_time]]&lt;0,MEDIAN(J:J),Table1[[#This Row],[lead_time]])</f>
        <v>13</v>
      </c>
      <c r="L512" s="7">
        <f>IF(Table1[[#This Row],[adj_lead_time]]&lt;=7,1,0)</f>
        <v>0</v>
      </c>
      <c r="M512" s="9">
        <v>45062</v>
      </c>
      <c r="N512" s="9">
        <f>IF(Table1[[#This Row],[lead_time]]&lt;0,(Table1[[#This Row],[OrderDate]]+Table1[[#This Row],[adj_lead_time]]),Table1[[#This Row],[RequiredDate]])</f>
        <v>45062</v>
      </c>
      <c r="O512" t="s">
        <v>648</v>
      </c>
      <c r="P512" t="s">
        <v>660</v>
      </c>
      <c r="Q512" t="s">
        <v>700</v>
      </c>
      <c r="R512" t="s">
        <v>701</v>
      </c>
      <c r="S512" t="s">
        <v>709</v>
      </c>
      <c r="T512" t="s">
        <v>716</v>
      </c>
      <c r="U512" t="s">
        <v>730</v>
      </c>
      <c r="V512" t="s">
        <v>1318</v>
      </c>
      <c r="W512">
        <v>64.5</v>
      </c>
      <c r="X512">
        <f>Table1[[#This Row],[UnitCost]]*(1+'scenario modeling'!$B$3)</f>
        <v>70.95</v>
      </c>
      <c r="Y512">
        <v>123.62</v>
      </c>
      <c r="Z512" t="str">
        <f>IF(Table1[[#This Row],[UnitPrice]]&lt;=Quantiles!$B$2,Quantiles!$A$2,IF(Table1[[#This Row],[UnitPrice]]&lt;=Quantiles!$B$3,Quantiles!$A$3,Quantiles!$A$4))</f>
        <v>Low</v>
      </c>
      <c r="AA512">
        <v>0</v>
      </c>
      <c r="AB512" s="5">
        <f>MIN(Table1[[#This Row],[DiscountPct]],'scenario modeling'!$B$2)</f>
        <v>0</v>
      </c>
      <c r="AC512" t="str">
        <f>IF(Table1[[#This Row],[DiscountPct]]&gt;0.3, "&gt;0.3","")</f>
        <v/>
      </c>
      <c r="AD512">
        <v>3</v>
      </c>
      <c r="AE512">
        <f>Table1[[#This Row],[Quantity]]*(1+'scenario modeling'!$B$4)</f>
        <v>3.5999999999999996</v>
      </c>
      <c r="AF512">
        <f>Table1[[#This Row],[UnitCost]]*Table1[[#This Row],[Quantity]]</f>
        <v>193.5</v>
      </c>
      <c r="AG512">
        <f>SUMIF($U:U,Table1[[#This Row],[ProductCategory]],$AM:AM)</f>
        <v>1398841.4532999999</v>
      </c>
      <c r="AH512">
        <f>SUMIFS($AM$2:AM512,$U$2:U512,U512)</f>
        <v>1113461.24394</v>
      </c>
      <c r="AI512" s="5">
        <f>Table1[[#This Row],[Cumulative_revenue]]/Table1[[#This Row],[Category_revenue]]</f>
        <v>0.79598816671699213</v>
      </c>
      <c r="AJ512" t="str">
        <f>IF(Table1[[#This Row],[cumulative_pct]]&lt;=0.8,"A",IF(Table1[[#This Row],[cumulative_pct]]&lt;=0.95,"B","C"))</f>
        <v>A</v>
      </c>
      <c r="AK512">
        <f>Table1[[#This Row],[adj_unit_cost]]*Table1[[#This Row],[scenario_quantity]]</f>
        <v>255.42</v>
      </c>
      <c r="AL512" s="5">
        <f>Table1[[#This Row],[UnitPrice]]*Table1[[#This Row],[scenario_quantity]]*(1-Table1[[#This Row],[cap_adjusted_discount]])</f>
        <v>445.03199999999998</v>
      </c>
      <c r="AM512" s="5">
        <f>Table1[[#This Row],[UnitPrice]]*Table1[[#This Row],[Quantity]]*(1-Table1[[#This Row],[DiscountPct]])</f>
        <v>370.86</v>
      </c>
      <c r="AN512" s="5">
        <f>Table1[[#This Row],[gross_revenue]]-Table1[[#This Row],[cost_of_goods]]</f>
        <v>177.36</v>
      </c>
      <c r="AO512" s="5">
        <f>Table1[[#This Row],[scenario_revenue]]-Table1[[#This Row],[Scenario_unit_cost]]</f>
        <v>189.61199999999999</v>
      </c>
      <c r="AP512" s="5">
        <f>IF(Table1[[#This Row],[gross_revenue]]=0,0,Table1[[#This Row],[gross_profit]]/Table1[[#This Row],[gross_revenue]])</f>
        <v>0.47823976702798904</v>
      </c>
    </row>
    <row r="513" spans="1:42" x14ac:dyDescent="0.35">
      <c r="A513" t="s">
        <v>299</v>
      </c>
      <c r="B513" t="str">
        <f>_xlfn.TEXTAFTER(Table1[[#This Row],[OrderID]],"-",2)</f>
        <v>610470</v>
      </c>
      <c r="C513">
        <f>YEAR(Table1[[#This Row],[OrderDate]])</f>
        <v>2023</v>
      </c>
      <c r="D513" s="9">
        <f>_xlfn.MINIFS(F:F,P:P,Table1[[#This Row],[Country]])</f>
        <v>44988</v>
      </c>
      <c r="E513" s="7">
        <f>DATEDIF(Table1[[#This Row],[first_time_orders]],Table1[[#This Row],[OrderDate]],"m")</f>
        <v>3</v>
      </c>
      <c r="F513" s="9">
        <v>45101</v>
      </c>
      <c r="G513" s="2" t="str">
        <f>TEXT(Table1[[#This Row],[OrderDate]],"MMM-YYYY")</f>
        <v>Jun-2023</v>
      </c>
      <c r="H513" s="7">
        <f>MONTH(Table1[[#This Row],[OrderDate]])</f>
        <v>6</v>
      </c>
      <c r="I513" s="7" t="str">
        <f>"Q"&amp;ROUNDUP(Table1[[#This Row],[months]]/3,0)&amp;"-"&amp;Table1[[#This Row],[order_year]]</f>
        <v>Q2-2023</v>
      </c>
      <c r="J513" s="7">
        <f>Table1[[#This Row],[RequiredDate]]-Table1[[#This Row],[OrderDate]]</f>
        <v>27</v>
      </c>
      <c r="K513" s="7">
        <f>IF(Table1[[#This Row],[lead_time]]&lt;0,MEDIAN(J:J),Table1[[#This Row],[lead_time]])</f>
        <v>27</v>
      </c>
      <c r="L513" s="7">
        <f>IF(Table1[[#This Row],[adj_lead_time]]&lt;=7,1,0)</f>
        <v>0</v>
      </c>
      <c r="M513" s="9">
        <v>45128</v>
      </c>
      <c r="N513" s="9">
        <f>IF(Table1[[#This Row],[lead_time]]&lt;0,(Table1[[#This Row],[OrderDate]]+Table1[[#This Row],[adj_lead_time]]),Table1[[#This Row],[RequiredDate]])</f>
        <v>45128</v>
      </c>
      <c r="O513" t="s">
        <v>647</v>
      </c>
      <c r="P513" t="s">
        <v>652</v>
      </c>
      <c r="Q513" t="s">
        <v>694</v>
      </c>
      <c r="R513" t="s">
        <v>704</v>
      </c>
      <c r="S513" t="s">
        <v>709</v>
      </c>
      <c r="T513" t="s">
        <v>713</v>
      </c>
      <c r="U513" t="s">
        <v>730</v>
      </c>
      <c r="V513" t="s">
        <v>1019</v>
      </c>
      <c r="W513">
        <v>554.76</v>
      </c>
      <c r="X513">
        <f>Table1[[#This Row],[UnitCost]]*(1+'scenario modeling'!$B$3)</f>
        <v>610.23599999999999</v>
      </c>
      <c r="Y513">
        <v>728.69</v>
      </c>
      <c r="Z513" t="str">
        <f>IF(Table1[[#This Row],[UnitPrice]]&lt;=Quantiles!$B$2,Quantiles!$A$2,IF(Table1[[#This Row],[UnitPrice]]&lt;=Quantiles!$B$3,Quantiles!$A$3,Quantiles!$A$4))</f>
        <v>Low</v>
      </c>
      <c r="AA513">
        <v>0.22</v>
      </c>
      <c r="AB513" s="5">
        <f>MIN(Table1[[#This Row],[DiscountPct]],'scenario modeling'!$B$2)</f>
        <v>0.1</v>
      </c>
      <c r="AC513" t="str">
        <f>IF(Table1[[#This Row],[DiscountPct]]&gt;0.3, "&gt;0.3","")</f>
        <v/>
      </c>
      <c r="AD513">
        <v>7</v>
      </c>
      <c r="AE513">
        <f>Table1[[#This Row],[Quantity]]*(1+'scenario modeling'!$B$4)</f>
        <v>8.4</v>
      </c>
      <c r="AF513">
        <f>Table1[[#This Row],[UnitCost]]*Table1[[#This Row],[Quantity]]</f>
        <v>3883.3199999999997</v>
      </c>
      <c r="AG513">
        <f>SUMIF($U:U,Table1[[#This Row],[ProductCategory]],$AM:AM)</f>
        <v>1398841.4532999999</v>
      </c>
      <c r="AH513">
        <f>SUMIFS($AM$2:AM513,$U$2:U513,U513)</f>
        <v>1117439.8913399999</v>
      </c>
      <c r="AI513" s="5">
        <f>Table1[[#This Row],[Cumulative_revenue]]/Table1[[#This Row],[Category_revenue]]</f>
        <v>0.79883241142436334</v>
      </c>
      <c r="AJ513" t="str">
        <f>IF(Table1[[#This Row],[cumulative_pct]]&lt;=0.8,"A",IF(Table1[[#This Row],[cumulative_pct]]&lt;=0.95,"B","C"))</f>
        <v>A</v>
      </c>
      <c r="AK513">
        <f>Table1[[#This Row],[adj_unit_cost]]*Table1[[#This Row],[scenario_quantity]]</f>
        <v>5125.9823999999999</v>
      </c>
      <c r="AL513" s="5">
        <f>Table1[[#This Row],[UnitPrice]]*Table1[[#This Row],[scenario_quantity]]*(1-Table1[[#This Row],[cap_adjusted_discount]])</f>
        <v>5508.8964000000014</v>
      </c>
      <c r="AM513" s="5">
        <f>Table1[[#This Row],[UnitPrice]]*Table1[[#This Row],[Quantity]]*(1-Table1[[#This Row],[DiscountPct]])</f>
        <v>3978.6474000000003</v>
      </c>
      <c r="AN513" s="5">
        <f>Table1[[#This Row],[gross_revenue]]-Table1[[#This Row],[cost_of_goods]]</f>
        <v>95.32740000000058</v>
      </c>
      <c r="AO513" s="5">
        <f>Table1[[#This Row],[scenario_revenue]]-Table1[[#This Row],[Scenario_unit_cost]]</f>
        <v>382.91400000000158</v>
      </c>
      <c r="AP513" s="5">
        <f>IF(Table1[[#This Row],[gross_revenue]]=0,0,Table1[[#This Row],[gross_profit]]/Table1[[#This Row],[gross_revenue]])</f>
        <v>2.395975074343119E-2</v>
      </c>
    </row>
    <row r="514" spans="1:42" x14ac:dyDescent="0.35">
      <c r="A514" t="s">
        <v>174</v>
      </c>
      <c r="B514" t="str">
        <f>_xlfn.TEXTAFTER(Table1[[#This Row],[OrderID]],"-",2)</f>
        <v>418232</v>
      </c>
      <c r="C514">
        <f>YEAR(Table1[[#This Row],[OrderDate]])</f>
        <v>2025</v>
      </c>
      <c r="D514" s="9">
        <f>_xlfn.MINIFS(F:F,P:P,Table1[[#This Row],[Country]])</f>
        <v>44938</v>
      </c>
      <c r="E514" s="7">
        <f>DATEDIF(Table1[[#This Row],[first_time_orders]],Table1[[#This Row],[OrderDate]],"m")</f>
        <v>30</v>
      </c>
      <c r="F514" s="9">
        <v>45870</v>
      </c>
      <c r="G514" s="2" t="str">
        <f>TEXT(Table1[[#This Row],[OrderDate]],"MMM-YYYY")</f>
        <v>Aug-2025</v>
      </c>
      <c r="H514" s="7">
        <f>MONTH(Table1[[#This Row],[OrderDate]])</f>
        <v>8</v>
      </c>
      <c r="I514" s="7" t="str">
        <f>"Q"&amp;ROUNDUP(Table1[[#This Row],[months]]/3,0)&amp;"-"&amp;Table1[[#This Row],[order_year]]</f>
        <v>Q3-2025</v>
      </c>
      <c r="J514" s="7">
        <f>Table1[[#This Row],[RequiredDate]]-Table1[[#This Row],[OrderDate]]</f>
        <v>20</v>
      </c>
      <c r="K514" s="7">
        <f>IF(Table1[[#This Row],[lead_time]]&lt;0,MEDIAN(J:J),Table1[[#This Row],[lead_time]])</f>
        <v>20</v>
      </c>
      <c r="L514" s="7">
        <f>IF(Table1[[#This Row],[adj_lead_time]]&lt;=7,1,0)</f>
        <v>0</v>
      </c>
      <c r="M514" s="9">
        <v>45890</v>
      </c>
      <c r="N514" s="9">
        <f>IF(Table1[[#This Row],[lead_time]]&lt;0,(Table1[[#This Row],[OrderDate]]+Table1[[#This Row],[adj_lead_time]]),Table1[[#This Row],[RequiredDate]])</f>
        <v>45890</v>
      </c>
      <c r="O514" t="s">
        <v>647</v>
      </c>
      <c r="P514" t="s">
        <v>659</v>
      </c>
      <c r="Q514" t="s">
        <v>685</v>
      </c>
      <c r="R514" t="s">
        <v>701</v>
      </c>
      <c r="S514" t="s">
        <v>711</v>
      </c>
      <c r="T514" t="s">
        <v>714</v>
      </c>
      <c r="U514" t="s">
        <v>730</v>
      </c>
      <c r="V514" t="s">
        <v>893</v>
      </c>
      <c r="W514">
        <v>1220.4100000000001</v>
      </c>
      <c r="X514">
        <f>Table1[[#This Row],[UnitCost]]*(1+'scenario modeling'!$B$3)</f>
        <v>1342.4510000000002</v>
      </c>
      <c r="Y514">
        <v>2552.2199999999998</v>
      </c>
      <c r="Z514" t="str">
        <f>IF(Table1[[#This Row],[UnitPrice]]&lt;=Quantiles!$B$2,Quantiles!$A$2,IF(Table1[[#This Row],[UnitPrice]]&lt;=Quantiles!$B$3,Quantiles!$A$3,Quantiles!$A$4))</f>
        <v>High</v>
      </c>
      <c r="AA514">
        <v>0.18099999999999999</v>
      </c>
      <c r="AB514" s="5">
        <f>MIN(Table1[[#This Row],[DiscountPct]],'scenario modeling'!$B$2)</f>
        <v>0.1</v>
      </c>
      <c r="AC514" t="str">
        <f>IF(Table1[[#This Row],[DiscountPct]]&gt;0.3, "&gt;0.3","")</f>
        <v/>
      </c>
      <c r="AD514">
        <v>14</v>
      </c>
      <c r="AE514">
        <f>Table1[[#This Row],[Quantity]]*(1+'scenario modeling'!$B$4)</f>
        <v>16.8</v>
      </c>
      <c r="AF514">
        <f>Table1[[#This Row],[UnitCost]]*Table1[[#This Row],[Quantity]]</f>
        <v>17085.740000000002</v>
      </c>
      <c r="AG514">
        <f>SUMIF($U:U,Table1[[#This Row],[ProductCategory]],$AM:AM)</f>
        <v>1398841.4532999999</v>
      </c>
      <c r="AH514">
        <f>SUMIFS($AM$2:AM514,$U$2:U514,U514)</f>
        <v>1146703.6458599998</v>
      </c>
      <c r="AI514" s="5">
        <f>Table1[[#This Row],[Cumulative_revenue]]/Table1[[#This Row],[Category_revenue]]</f>
        <v>0.81975240521705794</v>
      </c>
      <c r="AJ514" t="str">
        <f>IF(Table1[[#This Row],[cumulative_pct]]&lt;=0.8,"A",IF(Table1[[#This Row],[cumulative_pct]]&lt;=0.95,"B","C"))</f>
        <v>B</v>
      </c>
      <c r="AK514">
        <f>Table1[[#This Row],[adj_unit_cost]]*Table1[[#This Row],[scenario_quantity]]</f>
        <v>22553.176800000005</v>
      </c>
      <c r="AL514" s="5">
        <f>Table1[[#This Row],[UnitPrice]]*Table1[[#This Row],[scenario_quantity]]*(1-Table1[[#This Row],[cap_adjusted_discount]])</f>
        <v>38589.566399999996</v>
      </c>
      <c r="AM514" s="5">
        <f>Table1[[#This Row],[UnitPrice]]*Table1[[#This Row],[Quantity]]*(1-Table1[[#This Row],[DiscountPct]])</f>
        <v>29263.754519999995</v>
      </c>
      <c r="AN514" s="5">
        <f>Table1[[#This Row],[gross_revenue]]-Table1[[#This Row],[cost_of_goods]]</f>
        <v>12178.014519999993</v>
      </c>
      <c r="AO514" s="5">
        <f>Table1[[#This Row],[scenario_revenue]]-Table1[[#This Row],[Scenario_unit_cost]]</f>
        <v>16036.389599999991</v>
      </c>
      <c r="AP514" s="5">
        <f>IF(Table1[[#This Row],[gross_revenue]]=0,0,Table1[[#This Row],[gross_profit]]/Table1[[#This Row],[gross_revenue]])</f>
        <v>0.41614668793360271</v>
      </c>
    </row>
    <row r="515" spans="1:42" x14ac:dyDescent="0.35">
      <c r="A515" t="s">
        <v>32</v>
      </c>
      <c r="B515" t="str">
        <f>_xlfn.TEXTAFTER(Table1[[#This Row],[OrderID]],"-",2)</f>
        <v>233883</v>
      </c>
      <c r="C515">
        <f>YEAR(Table1[[#This Row],[OrderDate]])</f>
        <v>2025</v>
      </c>
      <c r="D515" s="9">
        <f>_xlfn.MINIFS(F:F,P:P,Table1[[#This Row],[Country]])</f>
        <v>44988</v>
      </c>
      <c r="E515" s="7">
        <f>DATEDIF(Table1[[#This Row],[first_time_orders]],Table1[[#This Row],[OrderDate]],"m")</f>
        <v>30</v>
      </c>
      <c r="F515" s="9">
        <v>45908</v>
      </c>
      <c r="G515" s="2" t="str">
        <f>TEXT(Table1[[#This Row],[OrderDate]],"MMM-YYYY")</f>
        <v>Sept-2025</v>
      </c>
      <c r="H515" s="7">
        <f>MONTH(Table1[[#This Row],[OrderDate]])</f>
        <v>9</v>
      </c>
      <c r="I515" s="7" t="str">
        <f>"Q"&amp;ROUNDUP(Table1[[#This Row],[months]]/3,0)&amp;"-"&amp;Table1[[#This Row],[order_year]]</f>
        <v>Q3-2025</v>
      </c>
      <c r="J515" s="7">
        <f>Table1[[#This Row],[RequiredDate]]-Table1[[#This Row],[OrderDate]]</f>
        <v>8</v>
      </c>
      <c r="K515" s="7">
        <f>IF(Table1[[#This Row],[lead_time]]&lt;0,MEDIAN(J:J),Table1[[#This Row],[lead_time]])</f>
        <v>8</v>
      </c>
      <c r="L515" s="7">
        <f>IF(Table1[[#This Row],[adj_lead_time]]&lt;=7,1,0)</f>
        <v>0</v>
      </c>
      <c r="M515" s="9">
        <v>45916</v>
      </c>
      <c r="N515" s="9">
        <f>IF(Table1[[#This Row],[lead_time]]&lt;0,(Table1[[#This Row],[OrderDate]]+Table1[[#This Row],[adj_lead_time]]),Table1[[#This Row],[RequiredDate]])</f>
        <v>45916</v>
      </c>
      <c r="O515" t="s">
        <v>647</v>
      </c>
      <c r="P515" t="s">
        <v>652</v>
      </c>
      <c r="Q515" t="s">
        <v>666</v>
      </c>
      <c r="R515" t="s">
        <v>701</v>
      </c>
      <c r="S515" t="s">
        <v>710</v>
      </c>
      <c r="T515" t="s">
        <v>712</v>
      </c>
      <c r="U515" t="s">
        <v>730</v>
      </c>
      <c r="V515" t="s">
        <v>751</v>
      </c>
      <c r="W515">
        <v>1225.57</v>
      </c>
      <c r="X515">
        <f>Table1[[#This Row],[UnitCost]]*(1+'scenario modeling'!$B$3)</f>
        <v>1348.127</v>
      </c>
      <c r="Y515">
        <v>2705.57</v>
      </c>
      <c r="Z515" t="str">
        <f>IF(Table1[[#This Row],[UnitPrice]]&lt;=Quantiles!$B$2,Quantiles!$A$2,IF(Table1[[#This Row],[UnitPrice]]&lt;=Quantiles!$B$3,Quantiles!$A$3,Quantiles!$A$4))</f>
        <v>High</v>
      </c>
      <c r="AA515">
        <v>0.183</v>
      </c>
      <c r="AB515" s="5">
        <f>MIN(Table1[[#This Row],[DiscountPct]],'scenario modeling'!$B$2)</f>
        <v>0.1</v>
      </c>
      <c r="AC515" t="str">
        <f>IF(Table1[[#This Row],[DiscountPct]]&gt;0.3, "&gt;0.3","")</f>
        <v/>
      </c>
      <c r="AD515">
        <v>16</v>
      </c>
      <c r="AE515">
        <f>Table1[[#This Row],[Quantity]]*(1+'scenario modeling'!$B$4)</f>
        <v>19.2</v>
      </c>
      <c r="AF515">
        <f>Table1[[#This Row],[UnitCost]]*Table1[[#This Row],[Quantity]]</f>
        <v>19609.12</v>
      </c>
      <c r="AG515">
        <f>SUMIF($U:U,Table1[[#This Row],[ProductCategory]],$AM:AM)</f>
        <v>1398841.4532999999</v>
      </c>
      <c r="AH515">
        <f>SUMIFS($AM$2:AM515,$U$2:U515,U515)</f>
        <v>1182070.8568999998</v>
      </c>
      <c r="AI515" s="5">
        <f>Table1[[#This Row],[Cumulative_revenue]]/Table1[[#This Row],[Category_revenue]]</f>
        <v>0.84503562152192613</v>
      </c>
      <c r="AJ515" t="str">
        <f>IF(Table1[[#This Row],[cumulative_pct]]&lt;=0.8,"A",IF(Table1[[#This Row],[cumulative_pct]]&lt;=0.95,"B","C"))</f>
        <v>B</v>
      </c>
      <c r="AK515">
        <f>Table1[[#This Row],[adj_unit_cost]]*Table1[[#This Row],[scenario_quantity]]</f>
        <v>25884.038399999998</v>
      </c>
      <c r="AL515" s="5">
        <f>Table1[[#This Row],[UnitPrice]]*Table1[[#This Row],[scenario_quantity]]*(1-Table1[[#This Row],[cap_adjusted_discount]])</f>
        <v>46752.249600000003</v>
      </c>
      <c r="AM515" s="5">
        <f>Table1[[#This Row],[UnitPrice]]*Table1[[#This Row],[Quantity]]*(1-Table1[[#This Row],[DiscountPct]])</f>
        <v>35367.211040000002</v>
      </c>
      <c r="AN515" s="5">
        <f>Table1[[#This Row],[gross_revenue]]-Table1[[#This Row],[cost_of_goods]]</f>
        <v>15758.091040000003</v>
      </c>
      <c r="AO515" s="5">
        <f>Table1[[#This Row],[scenario_revenue]]-Table1[[#This Row],[Scenario_unit_cost]]</f>
        <v>20868.211200000005</v>
      </c>
      <c r="AP515" s="5">
        <f>IF(Table1[[#This Row],[gross_revenue]]=0,0,Table1[[#This Row],[gross_profit]]/Table1[[#This Row],[gross_revenue]])</f>
        <v>0.44555650775453404</v>
      </c>
    </row>
    <row r="516" spans="1:42" x14ac:dyDescent="0.35">
      <c r="A516" t="s">
        <v>109</v>
      </c>
      <c r="B516" t="str">
        <f>_xlfn.TEXTAFTER(Table1[[#This Row],[OrderID]],"-",2)</f>
        <v>725646</v>
      </c>
      <c r="C516">
        <f>YEAR(Table1[[#This Row],[OrderDate]])</f>
        <v>2025</v>
      </c>
      <c r="D516" s="9">
        <f>_xlfn.MINIFS(F:F,P:P,Table1[[#This Row],[Country]])</f>
        <v>44946</v>
      </c>
      <c r="E516" s="7">
        <f>DATEDIF(Table1[[#This Row],[first_time_orders]],Table1[[#This Row],[OrderDate]],"m")</f>
        <v>31</v>
      </c>
      <c r="F516" s="9">
        <v>45910</v>
      </c>
      <c r="G516" s="2" t="str">
        <f>TEXT(Table1[[#This Row],[OrderDate]],"MMM-YYYY")</f>
        <v>Sept-2025</v>
      </c>
      <c r="H516" s="7">
        <f>MONTH(Table1[[#This Row],[OrderDate]])</f>
        <v>9</v>
      </c>
      <c r="I516" s="7" t="str">
        <f>"Q"&amp;ROUNDUP(Table1[[#This Row],[months]]/3,0)&amp;"-"&amp;Table1[[#This Row],[order_year]]</f>
        <v>Q3-2025</v>
      </c>
      <c r="J516" s="7">
        <f>Table1[[#This Row],[RequiredDate]]-Table1[[#This Row],[OrderDate]]</f>
        <v>20</v>
      </c>
      <c r="K516" s="7">
        <f>IF(Table1[[#This Row],[lead_time]]&lt;0,MEDIAN(J:J),Table1[[#This Row],[lead_time]])</f>
        <v>20</v>
      </c>
      <c r="L516" s="7">
        <f>IF(Table1[[#This Row],[adj_lead_time]]&lt;=7,1,0)</f>
        <v>0</v>
      </c>
      <c r="M516" s="9">
        <v>45930</v>
      </c>
      <c r="N516" s="9">
        <f>IF(Table1[[#This Row],[lead_time]]&lt;0,(Table1[[#This Row],[OrderDate]]+Table1[[#This Row],[adj_lead_time]]),Table1[[#This Row],[RequiredDate]])</f>
        <v>45930</v>
      </c>
      <c r="O516" t="s">
        <v>646</v>
      </c>
      <c r="P516" t="s">
        <v>650</v>
      </c>
      <c r="Q516" t="s">
        <v>675</v>
      </c>
      <c r="R516" t="s">
        <v>701</v>
      </c>
      <c r="S516" t="s">
        <v>711</v>
      </c>
      <c r="T516" t="s">
        <v>716</v>
      </c>
      <c r="U516" t="s">
        <v>730</v>
      </c>
      <c r="V516" t="s">
        <v>828</v>
      </c>
      <c r="W516">
        <v>1009.48</v>
      </c>
      <c r="X516">
        <f>Table1[[#This Row],[UnitCost]]*(1+'scenario modeling'!$B$3)</f>
        <v>1110.4280000000001</v>
      </c>
      <c r="Y516">
        <v>1088.81</v>
      </c>
      <c r="Z516" t="str">
        <f>IF(Table1[[#This Row],[UnitPrice]]&lt;=Quantiles!$B$2,Quantiles!$A$2,IF(Table1[[#This Row],[UnitPrice]]&lt;=Quantiles!$B$3,Quantiles!$A$3,Quantiles!$A$4))</f>
        <v>Medium</v>
      </c>
      <c r="AA516">
        <v>0.16</v>
      </c>
      <c r="AB516" s="5">
        <f>MIN(Table1[[#This Row],[DiscountPct]],'scenario modeling'!$B$2)</f>
        <v>0.1</v>
      </c>
      <c r="AC516" t="str">
        <f>IF(Table1[[#This Row],[DiscountPct]]&gt;0.3, "&gt;0.3","")</f>
        <v/>
      </c>
      <c r="AD516">
        <v>6</v>
      </c>
      <c r="AE516">
        <f>Table1[[#This Row],[Quantity]]*(1+'scenario modeling'!$B$4)</f>
        <v>7.1999999999999993</v>
      </c>
      <c r="AF516">
        <f>Table1[[#This Row],[UnitCost]]*Table1[[#This Row],[Quantity]]</f>
        <v>6056.88</v>
      </c>
      <c r="AG516">
        <f>SUMIF($U:U,Table1[[#This Row],[ProductCategory]],$AM:AM)</f>
        <v>1398841.4532999999</v>
      </c>
      <c r="AH516">
        <f>SUMIFS($AM$2:AM516,$U$2:U516,U516)</f>
        <v>1187558.4592999998</v>
      </c>
      <c r="AI516" s="5">
        <f>Table1[[#This Row],[Cumulative_revenue]]/Table1[[#This Row],[Category_revenue]]</f>
        <v>0.84895858390415613</v>
      </c>
      <c r="AJ516" t="str">
        <f>IF(Table1[[#This Row],[cumulative_pct]]&lt;=0.8,"A",IF(Table1[[#This Row],[cumulative_pct]]&lt;=0.95,"B","C"))</f>
        <v>B</v>
      </c>
      <c r="AK516">
        <f>Table1[[#This Row],[adj_unit_cost]]*Table1[[#This Row],[scenario_quantity]]</f>
        <v>7995.0816000000004</v>
      </c>
      <c r="AL516" s="5">
        <f>Table1[[#This Row],[UnitPrice]]*Table1[[#This Row],[scenario_quantity]]*(1-Table1[[#This Row],[cap_adjusted_discount]])</f>
        <v>7055.4887999999992</v>
      </c>
      <c r="AM516" s="5">
        <f>Table1[[#This Row],[UnitPrice]]*Table1[[#This Row],[Quantity]]*(1-Table1[[#This Row],[DiscountPct]])</f>
        <v>5487.6023999999998</v>
      </c>
      <c r="AN516" s="5">
        <f>Table1[[#This Row],[gross_revenue]]-Table1[[#This Row],[cost_of_goods]]</f>
        <v>-569.27760000000035</v>
      </c>
      <c r="AO516" s="5">
        <f>Table1[[#This Row],[scenario_revenue]]-Table1[[#This Row],[Scenario_unit_cost]]</f>
        <v>-939.59280000000126</v>
      </c>
      <c r="AP516" s="5">
        <f>IF(Table1[[#This Row],[gross_revenue]]=0,0,Table1[[#This Row],[gross_profit]]/Table1[[#This Row],[gross_revenue]])</f>
        <v>-0.10373885688219693</v>
      </c>
    </row>
    <row r="517" spans="1:42" x14ac:dyDescent="0.35">
      <c r="A517" t="s">
        <v>437</v>
      </c>
      <c r="B517" t="str">
        <f>_xlfn.TEXTAFTER(Table1[[#This Row],[OrderID]],"-",2)</f>
        <v>831576</v>
      </c>
      <c r="C517">
        <f>YEAR(Table1[[#This Row],[OrderDate]])</f>
        <v>2025</v>
      </c>
      <c r="D517" s="9">
        <f>_xlfn.MINIFS(F:F,P:P,Table1[[#This Row],[Country]])</f>
        <v>44955</v>
      </c>
      <c r="E517" s="7">
        <f>DATEDIF(Table1[[#This Row],[first_time_orders]],Table1[[#This Row],[OrderDate]],"m")</f>
        <v>31</v>
      </c>
      <c r="F517" s="9">
        <v>45915</v>
      </c>
      <c r="G517" s="2" t="str">
        <f>TEXT(Table1[[#This Row],[OrderDate]],"MMM-YYYY")</f>
        <v>Sept-2025</v>
      </c>
      <c r="H517" s="7">
        <f>MONTH(Table1[[#This Row],[OrderDate]])</f>
        <v>9</v>
      </c>
      <c r="I517" s="7" t="str">
        <f>"Q"&amp;ROUNDUP(Table1[[#This Row],[months]]/3,0)&amp;"-"&amp;Table1[[#This Row],[order_year]]</f>
        <v>Q3-2025</v>
      </c>
      <c r="J517" s="7">
        <f>Table1[[#This Row],[RequiredDate]]-Table1[[#This Row],[OrderDate]]</f>
        <v>10</v>
      </c>
      <c r="K517" s="7">
        <f>IF(Table1[[#This Row],[lead_time]]&lt;0,MEDIAN(J:J),Table1[[#This Row],[lead_time]])</f>
        <v>10</v>
      </c>
      <c r="L517" s="7">
        <f>IF(Table1[[#This Row],[adj_lead_time]]&lt;=7,1,0)</f>
        <v>0</v>
      </c>
      <c r="M517" s="9">
        <v>45925</v>
      </c>
      <c r="N517" s="9">
        <f>IF(Table1[[#This Row],[lead_time]]&lt;0,(Table1[[#This Row],[OrderDate]]+Table1[[#This Row],[adj_lead_time]]),Table1[[#This Row],[RequiredDate]])</f>
        <v>45925</v>
      </c>
      <c r="O517" t="s">
        <v>647</v>
      </c>
      <c r="P517" t="s">
        <v>654</v>
      </c>
      <c r="Q517" t="s">
        <v>680</v>
      </c>
      <c r="R517" t="s">
        <v>704</v>
      </c>
      <c r="S517" t="s">
        <v>707</v>
      </c>
      <c r="T517" t="s">
        <v>720</v>
      </c>
      <c r="U517" t="s">
        <v>730</v>
      </c>
      <c r="V517" t="s">
        <v>1156</v>
      </c>
      <c r="W517">
        <v>1488.91</v>
      </c>
      <c r="X517">
        <f>Table1[[#This Row],[UnitCost]]*(1+'scenario modeling'!$B$3)</f>
        <v>1637.8010000000002</v>
      </c>
      <c r="Y517">
        <v>1483.74</v>
      </c>
      <c r="Z517" t="str">
        <f>IF(Table1[[#This Row],[UnitPrice]]&lt;=Quantiles!$B$2,Quantiles!$A$2,IF(Table1[[#This Row],[UnitPrice]]&lt;=Quantiles!$B$3,Quantiles!$A$3,Quantiles!$A$4))</f>
        <v>Medium</v>
      </c>
      <c r="AA517">
        <v>0.16800000000000001</v>
      </c>
      <c r="AB517" s="5">
        <f>MIN(Table1[[#This Row],[DiscountPct]],'scenario modeling'!$B$2)</f>
        <v>0.1</v>
      </c>
      <c r="AC517" t="str">
        <f>IF(Table1[[#This Row],[DiscountPct]]&gt;0.3, "&gt;0.3","")</f>
        <v/>
      </c>
      <c r="AD517">
        <v>24</v>
      </c>
      <c r="AE517">
        <f>Table1[[#This Row],[Quantity]]*(1+'scenario modeling'!$B$4)</f>
        <v>28.799999999999997</v>
      </c>
      <c r="AF517">
        <f>Table1[[#This Row],[UnitCost]]*Table1[[#This Row],[Quantity]]</f>
        <v>35733.840000000004</v>
      </c>
      <c r="AG517">
        <f>SUMIF($U:U,Table1[[#This Row],[ProductCategory]],$AM:AM)</f>
        <v>1398841.4532999999</v>
      </c>
      <c r="AH517">
        <f>SUMIFS($AM$2:AM517,$U$2:U517,U517)</f>
        <v>1217185.7796199997</v>
      </c>
      <c r="AI517" s="5">
        <f>Table1[[#This Row],[Cumulative_revenue]]/Table1[[#This Row],[Category_revenue]]</f>
        <v>0.87013848263399884</v>
      </c>
      <c r="AJ517" t="str">
        <f>IF(Table1[[#This Row],[cumulative_pct]]&lt;=0.8,"A",IF(Table1[[#This Row],[cumulative_pct]]&lt;=0.95,"B","C"))</f>
        <v>B</v>
      </c>
      <c r="AK517">
        <f>Table1[[#This Row],[adj_unit_cost]]*Table1[[#This Row],[scenario_quantity]]</f>
        <v>47168.668799999999</v>
      </c>
      <c r="AL517" s="5">
        <f>Table1[[#This Row],[UnitPrice]]*Table1[[#This Row],[scenario_quantity]]*(1-Table1[[#This Row],[cap_adjusted_discount]])</f>
        <v>38458.540800000002</v>
      </c>
      <c r="AM517" s="5">
        <f>Table1[[#This Row],[UnitPrice]]*Table1[[#This Row],[Quantity]]*(1-Table1[[#This Row],[DiscountPct]])</f>
        <v>29627.320319999999</v>
      </c>
      <c r="AN517" s="5">
        <f>Table1[[#This Row],[gross_revenue]]-Table1[[#This Row],[cost_of_goods]]</f>
        <v>-6106.5196800000049</v>
      </c>
      <c r="AO517" s="5">
        <f>Table1[[#This Row],[scenario_revenue]]-Table1[[#This Row],[Scenario_unit_cost]]</f>
        <v>-8710.127999999997</v>
      </c>
      <c r="AP517" s="5">
        <f>IF(Table1[[#This Row],[gross_revenue]]=0,0,Table1[[#This Row],[gross_profit]]/Table1[[#This Row],[gross_revenue]])</f>
        <v>-0.20611110333450519</v>
      </c>
    </row>
    <row r="518" spans="1:42" x14ac:dyDescent="0.35">
      <c r="A518" t="s">
        <v>488</v>
      </c>
      <c r="B518" t="str">
        <f>_xlfn.TEXTAFTER(Table1[[#This Row],[OrderID]],"-",2)</f>
        <v>683043</v>
      </c>
      <c r="C518">
        <f>YEAR(Table1[[#This Row],[OrderDate]])</f>
        <v>2025</v>
      </c>
      <c r="D518" s="9">
        <f>_xlfn.MINIFS(F:F,P:P,Table1[[#This Row],[Country]])</f>
        <v>44936</v>
      </c>
      <c r="E518" s="7">
        <f>DATEDIF(Table1[[#This Row],[first_time_orders]],Table1[[#This Row],[OrderDate]],"m")</f>
        <v>31</v>
      </c>
      <c r="F518" s="9">
        <v>45882</v>
      </c>
      <c r="G518" s="2" t="str">
        <f>TEXT(Table1[[#This Row],[OrderDate]],"MMM-YYYY")</f>
        <v>Aug-2025</v>
      </c>
      <c r="H518" s="7">
        <f>MONTH(Table1[[#This Row],[OrderDate]])</f>
        <v>8</v>
      </c>
      <c r="I518" s="7" t="str">
        <f>"Q"&amp;ROUNDUP(Table1[[#This Row],[months]]/3,0)&amp;"-"&amp;Table1[[#This Row],[order_year]]</f>
        <v>Q3-2025</v>
      </c>
      <c r="J518" s="7">
        <f>Table1[[#This Row],[RequiredDate]]-Table1[[#This Row],[OrderDate]]</f>
        <v>21</v>
      </c>
      <c r="K518" s="7">
        <f>IF(Table1[[#This Row],[lead_time]]&lt;0,MEDIAN(J:J),Table1[[#This Row],[lead_time]])</f>
        <v>21</v>
      </c>
      <c r="L518" s="7">
        <f>IF(Table1[[#This Row],[adj_lead_time]]&lt;=7,1,0)</f>
        <v>0</v>
      </c>
      <c r="M518" s="9">
        <v>45903</v>
      </c>
      <c r="N518" s="9">
        <f>IF(Table1[[#This Row],[lead_time]]&lt;0,(Table1[[#This Row],[OrderDate]]+Table1[[#This Row],[adj_lead_time]]),Table1[[#This Row],[RequiredDate]])</f>
        <v>45903</v>
      </c>
      <c r="O518" t="s">
        <v>649</v>
      </c>
      <c r="P518" t="s">
        <v>657</v>
      </c>
      <c r="Q518" t="s">
        <v>690</v>
      </c>
      <c r="R518" t="s">
        <v>702</v>
      </c>
      <c r="S518" t="s">
        <v>707</v>
      </c>
      <c r="T518" t="s">
        <v>714</v>
      </c>
      <c r="U518" t="s">
        <v>730</v>
      </c>
      <c r="V518" t="s">
        <v>1207</v>
      </c>
      <c r="W518">
        <v>603.47</v>
      </c>
      <c r="X518">
        <f>Table1[[#This Row],[UnitCost]]*(1+'scenario modeling'!$B$3)</f>
        <v>663.81700000000012</v>
      </c>
      <c r="Y518">
        <v>1344.05</v>
      </c>
      <c r="Z518" t="str">
        <f>IF(Table1[[#This Row],[UnitPrice]]&lt;=Quantiles!$B$2,Quantiles!$A$2,IF(Table1[[#This Row],[UnitPrice]]&lt;=Quantiles!$B$3,Quantiles!$A$3,Quantiles!$A$4))</f>
        <v>Medium</v>
      </c>
      <c r="AA518">
        <v>0.20499999999999999</v>
      </c>
      <c r="AB518" s="5">
        <f>MIN(Table1[[#This Row],[DiscountPct]],'scenario modeling'!$B$2)</f>
        <v>0.1</v>
      </c>
      <c r="AC518" t="str">
        <f>IF(Table1[[#This Row],[DiscountPct]]&gt;0.3, "&gt;0.3","")</f>
        <v/>
      </c>
      <c r="AD518">
        <v>18</v>
      </c>
      <c r="AE518">
        <f>Table1[[#This Row],[Quantity]]*(1+'scenario modeling'!$B$4)</f>
        <v>21.599999999999998</v>
      </c>
      <c r="AF518">
        <f>Table1[[#This Row],[UnitCost]]*Table1[[#This Row],[Quantity]]</f>
        <v>10862.460000000001</v>
      </c>
      <c r="AG518">
        <f>SUMIF($U:U,Table1[[#This Row],[ProductCategory]],$AM:AM)</f>
        <v>1398841.4532999999</v>
      </c>
      <c r="AH518">
        <f>SUMIFS($AM$2:AM518,$U$2:U518,U518)</f>
        <v>1236419.1351199998</v>
      </c>
      <c r="AI518" s="5">
        <f>Table1[[#This Row],[Cumulative_revenue]]/Table1[[#This Row],[Category_revenue]]</f>
        <v>0.88388797186641099</v>
      </c>
      <c r="AJ518" t="str">
        <f>IF(Table1[[#This Row],[cumulative_pct]]&lt;=0.8,"A",IF(Table1[[#This Row],[cumulative_pct]]&lt;=0.95,"B","C"))</f>
        <v>B</v>
      </c>
      <c r="AK518">
        <f>Table1[[#This Row],[adj_unit_cost]]*Table1[[#This Row],[scenario_quantity]]</f>
        <v>14338.447200000001</v>
      </c>
      <c r="AL518" s="5">
        <f>Table1[[#This Row],[UnitPrice]]*Table1[[#This Row],[scenario_quantity]]*(1-Table1[[#This Row],[cap_adjusted_discount]])</f>
        <v>26128.331999999999</v>
      </c>
      <c r="AM518" s="5">
        <f>Table1[[#This Row],[UnitPrice]]*Table1[[#This Row],[Quantity]]*(1-Table1[[#This Row],[DiscountPct]])</f>
        <v>19233.355499999998</v>
      </c>
      <c r="AN518" s="5">
        <f>Table1[[#This Row],[gross_revenue]]-Table1[[#This Row],[cost_of_goods]]</f>
        <v>8370.8954999999969</v>
      </c>
      <c r="AO518" s="5">
        <f>Table1[[#This Row],[scenario_revenue]]-Table1[[#This Row],[Scenario_unit_cost]]</f>
        <v>11789.884799999998</v>
      </c>
      <c r="AP518" s="5">
        <f>IF(Table1[[#This Row],[gross_revenue]]=0,0,Table1[[#This Row],[gross_profit]]/Table1[[#This Row],[gross_revenue]])</f>
        <v>0.43522803392262976</v>
      </c>
    </row>
    <row r="519" spans="1:42" x14ac:dyDescent="0.35">
      <c r="A519" t="s">
        <v>341</v>
      </c>
      <c r="B519" t="str">
        <f>_xlfn.TEXTAFTER(Table1[[#This Row],[OrderID]],"-",2)</f>
        <v>536542</v>
      </c>
      <c r="C519">
        <f>YEAR(Table1[[#This Row],[OrderDate]])</f>
        <v>2023</v>
      </c>
      <c r="D519" s="9">
        <f>_xlfn.MINIFS(F:F,P:P,Table1[[#This Row],[Country]])</f>
        <v>44946</v>
      </c>
      <c r="E519" s="7">
        <f>DATEDIF(Table1[[#This Row],[first_time_orders]],Table1[[#This Row],[OrderDate]],"m")</f>
        <v>4</v>
      </c>
      <c r="F519" s="9">
        <v>45087</v>
      </c>
      <c r="G519" s="2" t="str">
        <f>TEXT(Table1[[#This Row],[OrderDate]],"MMM-YYYY")</f>
        <v>Jun-2023</v>
      </c>
      <c r="H519" s="7">
        <f>MONTH(Table1[[#This Row],[OrderDate]])</f>
        <v>6</v>
      </c>
      <c r="I519" s="7" t="str">
        <f>"Q"&amp;ROUNDUP(Table1[[#This Row],[months]]/3,0)&amp;"-"&amp;Table1[[#This Row],[order_year]]</f>
        <v>Q2-2023</v>
      </c>
      <c r="J519" s="7">
        <f>Table1[[#This Row],[RequiredDate]]-Table1[[#This Row],[OrderDate]]</f>
        <v>8</v>
      </c>
      <c r="K519" s="7">
        <f>IF(Table1[[#This Row],[lead_time]]&lt;0,MEDIAN(J:J),Table1[[#This Row],[lead_time]])</f>
        <v>8</v>
      </c>
      <c r="L519" s="7">
        <f>IF(Table1[[#This Row],[adj_lead_time]]&lt;=7,1,0)</f>
        <v>0</v>
      </c>
      <c r="M519" s="9">
        <v>45095</v>
      </c>
      <c r="N519" s="9">
        <f>IF(Table1[[#This Row],[lead_time]]&lt;0,(Table1[[#This Row],[OrderDate]]+Table1[[#This Row],[adj_lead_time]]),Table1[[#This Row],[RequiredDate]])</f>
        <v>45095</v>
      </c>
      <c r="O519" t="s">
        <v>646</v>
      </c>
      <c r="P519" t="s">
        <v>650</v>
      </c>
      <c r="Q519" t="s">
        <v>678</v>
      </c>
      <c r="R519" t="s">
        <v>706</v>
      </c>
      <c r="S519" t="s">
        <v>711</v>
      </c>
      <c r="T519" t="s">
        <v>722</v>
      </c>
      <c r="U519" t="s">
        <v>730</v>
      </c>
      <c r="V519" t="s">
        <v>1061</v>
      </c>
      <c r="W519">
        <v>894.23</v>
      </c>
      <c r="X519">
        <f>Table1[[#This Row],[UnitCost]]*(1+'scenario modeling'!$B$3)</f>
        <v>983.65300000000013</v>
      </c>
      <c r="Y519">
        <v>1421.55</v>
      </c>
      <c r="Z519" t="str">
        <f>IF(Table1[[#This Row],[UnitPrice]]&lt;=Quantiles!$B$2,Quantiles!$A$2,IF(Table1[[#This Row],[UnitPrice]]&lt;=Quantiles!$B$3,Quantiles!$A$3,Quantiles!$A$4))</f>
        <v>Medium</v>
      </c>
      <c r="AA519">
        <v>0.109</v>
      </c>
      <c r="AB519" s="5">
        <f>MIN(Table1[[#This Row],[DiscountPct]],'scenario modeling'!$B$2)</f>
        <v>0.1</v>
      </c>
      <c r="AC519" t="str">
        <f>IF(Table1[[#This Row],[DiscountPct]]&gt;0.3, "&gt;0.3","")</f>
        <v/>
      </c>
      <c r="AD519">
        <v>3</v>
      </c>
      <c r="AE519">
        <f>Table1[[#This Row],[Quantity]]*(1+'scenario modeling'!$B$4)</f>
        <v>3.5999999999999996</v>
      </c>
      <c r="AF519">
        <f>Table1[[#This Row],[UnitCost]]*Table1[[#This Row],[Quantity]]</f>
        <v>2682.69</v>
      </c>
      <c r="AG519">
        <f>SUMIF($U:U,Table1[[#This Row],[ProductCategory]],$AM:AM)</f>
        <v>1398841.4532999999</v>
      </c>
      <c r="AH519">
        <f>SUMIFS($AM$2:AM519,$U$2:U519,U519)</f>
        <v>1240218.9382699998</v>
      </c>
      <c r="AI519" s="5">
        <f>Table1[[#This Row],[Cumulative_revenue]]/Table1[[#This Row],[Category_revenue]]</f>
        <v>0.88660436487938321</v>
      </c>
      <c r="AJ519" t="str">
        <f>IF(Table1[[#This Row],[cumulative_pct]]&lt;=0.8,"A",IF(Table1[[#This Row],[cumulative_pct]]&lt;=0.95,"B","C"))</f>
        <v>B</v>
      </c>
      <c r="AK519">
        <f>Table1[[#This Row],[adj_unit_cost]]*Table1[[#This Row],[scenario_quantity]]</f>
        <v>3541.1508000000003</v>
      </c>
      <c r="AL519" s="5">
        <f>Table1[[#This Row],[UnitPrice]]*Table1[[#This Row],[scenario_quantity]]*(1-Table1[[#This Row],[cap_adjusted_discount]])</f>
        <v>4605.8219999999992</v>
      </c>
      <c r="AM519" s="5">
        <f>Table1[[#This Row],[UnitPrice]]*Table1[[#This Row],[Quantity]]*(1-Table1[[#This Row],[DiscountPct]])</f>
        <v>3799.8031499999997</v>
      </c>
      <c r="AN519" s="5">
        <f>Table1[[#This Row],[gross_revenue]]-Table1[[#This Row],[cost_of_goods]]</f>
        <v>1117.1131499999997</v>
      </c>
      <c r="AO519" s="5">
        <f>Table1[[#This Row],[scenario_revenue]]-Table1[[#This Row],[Scenario_unit_cost]]</f>
        <v>1064.6711999999989</v>
      </c>
      <c r="AP519" s="5">
        <f>IF(Table1[[#This Row],[gross_revenue]]=0,0,Table1[[#This Row],[gross_profit]]/Table1[[#This Row],[gross_revenue]])</f>
        <v>0.29399237431549574</v>
      </c>
    </row>
    <row r="520" spans="1:42" x14ac:dyDescent="0.35">
      <c r="A520" t="s">
        <v>527</v>
      </c>
      <c r="B520" t="str">
        <f>_xlfn.TEXTAFTER(Table1[[#This Row],[OrderID]],"-",2)</f>
        <v>349264</v>
      </c>
      <c r="C520">
        <f>YEAR(Table1[[#This Row],[OrderDate]])</f>
        <v>2023</v>
      </c>
      <c r="D520" s="9">
        <f>_xlfn.MINIFS(F:F,P:P,Table1[[#This Row],[Country]])</f>
        <v>44948</v>
      </c>
      <c r="E520" s="7">
        <f>DATEDIF(Table1[[#This Row],[first_time_orders]],Table1[[#This Row],[OrderDate]],"m")</f>
        <v>4</v>
      </c>
      <c r="F520" s="9">
        <v>45078</v>
      </c>
      <c r="G520" s="2" t="str">
        <f>TEXT(Table1[[#This Row],[OrderDate]],"MMM-YYYY")</f>
        <v>Jun-2023</v>
      </c>
      <c r="H520" s="7">
        <f>MONTH(Table1[[#This Row],[OrderDate]])</f>
        <v>6</v>
      </c>
      <c r="I520" s="7" t="str">
        <f>"Q"&amp;ROUNDUP(Table1[[#This Row],[months]]/3,0)&amp;"-"&amp;Table1[[#This Row],[order_year]]</f>
        <v>Q2-2023</v>
      </c>
      <c r="J520" s="7">
        <f>Table1[[#This Row],[RequiredDate]]-Table1[[#This Row],[OrderDate]]</f>
        <v>7</v>
      </c>
      <c r="K520" s="7">
        <f>IF(Table1[[#This Row],[lead_time]]&lt;0,MEDIAN(J:J),Table1[[#This Row],[lead_time]])</f>
        <v>7</v>
      </c>
      <c r="L520" s="7">
        <f>IF(Table1[[#This Row],[adj_lead_time]]&lt;=7,1,0)</f>
        <v>1</v>
      </c>
      <c r="M520" s="9">
        <v>45085</v>
      </c>
      <c r="N520" s="9">
        <f>IF(Table1[[#This Row],[lead_time]]&lt;0,(Table1[[#This Row],[OrderDate]]+Table1[[#This Row],[adj_lead_time]]),Table1[[#This Row],[RequiredDate]])</f>
        <v>45085</v>
      </c>
      <c r="O520" t="s">
        <v>649</v>
      </c>
      <c r="P520" t="s">
        <v>656</v>
      </c>
      <c r="Q520" t="s">
        <v>698</v>
      </c>
      <c r="R520" t="s">
        <v>704</v>
      </c>
      <c r="S520" t="s">
        <v>708</v>
      </c>
      <c r="T520" t="s">
        <v>720</v>
      </c>
      <c r="U520" t="s">
        <v>730</v>
      </c>
      <c r="V520" t="s">
        <v>1246</v>
      </c>
      <c r="W520">
        <v>804.17</v>
      </c>
      <c r="X520">
        <f>Table1[[#This Row],[UnitCost]]*(1+'scenario modeling'!$B$3)</f>
        <v>884.58699999999999</v>
      </c>
      <c r="Y520">
        <v>1072.29</v>
      </c>
      <c r="Z520" t="str">
        <f>IF(Table1[[#This Row],[UnitPrice]]&lt;=Quantiles!$B$2,Quantiles!$A$2,IF(Table1[[#This Row],[UnitPrice]]&lt;=Quantiles!$B$3,Quantiles!$A$3,Quantiles!$A$4))</f>
        <v>Medium</v>
      </c>
      <c r="AA520">
        <v>3.2000000000000001E-2</v>
      </c>
      <c r="AB520" s="5">
        <f>MIN(Table1[[#This Row],[DiscountPct]],'scenario modeling'!$B$2)</f>
        <v>3.2000000000000001E-2</v>
      </c>
      <c r="AC520" t="str">
        <f>IF(Table1[[#This Row],[DiscountPct]]&gt;0.3, "&gt;0.3","")</f>
        <v/>
      </c>
      <c r="AD520">
        <v>5</v>
      </c>
      <c r="AE520">
        <f>Table1[[#This Row],[Quantity]]*(1+'scenario modeling'!$B$4)</f>
        <v>6</v>
      </c>
      <c r="AF520">
        <f>Table1[[#This Row],[UnitCost]]*Table1[[#This Row],[Quantity]]</f>
        <v>4020.85</v>
      </c>
      <c r="AG520">
        <f>SUMIF($U:U,Table1[[#This Row],[ProductCategory]],$AM:AM)</f>
        <v>1398841.4532999999</v>
      </c>
      <c r="AH520">
        <f>SUMIFS($AM$2:AM520,$U$2:U520,U520)</f>
        <v>1245408.8218699999</v>
      </c>
      <c r="AI520" s="5">
        <f>Table1[[#This Row],[Cumulative_revenue]]/Table1[[#This Row],[Category_revenue]]</f>
        <v>0.89031449484997893</v>
      </c>
      <c r="AJ520" t="str">
        <f>IF(Table1[[#This Row],[cumulative_pct]]&lt;=0.8,"A",IF(Table1[[#This Row],[cumulative_pct]]&lt;=0.95,"B","C"))</f>
        <v>B</v>
      </c>
      <c r="AK520">
        <f>Table1[[#This Row],[adj_unit_cost]]*Table1[[#This Row],[scenario_quantity]]</f>
        <v>5307.5219999999999</v>
      </c>
      <c r="AL520" s="5">
        <f>Table1[[#This Row],[UnitPrice]]*Table1[[#This Row],[scenario_quantity]]*(1-Table1[[#This Row],[cap_adjusted_discount]])</f>
        <v>6227.8603199999998</v>
      </c>
      <c r="AM520" s="5">
        <f>Table1[[#This Row],[UnitPrice]]*Table1[[#This Row],[Quantity]]*(1-Table1[[#This Row],[DiscountPct]])</f>
        <v>5189.8836000000001</v>
      </c>
      <c r="AN520" s="5">
        <f>Table1[[#This Row],[gross_revenue]]-Table1[[#This Row],[cost_of_goods]]</f>
        <v>1169.0336000000002</v>
      </c>
      <c r="AO520" s="5">
        <f>Table1[[#This Row],[scenario_revenue]]-Table1[[#This Row],[Scenario_unit_cost]]</f>
        <v>920.33831999999984</v>
      </c>
      <c r="AP520" s="5">
        <f>IF(Table1[[#This Row],[gross_revenue]]=0,0,Table1[[#This Row],[gross_profit]]/Table1[[#This Row],[gross_revenue]])</f>
        <v>0.2252523736755869</v>
      </c>
    </row>
    <row r="521" spans="1:42" x14ac:dyDescent="0.35">
      <c r="A521" t="s">
        <v>642</v>
      </c>
      <c r="B521" t="str">
        <f>_xlfn.TEXTAFTER(Table1[[#This Row],[OrderID]],"-",2)</f>
        <v>921939</v>
      </c>
      <c r="C521">
        <f>YEAR(Table1[[#This Row],[OrderDate]])</f>
        <v>2023</v>
      </c>
      <c r="D521" s="9">
        <f>_xlfn.MINIFS(F:F,P:P,Table1[[#This Row],[Country]])</f>
        <v>44928</v>
      </c>
      <c r="E521" s="7">
        <f>DATEDIF(Table1[[#This Row],[first_time_orders]],Table1[[#This Row],[OrderDate]],"m")</f>
        <v>5</v>
      </c>
      <c r="F521" s="9">
        <v>45100</v>
      </c>
      <c r="G521" s="2" t="str">
        <f>TEXT(Table1[[#This Row],[OrderDate]],"MMM-YYYY")</f>
        <v>Jun-2023</v>
      </c>
      <c r="H521" s="7">
        <f>MONTH(Table1[[#This Row],[OrderDate]])</f>
        <v>6</v>
      </c>
      <c r="I521" s="7" t="str">
        <f>"Q"&amp;ROUNDUP(Table1[[#This Row],[months]]/3,0)&amp;"-"&amp;Table1[[#This Row],[order_year]]</f>
        <v>Q2-2023</v>
      </c>
      <c r="J521" s="7">
        <f>Table1[[#This Row],[RequiredDate]]-Table1[[#This Row],[OrderDate]]</f>
        <v>25</v>
      </c>
      <c r="K521" s="7">
        <f>IF(Table1[[#This Row],[lead_time]]&lt;0,MEDIAN(J:J),Table1[[#This Row],[lead_time]])</f>
        <v>25</v>
      </c>
      <c r="L521" s="7">
        <f>IF(Table1[[#This Row],[adj_lead_time]]&lt;=7,1,0)</f>
        <v>0</v>
      </c>
      <c r="M521" s="9">
        <v>45125</v>
      </c>
      <c r="N521" s="9">
        <f>IF(Table1[[#This Row],[lead_time]]&lt;0,(Table1[[#This Row],[OrderDate]]+Table1[[#This Row],[adj_lead_time]]),Table1[[#This Row],[RequiredDate]])</f>
        <v>45125</v>
      </c>
      <c r="O521" t="s">
        <v>648</v>
      </c>
      <c r="P521" t="s">
        <v>653</v>
      </c>
      <c r="Q521" t="s">
        <v>688</v>
      </c>
      <c r="R521" t="s">
        <v>706</v>
      </c>
      <c r="S521" t="s">
        <v>708</v>
      </c>
      <c r="T521" t="s">
        <v>725</v>
      </c>
      <c r="U521" t="s">
        <v>730</v>
      </c>
      <c r="V521" t="s">
        <v>1360</v>
      </c>
      <c r="W521">
        <v>807.02</v>
      </c>
      <c r="X521">
        <f>Table1[[#This Row],[UnitCost]]*(1+'scenario modeling'!$B$3)</f>
        <v>887.72200000000009</v>
      </c>
      <c r="Y521">
        <v>1435.54</v>
      </c>
      <c r="Z521" t="str">
        <f>IF(Table1[[#This Row],[UnitPrice]]&lt;=Quantiles!$B$2,Quantiles!$A$2,IF(Table1[[#This Row],[UnitPrice]]&lt;=Quantiles!$B$3,Quantiles!$A$3,Quantiles!$A$4))</f>
        <v>Medium</v>
      </c>
      <c r="AA521">
        <v>0</v>
      </c>
      <c r="AB521" s="5">
        <f>MIN(Table1[[#This Row],[DiscountPct]],'scenario modeling'!$B$2)</f>
        <v>0</v>
      </c>
      <c r="AC521" t="str">
        <f>IF(Table1[[#This Row],[DiscountPct]]&gt;0.3, "&gt;0.3","")</f>
        <v/>
      </c>
      <c r="AD521">
        <v>23</v>
      </c>
      <c r="AE521">
        <f>Table1[[#This Row],[Quantity]]*(1+'scenario modeling'!$B$4)</f>
        <v>27.599999999999998</v>
      </c>
      <c r="AF521">
        <f>Table1[[#This Row],[UnitCost]]*Table1[[#This Row],[Quantity]]</f>
        <v>18561.46</v>
      </c>
      <c r="AG521">
        <f>SUMIF($U:U,Table1[[#This Row],[ProductCategory]],$AM:AM)</f>
        <v>1398841.4532999999</v>
      </c>
      <c r="AH521">
        <f>SUMIFS($AM$2:AM521,$U$2:U521,U521)</f>
        <v>1278426.2418699998</v>
      </c>
      <c r="AI521" s="5">
        <f>Table1[[#This Row],[Cumulative_revenue]]/Table1[[#This Row],[Category_revenue]]</f>
        <v>0.91391789888272956</v>
      </c>
      <c r="AJ521" t="str">
        <f>IF(Table1[[#This Row],[cumulative_pct]]&lt;=0.8,"A",IF(Table1[[#This Row],[cumulative_pct]]&lt;=0.95,"B","C"))</f>
        <v>B</v>
      </c>
      <c r="AK521">
        <f>Table1[[#This Row],[adj_unit_cost]]*Table1[[#This Row],[scenario_quantity]]</f>
        <v>24501.127199999999</v>
      </c>
      <c r="AL521" s="5">
        <f>Table1[[#This Row],[UnitPrice]]*Table1[[#This Row],[scenario_quantity]]*(1-Table1[[#This Row],[cap_adjusted_discount]])</f>
        <v>39620.903999999995</v>
      </c>
      <c r="AM521" s="5">
        <f>Table1[[#This Row],[UnitPrice]]*Table1[[#This Row],[Quantity]]*(1-Table1[[#This Row],[DiscountPct]])</f>
        <v>33017.42</v>
      </c>
      <c r="AN521" s="5">
        <f>Table1[[#This Row],[gross_revenue]]-Table1[[#This Row],[cost_of_goods]]</f>
        <v>14455.96</v>
      </c>
      <c r="AO521" s="5">
        <f>Table1[[#This Row],[scenario_revenue]]-Table1[[#This Row],[Scenario_unit_cost]]</f>
        <v>15119.776799999996</v>
      </c>
      <c r="AP521" s="5">
        <f>IF(Table1[[#This Row],[gross_revenue]]=0,0,Table1[[#This Row],[gross_profit]]/Table1[[#This Row],[gross_revenue]])</f>
        <v>0.43782827368098415</v>
      </c>
    </row>
    <row r="522" spans="1:42" x14ac:dyDescent="0.35">
      <c r="A522" t="s">
        <v>296</v>
      </c>
      <c r="B522" t="str">
        <f>_xlfn.TEXTAFTER(Table1[[#This Row],[OrderID]],"-",2)</f>
        <v>274037</v>
      </c>
      <c r="C522">
        <f>YEAR(Table1[[#This Row],[OrderDate]])</f>
        <v>2023</v>
      </c>
      <c r="D522" s="9">
        <f>_xlfn.MINIFS(F:F,P:P,Table1[[#This Row],[Country]])</f>
        <v>44946</v>
      </c>
      <c r="E522" s="7">
        <f>DATEDIF(Table1[[#This Row],[first_time_orders]],Table1[[#This Row],[OrderDate]],"m")</f>
        <v>6</v>
      </c>
      <c r="F522" s="9">
        <v>45153</v>
      </c>
      <c r="G522" s="2" t="str">
        <f>TEXT(Table1[[#This Row],[OrderDate]],"MMM-YYYY")</f>
        <v>Aug-2023</v>
      </c>
      <c r="H522" s="7">
        <f>MONTH(Table1[[#This Row],[OrderDate]])</f>
        <v>8</v>
      </c>
      <c r="I522" s="7" t="str">
        <f>"Q"&amp;ROUNDUP(Table1[[#This Row],[months]]/3,0)&amp;"-"&amp;Table1[[#This Row],[order_year]]</f>
        <v>Q3-2023</v>
      </c>
      <c r="J522" s="7">
        <f>Table1[[#This Row],[RequiredDate]]-Table1[[#This Row],[OrderDate]]</f>
        <v>10</v>
      </c>
      <c r="K522" s="7">
        <f>IF(Table1[[#This Row],[lead_time]]&lt;0,MEDIAN(J:J),Table1[[#This Row],[lead_time]])</f>
        <v>10</v>
      </c>
      <c r="L522" s="7">
        <f>IF(Table1[[#This Row],[adj_lead_time]]&lt;=7,1,0)</f>
        <v>0</v>
      </c>
      <c r="M522" s="9">
        <v>45163</v>
      </c>
      <c r="N522" s="9">
        <f>IF(Table1[[#This Row],[lead_time]]&lt;0,(Table1[[#This Row],[OrderDate]]+Table1[[#This Row],[adj_lead_time]]),Table1[[#This Row],[RequiredDate]])</f>
        <v>45163</v>
      </c>
      <c r="O522" t="s">
        <v>646</v>
      </c>
      <c r="P522" t="s">
        <v>650</v>
      </c>
      <c r="Q522" t="s">
        <v>664</v>
      </c>
      <c r="R522" t="s">
        <v>705</v>
      </c>
      <c r="S522" t="s">
        <v>707</v>
      </c>
      <c r="T522" t="s">
        <v>725</v>
      </c>
      <c r="U522" t="s">
        <v>730</v>
      </c>
      <c r="V522" t="s">
        <v>1016</v>
      </c>
      <c r="W522">
        <v>91.85</v>
      </c>
      <c r="X522">
        <f>Table1[[#This Row],[UnitCost]]*(1+'scenario modeling'!$B$3)</f>
        <v>101.035</v>
      </c>
      <c r="Y522">
        <v>111.29</v>
      </c>
      <c r="Z522" t="str">
        <f>IF(Table1[[#This Row],[UnitPrice]]&lt;=Quantiles!$B$2,Quantiles!$A$2,IF(Table1[[#This Row],[UnitPrice]]&lt;=Quantiles!$B$3,Quantiles!$A$3,Quantiles!$A$4))</f>
        <v>Low</v>
      </c>
      <c r="AA522">
        <v>0</v>
      </c>
      <c r="AB522" s="5">
        <f>MIN(Table1[[#This Row],[DiscountPct]],'scenario modeling'!$B$2)</f>
        <v>0</v>
      </c>
      <c r="AC522" t="str">
        <f>IF(Table1[[#This Row],[DiscountPct]]&gt;0.3, "&gt;0.3","")</f>
        <v/>
      </c>
      <c r="AD522">
        <v>6</v>
      </c>
      <c r="AE522">
        <f>Table1[[#This Row],[Quantity]]*(1+'scenario modeling'!$B$4)</f>
        <v>7.1999999999999993</v>
      </c>
      <c r="AF522">
        <f>Table1[[#This Row],[UnitCost]]*Table1[[#This Row],[Quantity]]</f>
        <v>551.09999999999991</v>
      </c>
      <c r="AG522">
        <f>SUMIF($U:U,Table1[[#This Row],[ProductCategory]],$AM:AM)</f>
        <v>1398841.4532999999</v>
      </c>
      <c r="AH522">
        <f>SUMIFS($AM$2:AM522,$U$2:U522,U522)</f>
        <v>1279093.9818699998</v>
      </c>
      <c r="AI522" s="5">
        <f>Table1[[#This Row],[Cumulative_revenue]]/Table1[[#This Row],[Category_revenue]]</f>
        <v>0.91439525105042851</v>
      </c>
      <c r="AJ522" t="str">
        <f>IF(Table1[[#This Row],[cumulative_pct]]&lt;=0.8,"A",IF(Table1[[#This Row],[cumulative_pct]]&lt;=0.95,"B","C"))</f>
        <v>B</v>
      </c>
      <c r="AK522">
        <f>Table1[[#This Row],[adj_unit_cost]]*Table1[[#This Row],[scenario_quantity]]</f>
        <v>727.45199999999988</v>
      </c>
      <c r="AL522" s="5">
        <f>Table1[[#This Row],[UnitPrice]]*Table1[[#This Row],[scenario_quantity]]*(1-Table1[[#This Row],[cap_adjusted_discount]])</f>
        <v>801.28800000000001</v>
      </c>
      <c r="AM522" s="5">
        <f>Table1[[#This Row],[UnitPrice]]*Table1[[#This Row],[Quantity]]*(1-Table1[[#This Row],[DiscountPct]])</f>
        <v>667.74</v>
      </c>
      <c r="AN522" s="5">
        <f>Table1[[#This Row],[gross_revenue]]-Table1[[#This Row],[cost_of_goods]]</f>
        <v>116.6400000000001</v>
      </c>
      <c r="AO522" s="5">
        <f>Table1[[#This Row],[scenario_revenue]]-Table1[[#This Row],[Scenario_unit_cost]]</f>
        <v>73.836000000000126</v>
      </c>
      <c r="AP522" s="5">
        <f>IF(Table1[[#This Row],[gross_revenue]]=0,0,Table1[[#This Row],[gross_profit]]/Table1[[#This Row],[gross_revenue]])</f>
        <v>0.17467876718483258</v>
      </c>
    </row>
    <row r="523" spans="1:42" x14ac:dyDescent="0.35">
      <c r="A523" t="s">
        <v>427</v>
      </c>
      <c r="B523" t="str">
        <f>_xlfn.TEXTAFTER(Table1[[#This Row],[OrderID]],"-",2)</f>
        <v>732585</v>
      </c>
      <c r="C523">
        <f>YEAR(Table1[[#This Row],[OrderDate]])</f>
        <v>2023</v>
      </c>
      <c r="D523" s="9">
        <f>_xlfn.MINIFS(F:F,P:P,Table1[[#This Row],[Country]])</f>
        <v>44941</v>
      </c>
      <c r="E523" s="7">
        <f>DATEDIF(Table1[[#This Row],[first_time_orders]],Table1[[#This Row],[OrderDate]],"m")</f>
        <v>7</v>
      </c>
      <c r="F523" s="9">
        <v>45163</v>
      </c>
      <c r="G523" s="2" t="str">
        <f>TEXT(Table1[[#This Row],[OrderDate]],"MMM-YYYY")</f>
        <v>Aug-2023</v>
      </c>
      <c r="H523" s="7">
        <f>MONTH(Table1[[#This Row],[OrderDate]])</f>
        <v>8</v>
      </c>
      <c r="I523" s="7" t="str">
        <f>"Q"&amp;ROUNDUP(Table1[[#This Row],[months]]/3,0)&amp;"-"&amp;Table1[[#This Row],[order_year]]</f>
        <v>Q3-2023</v>
      </c>
      <c r="J523" s="7">
        <f>Table1[[#This Row],[RequiredDate]]-Table1[[#This Row],[OrderDate]]</f>
        <v>22</v>
      </c>
      <c r="K523" s="7">
        <f>IF(Table1[[#This Row],[lead_time]]&lt;0,MEDIAN(J:J),Table1[[#This Row],[lead_time]])</f>
        <v>22</v>
      </c>
      <c r="L523" s="7">
        <f>IF(Table1[[#This Row],[adj_lead_time]]&lt;=7,1,0)</f>
        <v>0</v>
      </c>
      <c r="M523" s="9">
        <v>45185</v>
      </c>
      <c r="N523" s="9">
        <f>IF(Table1[[#This Row],[lead_time]]&lt;0,(Table1[[#This Row],[OrderDate]]+Table1[[#This Row],[adj_lead_time]]),Table1[[#This Row],[RequiredDate]])</f>
        <v>45185</v>
      </c>
      <c r="O523" t="s">
        <v>646</v>
      </c>
      <c r="P523" t="s">
        <v>651</v>
      </c>
      <c r="Q523" t="s">
        <v>669</v>
      </c>
      <c r="R523" t="s">
        <v>701</v>
      </c>
      <c r="S523" t="s">
        <v>709</v>
      </c>
      <c r="T523" t="s">
        <v>716</v>
      </c>
      <c r="U523" t="s">
        <v>730</v>
      </c>
      <c r="V523" t="s">
        <v>1146</v>
      </c>
      <c r="W523">
        <v>1196.83</v>
      </c>
      <c r="X523">
        <f>Table1[[#This Row],[UnitCost]]*(1+'scenario modeling'!$B$3)</f>
        <v>1316.5129999999999</v>
      </c>
      <c r="Y523">
        <v>2513.5100000000002</v>
      </c>
      <c r="Z523" t="str">
        <f>IF(Table1[[#This Row],[UnitPrice]]&lt;=Quantiles!$B$2,Quantiles!$A$2,IF(Table1[[#This Row],[UnitPrice]]&lt;=Quantiles!$B$3,Quantiles!$A$3,Quantiles!$A$4))</f>
        <v>High</v>
      </c>
      <c r="AA523">
        <v>8.3000000000000004E-2</v>
      </c>
      <c r="AB523" s="5">
        <f>MIN(Table1[[#This Row],[DiscountPct]],'scenario modeling'!$B$2)</f>
        <v>8.3000000000000004E-2</v>
      </c>
      <c r="AC523" t="str">
        <f>IF(Table1[[#This Row],[DiscountPct]]&gt;0.3, "&gt;0.3","")</f>
        <v/>
      </c>
      <c r="AD523">
        <v>7</v>
      </c>
      <c r="AE523">
        <f>Table1[[#This Row],[Quantity]]*(1+'scenario modeling'!$B$4)</f>
        <v>8.4</v>
      </c>
      <c r="AF523">
        <f>Table1[[#This Row],[UnitCost]]*Table1[[#This Row],[Quantity]]</f>
        <v>8377.81</v>
      </c>
      <c r="AG523">
        <f>SUMIF($U:U,Table1[[#This Row],[ProductCategory]],$AM:AM)</f>
        <v>1398841.4532999999</v>
      </c>
      <c r="AH523">
        <f>SUMIFS($AM$2:AM523,$U$2:U523,U523)</f>
        <v>1295228.2025599999</v>
      </c>
      <c r="AI523" s="5">
        <f>Table1[[#This Row],[Cumulative_revenue]]/Table1[[#This Row],[Category_revenue]]</f>
        <v>0.92592923916033043</v>
      </c>
      <c r="AJ523" t="str">
        <f>IF(Table1[[#This Row],[cumulative_pct]]&lt;=0.8,"A",IF(Table1[[#This Row],[cumulative_pct]]&lt;=0.95,"B","C"))</f>
        <v>B</v>
      </c>
      <c r="AK523">
        <f>Table1[[#This Row],[adj_unit_cost]]*Table1[[#This Row],[scenario_quantity]]</f>
        <v>11058.709199999999</v>
      </c>
      <c r="AL523" s="5">
        <f>Table1[[#This Row],[UnitPrice]]*Table1[[#This Row],[scenario_quantity]]*(1-Table1[[#This Row],[cap_adjusted_discount]])</f>
        <v>19361.064828000006</v>
      </c>
      <c r="AM523" s="5">
        <f>Table1[[#This Row],[UnitPrice]]*Table1[[#This Row],[Quantity]]*(1-Table1[[#This Row],[DiscountPct]])</f>
        <v>16134.22069</v>
      </c>
      <c r="AN523" s="5">
        <f>Table1[[#This Row],[gross_revenue]]-Table1[[#This Row],[cost_of_goods]]</f>
        <v>7756.4106900000006</v>
      </c>
      <c r="AO523" s="5">
        <f>Table1[[#This Row],[scenario_revenue]]-Table1[[#This Row],[Scenario_unit_cost]]</f>
        <v>8302.3556280000066</v>
      </c>
      <c r="AP523" s="5">
        <f>IF(Table1[[#This Row],[gross_revenue]]=0,0,Table1[[#This Row],[gross_profit]]/Table1[[#This Row],[gross_revenue]])</f>
        <v>0.48074281609445374</v>
      </c>
    </row>
    <row r="524" spans="1:42" x14ac:dyDescent="0.35">
      <c r="A524" t="s">
        <v>547</v>
      </c>
      <c r="B524" t="str">
        <f>_xlfn.TEXTAFTER(Table1[[#This Row],[OrderID]],"-",2)</f>
        <v>525643</v>
      </c>
      <c r="C524">
        <f>YEAR(Table1[[#This Row],[OrderDate]])</f>
        <v>2023</v>
      </c>
      <c r="D524" s="9">
        <f>_xlfn.MINIFS(F:F,P:P,Table1[[#This Row],[Country]])</f>
        <v>44933</v>
      </c>
      <c r="E524" s="7">
        <f>DATEDIF(Table1[[#This Row],[first_time_orders]],Table1[[#This Row],[OrderDate]],"m")</f>
        <v>7</v>
      </c>
      <c r="F524" s="9">
        <v>45155</v>
      </c>
      <c r="G524" s="2" t="str">
        <f>TEXT(Table1[[#This Row],[OrderDate]],"MMM-YYYY")</f>
        <v>Aug-2023</v>
      </c>
      <c r="H524" s="7">
        <f>MONTH(Table1[[#This Row],[OrderDate]])</f>
        <v>8</v>
      </c>
      <c r="I524" s="7" t="str">
        <f>"Q"&amp;ROUNDUP(Table1[[#This Row],[months]]/3,0)&amp;"-"&amp;Table1[[#This Row],[order_year]]</f>
        <v>Q3-2023</v>
      </c>
      <c r="J524" s="7">
        <f>Table1[[#This Row],[RequiredDate]]-Table1[[#This Row],[OrderDate]]</f>
        <v>17</v>
      </c>
      <c r="K524" s="7">
        <f>IF(Table1[[#This Row],[lead_time]]&lt;0,MEDIAN(J:J),Table1[[#This Row],[lead_time]])</f>
        <v>17</v>
      </c>
      <c r="L524" s="7">
        <f>IF(Table1[[#This Row],[adj_lead_time]]&lt;=7,1,0)</f>
        <v>0</v>
      </c>
      <c r="M524" s="9">
        <v>45172</v>
      </c>
      <c r="N524" s="9">
        <f>IF(Table1[[#This Row],[lead_time]]&lt;0,(Table1[[#This Row],[OrderDate]]+Table1[[#This Row],[adj_lead_time]]),Table1[[#This Row],[RequiredDate]])</f>
        <v>45172</v>
      </c>
      <c r="O524" t="s">
        <v>646</v>
      </c>
      <c r="P524" t="s">
        <v>661</v>
      </c>
      <c r="Q524" t="s">
        <v>687</v>
      </c>
      <c r="R524" t="s">
        <v>706</v>
      </c>
      <c r="S524" t="s">
        <v>707</v>
      </c>
      <c r="T524" t="s">
        <v>720</v>
      </c>
      <c r="U524" t="s">
        <v>730</v>
      </c>
      <c r="V524" t="s">
        <v>1266</v>
      </c>
      <c r="W524">
        <v>676.37</v>
      </c>
      <c r="X524">
        <f>Table1[[#This Row],[UnitCost]]*(1+'scenario modeling'!$B$3)</f>
        <v>744.00700000000006</v>
      </c>
      <c r="Y524">
        <v>1276.67</v>
      </c>
      <c r="Z524" t="str">
        <f>IF(Table1[[#This Row],[UnitPrice]]&lt;=Quantiles!$B$2,Quantiles!$A$2,IF(Table1[[#This Row],[UnitPrice]]&lt;=Quantiles!$B$3,Quantiles!$A$3,Quantiles!$A$4))</f>
        <v>Medium</v>
      </c>
      <c r="AA524">
        <v>6.6000000000000003E-2</v>
      </c>
      <c r="AB524" s="5">
        <f>MIN(Table1[[#This Row],[DiscountPct]],'scenario modeling'!$B$2)</f>
        <v>6.6000000000000003E-2</v>
      </c>
      <c r="AC524" t="str">
        <f>IF(Table1[[#This Row],[DiscountPct]]&gt;0.3, "&gt;0.3","")</f>
        <v/>
      </c>
      <c r="AD524">
        <v>10</v>
      </c>
      <c r="AE524">
        <f>Table1[[#This Row],[Quantity]]*(1+'scenario modeling'!$B$4)</f>
        <v>12</v>
      </c>
      <c r="AF524">
        <f>Table1[[#This Row],[UnitCost]]*Table1[[#This Row],[Quantity]]</f>
        <v>6763.7</v>
      </c>
      <c r="AG524">
        <f>SUMIF($U:U,Table1[[#This Row],[ProductCategory]],$AM:AM)</f>
        <v>1398841.4532999999</v>
      </c>
      <c r="AH524">
        <f>SUMIFS($AM$2:AM524,$U$2:U524,U524)</f>
        <v>1307152.30036</v>
      </c>
      <c r="AI524" s="5">
        <f>Table1[[#This Row],[Cumulative_revenue]]/Table1[[#This Row],[Category_revenue]]</f>
        <v>0.93445350598976284</v>
      </c>
      <c r="AJ524" t="str">
        <f>IF(Table1[[#This Row],[cumulative_pct]]&lt;=0.8,"A",IF(Table1[[#This Row],[cumulative_pct]]&lt;=0.95,"B","C"))</f>
        <v>B</v>
      </c>
      <c r="AK524">
        <f>Table1[[#This Row],[adj_unit_cost]]*Table1[[#This Row],[scenario_quantity]]</f>
        <v>8928.0840000000007</v>
      </c>
      <c r="AL524" s="5">
        <f>Table1[[#This Row],[UnitPrice]]*Table1[[#This Row],[scenario_quantity]]*(1-Table1[[#This Row],[cap_adjusted_discount]])</f>
        <v>14308.917359999999</v>
      </c>
      <c r="AM524" s="5">
        <f>Table1[[#This Row],[UnitPrice]]*Table1[[#This Row],[Quantity]]*(1-Table1[[#This Row],[DiscountPct]])</f>
        <v>11924.0978</v>
      </c>
      <c r="AN524" s="5">
        <f>Table1[[#This Row],[gross_revenue]]-Table1[[#This Row],[cost_of_goods]]</f>
        <v>5160.3977999999997</v>
      </c>
      <c r="AO524" s="5">
        <f>Table1[[#This Row],[scenario_revenue]]-Table1[[#This Row],[Scenario_unit_cost]]</f>
        <v>5380.8333599999987</v>
      </c>
      <c r="AP524" s="5">
        <f>IF(Table1[[#This Row],[gross_revenue]]=0,0,Table1[[#This Row],[gross_profit]]/Table1[[#This Row],[gross_revenue]])</f>
        <v>0.4327705027712872</v>
      </c>
    </row>
    <row r="525" spans="1:42" x14ac:dyDescent="0.35">
      <c r="A525" t="s">
        <v>216</v>
      </c>
      <c r="B525" t="str">
        <f>_xlfn.TEXTAFTER(Table1[[#This Row],[OrderID]],"-",2)</f>
        <v>133848</v>
      </c>
      <c r="C525">
        <f>YEAR(Table1[[#This Row],[OrderDate]])</f>
        <v>2023</v>
      </c>
      <c r="D525" s="9">
        <f>_xlfn.MINIFS(F:F,P:P,Table1[[#This Row],[Country]])</f>
        <v>44939</v>
      </c>
      <c r="E525" s="7">
        <f>DATEDIF(Table1[[#This Row],[first_time_orders]],Table1[[#This Row],[OrderDate]],"m")</f>
        <v>7</v>
      </c>
      <c r="F525" s="9">
        <v>45153</v>
      </c>
      <c r="G525" s="2" t="str">
        <f>TEXT(Table1[[#This Row],[OrderDate]],"MMM-YYYY")</f>
        <v>Aug-2023</v>
      </c>
      <c r="H525" s="7">
        <f>MONTH(Table1[[#This Row],[OrderDate]])</f>
        <v>8</v>
      </c>
      <c r="I525" s="7" t="str">
        <f>"Q"&amp;ROUNDUP(Table1[[#This Row],[months]]/3,0)&amp;"-"&amp;Table1[[#This Row],[order_year]]</f>
        <v>Q3-2023</v>
      </c>
      <c r="J525" s="7">
        <f>Table1[[#This Row],[RequiredDate]]-Table1[[#This Row],[OrderDate]]</f>
        <v>23</v>
      </c>
      <c r="K525" s="7">
        <f>IF(Table1[[#This Row],[lead_time]]&lt;0,MEDIAN(J:J),Table1[[#This Row],[lead_time]])</f>
        <v>23</v>
      </c>
      <c r="L525" s="7">
        <f>IF(Table1[[#This Row],[adj_lead_time]]&lt;=7,1,0)</f>
        <v>0</v>
      </c>
      <c r="M525" s="9">
        <v>45176</v>
      </c>
      <c r="N525" s="9">
        <f>IF(Table1[[#This Row],[lead_time]]&lt;0,(Table1[[#This Row],[OrderDate]]+Table1[[#This Row],[adj_lead_time]]),Table1[[#This Row],[RequiredDate]])</f>
        <v>45176</v>
      </c>
      <c r="O525" t="s">
        <v>648</v>
      </c>
      <c r="P525" t="s">
        <v>660</v>
      </c>
      <c r="Q525" t="s">
        <v>700</v>
      </c>
      <c r="R525" t="s">
        <v>706</v>
      </c>
      <c r="S525" t="s">
        <v>708</v>
      </c>
      <c r="T525" t="s">
        <v>723</v>
      </c>
      <c r="U525" t="s">
        <v>730</v>
      </c>
      <c r="V525" t="s">
        <v>936</v>
      </c>
      <c r="W525">
        <v>590.33000000000004</v>
      </c>
      <c r="X525">
        <f>Table1[[#This Row],[UnitCost]]*(1+'scenario modeling'!$B$3)</f>
        <v>649.36300000000006</v>
      </c>
      <c r="Y525">
        <v>973.04</v>
      </c>
      <c r="Z525" t="str">
        <f>IF(Table1[[#This Row],[UnitPrice]]&lt;=Quantiles!$B$2,Quantiles!$A$2,IF(Table1[[#This Row],[UnitPrice]]&lt;=Quantiles!$B$3,Quantiles!$A$3,Quantiles!$A$4))</f>
        <v>Medium</v>
      </c>
      <c r="AA525">
        <v>0</v>
      </c>
      <c r="AB525" s="5">
        <f>MIN(Table1[[#This Row],[DiscountPct]],'scenario modeling'!$B$2)</f>
        <v>0</v>
      </c>
      <c r="AC525" t="str">
        <f>IF(Table1[[#This Row],[DiscountPct]]&gt;0.3, "&gt;0.3","")</f>
        <v/>
      </c>
      <c r="AD525">
        <v>26</v>
      </c>
      <c r="AE525">
        <f>Table1[[#This Row],[Quantity]]*(1+'scenario modeling'!$B$4)</f>
        <v>31.2</v>
      </c>
      <c r="AF525">
        <f>Table1[[#This Row],[UnitCost]]*Table1[[#This Row],[Quantity]]</f>
        <v>15348.580000000002</v>
      </c>
      <c r="AG525">
        <f>SUMIF($U:U,Table1[[#This Row],[ProductCategory]],$AM:AM)</f>
        <v>1398841.4532999999</v>
      </c>
      <c r="AH525">
        <f>SUMIFS($AM$2:AM525,$U$2:U525,U525)</f>
        <v>1332451.34036</v>
      </c>
      <c r="AI525" s="5">
        <f>Table1[[#This Row],[Cumulative_revenue]]/Table1[[#This Row],[Category_revenue]]</f>
        <v>0.95253921537470931</v>
      </c>
      <c r="AJ525" t="str">
        <f>IF(Table1[[#This Row],[cumulative_pct]]&lt;=0.8,"A",IF(Table1[[#This Row],[cumulative_pct]]&lt;=0.95,"B","C"))</f>
        <v>C</v>
      </c>
      <c r="AK525">
        <f>Table1[[#This Row],[adj_unit_cost]]*Table1[[#This Row],[scenario_quantity]]</f>
        <v>20260.125600000003</v>
      </c>
      <c r="AL525" s="5">
        <f>Table1[[#This Row],[UnitPrice]]*Table1[[#This Row],[scenario_quantity]]*(1-Table1[[#This Row],[cap_adjusted_discount]])</f>
        <v>30358.847999999998</v>
      </c>
      <c r="AM525" s="5">
        <f>Table1[[#This Row],[UnitPrice]]*Table1[[#This Row],[Quantity]]*(1-Table1[[#This Row],[DiscountPct]])</f>
        <v>25299.040000000001</v>
      </c>
      <c r="AN525" s="5">
        <f>Table1[[#This Row],[gross_revenue]]-Table1[[#This Row],[cost_of_goods]]</f>
        <v>9950.4599999999991</v>
      </c>
      <c r="AO525" s="5">
        <f>Table1[[#This Row],[scenario_revenue]]-Table1[[#This Row],[Scenario_unit_cost]]</f>
        <v>10098.722399999995</v>
      </c>
      <c r="AP525" s="5">
        <f>IF(Table1[[#This Row],[gross_revenue]]=0,0,Table1[[#This Row],[gross_profit]]/Table1[[#This Row],[gross_revenue]])</f>
        <v>0.39331373838691108</v>
      </c>
    </row>
    <row r="526" spans="1:42" x14ac:dyDescent="0.35">
      <c r="A526" t="s">
        <v>434</v>
      </c>
      <c r="B526" t="str">
        <f>_xlfn.TEXTAFTER(Table1[[#This Row],[OrderID]],"-",2)</f>
        <v>623293</v>
      </c>
      <c r="C526">
        <f>YEAR(Table1[[#This Row],[OrderDate]])</f>
        <v>2023</v>
      </c>
      <c r="D526" s="9">
        <f>_xlfn.MINIFS(F:F,P:P,Table1[[#This Row],[Country]])</f>
        <v>44988</v>
      </c>
      <c r="E526" s="7">
        <f>DATEDIF(Table1[[#This Row],[first_time_orders]],Table1[[#This Row],[OrderDate]],"m")</f>
        <v>7</v>
      </c>
      <c r="F526" s="9">
        <v>45211</v>
      </c>
      <c r="G526" s="2" t="str">
        <f>TEXT(Table1[[#This Row],[OrderDate]],"MMM-YYYY")</f>
        <v>Oct-2023</v>
      </c>
      <c r="H526" s="7">
        <f>MONTH(Table1[[#This Row],[OrderDate]])</f>
        <v>10</v>
      </c>
      <c r="I526" s="7" t="str">
        <f>"Q"&amp;ROUNDUP(Table1[[#This Row],[months]]/3,0)&amp;"-"&amp;Table1[[#This Row],[order_year]]</f>
        <v>Q4-2023</v>
      </c>
      <c r="J526" s="7">
        <f>Table1[[#This Row],[RequiredDate]]-Table1[[#This Row],[OrderDate]]</f>
        <v>17</v>
      </c>
      <c r="K526" s="7">
        <f>IF(Table1[[#This Row],[lead_time]]&lt;0,MEDIAN(J:J),Table1[[#This Row],[lead_time]])</f>
        <v>17</v>
      </c>
      <c r="L526" s="7">
        <f>IF(Table1[[#This Row],[adj_lead_time]]&lt;=7,1,0)</f>
        <v>0</v>
      </c>
      <c r="M526" s="9">
        <v>45228</v>
      </c>
      <c r="N526" s="9">
        <f>IF(Table1[[#This Row],[lead_time]]&lt;0,(Table1[[#This Row],[OrderDate]]+Table1[[#This Row],[adj_lead_time]]),Table1[[#This Row],[RequiredDate]])</f>
        <v>45228</v>
      </c>
      <c r="O526" t="s">
        <v>647</v>
      </c>
      <c r="P526" t="s">
        <v>652</v>
      </c>
      <c r="Q526" t="s">
        <v>694</v>
      </c>
      <c r="R526" t="s">
        <v>703</v>
      </c>
      <c r="S526" t="s">
        <v>711</v>
      </c>
      <c r="T526" t="s">
        <v>722</v>
      </c>
      <c r="U526" t="s">
        <v>730</v>
      </c>
      <c r="V526" t="s">
        <v>1153</v>
      </c>
      <c r="W526">
        <v>1102.19</v>
      </c>
      <c r="X526">
        <f>Table1[[#This Row],[UnitCost]]*(1+'scenario modeling'!$B$3)</f>
        <v>1212.4090000000001</v>
      </c>
      <c r="Y526">
        <v>1711.16</v>
      </c>
      <c r="Z526" t="str">
        <f>IF(Table1[[#This Row],[UnitPrice]]&lt;=Quantiles!$B$2,Quantiles!$A$2,IF(Table1[[#This Row],[UnitPrice]]&lt;=Quantiles!$B$3,Quantiles!$A$3,Quantiles!$A$4))</f>
        <v>High</v>
      </c>
      <c r="AA526">
        <v>0.151</v>
      </c>
      <c r="AB526" s="5">
        <f>MIN(Table1[[#This Row],[DiscountPct]],'scenario modeling'!$B$2)</f>
        <v>0.1</v>
      </c>
      <c r="AC526" t="str">
        <f>IF(Table1[[#This Row],[DiscountPct]]&gt;0.3, "&gt;0.3","")</f>
        <v/>
      </c>
      <c r="AD526">
        <v>10</v>
      </c>
      <c r="AE526">
        <f>Table1[[#This Row],[Quantity]]*(1+'scenario modeling'!$B$4)</f>
        <v>12</v>
      </c>
      <c r="AF526">
        <f>Table1[[#This Row],[UnitCost]]*Table1[[#This Row],[Quantity]]</f>
        <v>11021.900000000001</v>
      </c>
      <c r="AG526">
        <f>SUMIF($U:U,Table1[[#This Row],[ProductCategory]],$AM:AM)</f>
        <v>1398841.4532999999</v>
      </c>
      <c r="AH526">
        <f>SUMIFS($AM$2:AM526,$U$2:U526,U526)</f>
        <v>1346979.08876</v>
      </c>
      <c r="AI526" s="5">
        <f>Table1[[#This Row],[Cumulative_revenue]]/Table1[[#This Row],[Category_revenue]]</f>
        <v>0.96292477291286172</v>
      </c>
      <c r="AJ526" t="str">
        <f>IF(Table1[[#This Row],[cumulative_pct]]&lt;=0.8,"A",IF(Table1[[#This Row],[cumulative_pct]]&lt;=0.95,"B","C"))</f>
        <v>C</v>
      </c>
      <c r="AK526">
        <f>Table1[[#This Row],[adj_unit_cost]]*Table1[[#This Row],[scenario_quantity]]</f>
        <v>14548.908000000001</v>
      </c>
      <c r="AL526" s="5">
        <f>Table1[[#This Row],[UnitPrice]]*Table1[[#This Row],[scenario_quantity]]*(1-Table1[[#This Row],[cap_adjusted_discount]])</f>
        <v>18480.528000000002</v>
      </c>
      <c r="AM526" s="5">
        <f>Table1[[#This Row],[UnitPrice]]*Table1[[#This Row],[Quantity]]*(1-Table1[[#This Row],[DiscountPct]])</f>
        <v>14527.748400000002</v>
      </c>
      <c r="AN526" s="5">
        <f>Table1[[#This Row],[gross_revenue]]-Table1[[#This Row],[cost_of_goods]]</f>
        <v>3505.8484000000008</v>
      </c>
      <c r="AO526" s="5">
        <f>Table1[[#This Row],[scenario_revenue]]-Table1[[#This Row],[Scenario_unit_cost]]</f>
        <v>3931.6200000000008</v>
      </c>
      <c r="AP526" s="5">
        <f>IF(Table1[[#This Row],[gross_revenue]]=0,0,Table1[[#This Row],[gross_profit]]/Table1[[#This Row],[gross_revenue]])</f>
        <v>0.24132083675127525</v>
      </c>
    </row>
    <row r="527" spans="1:42" x14ac:dyDescent="0.35">
      <c r="A527" t="s">
        <v>449</v>
      </c>
      <c r="B527" t="str">
        <f>_xlfn.TEXTAFTER(Table1[[#This Row],[OrderID]],"-",2)</f>
        <v>378104</v>
      </c>
      <c r="C527">
        <f>YEAR(Table1[[#This Row],[OrderDate]])</f>
        <v>2023</v>
      </c>
      <c r="D527" s="9">
        <f>_xlfn.MINIFS(F:F,P:P,Table1[[#This Row],[Country]])</f>
        <v>44946</v>
      </c>
      <c r="E527" s="7">
        <f>DATEDIF(Table1[[#This Row],[first_time_orders]],Table1[[#This Row],[OrderDate]],"m")</f>
        <v>8</v>
      </c>
      <c r="F527" s="9">
        <v>45217</v>
      </c>
      <c r="G527" s="2" t="str">
        <f>TEXT(Table1[[#This Row],[OrderDate]],"MMM-YYYY")</f>
        <v>Oct-2023</v>
      </c>
      <c r="H527" s="7">
        <f>MONTH(Table1[[#This Row],[OrderDate]])</f>
        <v>10</v>
      </c>
      <c r="I527" s="7" t="str">
        <f>"Q"&amp;ROUNDUP(Table1[[#This Row],[months]]/3,0)&amp;"-"&amp;Table1[[#This Row],[order_year]]</f>
        <v>Q4-2023</v>
      </c>
      <c r="J527" s="7">
        <f>Table1[[#This Row],[RequiredDate]]-Table1[[#This Row],[OrderDate]]</f>
        <v>2</v>
      </c>
      <c r="K527" s="7">
        <f>IF(Table1[[#This Row],[lead_time]]&lt;0,MEDIAN(J:J),Table1[[#This Row],[lead_time]])</f>
        <v>2</v>
      </c>
      <c r="L527" s="7">
        <f>IF(Table1[[#This Row],[adj_lead_time]]&lt;=7,1,0)</f>
        <v>1</v>
      </c>
      <c r="M527" s="9">
        <v>45219</v>
      </c>
      <c r="N527" s="9">
        <f>IF(Table1[[#This Row],[lead_time]]&lt;0,(Table1[[#This Row],[OrderDate]]+Table1[[#This Row],[adj_lead_time]]),Table1[[#This Row],[RequiredDate]])</f>
        <v>45219</v>
      </c>
      <c r="O527" t="s">
        <v>646</v>
      </c>
      <c r="P527" t="s">
        <v>650</v>
      </c>
      <c r="Q527" t="s">
        <v>662</v>
      </c>
      <c r="R527" t="s">
        <v>704</v>
      </c>
      <c r="S527" t="s">
        <v>707</v>
      </c>
      <c r="T527" t="s">
        <v>713</v>
      </c>
      <c r="U527" t="s">
        <v>730</v>
      </c>
      <c r="V527" t="s">
        <v>1168</v>
      </c>
      <c r="W527">
        <v>774.12</v>
      </c>
      <c r="X527">
        <f>Table1[[#This Row],[UnitCost]]*(1+'scenario modeling'!$B$3)</f>
        <v>851.53200000000004</v>
      </c>
      <c r="Y527">
        <v>908.3</v>
      </c>
      <c r="Z527" t="str">
        <f>IF(Table1[[#This Row],[UnitPrice]]&lt;=Quantiles!$B$2,Quantiles!$A$2,IF(Table1[[#This Row],[UnitPrice]]&lt;=Quantiles!$B$3,Quantiles!$A$3,Quantiles!$A$4))</f>
        <v>Medium</v>
      </c>
      <c r="AA527">
        <v>0</v>
      </c>
      <c r="AB527" s="5">
        <f>MIN(Table1[[#This Row],[DiscountPct]],'scenario modeling'!$B$2)</f>
        <v>0</v>
      </c>
      <c r="AC527" t="str">
        <f>IF(Table1[[#This Row],[DiscountPct]]&gt;0.3, "&gt;0.3","")</f>
        <v/>
      </c>
      <c r="AD527">
        <v>30</v>
      </c>
      <c r="AE527">
        <f>Table1[[#This Row],[Quantity]]*(1+'scenario modeling'!$B$4)</f>
        <v>36</v>
      </c>
      <c r="AF527">
        <f>Table1[[#This Row],[UnitCost]]*Table1[[#This Row],[Quantity]]</f>
        <v>23223.599999999999</v>
      </c>
      <c r="AG527">
        <f>SUMIF($U:U,Table1[[#This Row],[ProductCategory]],$AM:AM)</f>
        <v>1398841.4532999999</v>
      </c>
      <c r="AH527">
        <f>SUMIFS($AM$2:AM527,$U$2:U527,U527)</f>
        <v>1374228.08876</v>
      </c>
      <c r="AI527" s="5">
        <f>Table1[[#This Row],[Cumulative_revenue]]/Table1[[#This Row],[Category_revenue]]</f>
        <v>0.98240446443595542</v>
      </c>
      <c r="AJ527" t="str">
        <f>IF(Table1[[#This Row],[cumulative_pct]]&lt;=0.8,"A",IF(Table1[[#This Row],[cumulative_pct]]&lt;=0.95,"B","C"))</f>
        <v>C</v>
      </c>
      <c r="AK527">
        <f>Table1[[#This Row],[adj_unit_cost]]*Table1[[#This Row],[scenario_quantity]]</f>
        <v>30655.152000000002</v>
      </c>
      <c r="AL527" s="5">
        <f>Table1[[#This Row],[UnitPrice]]*Table1[[#This Row],[scenario_quantity]]*(1-Table1[[#This Row],[cap_adjusted_discount]])</f>
        <v>32698.799999999999</v>
      </c>
      <c r="AM527" s="5">
        <f>Table1[[#This Row],[UnitPrice]]*Table1[[#This Row],[Quantity]]*(1-Table1[[#This Row],[DiscountPct]])</f>
        <v>27249</v>
      </c>
      <c r="AN527" s="5">
        <f>Table1[[#This Row],[gross_revenue]]-Table1[[#This Row],[cost_of_goods]]</f>
        <v>4025.4000000000015</v>
      </c>
      <c r="AO527" s="5">
        <f>Table1[[#This Row],[scenario_revenue]]-Table1[[#This Row],[Scenario_unit_cost]]</f>
        <v>2043.6479999999974</v>
      </c>
      <c r="AP527" s="5">
        <f>IF(Table1[[#This Row],[gross_revenue]]=0,0,Table1[[#This Row],[gross_profit]]/Table1[[#This Row],[gross_revenue]])</f>
        <v>0.14772652207420461</v>
      </c>
    </row>
    <row r="528" spans="1:42" x14ac:dyDescent="0.35">
      <c r="A528" t="s">
        <v>644</v>
      </c>
      <c r="B528" t="str">
        <f>_xlfn.TEXTAFTER(Table1[[#This Row],[OrderID]],"-",2)</f>
        <v>455933</v>
      </c>
      <c r="C528">
        <f>YEAR(Table1[[#This Row],[OrderDate]])</f>
        <v>2023</v>
      </c>
      <c r="D528" s="9">
        <f>_xlfn.MINIFS(F:F,P:P,Table1[[#This Row],[Country]])</f>
        <v>44988</v>
      </c>
      <c r="E528" s="7">
        <f>DATEDIF(Table1[[#This Row],[first_time_orders]],Table1[[#This Row],[OrderDate]],"m")</f>
        <v>8</v>
      </c>
      <c r="F528" s="9">
        <v>45249</v>
      </c>
      <c r="G528" s="2" t="str">
        <f>TEXT(Table1[[#This Row],[OrderDate]],"MMM-YYYY")</f>
        <v>Nov-2023</v>
      </c>
      <c r="H528" s="7">
        <f>MONTH(Table1[[#This Row],[OrderDate]])</f>
        <v>11</v>
      </c>
      <c r="I528" s="7" t="str">
        <f>"Q"&amp;ROUNDUP(Table1[[#This Row],[months]]/3,0)&amp;"-"&amp;Table1[[#This Row],[order_year]]</f>
        <v>Q4-2023</v>
      </c>
      <c r="J528" s="7">
        <f>Table1[[#This Row],[RequiredDate]]-Table1[[#This Row],[OrderDate]]</f>
        <v>30</v>
      </c>
      <c r="K528" s="7">
        <f>IF(Table1[[#This Row],[lead_time]]&lt;0,MEDIAN(J:J),Table1[[#This Row],[lead_time]])</f>
        <v>30</v>
      </c>
      <c r="L528" s="7">
        <f>IF(Table1[[#This Row],[adj_lead_time]]&lt;=7,1,0)</f>
        <v>0</v>
      </c>
      <c r="M528" s="9">
        <v>45279</v>
      </c>
      <c r="N528" s="9">
        <f>IF(Table1[[#This Row],[lead_time]]&lt;0,(Table1[[#This Row],[OrderDate]]+Table1[[#This Row],[adj_lead_time]]),Table1[[#This Row],[RequiredDate]])</f>
        <v>45279</v>
      </c>
      <c r="O528" t="s">
        <v>647</v>
      </c>
      <c r="P528" t="s">
        <v>652</v>
      </c>
      <c r="Q528" t="s">
        <v>694</v>
      </c>
      <c r="R528" t="s">
        <v>704</v>
      </c>
      <c r="S528" t="s">
        <v>707</v>
      </c>
      <c r="T528" t="s">
        <v>722</v>
      </c>
      <c r="U528" t="s">
        <v>730</v>
      </c>
      <c r="V528" t="s">
        <v>1362</v>
      </c>
      <c r="W528">
        <v>807.11</v>
      </c>
      <c r="X528">
        <f>Table1[[#This Row],[UnitCost]]*(1+'scenario modeling'!$B$3)</f>
        <v>887.82100000000014</v>
      </c>
      <c r="Y528">
        <v>1853.86</v>
      </c>
      <c r="Z528" t="str">
        <f>IF(Table1[[#This Row],[UnitPrice]]&lt;=Quantiles!$B$2,Quantiles!$A$2,IF(Table1[[#This Row],[UnitPrice]]&lt;=Quantiles!$B$3,Quantiles!$A$3,Quantiles!$A$4))</f>
        <v>High</v>
      </c>
      <c r="AA528">
        <v>0.13900000000000001</v>
      </c>
      <c r="AB528" s="5">
        <f>MIN(Table1[[#This Row],[DiscountPct]],'scenario modeling'!$B$2)</f>
        <v>0.1</v>
      </c>
      <c r="AC528" t="str">
        <f>IF(Table1[[#This Row],[DiscountPct]]&gt;0.3, "&gt;0.3","")</f>
        <v/>
      </c>
      <c r="AD528">
        <v>8</v>
      </c>
      <c r="AE528">
        <f>Table1[[#This Row],[Quantity]]*(1+'scenario modeling'!$B$4)</f>
        <v>9.6</v>
      </c>
      <c r="AF528">
        <f>Table1[[#This Row],[UnitCost]]*Table1[[#This Row],[Quantity]]</f>
        <v>6456.88</v>
      </c>
      <c r="AG528">
        <f>SUMIF($U:U,Table1[[#This Row],[ProductCategory]],$AM:AM)</f>
        <v>1398841.4532999999</v>
      </c>
      <c r="AH528">
        <f>SUMIFS($AM$2:AM528,$U$2:U528,U528)</f>
        <v>1386997.4764399999</v>
      </c>
      <c r="AI528" s="5">
        <f>Table1[[#This Row],[Cumulative_revenue]]/Table1[[#This Row],[Category_revenue]]</f>
        <v>0.99153300981175607</v>
      </c>
      <c r="AJ528" t="str">
        <f>IF(Table1[[#This Row],[cumulative_pct]]&lt;=0.8,"A",IF(Table1[[#This Row],[cumulative_pct]]&lt;=0.95,"B","C"))</f>
        <v>C</v>
      </c>
      <c r="AK528">
        <f>Table1[[#This Row],[adj_unit_cost]]*Table1[[#This Row],[scenario_quantity]]</f>
        <v>8523.0816000000013</v>
      </c>
      <c r="AL528" s="5">
        <f>Table1[[#This Row],[UnitPrice]]*Table1[[#This Row],[scenario_quantity]]*(1-Table1[[#This Row],[cap_adjusted_discount]])</f>
        <v>16017.350399999998</v>
      </c>
      <c r="AM528" s="5">
        <f>Table1[[#This Row],[UnitPrice]]*Table1[[#This Row],[Quantity]]*(1-Table1[[#This Row],[DiscountPct]])</f>
        <v>12769.38768</v>
      </c>
      <c r="AN528" s="5">
        <f>Table1[[#This Row],[gross_revenue]]-Table1[[#This Row],[cost_of_goods]]</f>
        <v>6312.5076799999997</v>
      </c>
      <c r="AO528" s="5">
        <f>Table1[[#This Row],[scenario_revenue]]-Table1[[#This Row],[Scenario_unit_cost]]</f>
        <v>7494.2687999999962</v>
      </c>
      <c r="AP528" s="5">
        <f>IF(Table1[[#This Row],[gross_revenue]]=0,0,Table1[[#This Row],[gross_profit]]/Table1[[#This Row],[gross_revenue]])</f>
        <v>0.49434693645388639</v>
      </c>
    </row>
    <row r="529" spans="1:42" x14ac:dyDescent="0.35">
      <c r="A529" t="s">
        <v>252</v>
      </c>
      <c r="B529" t="str">
        <f>_xlfn.TEXTAFTER(Table1[[#This Row],[OrderID]],"-",2)</f>
        <v>964434</v>
      </c>
      <c r="C529">
        <f>YEAR(Table1[[#This Row],[OrderDate]])</f>
        <v>2023</v>
      </c>
      <c r="D529" s="9">
        <f>_xlfn.MINIFS(F:F,P:P,Table1[[#This Row],[Country]])</f>
        <v>44955</v>
      </c>
      <c r="E529" s="7">
        <f>DATEDIF(Table1[[#This Row],[first_time_orders]],Table1[[#This Row],[OrderDate]],"m")</f>
        <v>9</v>
      </c>
      <c r="F529" s="9">
        <v>45258</v>
      </c>
      <c r="G529" s="2" t="str">
        <f>TEXT(Table1[[#This Row],[OrderDate]],"MMM-YYYY")</f>
        <v>Nov-2023</v>
      </c>
      <c r="H529" s="7">
        <f>MONTH(Table1[[#This Row],[OrderDate]])</f>
        <v>11</v>
      </c>
      <c r="I529" s="7" t="str">
        <f>"Q"&amp;ROUNDUP(Table1[[#This Row],[months]]/3,0)&amp;"-"&amp;Table1[[#This Row],[order_year]]</f>
        <v>Q4-2023</v>
      </c>
      <c r="J529" s="7">
        <f>Table1[[#This Row],[RequiredDate]]-Table1[[#This Row],[OrderDate]]</f>
        <v>9</v>
      </c>
      <c r="K529" s="7">
        <f>IF(Table1[[#This Row],[lead_time]]&lt;0,MEDIAN(J:J),Table1[[#This Row],[lead_time]])</f>
        <v>9</v>
      </c>
      <c r="L529" s="7">
        <f>IF(Table1[[#This Row],[adj_lead_time]]&lt;=7,1,0)</f>
        <v>0</v>
      </c>
      <c r="M529" s="9">
        <v>45267</v>
      </c>
      <c r="N529" s="9">
        <f>IF(Table1[[#This Row],[lead_time]]&lt;0,(Table1[[#This Row],[OrderDate]]+Table1[[#This Row],[adj_lead_time]]),Table1[[#This Row],[RequiredDate]])</f>
        <v>45267</v>
      </c>
      <c r="O529" t="s">
        <v>647</v>
      </c>
      <c r="P529" t="s">
        <v>654</v>
      </c>
      <c r="Q529" t="s">
        <v>680</v>
      </c>
      <c r="R529" t="s">
        <v>706</v>
      </c>
      <c r="S529" t="s">
        <v>709</v>
      </c>
      <c r="T529" t="s">
        <v>716</v>
      </c>
      <c r="U529" t="s">
        <v>730</v>
      </c>
      <c r="V529" t="s">
        <v>972</v>
      </c>
      <c r="W529">
        <v>699.33</v>
      </c>
      <c r="X529">
        <f>Table1[[#This Row],[UnitCost]]*(1+'scenario modeling'!$B$3)</f>
        <v>769.26300000000015</v>
      </c>
      <c r="Y529">
        <v>873.75</v>
      </c>
      <c r="Z529" t="str">
        <f>IF(Table1[[#This Row],[UnitPrice]]&lt;=Quantiles!$B$2,Quantiles!$A$2,IF(Table1[[#This Row],[UnitPrice]]&lt;=Quantiles!$B$3,Quantiles!$A$3,Quantiles!$A$4))</f>
        <v>Medium</v>
      </c>
      <c r="AA529">
        <v>0.23499999999999999</v>
      </c>
      <c r="AB529" s="5">
        <f>MIN(Table1[[#This Row],[DiscountPct]],'scenario modeling'!$B$2)</f>
        <v>0.1</v>
      </c>
      <c r="AC529" t="str">
        <f>IF(Table1[[#This Row],[DiscountPct]]&gt;0.3, "&gt;0.3","")</f>
        <v/>
      </c>
      <c r="AD529">
        <v>10</v>
      </c>
      <c r="AE529">
        <f>Table1[[#This Row],[Quantity]]*(1+'scenario modeling'!$B$4)</f>
        <v>12</v>
      </c>
      <c r="AF529">
        <f>Table1[[#This Row],[UnitCost]]*Table1[[#This Row],[Quantity]]</f>
        <v>6993.3</v>
      </c>
      <c r="AG529">
        <f>SUMIF($U:U,Table1[[#This Row],[ProductCategory]],$AM:AM)</f>
        <v>1398841.4532999999</v>
      </c>
      <c r="AH529">
        <f>SUMIFS($AM$2:AM529,$U$2:U529,U529)</f>
        <v>1393681.6639399999</v>
      </c>
      <c r="AI529" s="5">
        <f>Table1[[#This Row],[Cumulative_revenue]]/Table1[[#This Row],[Category_revenue]]</f>
        <v>0.99631138371841377</v>
      </c>
      <c r="AJ529" t="str">
        <f>IF(Table1[[#This Row],[cumulative_pct]]&lt;=0.8,"A",IF(Table1[[#This Row],[cumulative_pct]]&lt;=0.95,"B","C"))</f>
        <v>C</v>
      </c>
      <c r="AK529">
        <f>Table1[[#This Row],[adj_unit_cost]]*Table1[[#This Row],[scenario_quantity]]</f>
        <v>9231.1560000000027</v>
      </c>
      <c r="AL529" s="5">
        <f>Table1[[#This Row],[UnitPrice]]*Table1[[#This Row],[scenario_quantity]]*(1-Table1[[#This Row],[cap_adjusted_discount]])</f>
        <v>9436.5</v>
      </c>
      <c r="AM529" s="5">
        <f>Table1[[#This Row],[UnitPrice]]*Table1[[#This Row],[Quantity]]*(1-Table1[[#This Row],[DiscountPct]])</f>
        <v>6684.1875</v>
      </c>
      <c r="AN529" s="5">
        <f>Table1[[#This Row],[gross_revenue]]-Table1[[#This Row],[cost_of_goods]]</f>
        <v>-309.11250000000018</v>
      </c>
      <c r="AO529" s="5">
        <f>Table1[[#This Row],[scenario_revenue]]-Table1[[#This Row],[Scenario_unit_cost]]</f>
        <v>205.34399999999732</v>
      </c>
      <c r="AP529" s="5">
        <f>IF(Table1[[#This Row],[gross_revenue]]=0,0,Table1[[#This Row],[gross_profit]]/Table1[[#This Row],[gross_revenue]])</f>
        <v>-4.6245336475076469E-2</v>
      </c>
    </row>
    <row r="530" spans="1:42" x14ac:dyDescent="0.35">
      <c r="A530" t="s">
        <v>500</v>
      </c>
      <c r="B530" t="str">
        <f>_xlfn.TEXTAFTER(Table1[[#This Row],[OrderID]],"-",2)</f>
        <v>597666</v>
      </c>
      <c r="C530">
        <f>YEAR(Table1[[#This Row],[OrderDate]])</f>
        <v>2023</v>
      </c>
      <c r="D530" s="9">
        <f>_xlfn.MINIFS(F:F,P:P,Table1[[#This Row],[Country]])</f>
        <v>44936</v>
      </c>
      <c r="E530" s="7">
        <f>DATEDIF(Table1[[#This Row],[first_time_orders]],Table1[[#This Row],[OrderDate]],"m")</f>
        <v>9</v>
      </c>
      <c r="F530" s="9">
        <v>45224</v>
      </c>
      <c r="G530" s="2" t="str">
        <f>TEXT(Table1[[#This Row],[OrderDate]],"MMM-YYYY")</f>
        <v>Oct-2023</v>
      </c>
      <c r="H530" s="7">
        <f>MONTH(Table1[[#This Row],[OrderDate]])</f>
        <v>10</v>
      </c>
      <c r="I530" s="7" t="str">
        <f>"Q"&amp;ROUNDUP(Table1[[#This Row],[months]]/3,0)&amp;"-"&amp;Table1[[#This Row],[order_year]]</f>
        <v>Q4-2023</v>
      </c>
      <c r="J530" s="7">
        <f>Table1[[#This Row],[RequiredDate]]-Table1[[#This Row],[OrderDate]]</f>
        <v>30</v>
      </c>
      <c r="K530" s="7">
        <f>IF(Table1[[#This Row],[lead_time]]&lt;0,MEDIAN(J:J),Table1[[#This Row],[lead_time]])</f>
        <v>30</v>
      </c>
      <c r="L530" s="7">
        <f>IF(Table1[[#This Row],[adj_lead_time]]&lt;=7,1,0)</f>
        <v>0</v>
      </c>
      <c r="M530" s="9">
        <v>45254</v>
      </c>
      <c r="N530" s="9">
        <f>IF(Table1[[#This Row],[lead_time]]&lt;0,(Table1[[#This Row],[OrderDate]]+Table1[[#This Row],[adj_lead_time]]),Table1[[#This Row],[RequiredDate]])</f>
        <v>45254</v>
      </c>
      <c r="O530" t="s">
        <v>649</v>
      </c>
      <c r="P530" t="s">
        <v>657</v>
      </c>
      <c r="Q530" t="s">
        <v>690</v>
      </c>
      <c r="R530" t="s">
        <v>706</v>
      </c>
      <c r="S530" t="s">
        <v>710</v>
      </c>
      <c r="T530" t="s">
        <v>712</v>
      </c>
      <c r="U530" t="s">
        <v>730</v>
      </c>
      <c r="V530" t="s">
        <v>1219</v>
      </c>
      <c r="W530">
        <v>287.85000000000002</v>
      </c>
      <c r="X530">
        <f>Table1[[#This Row],[UnitCost]]*(1+'scenario modeling'!$B$3)</f>
        <v>316.63500000000005</v>
      </c>
      <c r="Y530">
        <v>602.91999999999996</v>
      </c>
      <c r="Z530" t="str">
        <f>IF(Table1[[#This Row],[UnitPrice]]&lt;=Quantiles!$B$2,Quantiles!$A$2,IF(Table1[[#This Row],[UnitPrice]]&lt;=Quantiles!$B$3,Quantiles!$A$3,Quantiles!$A$4))</f>
        <v>Low</v>
      </c>
      <c r="AA530">
        <v>0.222</v>
      </c>
      <c r="AB530" s="5">
        <f>MIN(Table1[[#This Row],[DiscountPct]],'scenario modeling'!$B$2)</f>
        <v>0.1</v>
      </c>
      <c r="AC530" t="str">
        <f>IF(Table1[[#This Row],[DiscountPct]]&gt;0.3, "&gt;0.3","")</f>
        <v/>
      </c>
      <c r="AD530">
        <v>11</v>
      </c>
      <c r="AE530">
        <f>Table1[[#This Row],[Quantity]]*(1+'scenario modeling'!$B$4)</f>
        <v>13.2</v>
      </c>
      <c r="AF530">
        <f>Table1[[#This Row],[UnitCost]]*Table1[[#This Row],[Quantity]]</f>
        <v>3166.3500000000004</v>
      </c>
      <c r="AG530">
        <f>SUMIF($U:U,Table1[[#This Row],[ProductCategory]],$AM:AM)</f>
        <v>1398841.4532999999</v>
      </c>
      <c r="AH530">
        <f>SUMIFS($AM$2:AM530,$U$2:U530,U530)</f>
        <v>1398841.4532999999</v>
      </c>
      <c r="AI530" s="5">
        <f>Table1[[#This Row],[Cumulative_revenue]]/Table1[[#This Row],[Category_revenue]]</f>
        <v>1</v>
      </c>
      <c r="AJ530" t="str">
        <f>IF(Table1[[#This Row],[cumulative_pct]]&lt;=0.8,"A",IF(Table1[[#This Row],[cumulative_pct]]&lt;=0.95,"B","C"))</f>
        <v>C</v>
      </c>
      <c r="AK530">
        <f>Table1[[#This Row],[adj_unit_cost]]*Table1[[#This Row],[scenario_quantity]]</f>
        <v>4179.5820000000003</v>
      </c>
      <c r="AL530" s="5">
        <f>Table1[[#This Row],[UnitPrice]]*Table1[[#This Row],[scenario_quantity]]*(1-Table1[[#This Row],[cap_adjusted_discount]])</f>
        <v>7162.6895999999988</v>
      </c>
      <c r="AM530" s="5">
        <f>Table1[[#This Row],[UnitPrice]]*Table1[[#This Row],[Quantity]]*(1-Table1[[#This Row],[DiscountPct]])</f>
        <v>5159.7893599999998</v>
      </c>
      <c r="AN530" s="5">
        <f>Table1[[#This Row],[gross_revenue]]-Table1[[#This Row],[cost_of_goods]]</f>
        <v>1993.4393599999994</v>
      </c>
      <c r="AO530" s="5">
        <f>Table1[[#This Row],[scenario_revenue]]-Table1[[#This Row],[Scenario_unit_cost]]</f>
        <v>2983.1075999999985</v>
      </c>
      <c r="AP530" s="5">
        <f>IF(Table1[[#This Row],[gross_revenue]]=0,0,Table1[[#This Row],[gross_profit]]/Table1[[#This Row],[gross_revenue]])</f>
        <v>0.38634122847216373</v>
      </c>
    </row>
    <row r="531" spans="1:42" x14ac:dyDescent="0.35">
      <c r="A531" t="s">
        <v>22</v>
      </c>
      <c r="B531" t="str">
        <f>_xlfn.TEXTAFTER(Table1[[#This Row],[OrderID]],"-",2)</f>
        <v>112666</v>
      </c>
      <c r="C531">
        <f>YEAR(Table1[[#This Row],[OrderDate]])</f>
        <v>2023</v>
      </c>
      <c r="D531" s="9">
        <f>_xlfn.MINIFS(F:F,P:P,Table1[[#This Row],[Country]])</f>
        <v>44941</v>
      </c>
      <c r="E531" s="7">
        <f>DATEDIF(Table1[[#This Row],[first_time_orders]],Table1[[#This Row],[OrderDate]],"m")</f>
        <v>0</v>
      </c>
      <c r="F531" s="9">
        <v>44941</v>
      </c>
      <c r="G531" s="2" t="str">
        <f>TEXT(Table1[[#This Row],[OrderDate]],"MMM-YYYY")</f>
        <v>Jan-2023</v>
      </c>
      <c r="H531" s="7">
        <f>MONTH(Table1[[#This Row],[OrderDate]])</f>
        <v>1</v>
      </c>
      <c r="I531" s="7" t="str">
        <f>"Q"&amp;ROUNDUP(Table1[[#This Row],[months]]/3,0)&amp;"-"&amp;Table1[[#This Row],[order_year]]</f>
        <v>Q1-2023</v>
      </c>
      <c r="J531" s="7">
        <f>Table1[[#This Row],[RequiredDate]]-Table1[[#This Row],[OrderDate]]</f>
        <v>-2</v>
      </c>
      <c r="K531" s="7">
        <f>IF(Table1[[#This Row],[lead_time]]&lt;0,MEDIAN(J:J),Table1[[#This Row],[lead_time]])</f>
        <v>15</v>
      </c>
      <c r="L531" s="7">
        <f>IF(Table1[[#This Row],[adj_lead_time]]&lt;=7,1,0)</f>
        <v>0</v>
      </c>
      <c r="M531" s="9">
        <v>44939</v>
      </c>
      <c r="N531" s="9">
        <f>IF(Table1[[#This Row],[lead_time]]&lt;0,(Table1[[#This Row],[OrderDate]]+Table1[[#This Row],[adj_lead_time]]),Table1[[#This Row],[RequiredDate]])</f>
        <v>44956</v>
      </c>
      <c r="O531" t="s">
        <v>646</v>
      </c>
      <c r="P531" t="s">
        <v>651</v>
      </c>
      <c r="Q531" t="s">
        <v>669</v>
      </c>
      <c r="R531" t="s">
        <v>702</v>
      </c>
      <c r="S531" t="s">
        <v>708</v>
      </c>
      <c r="T531" t="s">
        <v>719</v>
      </c>
      <c r="U531" t="s">
        <v>728</v>
      </c>
      <c r="V531" t="s">
        <v>741</v>
      </c>
      <c r="W531">
        <v>28.38</v>
      </c>
      <c r="X531">
        <f>Table1[[#This Row],[UnitCost]]*(1+'scenario modeling'!$B$3)</f>
        <v>31.218</v>
      </c>
      <c r="Y531">
        <v>47.22</v>
      </c>
      <c r="Z531" t="str">
        <f>IF(Table1[[#This Row],[UnitPrice]]&lt;=Quantiles!$B$2,Quantiles!$A$2,IF(Table1[[#This Row],[UnitPrice]]&lt;=Quantiles!$B$3,Quantiles!$A$3,Quantiles!$A$4))</f>
        <v>Low</v>
      </c>
      <c r="AA531">
        <v>0.19400000000000001</v>
      </c>
      <c r="AB531" s="5">
        <f>MIN(Table1[[#This Row],[DiscountPct]],'scenario modeling'!$B$2)</f>
        <v>0.1</v>
      </c>
      <c r="AC531" t="str">
        <f>IF(Table1[[#This Row],[DiscountPct]]&gt;0.3, "&gt;0.3","")</f>
        <v/>
      </c>
      <c r="AD531">
        <v>18</v>
      </c>
      <c r="AE531">
        <f>Table1[[#This Row],[Quantity]]*(1+'scenario modeling'!$B$4)</f>
        <v>21.599999999999998</v>
      </c>
      <c r="AF531">
        <f>Table1[[#This Row],[UnitCost]]*Table1[[#This Row],[Quantity]]</f>
        <v>510.84</v>
      </c>
      <c r="AG531">
        <f>SUMIF($U:U,Table1[[#This Row],[ProductCategory]],$AM:AM)</f>
        <v>1616102.6546600002</v>
      </c>
      <c r="AH531">
        <f>SUMIFS($AM$2:AM531,$U$2:U531,U531)</f>
        <v>685.06776000000002</v>
      </c>
      <c r="AI531" s="5">
        <f>Table1[[#This Row],[Cumulative_revenue]]/Table1[[#This Row],[Category_revenue]]</f>
        <v>4.2390114144334864E-4</v>
      </c>
      <c r="AJ531" t="str">
        <f>IF(Table1[[#This Row],[cumulative_pct]]&lt;=0.8,"A",IF(Table1[[#This Row],[cumulative_pct]]&lt;=0.95,"B","C"))</f>
        <v>A</v>
      </c>
      <c r="AK531">
        <f>Table1[[#This Row],[adj_unit_cost]]*Table1[[#This Row],[scenario_quantity]]</f>
        <v>674.30879999999991</v>
      </c>
      <c r="AL531" s="5">
        <f>Table1[[#This Row],[UnitPrice]]*Table1[[#This Row],[scenario_quantity]]*(1-Table1[[#This Row],[cap_adjusted_discount]])</f>
        <v>917.95679999999993</v>
      </c>
      <c r="AM531" s="5">
        <f>Table1[[#This Row],[UnitPrice]]*Table1[[#This Row],[Quantity]]*(1-Table1[[#This Row],[DiscountPct]])</f>
        <v>685.06776000000002</v>
      </c>
      <c r="AN531" s="5">
        <f>Table1[[#This Row],[gross_revenue]]-Table1[[#This Row],[cost_of_goods]]</f>
        <v>174.22776000000005</v>
      </c>
      <c r="AO531" s="5">
        <f>Table1[[#This Row],[scenario_revenue]]-Table1[[#This Row],[Scenario_unit_cost]]</f>
        <v>243.64800000000002</v>
      </c>
      <c r="AP531" s="5">
        <f>IF(Table1[[#This Row],[gross_revenue]]=0,0,Table1[[#This Row],[gross_profit]]/Table1[[#This Row],[gross_revenue]])</f>
        <v>0.25432193743871417</v>
      </c>
    </row>
    <row r="532" spans="1:42" x14ac:dyDescent="0.35">
      <c r="A532" t="s">
        <v>611</v>
      </c>
      <c r="B532" t="str">
        <f>_xlfn.TEXTAFTER(Table1[[#This Row],[OrderID]],"-",2)</f>
        <v>689428</v>
      </c>
      <c r="C532">
        <f>YEAR(Table1[[#This Row],[OrderDate]])</f>
        <v>2023</v>
      </c>
      <c r="D532" s="9">
        <f>_xlfn.MINIFS(F:F,P:P,Table1[[#This Row],[Country]])</f>
        <v>44933</v>
      </c>
      <c r="E532" s="7">
        <f>DATEDIF(Table1[[#This Row],[first_time_orders]],Table1[[#This Row],[OrderDate]],"m")</f>
        <v>0</v>
      </c>
      <c r="F532" s="9">
        <v>44933</v>
      </c>
      <c r="G532" s="2" t="str">
        <f>TEXT(Table1[[#This Row],[OrderDate]],"MMM-YYYY")</f>
        <v>Jan-2023</v>
      </c>
      <c r="H532" s="7">
        <f>MONTH(Table1[[#This Row],[OrderDate]])</f>
        <v>1</v>
      </c>
      <c r="I532" s="7" t="str">
        <f>"Q"&amp;ROUNDUP(Table1[[#This Row],[months]]/3,0)&amp;"-"&amp;Table1[[#This Row],[order_year]]</f>
        <v>Q1-2023</v>
      </c>
      <c r="J532" s="7">
        <f>Table1[[#This Row],[RequiredDate]]-Table1[[#This Row],[OrderDate]]</f>
        <v>23</v>
      </c>
      <c r="K532" s="7">
        <f>IF(Table1[[#This Row],[lead_time]]&lt;0,MEDIAN(J:J),Table1[[#This Row],[lead_time]])</f>
        <v>23</v>
      </c>
      <c r="L532" s="7">
        <f>IF(Table1[[#This Row],[adj_lead_time]]&lt;=7,1,0)</f>
        <v>0</v>
      </c>
      <c r="M532" s="9">
        <v>44956</v>
      </c>
      <c r="N532" s="9">
        <f>IF(Table1[[#This Row],[lead_time]]&lt;0,(Table1[[#This Row],[OrderDate]]+Table1[[#This Row],[adj_lead_time]]),Table1[[#This Row],[RequiredDate]])</f>
        <v>44956</v>
      </c>
      <c r="O532" t="s">
        <v>646</v>
      </c>
      <c r="P532" t="s">
        <v>661</v>
      </c>
      <c r="Q532" t="s">
        <v>695</v>
      </c>
      <c r="R532" t="s">
        <v>704</v>
      </c>
      <c r="S532" t="s">
        <v>708</v>
      </c>
      <c r="T532" t="s">
        <v>720</v>
      </c>
      <c r="U532" t="s">
        <v>728</v>
      </c>
      <c r="V532" t="s">
        <v>1329</v>
      </c>
      <c r="W532">
        <v>299.02</v>
      </c>
      <c r="X532">
        <f>Table1[[#This Row],[UnitCost]]*(1+'scenario modeling'!$B$3)</f>
        <v>328.92200000000003</v>
      </c>
      <c r="Y532">
        <v>724.7</v>
      </c>
      <c r="Z532" t="str">
        <f>IF(Table1[[#This Row],[UnitPrice]]&lt;=Quantiles!$B$2,Quantiles!$A$2,IF(Table1[[#This Row],[UnitPrice]]&lt;=Quantiles!$B$3,Quantiles!$A$3,Quantiles!$A$4))</f>
        <v>Low</v>
      </c>
      <c r="AA532">
        <v>0.14000000000000001</v>
      </c>
      <c r="AB532" s="5">
        <f>MIN(Table1[[#This Row],[DiscountPct]],'scenario modeling'!$B$2)</f>
        <v>0.1</v>
      </c>
      <c r="AC532" t="str">
        <f>IF(Table1[[#This Row],[DiscountPct]]&gt;0.3, "&gt;0.3","")</f>
        <v/>
      </c>
      <c r="AD532">
        <v>5</v>
      </c>
      <c r="AE532">
        <f>Table1[[#This Row],[Quantity]]*(1+'scenario modeling'!$B$4)</f>
        <v>6</v>
      </c>
      <c r="AF532">
        <f>Table1[[#This Row],[UnitCost]]*Table1[[#This Row],[Quantity]]</f>
        <v>1495.1</v>
      </c>
      <c r="AG532">
        <f>SUMIF($U:U,Table1[[#This Row],[ProductCategory]],$AM:AM)</f>
        <v>1616102.6546600002</v>
      </c>
      <c r="AH532">
        <f>SUMIFS($AM$2:AM532,$U$2:U532,U532)</f>
        <v>3801.2777599999999</v>
      </c>
      <c r="AI532" s="5">
        <f>Table1[[#This Row],[Cumulative_revenue]]/Table1[[#This Row],[Category_revenue]]</f>
        <v>2.3521264252856031E-3</v>
      </c>
      <c r="AJ532" t="str">
        <f>IF(Table1[[#This Row],[cumulative_pct]]&lt;=0.8,"A",IF(Table1[[#This Row],[cumulative_pct]]&lt;=0.95,"B","C"))</f>
        <v>A</v>
      </c>
      <c r="AK532">
        <f>Table1[[#This Row],[adj_unit_cost]]*Table1[[#This Row],[scenario_quantity]]</f>
        <v>1973.5320000000002</v>
      </c>
      <c r="AL532" s="5">
        <f>Table1[[#This Row],[UnitPrice]]*Table1[[#This Row],[scenario_quantity]]*(1-Table1[[#This Row],[cap_adjusted_discount]])</f>
        <v>3913.3800000000006</v>
      </c>
      <c r="AM532" s="5">
        <f>Table1[[#This Row],[UnitPrice]]*Table1[[#This Row],[Quantity]]*(1-Table1[[#This Row],[DiscountPct]])</f>
        <v>3116.21</v>
      </c>
      <c r="AN532" s="5">
        <f>Table1[[#This Row],[gross_revenue]]-Table1[[#This Row],[cost_of_goods]]</f>
        <v>1621.1100000000001</v>
      </c>
      <c r="AO532" s="5">
        <f>Table1[[#This Row],[scenario_revenue]]-Table1[[#This Row],[Scenario_unit_cost]]</f>
        <v>1939.8480000000004</v>
      </c>
      <c r="AP532" s="5">
        <f>IF(Table1[[#This Row],[gross_revenue]]=0,0,Table1[[#This Row],[gross_profit]]/Table1[[#This Row],[gross_revenue]])</f>
        <v>0.52021847051386139</v>
      </c>
    </row>
    <row r="533" spans="1:42" x14ac:dyDescent="0.35">
      <c r="A533" t="s">
        <v>541</v>
      </c>
      <c r="B533" t="str">
        <f>_xlfn.TEXTAFTER(Table1[[#This Row],[OrderID]],"-",2)</f>
        <v>700699</v>
      </c>
      <c r="C533">
        <f>YEAR(Table1[[#This Row],[OrderDate]])</f>
        <v>2023</v>
      </c>
      <c r="D533" s="9">
        <f>_xlfn.MINIFS(F:F,P:P,Table1[[#This Row],[Country]])</f>
        <v>44938</v>
      </c>
      <c r="E533" s="7">
        <f>DATEDIF(Table1[[#This Row],[first_time_orders]],Table1[[#This Row],[OrderDate]],"m")</f>
        <v>0</v>
      </c>
      <c r="F533" s="9">
        <v>44938</v>
      </c>
      <c r="G533" s="2" t="str">
        <f>TEXT(Table1[[#This Row],[OrderDate]],"MMM-YYYY")</f>
        <v>Jan-2023</v>
      </c>
      <c r="H533" s="7">
        <f>MONTH(Table1[[#This Row],[OrderDate]])</f>
        <v>1</v>
      </c>
      <c r="I533" s="7" t="str">
        <f>"Q"&amp;ROUNDUP(Table1[[#This Row],[months]]/3,0)&amp;"-"&amp;Table1[[#This Row],[order_year]]</f>
        <v>Q1-2023</v>
      </c>
      <c r="J533" s="7">
        <f>Table1[[#This Row],[RequiredDate]]-Table1[[#This Row],[OrderDate]]</f>
        <v>14</v>
      </c>
      <c r="K533" s="7">
        <f>IF(Table1[[#This Row],[lead_time]]&lt;0,MEDIAN(J:J),Table1[[#This Row],[lead_time]])</f>
        <v>14</v>
      </c>
      <c r="L533" s="7">
        <f>IF(Table1[[#This Row],[adj_lead_time]]&lt;=7,1,0)</f>
        <v>0</v>
      </c>
      <c r="M533" s="9">
        <v>44952</v>
      </c>
      <c r="N533" s="9">
        <f>IF(Table1[[#This Row],[lead_time]]&lt;0,(Table1[[#This Row],[OrderDate]]+Table1[[#This Row],[adj_lead_time]]),Table1[[#This Row],[RequiredDate]])</f>
        <v>44952</v>
      </c>
      <c r="O533" t="s">
        <v>647</v>
      </c>
      <c r="P533" t="s">
        <v>659</v>
      </c>
      <c r="Q533" t="s">
        <v>676</v>
      </c>
      <c r="R533" t="s">
        <v>703</v>
      </c>
      <c r="S533" t="s">
        <v>707</v>
      </c>
      <c r="T533" t="s">
        <v>724</v>
      </c>
      <c r="U533" t="s">
        <v>728</v>
      </c>
      <c r="V533" t="s">
        <v>1260</v>
      </c>
      <c r="W533">
        <v>1083.0899999999999</v>
      </c>
      <c r="X533">
        <f>Table1[[#This Row],[UnitCost]]*(1+'scenario modeling'!$B$3)</f>
        <v>1191.3990000000001</v>
      </c>
      <c r="Y533">
        <v>1425.87</v>
      </c>
      <c r="Z533" t="str">
        <f>IF(Table1[[#This Row],[UnitPrice]]&lt;=Quantiles!$B$2,Quantiles!$A$2,IF(Table1[[#This Row],[UnitPrice]]&lt;=Quantiles!$B$3,Quantiles!$A$3,Quantiles!$A$4))</f>
        <v>Medium</v>
      </c>
      <c r="AA533">
        <v>0</v>
      </c>
      <c r="AB533" s="5">
        <f>MIN(Table1[[#This Row],[DiscountPct]],'scenario modeling'!$B$2)</f>
        <v>0</v>
      </c>
      <c r="AC533" t="str">
        <f>IF(Table1[[#This Row],[DiscountPct]]&gt;0.3, "&gt;0.3","")</f>
        <v/>
      </c>
      <c r="AD533">
        <v>8</v>
      </c>
      <c r="AE533">
        <f>Table1[[#This Row],[Quantity]]*(1+'scenario modeling'!$B$4)</f>
        <v>9.6</v>
      </c>
      <c r="AF533">
        <f>Table1[[#This Row],[UnitCost]]*Table1[[#This Row],[Quantity]]</f>
        <v>8664.7199999999993</v>
      </c>
      <c r="AG533">
        <f>SUMIF($U:U,Table1[[#This Row],[ProductCategory]],$AM:AM)</f>
        <v>1616102.6546600002</v>
      </c>
      <c r="AH533">
        <f>SUMIFS($AM$2:AM533,$U$2:U533,U533)</f>
        <v>15208.23776</v>
      </c>
      <c r="AI533" s="5">
        <f>Table1[[#This Row],[Cumulative_revenue]]/Table1[[#This Row],[Category_revenue]]</f>
        <v>9.4104404297260108E-3</v>
      </c>
      <c r="AJ533" t="str">
        <f>IF(Table1[[#This Row],[cumulative_pct]]&lt;=0.8,"A",IF(Table1[[#This Row],[cumulative_pct]]&lt;=0.95,"B","C"))</f>
        <v>A</v>
      </c>
      <c r="AK533">
        <f>Table1[[#This Row],[adj_unit_cost]]*Table1[[#This Row],[scenario_quantity]]</f>
        <v>11437.430400000001</v>
      </c>
      <c r="AL533" s="5">
        <f>Table1[[#This Row],[UnitPrice]]*Table1[[#This Row],[scenario_quantity]]*(1-Table1[[#This Row],[cap_adjusted_discount]])</f>
        <v>13688.351999999999</v>
      </c>
      <c r="AM533" s="5">
        <f>Table1[[#This Row],[UnitPrice]]*Table1[[#This Row],[Quantity]]*(1-Table1[[#This Row],[DiscountPct]])</f>
        <v>11406.96</v>
      </c>
      <c r="AN533" s="5">
        <f>Table1[[#This Row],[gross_revenue]]-Table1[[#This Row],[cost_of_goods]]</f>
        <v>2742.24</v>
      </c>
      <c r="AO533" s="5">
        <f>Table1[[#This Row],[scenario_revenue]]-Table1[[#This Row],[Scenario_unit_cost]]</f>
        <v>2250.9215999999979</v>
      </c>
      <c r="AP533" s="5">
        <f>IF(Table1[[#This Row],[gross_revenue]]=0,0,Table1[[#This Row],[gross_profit]]/Table1[[#This Row],[gross_revenue]])</f>
        <v>0.24040059752992909</v>
      </c>
    </row>
    <row r="534" spans="1:42" x14ac:dyDescent="0.35">
      <c r="A534" t="s">
        <v>243</v>
      </c>
      <c r="B534" t="str">
        <f>_xlfn.TEXTAFTER(Table1[[#This Row],[OrderID]],"-",2)</f>
        <v>949710</v>
      </c>
      <c r="C534">
        <f>YEAR(Table1[[#This Row],[OrderDate]])</f>
        <v>2023</v>
      </c>
      <c r="D534" s="9">
        <f>_xlfn.MINIFS(F:F,P:P,Table1[[#This Row],[Country]])</f>
        <v>44946</v>
      </c>
      <c r="E534" s="7">
        <f>DATEDIF(Table1[[#This Row],[first_time_orders]],Table1[[#This Row],[OrderDate]],"m")</f>
        <v>1</v>
      </c>
      <c r="F534" s="9">
        <v>44992</v>
      </c>
      <c r="G534" s="2" t="str">
        <f>TEXT(Table1[[#This Row],[OrderDate]],"MMM-YYYY")</f>
        <v>Mar-2023</v>
      </c>
      <c r="H534" s="7">
        <f>MONTH(Table1[[#This Row],[OrderDate]])</f>
        <v>3</v>
      </c>
      <c r="I534" s="7" t="str">
        <f>"Q"&amp;ROUNDUP(Table1[[#This Row],[months]]/3,0)&amp;"-"&amp;Table1[[#This Row],[order_year]]</f>
        <v>Q1-2023</v>
      </c>
      <c r="J534" s="7">
        <f>Table1[[#This Row],[RequiredDate]]-Table1[[#This Row],[OrderDate]]</f>
        <v>25</v>
      </c>
      <c r="K534" s="7">
        <f>IF(Table1[[#This Row],[lead_time]]&lt;0,MEDIAN(J:J),Table1[[#This Row],[lead_time]])</f>
        <v>25</v>
      </c>
      <c r="L534" s="7">
        <f>IF(Table1[[#This Row],[adj_lead_time]]&lt;=7,1,0)</f>
        <v>0</v>
      </c>
      <c r="M534" s="9">
        <v>45017</v>
      </c>
      <c r="N534" s="9">
        <f>IF(Table1[[#This Row],[lead_time]]&lt;0,(Table1[[#This Row],[OrderDate]]+Table1[[#This Row],[adj_lead_time]]),Table1[[#This Row],[RequiredDate]])</f>
        <v>45017</v>
      </c>
      <c r="O534" t="s">
        <v>646</v>
      </c>
      <c r="P534" t="s">
        <v>650</v>
      </c>
      <c r="Q534" t="s">
        <v>664</v>
      </c>
      <c r="R534" t="s">
        <v>704</v>
      </c>
      <c r="S534" t="s">
        <v>709</v>
      </c>
      <c r="T534" t="s">
        <v>726</v>
      </c>
      <c r="U534" t="s">
        <v>728</v>
      </c>
      <c r="V534" t="s">
        <v>963</v>
      </c>
      <c r="W534">
        <v>1024.0999999999999</v>
      </c>
      <c r="X534">
        <f>Table1[[#This Row],[UnitCost]]*(1+'scenario modeling'!$B$3)</f>
        <v>1126.51</v>
      </c>
      <c r="Y534">
        <v>918.19</v>
      </c>
      <c r="Z534" t="str">
        <f>IF(Table1[[#This Row],[UnitPrice]]&lt;=Quantiles!$B$2,Quantiles!$A$2,IF(Table1[[#This Row],[UnitPrice]]&lt;=Quantiles!$B$3,Quantiles!$A$3,Quantiles!$A$4))</f>
        <v>Medium</v>
      </c>
      <c r="AA534">
        <v>0.189</v>
      </c>
      <c r="AB534" s="5">
        <f>MIN(Table1[[#This Row],[DiscountPct]],'scenario modeling'!$B$2)</f>
        <v>0.1</v>
      </c>
      <c r="AC534" t="str">
        <f>IF(Table1[[#This Row],[DiscountPct]]&gt;0.3, "&gt;0.3","")</f>
        <v/>
      </c>
      <c r="AD534">
        <v>10</v>
      </c>
      <c r="AE534">
        <f>Table1[[#This Row],[Quantity]]*(1+'scenario modeling'!$B$4)</f>
        <v>12</v>
      </c>
      <c r="AF534">
        <f>Table1[[#This Row],[UnitCost]]*Table1[[#This Row],[Quantity]]</f>
        <v>10241</v>
      </c>
      <c r="AG534">
        <f>SUMIF($U:U,Table1[[#This Row],[ProductCategory]],$AM:AM)</f>
        <v>1616102.6546600002</v>
      </c>
      <c r="AH534">
        <f>SUMIFS($AM$2:AM534,$U$2:U534,U534)</f>
        <v>22654.75866</v>
      </c>
      <c r="AI534" s="5">
        <f>Table1[[#This Row],[Cumulative_revenue]]/Table1[[#This Row],[Category_revenue]]</f>
        <v>1.4018143336795746E-2</v>
      </c>
      <c r="AJ534" t="str">
        <f>IF(Table1[[#This Row],[cumulative_pct]]&lt;=0.8,"A",IF(Table1[[#This Row],[cumulative_pct]]&lt;=0.95,"B","C"))</f>
        <v>A</v>
      </c>
      <c r="AK534">
        <f>Table1[[#This Row],[adj_unit_cost]]*Table1[[#This Row],[scenario_quantity]]</f>
        <v>13518.119999999999</v>
      </c>
      <c r="AL534" s="5">
        <f>Table1[[#This Row],[UnitPrice]]*Table1[[#This Row],[scenario_quantity]]*(1-Table1[[#This Row],[cap_adjusted_discount]])</f>
        <v>9916.4520000000011</v>
      </c>
      <c r="AM534" s="5">
        <f>Table1[[#This Row],[UnitPrice]]*Table1[[#This Row],[Quantity]]*(1-Table1[[#This Row],[DiscountPct]])</f>
        <v>7446.5209000000004</v>
      </c>
      <c r="AN534" s="5">
        <f>Table1[[#This Row],[gross_revenue]]-Table1[[#This Row],[cost_of_goods]]</f>
        <v>-2794.4790999999996</v>
      </c>
      <c r="AO534" s="5">
        <f>Table1[[#This Row],[scenario_revenue]]-Table1[[#This Row],[Scenario_unit_cost]]</f>
        <v>-3601.6679999999978</v>
      </c>
      <c r="AP534" s="5">
        <f>IF(Table1[[#This Row],[gross_revenue]]=0,0,Table1[[#This Row],[gross_profit]]/Table1[[#This Row],[gross_revenue]])</f>
        <v>-0.37527311579827827</v>
      </c>
    </row>
    <row r="535" spans="1:42" x14ac:dyDescent="0.35">
      <c r="A535" t="s">
        <v>516</v>
      </c>
      <c r="B535" t="str">
        <f>_xlfn.TEXTAFTER(Table1[[#This Row],[OrderID]],"-",2)</f>
        <v>744942</v>
      </c>
      <c r="C535">
        <f>YEAR(Table1[[#This Row],[OrderDate]])</f>
        <v>2023</v>
      </c>
      <c r="D535" s="9">
        <f>_xlfn.MINIFS(F:F,P:P,Table1[[#This Row],[Country]])</f>
        <v>44938</v>
      </c>
      <c r="E535" s="7">
        <f>DATEDIF(Table1[[#This Row],[first_time_orders]],Table1[[#This Row],[OrderDate]],"m")</f>
        <v>1</v>
      </c>
      <c r="F535" s="9">
        <v>44980</v>
      </c>
      <c r="G535" s="2" t="str">
        <f>TEXT(Table1[[#This Row],[OrderDate]],"MMM-YYYY")</f>
        <v>Feb-2023</v>
      </c>
      <c r="H535" s="7">
        <f>MONTH(Table1[[#This Row],[OrderDate]])</f>
        <v>2</v>
      </c>
      <c r="I535" s="7" t="str">
        <f>"Q"&amp;ROUNDUP(Table1[[#This Row],[months]]/3,0)&amp;"-"&amp;Table1[[#This Row],[order_year]]</f>
        <v>Q1-2023</v>
      </c>
      <c r="J535" s="7">
        <f>Table1[[#This Row],[RequiredDate]]-Table1[[#This Row],[OrderDate]]</f>
        <v>23</v>
      </c>
      <c r="K535" s="7">
        <f>IF(Table1[[#This Row],[lead_time]]&lt;0,MEDIAN(J:J),Table1[[#This Row],[lead_time]])</f>
        <v>23</v>
      </c>
      <c r="L535" s="7">
        <f>IF(Table1[[#This Row],[adj_lead_time]]&lt;=7,1,0)</f>
        <v>0</v>
      </c>
      <c r="M535" s="9">
        <v>45003</v>
      </c>
      <c r="N535" s="9">
        <f>IF(Table1[[#This Row],[lead_time]]&lt;0,(Table1[[#This Row],[OrderDate]]+Table1[[#This Row],[adj_lead_time]]),Table1[[#This Row],[RequiredDate]])</f>
        <v>45003</v>
      </c>
      <c r="O535" t="s">
        <v>647</v>
      </c>
      <c r="P535" t="s">
        <v>659</v>
      </c>
      <c r="Q535" t="s">
        <v>699</v>
      </c>
      <c r="R535" t="s">
        <v>702</v>
      </c>
      <c r="S535" t="s">
        <v>710</v>
      </c>
      <c r="T535" t="s">
        <v>723</v>
      </c>
      <c r="U535" t="s">
        <v>728</v>
      </c>
      <c r="V535" t="s">
        <v>1235</v>
      </c>
      <c r="W535">
        <v>770.11</v>
      </c>
      <c r="X535">
        <f>Table1[[#This Row],[UnitCost]]*(1+'scenario modeling'!$B$3)</f>
        <v>847.12100000000009</v>
      </c>
      <c r="Y535">
        <v>1667.82</v>
      </c>
      <c r="Z535" t="str">
        <f>IF(Table1[[#This Row],[UnitPrice]]&lt;=Quantiles!$B$2,Quantiles!$A$2,IF(Table1[[#This Row],[UnitPrice]]&lt;=Quantiles!$B$3,Quantiles!$A$3,Quantiles!$A$4))</f>
        <v>High</v>
      </c>
      <c r="AA535">
        <v>6.9000000000000006E-2</v>
      </c>
      <c r="AB535" s="5">
        <f>MIN(Table1[[#This Row],[DiscountPct]],'scenario modeling'!$B$2)</f>
        <v>6.9000000000000006E-2</v>
      </c>
      <c r="AC535" t="str">
        <f>IF(Table1[[#This Row],[DiscountPct]]&gt;0.3, "&gt;0.3","")</f>
        <v/>
      </c>
      <c r="AD535">
        <v>7</v>
      </c>
      <c r="AE535">
        <f>Table1[[#This Row],[Quantity]]*(1+'scenario modeling'!$B$4)</f>
        <v>8.4</v>
      </c>
      <c r="AF535">
        <f>Table1[[#This Row],[UnitCost]]*Table1[[#This Row],[Quantity]]</f>
        <v>5390.77</v>
      </c>
      <c r="AG535">
        <f>SUMIF($U:U,Table1[[#This Row],[ProductCategory]],$AM:AM)</f>
        <v>1616102.6546600002</v>
      </c>
      <c r="AH535">
        <f>SUMIFS($AM$2:AM535,$U$2:U535,U535)</f>
        <v>33523.941599999998</v>
      </c>
      <c r="AI535" s="5">
        <f>Table1[[#This Row],[Cumulative_revenue]]/Table1[[#This Row],[Category_revenue]]</f>
        <v>2.0743695645406169E-2</v>
      </c>
      <c r="AJ535" t="str">
        <f>IF(Table1[[#This Row],[cumulative_pct]]&lt;=0.8,"A",IF(Table1[[#This Row],[cumulative_pct]]&lt;=0.95,"B","C"))</f>
        <v>A</v>
      </c>
      <c r="AK535">
        <f>Table1[[#This Row],[adj_unit_cost]]*Table1[[#This Row],[scenario_quantity]]</f>
        <v>7115.8164000000015</v>
      </c>
      <c r="AL535" s="5">
        <f>Table1[[#This Row],[UnitPrice]]*Table1[[#This Row],[scenario_quantity]]*(1-Table1[[#This Row],[cap_adjusted_discount]])</f>
        <v>13043.019528000001</v>
      </c>
      <c r="AM535" s="5">
        <f>Table1[[#This Row],[UnitPrice]]*Table1[[#This Row],[Quantity]]*(1-Table1[[#This Row],[DiscountPct]])</f>
        <v>10869.182940000001</v>
      </c>
      <c r="AN535" s="5">
        <f>Table1[[#This Row],[gross_revenue]]-Table1[[#This Row],[cost_of_goods]]</f>
        <v>5478.4129400000002</v>
      </c>
      <c r="AO535" s="5">
        <f>Table1[[#This Row],[scenario_revenue]]-Table1[[#This Row],[Scenario_unit_cost]]</f>
        <v>5927.2031279999992</v>
      </c>
      <c r="AP535" s="5">
        <f>IF(Table1[[#This Row],[gross_revenue]]=0,0,Table1[[#This Row],[gross_profit]]/Table1[[#This Row],[gross_revenue]])</f>
        <v>0.50403171703355287</v>
      </c>
    </row>
    <row r="536" spans="1:42" x14ac:dyDescent="0.35">
      <c r="A536" t="s">
        <v>50</v>
      </c>
      <c r="B536" t="str">
        <f>_xlfn.TEXTAFTER(Table1[[#This Row],[OrderID]],"-",2)</f>
        <v>864121</v>
      </c>
      <c r="C536">
        <f>YEAR(Table1[[#This Row],[OrderDate]])</f>
        <v>2023</v>
      </c>
      <c r="D536" s="9">
        <f>_xlfn.MINIFS(F:F,P:P,Table1[[#This Row],[Country]])</f>
        <v>44955</v>
      </c>
      <c r="E536" s="7">
        <f>DATEDIF(Table1[[#This Row],[first_time_orders]],Table1[[#This Row],[OrderDate]],"m")</f>
        <v>1</v>
      </c>
      <c r="F536" s="9">
        <v>45012</v>
      </c>
      <c r="G536" s="2" t="str">
        <f>TEXT(Table1[[#This Row],[OrderDate]],"MMM-YYYY")</f>
        <v>Mar-2023</v>
      </c>
      <c r="H536" s="7">
        <f>MONTH(Table1[[#This Row],[OrderDate]])</f>
        <v>3</v>
      </c>
      <c r="I536" s="7" t="str">
        <f>"Q"&amp;ROUNDUP(Table1[[#This Row],[months]]/3,0)&amp;"-"&amp;Table1[[#This Row],[order_year]]</f>
        <v>Q1-2023</v>
      </c>
      <c r="J536" s="7">
        <f>Table1[[#This Row],[RequiredDate]]-Table1[[#This Row],[OrderDate]]</f>
        <v>26</v>
      </c>
      <c r="K536" s="7">
        <f>IF(Table1[[#This Row],[lead_time]]&lt;0,MEDIAN(J:J),Table1[[#This Row],[lead_time]])</f>
        <v>26</v>
      </c>
      <c r="L536" s="7">
        <f>IF(Table1[[#This Row],[adj_lead_time]]&lt;=7,1,0)</f>
        <v>0</v>
      </c>
      <c r="M536" s="9">
        <v>45038</v>
      </c>
      <c r="N536" s="9">
        <f>IF(Table1[[#This Row],[lead_time]]&lt;0,(Table1[[#This Row],[OrderDate]]+Table1[[#This Row],[adj_lead_time]]),Table1[[#This Row],[RequiredDate]])</f>
        <v>45038</v>
      </c>
      <c r="O536" t="s">
        <v>647</v>
      </c>
      <c r="P536" t="s">
        <v>654</v>
      </c>
      <c r="Q536" t="s">
        <v>680</v>
      </c>
      <c r="R536" t="s">
        <v>703</v>
      </c>
      <c r="S536" t="s">
        <v>709</v>
      </c>
      <c r="T536" t="s">
        <v>713</v>
      </c>
      <c r="U536" t="s">
        <v>728</v>
      </c>
      <c r="V536" t="s">
        <v>769</v>
      </c>
      <c r="W536">
        <v>178.53</v>
      </c>
      <c r="X536">
        <f>Table1[[#This Row],[UnitCost]]*(1+'scenario modeling'!$B$3)</f>
        <v>196.38300000000001</v>
      </c>
      <c r="Y536">
        <v>199.37</v>
      </c>
      <c r="Z536" t="str">
        <f>IF(Table1[[#This Row],[UnitPrice]]&lt;=Quantiles!$B$2,Quantiles!$A$2,IF(Table1[[#This Row],[UnitPrice]]&lt;=Quantiles!$B$3,Quantiles!$A$3,Quantiles!$A$4))</f>
        <v>Low</v>
      </c>
      <c r="AA536">
        <v>0.10100000000000001</v>
      </c>
      <c r="AB536" s="5">
        <f>MIN(Table1[[#This Row],[DiscountPct]],'scenario modeling'!$B$2)</f>
        <v>0.1</v>
      </c>
      <c r="AC536" t="str">
        <f>IF(Table1[[#This Row],[DiscountPct]]&gt;0.3, "&gt;0.3","")</f>
        <v/>
      </c>
      <c r="AD536">
        <v>37</v>
      </c>
      <c r="AE536">
        <f>Table1[[#This Row],[Quantity]]*(1+'scenario modeling'!$B$4)</f>
        <v>44.4</v>
      </c>
      <c r="AF536">
        <f>Table1[[#This Row],[UnitCost]]*Table1[[#This Row],[Quantity]]</f>
        <v>6605.61</v>
      </c>
      <c r="AG536">
        <f>SUMIF($U:U,Table1[[#This Row],[ProductCategory]],$AM:AM)</f>
        <v>1616102.6546600002</v>
      </c>
      <c r="AH536">
        <f>SUMIFS($AM$2:AM536,$U$2:U536,U536)</f>
        <v>40155.585910000002</v>
      </c>
      <c r="AI536" s="5">
        <f>Table1[[#This Row],[Cumulative_revenue]]/Table1[[#This Row],[Category_revenue]]</f>
        <v>2.4847175267123135E-2</v>
      </c>
      <c r="AJ536" t="str">
        <f>IF(Table1[[#This Row],[cumulative_pct]]&lt;=0.8,"A",IF(Table1[[#This Row],[cumulative_pct]]&lt;=0.95,"B","C"))</f>
        <v>A</v>
      </c>
      <c r="AK536">
        <f>Table1[[#This Row],[adj_unit_cost]]*Table1[[#This Row],[scenario_quantity]]</f>
        <v>8719.4052000000011</v>
      </c>
      <c r="AL536" s="5">
        <f>Table1[[#This Row],[UnitPrice]]*Table1[[#This Row],[scenario_quantity]]*(1-Table1[[#This Row],[cap_adjusted_discount]])</f>
        <v>7966.8252000000002</v>
      </c>
      <c r="AM536" s="5">
        <f>Table1[[#This Row],[UnitPrice]]*Table1[[#This Row],[Quantity]]*(1-Table1[[#This Row],[DiscountPct]])</f>
        <v>6631.6443100000006</v>
      </c>
      <c r="AN536" s="5">
        <f>Table1[[#This Row],[gross_revenue]]-Table1[[#This Row],[cost_of_goods]]</f>
        <v>26.034310000000914</v>
      </c>
      <c r="AO536" s="5">
        <f>Table1[[#This Row],[scenario_revenue]]-Table1[[#This Row],[Scenario_unit_cost]]</f>
        <v>-752.58000000000084</v>
      </c>
      <c r="AP536" s="5">
        <f>IF(Table1[[#This Row],[gross_revenue]]=0,0,Table1[[#This Row],[gross_profit]]/Table1[[#This Row],[gross_revenue]])</f>
        <v>3.9257699573457538E-3</v>
      </c>
    </row>
    <row r="537" spans="1:42" x14ac:dyDescent="0.35">
      <c r="A537" t="s">
        <v>562</v>
      </c>
      <c r="B537" t="str">
        <f>_xlfn.TEXTAFTER(Table1[[#This Row],[OrderID]],"-",2)</f>
        <v>472078</v>
      </c>
      <c r="C537">
        <f>YEAR(Table1[[#This Row],[OrderDate]])</f>
        <v>2023</v>
      </c>
      <c r="D537" s="9">
        <f>_xlfn.MINIFS(F:F,P:P,Table1[[#This Row],[Country]])</f>
        <v>44948</v>
      </c>
      <c r="E537" s="7">
        <f>DATEDIF(Table1[[#This Row],[first_time_orders]],Table1[[#This Row],[OrderDate]],"m")</f>
        <v>1</v>
      </c>
      <c r="F537" s="9">
        <v>44985</v>
      </c>
      <c r="G537" s="2" t="str">
        <f>TEXT(Table1[[#This Row],[OrderDate]],"MMM-YYYY")</f>
        <v>Feb-2023</v>
      </c>
      <c r="H537" s="7">
        <f>MONTH(Table1[[#This Row],[OrderDate]])</f>
        <v>2</v>
      </c>
      <c r="I537" s="7" t="str">
        <f>"Q"&amp;ROUNDUP(Table1[[#This Row],[months]]/3,0)&amp;"-"&amp;Table1[[#This Row],[order_year]]</f>
        <v>Q1-2023</v>
      </c>
      <c r="J537" s="7">
        <f>Table1[[#This Row],[RequiredDate]]-Table1[[#This Row],[OrderDate]]</f>
        <v>6</v>
      </c>
      <c r="K537" s="7">
        <f>IF(Table1[[#This Row],[lead_time]]&lt;0,MEDIAN(J:J),Table1[[#This Row],[lead_time]])</f>
        <v>6</v>
      </c>
      <c r="L537" s="7">
        <f>IF(Table1[[#This Row],[adj_lead_time]]&lt;=7,1,0)</f>
        <v>1</v>
      </c>
      <c r="M537" s="9">
        <v>44991</v>
      </c>
      <c r="N537" s="9">
        <f>IF(Table1[[#This Row],[lead_time]]&lt;0,(Table1[[#This Row],[OrderDate]]+Table1[[#This Row],[adj_lead_time]]),Table1[[#This Row],[RequiredDate]])</f>
        <v>44991</v>
      </c>
      <c r="O537" t="s">
        <v>649</v>
      </c>
      <c r="P537" t="s">
        <v>656</v>
      </c>
      <c r="Q537" t="s">
        <v>698</v>
      </c>
      <c r="R537" t="s">
        <v>705</v>
      </c>
      <c r="S537" t="s">
        <v>709</v>
      </c>
      <c r="T537" t="s">
        <v>726</v>
      </c>
      <c r="U537" t="s">
        <v>728</v>
      </c>
      <c r="V537" t="s">
        <v>1280</v>
      </c>
      <c r="W537">
        <v>880.02</v>
      </c>
      <c r="X537">
        <f>Table1[[#This Row],[UnitCost]]*(1+'scenario modeling'!$B$3)</f>
        <v>968.02200000000005</v>
      </c>
      <c r="Y537">
        <v>1251.21</v>
      </c>
      <c r="Z537" t="str">
        <f>IF(Table1[[#This Row],[UnitPrice]]&lt;=Quantiles!$B$2,Quantiles!$A$2,IF(Table1[[#This Row],[UnitPrice]]&lt;=Quantiles!$B$3,Quantiles!$A$3,Quantiles!$A$4))</f>
        <v>Medium</v>
      </c>
      <c r="AA537">
        <v>0.123</v>
      </c>
      <c r="AB537" s="5">
        <f>MIN(Table1[[#This Row],[DiscountPct]],'scenario modeling'!$B$2)</f>
        <v>0.1</v>
      </c>
      <c r="AC537" t="str">
        <f>IF(Table1[[#This Row],[DiscountPct]]&gt;0.3, "&gt;0.3","")</f>
        <v/>
      </c>
      <c r="AD537">
        <v>29</v>
      </c>
      <c r="AE537">
        <f>Table1[[#This Row],[Quantity]]*(1+'scenario modeling'!$B$4)</f>
        <v>34.799999999999997</v>
      </c>
      <c r="AF537">
        <f>Table1[[#This Row],[UnitCost]]*Table1[[#This Row],[Quantity]]</f>
        <v>25520.579999999998</v>
      </c>
      <c r="AG537">
        <f>SUMIF($U:U,Table1[[#This Row],[ProductCategory]],$AM:AM)</f>
        <v>1616102.6546600002</v>
      </c>
      <c r="AH537">
        <f>SUMIFS($AM$2:AM537,$U$2:U537,U537)</f>
        <v>71977.609840000005</v>
      </c>
      <c r="AI537" s="5">
        <f>Table1[[#This Row],[Cumulative_revenue]]/Table1[[#This Row],[Category_revenue]]</f>
        <v>4.4537770934571501E-2</v>
      </c>
      <c r="AJ537" t="str">
        <f>IF(Table1[[#This Row],[cumulative_pct]]&lt;=0.8,"A",IF(Table1[[#This Row],[cumulative_pct]]&lt;=0.95,"B","C"))</f>
        <v>A</v>
      </c>
      <c r="AK537">
        <f>Table1[[#This Row],[adj_unit_cost]]*Table1[[#This Row],[scenario_quantity]]</f>
        <v>33687.1656</v>
      </c>
      <c r="AL537" s="5">
        <f>Table1[[#This Row],[UnitPrice]]*Table1[[#This Row],[scenario_quantity]]*(1-Table1[[#This Row],[cap_adjusted_discount]])</f>
        <v>39187.897199999999</v>
      </c>
      <c r="AM537" s="5">
        <f>Table1[[#This Row],[UnitPrice]]*Table1[[#This Row],[Quantity]]*(1-Table1[[#This Row],[DiscountPct]])</f>
        <v>31822.023930000003</v>
      </c>
      <c r="AN537" s="5">
        <f>Table1[[#This Row],[gross_revenue]]-Table1[[#This Row],[cost_of_goods]]</f>
        <v>6301.4439300000049</v>
      </c>
      <c r="AO537" s="5">
        <f>Table1[[#This Row],[scenario_revenue]]-Table1[[#This Row],[Scenario_unit_cost]]</f>
        <v>5500.7315999999992</v>
      </c>
      <c r="AP537" s="5">
        <f>IF(Table1[[#This Row],[gross_revenue]]=0,0,Table1[[#This Row],[gross_profit]]/Table1[[#This Row],[gross_revenue]])</f>
        <v>0.19802146915172672</v>
      </c>
    </row>
    <row r="538" spans="1:42" x14ac:dyDescent="0.35">
      <c r="A538" t="s">
        <v>364</v>
      </c>
      <c r="B538" t="str">
        <f>_xlfn.TEXTAFTER(Table1[[#This Row],[OrderID]],"-",2)</f>
        <v>735274</v>
      </c>
      <c r="C538">
        <f>YEAR(Table1[[#This Row],[OrderDate]])</f>
        <v>2023</v>
      </c>
      <c r="D538" s="9">
        <f>_xlfn.MINIFS(F:F,P:P,Table1[[#This Row],[Country]])</f>
        <v>44945</v>
      </c>
      <c r="E538" s="7">
        <f>DATEDIF(Table1[[#This Row],[first_time_orders]],Table1[[#This Row],[OrderDate]],"m")</f>
        <v>1</v>
      </c>
      <c r="F538" s="9">
        <v>44980</v>
      </c>
      <c r="G538" s="2" t="str">
        <f>TEXT(Table1[[#This Row],[OrderDate]],"MMM-YYYY")</f>
        <v>Feb-2023</v>
      </c>
      <c r="H538" s="7">
        <f>MONTH(Table1[[#This Row],[OrderDate]])</f>
        <v>2</v>
      </c>
      <c r="I538" s="7" t="str">
        <f>"Q"&amp;ROUNDUP(Table1[[#This Row],[months]]/3,0)&amp;"-"&amp;Table1[[#This Row],[order_year]]</f>
        <v>Q1-2023</v>
      </c>
      <c r="J538" s="7">
        <f>Table1[[#This Row],[RequiredDate]]-Table1[[#This Row],[OrderDate]]</f>
        <v>13</v>
      </c>
      <c r="K538" s="7">
        <f>IF(Table1[[#This Row],[lead_time]]&lt;0,MEDIAN(J:J),Table1[[#This Row],[lead_time]])</f>
        <v>13</v>
      </c>
      <c r="L538" s="7">
        <f>IF(Table1[[#This Row],[adj_lead_time]]&lt;=7,1,0)</f>
        <v>0</v>
      </c>
      <c r="M538" s="9">
        <v>44993</v>
      </c>
      <c r="N538" s="9">
        <f>IF(Table1[[#This Row],[lead_time]]&lt;0,(Table1[[#This Row],[OrderDate]]+Table1[[#This Row],[adj_lead_time]]),Table1[[#This Row],[RequiredDate]])</f>
        <v>44993</v>
      </c>
      <c r="O538" t="s">
        <v>649</v>
      </c>
      <c r="P538" t="s">
        <v>658</v>
      </c>
      <c r="Q538" t="s">
        <v>693</v>
      </c>
      <c r="R538" t="s">
        <v>705</v>
      </c>
      <c r="S538" t="s">
        <v>711</v>
      </c>
      <c r="T538" t="s">
        <v>712</v>
      </c>
      <c r="U538" t="s">
        <v>728</v>
      </c>
      <c r="V538" t="s">
        <v>1084</v>
      </c>
      <c r="W538">
        <v>307.37</v>
      </c>
      <c r="X538">
        <f>Table1[[#This Row],[UnitCost]]*(1+'scenario modeling'!$B$3)</f>
        <v>338.10700000000003</v>
      </c>
      <c r="Y538">
        <v>462.61</v>
      </c>
      <c r="Z538" t="str">
        <f>IF(Table1[[#This Row],[UnitPrice]]&lt;=Quantiles!$B$2,Quantiles!$A$2,IF(Table1[[#This Row],[UnitPrice]]&lt;=Quantiles!$B$3,Quantiles!$A$3,Quantiles!$A$4))</f>
        <v>Low</v>
      </c>
      <c r="AA538">
        <v>0.188</v>
      </c>
      <c r="AB538" s="5">
        <f>MIN(Table1[[#This Row],[DiscountPct]],'scenario modeling'!$B$2)</f>
        <v>0.1</v>
      </c>
      <c r="AC538" t="str">
        <f>IF(Table1[[#This Row],[DiscountPct]]&gt;0.3, "&gt;0.3","")</f>
        <v/>
      </c>
      <c r="AD538">
        <v>11</v>
      </c>
      <c r="AE538">
        <f>Table1[[#This Row],[Quantity]]*(1+'scenario modeling'!$B$4)</f>
        <v>13.2</v>
      </c>
      <c r="AF538">
        <f>Table1[[#This Row],[UnitCost]]*Table1[[#This Row],[Quantity]]</f>
        <v>3381.07</v>
      </c>
      <c r="AG538">
        <f>SUMIF($U:U,Table1[[#This Row],[ProductCategory]],$AM:AM)</f>
        <v>1616102.6546600002</v>
      </c>
      <c r="AH538">
        <f>SUMIFS($AM$2:AM538,$U$2:U538,U538)</f>
        <v>76109.642359999998</v>
      </c>
      <c r="AI538" s="5">
        <f>Table1[[#This Row],[Cumulative_revenue]]/Table1[[#This Row],[Category_revenue]]</f>
        <v>4.7094559334173072E-2</v>
      </c>
      <c r="AJ538" t="str">
        <f>IF(Table1[[#This Row],[cumulative_pct]]&lt;=0.8,"A",IF(Table1[[#This Row],[cumulative_pct]]&lt;=0.95,"B","C"))</f>
        <v>A</v>
      </c>
      <c r="AK538">
        <f>Table1[[#This Row],[adj_unit_cost]]*Table1[[#This Row],[scenario_quantity]]</f>
        <v>4463.0124000000005</v>
      </c>
      <c r="AL538" s="5">
        <f>Table1[[#This Row],[UnitPrice]]*Table1[[#This Row],[scenario_quantity]]*(1-Table1[[#This Row],[cap_adjusted_discount]])</f>
        <v>5495.8068000000003</v>
      </c>
      <c r="AM538" s="5">
        <f>Table1[[#This Row],[UnitPrice]]*Table1[[#This Row],[Quantity]]*(1-Table1[[#This Row],[DiscountPct]])</f>
        <v>4132.0325200000007</v>
      </c>
      <c r="AN538" s="5">
        <f>Table1[[#This Row],[gross_revenue]]-Table1[[#This Row],[cost_of_goods]]</f>
        <v>750.9625200000005</v>
      </c>
      <c r="AO538" s="5">
        <f>Table1[[#This Row],[scenario_revenue]]-Table1[[#This Row],[Scenario_unit_cost]]</f>
        <v>1032.7943999999998</v>
      </c>
      <c r="AP538" s="5">
        <f>IF(Table1[[#This Row],[gross_revenue]]=0,0,Table1[[#This Row],[gross_profit]]/Table1[[#This Row],[gross_revenue]])</f>
        <v>0.18174167709599739</v>
      </c>
    </row>
    <row r="539" spans="1:42" x14ac:dyDescent="0.35">
      <c r="A539" t="s">
        <v>249</v>
      </c>
      <c r="B539" t="str">
        <f>_xlfn.TEXTAFTER(Table1[[#This Row],[OrderID]],"-",2)</f>
        <v>281211</v>
      </c>
      <c r="C539">
        <f>YEAR(Table1[[#This Row],[OrderDate]])</f>
        <v>2024</v>
      </c>
      <c r="D539" s="9">
        <f>_xlfn.MINIFS(F:F,P:P,Table1[[#This Row],[Country]])</f>
        <v>44988</v>
      </c>
      <c r="E539" s="7">
        <f>DATEDIF(Table1[[#This Row],[first_time_orders]],Table1[[#This Row],[OrderDate]],"m")</f>
        <v>10</v>
      </c>
      <c r="F539" s="9">
        <v>45302</v>
      </c>
      <c r="G539" s="2" t="str">
        <f>TEXT(Table1[[#This Row],[OrderDate]],"MMM-YYYY")</f>
        <v>Jan-2024</v>
      </c>
      <c r="H539" s="7">
        <f>MONTH(Table1[[#This Row],[OrderDate]])</f>
        <v>1</v>
      </c>
      <c r="I539" s="7" t="str">
        <f>"Q"&amp;ROUNDUP(Table1[[#This Row],[months]]/3,0)&amp;"-"&amp;Table1[[#This Row],[order_year]]</f>
        <v>Q1-2024</v>
      </c>
      <c r="J539" s="7">
        <f>Table1[[#This Row],[RequiredDate]]-Table1[[#This Row],[OrderDate]]</f>
        <v>22</v>
      </c>
      <c r="K539" s="7">
        <f>IF(Table1[[#This Row],[lead_time]]&lt;0,MEDIAN(J:J),Table1[[#This Row],[lead_time]])</f>
        <v>22</v>
      </c>
      <c r="L539" s="7">
        <f>IF(Table1[[#This Row],[adj_lead_time]]&lt;=7,1,0)</f>
        <v>0</v>
      </c>
      <c r="M539" s="9">
        <v>45324</v>
      </c>
      <c r="N539" s="9">
        <f>IF(Table1[[#This Row],[lead_time]]&lt;0,(Table1[[#This Row],[OrderDate]]+Table1[[#This Row],[adj_lead_time]]),Table1[[#This Row],[RequiredDate]])</f>
        <v>45324</v>
      </c>
      <c r="O539" t="s">
        <v>647</v>
      </c>
      <c r="P539" t="s">
        <v>652</v>
      </c>
      <c r="Q539" t="s">
        <v>694</v>
      </c>
      <c r="R539" t="s">
        <v>705</v>
      </c>
      <c r="S539" t="s">
        <v>708</v>
      </c>
      <c r="T539" t="s">
        <v>722</v>
      </c>
      <c r="U539" t="s">
        <v>728</v>
      </c>
      <c r="V539" t="s">
        <v>969</v>
      </c>
      <c r="W539">
        <v>1237.68</v>
      </c>
      <c r="X539">
        <f>Table1[[#This Row],[UnitCost]]*(1+'scenario modeling'!$B$3)</f>
        <v>1361.4480000000001</v>
      </c>
      <c r="Y539">
        <v>1432.8</v>
      </c>
      <c r="Z539" t="str">
        <f>IF(Table1[[#This Row],[UnitPrice]]&lt;=Quantiles!$B$2,Quantiles!$A$2,IF(Table1[[#This Row],[UnitPrice]]&lt;=Quantiles!$B$3,Quantiles!$A$3,Quantiles!$A$4))</f>
        <v>Medium</v>
      </c>
      <c r="AA539">
        <v>6.8000000000000005E-2</v>
      </c>
      <c r="AB539" s="5">
        <f>MIN(Table1[[#This Row],[DiscountPct]],'scenario modeling'!$B$2)</f>
        <v>6.8000000000000005E-2</v>
      </c>
      <c r="AC539" t="str">
        <f>IF(Table1[[#This Row],[DiscountPct]]&gt;0.3, "&gt;0.3","")</f>
        <v/>
      </c>
      <c r="AD539">
        <v>13</v>
      </c>
      <c r="AE539">
        <f>Table1[[#This Row],[Quantity]]*(1+'scenario modeling'!$B$4)</f>
        <v>15.6</v>
      </c>
      <c r="AF539">
        <f>Table1[[#This Row],[UnitCost]]*Table1[[#This Row],[Quantity]]</f>
        <v>16089.84</v>
      </c>
      <c r="AG539">
        <f>SUMIF($U:U,Table1[[#This Row],[ProductCategory]],$AM:AM)</f>
        <v>1616102.6546600002</v>
      </c>
      <c r="AH539">
        <f>SUMIFS($AM$2:AM539,$U$2:U539,U539)</f>
        <v>93469.447159999996</v>
      </c>
      <c r="AI539" s="5">
        <f>Table1[[#This Row],[Cumulative_revenue]]/Table1[[#This Row],[Category_revenue]]</f>
        <v>5.783633044007612E-2</v>
      </c>
      <c r="AJ539" t="str">
        <f>IF(Table1[[#This Row],[cumulative_pct]]&lt;=0.8,"A",IF(Table1[[#This Row],[cumulative_pct]]&lt;=0.95,"B","C"))</f>
        <v>A</v>
      </c>
      <c r="AK539">
        <f>Table1[[#This Row],[adj_unit_cost]]*Table1[[#This Row],[scenario_quantity]]</f>
        <v>21238.588800000001</v>
      </c>
      <c r="AL539" s="5">
        <f>Table1[[#This Row],[UnitPrice]]*Table1[[#This Row],[scenario_quantity]]*(1-Table1[[#This Row],[cap_adjusted_discount]])</f>
        <v>20831.765759999998</v>
      </c>
      <c r="AM539" s="5">
        <f>Table1[[#This Row],[UnitPrice]]*Table1[[#This Row],[Quantity]]*(1-Table1[[#This Row],[DiscountPct]])</f>
        <v>17359.804799999998</v>
      </c>
      <c r="AN539" s="5">
        <f>Table1[[#This Row],[gross_revenue]]-Table1[[#This Row],[cost_of_goods]]</f>
        <v>1269.9647999999979</v>
      </c>
      <c r="AO539" s="5">
        <f>Table1[[#This Row],[scenario_revenue]]-Table1[[#This Row],[Scenario_unit_cost]]</f>
        <v>-406.82304000000295</v>
      </c>
      <c r="AP539" s="5">
        <f>IF(Table1[[#This Row],[gross_revenue]]=0,0,Table1[[#This Row],[gross_profit]]/Table1[[#This Row],[gross_revenue]])</f>
        <v>7.315547695559331E-2</v>
      </c>
    </row>
    <row r="540" spans="1:42" x14ac:dyDescent="0.35">
      <c r="A540" t="s">
        <v>553</v>
      </c>
      <c r="B540" t="str">
        <f>_xlfn.TEXTAFTER(Table1[[#This Row],[OrderID]],"-",2)</f>
        <v>974506</v>
      </c>
      <c r="C540">
        <f>YEAR(Table1[[#This Row],[OrderDate]])</f>
        <v>2023</v>
      </c>
      <c r="D540" s="9">
        <f>_xlfn.MINIFS(F:F,P:P,Table1[[#This Row],[Country]])</f>
        <v>44933</v>
      </c>
      <c r="E540" s="7">
        <f>DATEDIF(Table1[[#This Row],[first_time_orders]],Table1[[#This Row],[OrderDate]],"m")</f>
        <v>11</v>
      </c>
      <c r="F540" s="9">
        <v>45288</v>
      </c>
      <c r="G540" s="2" t="str">
        <f>TEXT(Table1[[#This Row],[OrderDate]],"MMM-YYYY")</f>
        <v>Dec-2023</v>
      </c>
      <c r="H540" s="7">
        <f>MONTH(Table1[[#This Row],[OrderDate]])</f>
        <v>12</v>
      </c>
      <c r="I540" s="7" t="str">
        <f>"Q"&amp;ROUNDUP(Table1[[#This Row],[months]]/3,0)&amp;"-"&amp;Table1[[#This Row],[order_year]]</f>
        <v>Q4-2023</v>
      </c>
      <c r="J540" s="7">
        <f>Table1[[#This Row],[RequiredDate]]-Table1[[#This Row],[OrderDate]]</f>
        <v>4</v>
      </c>
      <c r="K540" s="7">
        <f>IF(Table1[[#This Row],[lead_time]]&lt;0,MEDIAN(J:J),Table1[[#This Row],[lead_time]])</f>
        <v>4</v>
      </c>
      <c r="L540" s="7">
        <f>IF(Table1[[#This Row],[adj_lead_time]]&lt;=7,1,0)</f>
        <v>1</v>
      </c>
      <c r="M540" s="9">
        <v>45292</v>
      </c>
      <c r="N540" s="9">
        <f>IF(Table1[[#This Row],[lead_time]]&lt;0,(Table1[[#This Row],[OrderDate]]+Table1[[#This Row],[adj_lead_time]]),Table1[[#This Row],[RequiredDate]])</f>
        <v>45292</v>
      </c>
      <c r="O540" t="s">
        <v>646</v>
      </c>
      <c r="P540" t="s">
        <v>661</v>
      </c>
      <c r="Q540" t="s">
        <v>695</v>
      </c>
      <c r="R540" t="s">
        <v>702</v>
      </c>
      <c r="S540" t="s">
        <v>710</v>
      </c>
      <c r="T540" t="s">
        <v>720</v>
      </c>
      <c r="U540" t="s">
        <v>728</v>
      </c>
      <c r="V540" t="s">
        <v>1271</v>
      </c>
      <c r="W540">
        <v>1141.8</v>
      </c>
      <c r="X540">
        <f>Table1[[#This Row],[UnitCost]]*(1+'scenario modeling'!$B$3)</f>
        <v>1255.98</v>
      </c>
      <c r="Y540">
        <v>2318.7399999999998</v>
      </c>
      <c r="Z540" t="str">
        <f>IF(Table1[[#This Row],[UnitPrice]]&lt;=Quantiles!$B$2,Quantiles!$A$2,IF(Table1[[#This Row],[UnitPrice]]&lt;=Quantiles!$B$3,Quantiles!$A$3,Quantiles!$A$4))</f>
        <v>High</v>
      </c>
      <c r="AA540">
        <v>0.107</v>
      </c>
      <c r="AB540" s="5">
        <f>MIN(Table1[[#This Row],[DiscountPct]],'scenario modeling'!$B$2)</f>
        <v>0.1</v>
      </c>
      <c r="AC540" t="str">
        <f>IF(Table1[[#This Row],[DiscountPct]]&gt;0.3, "&gt;0.3","")</f>
        <v/>
      </c>
      <c r="AD540">
        <v>32</v>
      </c>
      <c r="AE540">
        <f>Table1[[#This Row],[Quantity]]*(1+'scenario modeling'!$B$4)</f>
        <v>38.4</v>
      </c>
      <c r="AF540">
        <f>Table1[[#This Row],[UnitCost]]*Table1[[#This Row],[Quantity]]</f>
        <v>36537.599999999999</v>
      </c>
      <c r="AG540">
        <f>SUMIF($U:U,Table1[[#This Row],[ProductCategory]],$AM:AM)</f>
        <v>1616102.6546600002</v>
      </c>
      <c r="AH540">
        <f>SUMIFS($AM$2:AM540,$U$2:U540,U540)</f>
        <v>159729.76139999999</v>
      </c>
      <c r="AI540" s="5">
        <f>Table1[[#This Row],[Cumulative_revenue]]/Table1[[#This Row],[Category_revenue]]</f>
        <v>9.8836395658049539E-2</v>
      </c>
      <c r="AJ540" t="str">
        <f>IF(Table1[[#This Row],[cumulative_pct]]&lt;=0.8,"A",IF(Table1[[#This Row],[cumulative_pct]]&lt;=0.95,"B","C"))</f>
        <v>A</v>
      </c>
      <c r="AK540">
        <f>Table1[[#This Row],[adj_unit_cost]]*Table1[[#This Row],[scenario_quantity]]</f>
        <v>48229.631999999998</v>
      </c>
      <c r="AL540" s="5">
        <f>Table1[[#This Row],[UnitPrice]]*Table1[[#This Row],[scenario_quantity]]*(1-Table1[[#This Row],[cap_adjusted_discount]])</f>
        <v>80135.654399999999</v>
      </c>
      <c r="AM540" s="5">
        <f>Table1[[#This Row],[UnitPrice]]*Table1[[#This Row],[Quantity]]*(1-Table1[[#This Row],[DiscountPct]])</f>
        <v>66260.314239999992</v>
      </c>
      <c r="AN540" s="5">
        <f>Table1[[#This Row],[gross_revenue]]-Table1[[#This Row],[cost_of_goods]]</f>
        <v>29722.714239999994</v>
      </c>
      <c r="AO540" s="5">
        <f>Table1[[#This Row],[scenario_revenue]]-Table1[[#This Row],[Scenario_unit_cost]]</f>
        <v>31906.022400000002</v>
      </c>
      <c r="AP540" s="5">
        <f>IF(Table1[[#This Row],[gross_revenue]]=0,0,Table1[[#This Row],[gross_profit]]/Table1[[#This Row],[gross_revenue]])</f>
        <v>0.44857490612468304</v>
      </c>
    </row>
    <row r="541" spans="1:42" x14ac:dyDescent="0.35">
      <c r="A541" t="s">
        <v>215</v>
      </c>
      <c r="B541" t="str">
        <f>_xlfn.TEXTAFTER(Table1[[#This Row],[OrderID]],"-",2)</f>
        <v>999607</v>
      </c>
      <c r="C541">
        <f>YEAR(Table1[[#This Row],[OrderDate]])</f>
        <v>2024</v>
      </c>
      <c r="D541" s="9">
        <f>_xlfn.MINIFS(F:F,P:P,Table1[[#This Row],[Country]])</f>
        <v>44939</v>
      </c>
      <c r="E541" s="7">
        <f>DATEDIF(Table1[[#This Row],[first_time_orders]],Table1[[#This Row],[OrderDate]],"m")</f>
        <v>11</v>
      </c>
      <c r="F541" s="9">
        <v>45303</v>
      </c>
      <c r="G541" s="2" t="str">
        <f>TEXT(Table1[[#This Row],[OrderDate]],"MMM-YYYY")</f>
        <v>Jan-2024</v>
      </c>
      <c r="H541" s="7">
        <f>MONTH(Table1[[#This Row],[OrderDate]])</f>
        <v>1</v>
      </c>
      <c r="I541" s="7" t="str">
        <f>"Q"&amp;ROUNDUP(Table1[[#This Row],[months]]/3,0)&amp;"-"&amp;Table1[[#This Row],[order_year]]</f>
        <v>Q1-2024</v>
      </c>
      <c r="J541" s="7">
        <f>Table1[[#This Row],[RequiredDate]]-Table1[[#This Row],[OrderDate]]</f>
        <v>17</v>
      </c>
      <c r="K541" s="7">
        <f>IF(Table1[[#This Row],[lead_time]]&lt;0,MEDIAN(J:J),Table1[[#This Row],[lead_time]])</f>
        <v>17</v>
      </c>
      <c r="L541" s="7">
        <f>IF(Table1[[#This Row],[adj_lead_time]]&lt;=7,1,0)</f>
        <v>0</v>
      </c>
      <c r="M541" s="9">
        <v>45320</v>
      </c>
      <c r="N541" s="9">
        <f>IF(Table1[[#This Row],[lead_time]]&lt;0,(Table1[[#This Row],[OrderDate]]+Table1[[#This Row],[adj_lead_time]]),Table1[[#This Row],[RequiredDate]])</f>
        <v>45320</v>
      </c>
      <c r="O541" t="s">
        <v>648</v>
      </c>
      <c r="P541" t="s">
        <v>660</v>
      </c>
      <c r="Q541" t="s">
        <v>677</v>
      </c>
      <c r="R541" t="s">
        <v>702</v>
      </c>
      <c r="S541" t="s">
        <v>710</v>
      </c>
      <c r="T541" t="s">
        <v>720</v>
      </c>
      <c r="U541" t="s">
        <v>728</v>
      </c>
      <c r="V541" t="s">
        <v>935</v>
      </c>
      <c r="W541">
        <v>493.76</v>
      </c>
      <c r="X541">
        <f>Table1[[#This Row],[UnitCost]]*(1+'scenario modeling'!$B$3)</f>
        <v>543.13600000000008</v>
      </c>
      <c r="Y541">
        <v>625.04</v>
      </c>
      <c r="Z541" t="str">
        <f>IF(Table1[[#This Row],[UnitPrice]]&lt;=Quantiles!$B$2,Quantiles!$A$2,IF(Table1[[#This Row],[UnitPrice]]&lt;=Quantiles!$B$3,Quantiles!$A$3,Quantiles!$A$4))</f>
        <v>Low</v>
      </c>
      <c r="AA541">
        <v>0.25800000000000001</v>
      </c>
      <c r="AB541" s="5">
        <f>MIN(Table1[[#This Row],[DiscountPct]],'scenario modeling'!$B$2)</f>
        <v>0.1</v>
      </c>
      <c r="AC541" t="str">
        <f>IF(Table1[[#This Row],[DiscountPct]]&gt;0.3, "&gt;0.3","")</f>
        <v/>
      </c>
      <c r="AD541">
        <v>10</v>
      </c>
      <c r="AE541">
        <f>Table1[[#This Row],[Quantity]]*(1+'scenario modeling'!$B$4)</f>
        <v>12</v>
      </c>
      <c r="AF541">
        <f>Table1[[#This Row],[UnitCost]]*Table1[[#This Row],[Quantity]]</f>
        <v>4937.6000000000004</v>
      </c>
      <c r="AG541">
        <f>SUMIF($U:U,Table1[[#This Row],[ProductCategory]],$AM:AM)</f>
        <v>1616102.6546600002</v>
      </c>
      <c r="AH541">
        <f>SUMIFS($AM$2:AM541,$U$2:U541,U541)</f>
        <v>164367.5582</v>
      </c>
      <c r="AI541" s="5">
        <f>Table1[[#This Row],[Cumulative_revenue]]/Table1[[#This Row],[Category_revenue]]</f>
        <v>0.10170613712318916</v>
      </c>
      <c r="AJ541" t="str">
        <f>IF(Table1[[#This Row],[cumulative_pct]]&lt;=0.8,"A",IF(Table1[[#This Row],[cumulative_pct]]&lt;=0.95,"B","C"))</f>
        <v>A</v>
      </c>
      <c r="AK541">
        <f>Table1[[#This Row],[adj_unit_cost]]*Table1[[#This Row],[scenario_quantity]]</f>
        <v>6517.6320000000014</v>
      </c>
      <c r="AL541" s="5">
        <f>Table1[[#This Row],[UnitPrice]]*Table1[[#This Row],[scenario_quantity]]*(1-Table1[[#This Row],[cap_adjusted_discount]])</f>
        <v>6750.4319999999998</v>
      </c>
      <c r="AM541" s="5">
        <f>Table1[[#This Row],[UnitPrice]]*Table1[[#This Row],[Quantity]]*(1-Table1[[#This Row],[DiscountPct]])</f>
        <v>4637.7968000000001</v>
      </c>
      <c r="AN541" s="5">
        <f>Table1[[#This Row],[gross_revenue]]-Table1[[#This Row],[cost_of_goods]]</f>
        <v>-299.80320000000029</v>
      </c>
      <c r="AO541" s="5">
        <f>Table1[[#This Row],[scenario_revenue]]-Table1[[#This Row],[Scenario_unit_cost]]</f>
        <v>232.79999999999836</v>
      </c>
      <c r="AP541" s="5">
        <f>IF(Table1[[#This Row],[gross_revenue]]=0,0,Table1[[#This Row],[gross_profit]]/Table1[[#This Row],[gross_revenue]])</f>
        <v>-6.464345311549663E-2</v>
      </c>
    </row>
    <row r="542" spans="1:42" x14ac:dyDescent="0.35">
      <c r="A542" t="s">
        <v>574</v>
      </c>
      <c r="B542" t="str">
        <f>_xlfn.TEXTAFTER(Table1[[#This Row],[OrderID]],"-",2)</f>
        <v>872291</v>
      </c>
      <c r="C542">
        <f>YEAR(Table1[[#This Row],[OrderDate]])</f>
        <v>2024</v>
      </c>
      <c r="D542" s="9">
        <f>_xlfn.MINIFS(F:F,P:P,Table1[[#This Row],[Country]])</f>
        <v>44955</v>
      </c>
      <c r="E542" s="7">
        <f>DATEDIF(Table1[[#This Row],[first_time_orders]],Table1[[#This Row],[OrderDate]],"m")</f>
        <v>11</v>
      </c>
      <c r="F542" s="9">
        <v>45299</v>
      </c>
      <c r="G542" s="2" t="str">
        <f>TEXT(Table1[[#This Row],[OrderDate]],"MMM-YYYY")</f>
        <v>Jan-2024</v>
      </c>
      <c r="H542" s="7">
        <f>MONTH(Table1[[#This Row],[OrderDate]])</f>
        <v>1</v>
      </c>
      <c r="I542" s="7" t="str">
        <f>"Q"&amp;ROUNDUP(Table1[[#This Row],[months]]/3,0)&amp;"-"&amp;Table1[[#This Row],[order_year]]</f>
        <v>Q1-2024</v>
      </c>
      <c r="J542" s="7">
        <f>Table1[[#This Row],[RequiredDate]]-Table1[[#This Row],[OrderDate]]</f>
        <v>4</v>
      </c>
      <c r="K542" s="7">
        <f>IF(Table1[[#This Row],[lead_time]]&lt;0,MEDIAN(J:J),Table1[[#This Row],[lead_time]])</f>
        <v>4</v>
      </c>
      <c r="L542" s="7">
        <f>IF(Table1[[#This Row],[adj_lead_time]]&lt;=7,1,0)</f>
        <v>1</v>
      </c>
      <c r="M542" s="9">
        <v>45303</v>
      </c>
      <c r="N542" s="9">
        <f>IF(Table1[[#This Row],[lead_time]]&lt;0,(Table1[[#This Row],[OrderDate]]+Table1[[#This Row],[adj_lead_time]]),Table1[[#This Row],[RequiredDate]])</f>
        <v>45303</v>
      </c>
      <c r="O542" t="s">
        <v>647</v>
      </c>
      <c r="P542" t="s">
        <v>654</v>
      </c>
      <c r="Q542" t="s">
        <v>668</v>
      </c>
      <c r="R542" t="s">
        <v>701</v>
      </c>
      <c r="S542" t="s">
        <v>711</v>
      </c>
      <c r="T542" t="s">
        <v>718</v>
      </c>
      <c r="U542" t="s">
        <v>728</v>
      </c>
      <c r="V542" t="s">
        <v>1292</v>
      </c>
      <c r="W542">
        <v>802.32</v>
      </c>
      <c r="X542">
        <f>Table1[[#This Row],[UnitCost]]*(1+'scenario modeling'!$B$3)</f>
        <v>882.55200000000013</v>
      </c>
      <c r="Y542">
        <v>602.34</v>
      </c>
      <c r="Z542" t="str">
        <f>IF(Table1[[#This Row],[UnitPrice]]&lt;=Quantiles!$B$2,Quantiles!$A$2,IF(Table1[[#This Row],[UnitPrice]]&lt;=Quantiles!$B$3,Quantiles!$A$3,Quantiles!$A$4))</f>
        <v>Low</v>
      </c>
      <c r="AA542">
        <v>0.12</v>
      </c>
      <c r="AB542" s="5">
        <f>MIN(Table1[[#This Row],[DiscountPct]],'scenario modeling'!$B$2)</f>
        <v>0.1</v>
      </c>
      <c r="AC542" t="str">
        <f>IF(Table1[[#This Row],[DiscountPct]]&gt;0.3, "&gt;0.3","")</f>
        <v/>
      </c>
      <c r="AD542">
        <v>25</v>
      </c>
      <c r="AE542">
        <f>Table1[[#This Row],[Quantity]]*(1+'scenario modeling'!$B$4)</f>
        <v>30</v>
      </c>
      <c r="AF542">
        <f>Table1[[#This Row],[UnitCost]]*Table1[[#This Row],[Quantity]]</f>
        <v>20058</v>
      </c>
      <c r="AG542">
        <f>SUMIF($U:U,Table1[[#This Row],[ProductCategory]],$AM:AM)</f>
        <v>1616102.6546600002</v>
      </c>
      <c r="AH542">
        <f>SUMIFS($AM$2:AM542,$U$2:U542,U542)</f>
        <v>177619.03820000001</v>
      </c>
      <c r="AI542" s="5">
        <f>Table1[[#This Row],[Cumulative_revenue]]/Table1[[#This Row],[Category_revenue]]</f>
        <v>0.10990578951642645</v>
      </c>
      <c r="AJ542" t="str">
        <f>IF(Table1[[#This Row],[cumulative_pct]]&lt;=0.8,"A",IF(Table1[[#This Row],[cumulative_pct]]&lt;=0.95,"B","C"))</f>
        <v>A</v>
      </c>
      <c r="AK542">
        <f>Table1[[#This Row],[adj_unit_cost]]*Table1[[#This Row],[scenario_quantity]]</f>
        <v>26476.560000000005</v>
      </c>
      <c r="AL542" s="5">
        <f>Table1[[#This Row],[UnitPrice]]*Table1[[#This Row],[scenario_quantity]]*(1-Table1[[#This Row],[cap_adjusted_discount]])</f>
        <v>16263.18</v>
      </c>
      <c r="AM542" s="5">
        <f>Table1[[#This Row],[UnitPrice]]*Table1[[#This Row],[Quantity]]*(1-Table1[[#This Row],[DiscountPct]])</f>
        <v>13251.48</v>
      </c>
      <c r="AN542" s="5">
        <f>Table1[[#This Row],[gross_revenue]]-Table1[[#This Row],[cost_of_goods]]</f>
        <v>-6806.52</v>
      </c>
      <c r="AO542" s="5">
        <f>Table1[[#This Row],[scenario_revenue]]-Table1[[#This Row],[Scenario_unit_cost]]</f>
        <v>-10213.380000000005</v>
      </c>
      <c r="AP542" s="5">
        <f>IF(Table1[[#This Row],[gross_revenue]]=0,0,Table1[[#This Row],[gross_profit]]/Table1[[#This Row],[gross_revenue]])</f>
        <v>-0.51364224977134632</v>
      </c>
    </row>
    <row r="543" spans="1:42" x14ac:dyDescent="0.35">
      <c r="A543" t="s">
        <v>168</v>
      </c>
      <c r="B543" t="str">
        <f>_xlfn.TEXTAFTER(Table1[[#This Row],[OrderID]],"-",2)</f>
        <v>201376</v>
      </c>
      <c r="C543">
        <f>YEAR(Table1[[#This Row],[OrderDate]])</f>
        <v>2024</v>
      </c>
      <c r="D543" s="9">
        <f>_xlfn.MINIFS(F:F,P:P,Table1[[#This Row],[Country]])</f>
        <v>44946</v>
      </c>
      <c r="E543" s="7">
        <f>DATEDIF(Table1[[#This Row],[first_time_orders]],Table1[[#This Row],[OrderDate]],"m")</f>
        <v>12</v>
      </c>
      <c r="F543" s="9">
        <v>45340</v>
      </c>
      <c r="G543" s="2" t="str">
        <f>TEXT(Table1[[#This Row],[OrderDate]],"MMM-YYYY")</f>
        <v>Feb-2024</v>
      </c>
      <c r="H543" s="7">
        <f>MONTH(Table1[[#This Row],[OrderDate]])</f>
        <v>2</v>
      </c>
      <c r="I543" s="7" t="str">
        <f>"Q"&amp;ROUNDUP(Table1[[#This Row],[months]]/3,0)&amp;"-"&amp;Table1[[#This Row],[order_year]]</f>
        <v>Q1-2024</v>
      </c>
      <c r="J543" s="7">
        <f>Table1[[#This Row],[RequiredDate]]-Table1[[#This Row],[OrderDate]]</f>
        <v>15</v>
      </c>
      <c r="K543" s="7">
        <f>IF(Table1[[#This Row],[lead_time]]&lt;0,MEDIAN(J:J),Table1[[#This Row],[lead_time]])</f>
        <v>15</v>
      </c>
      <c r="L543" s="7">
        <f>IF(Table1[[#This Row],[adj_lead_time]]&lt;=7,1,0)</f>
        <v>0</v>
      </c>
      <c r="M543" s="9">
        <v>45355</v>
      </c>
      <c r="N543" s="9">
        <f>IF(Table1[[#This Row],[lead_time]]&lt;0,(Table1[[#This Row],[OrderDate]]+Table1[[#This Row],[adj_lead_time]]),Table1[[#This Row],[RequiredDate]])</f>
        <v>45355</v>
      </c>
      <c r="O543" t="s">
        <v>646</v>
      </c>
      <c r="P543" t="s">
        <v>650</v>
      </c>
      <c r="Q543" t="s">
        <v>662</v>
      </c>
      <c r="R543" t="s">
        <v>702</v>
      </c>
      <c r="S543" t="s">
        <v>711</v>
      </c>
      <c r="T543" t="s">
        <v>723</v>
      </c>
      <c r="U543" t="s">
        <v>728</v>
      </c>
      <c r="V543" t="s">
        <v>887</v>
      </c>
      <c r="W543">
        <v>928.68</v>
      </c>
      <c r="X543">
        <f>Table1[[#This Row],[UnitCost]]*(1+'scenario modeling'!$B$3)</f>
        <v>1021.548</v>
      </c>
      <c r="Y543">
        <v>2145.17</v>
      </c>
      <c r="Z543" t="str">
        <f>IF(Table1[[#This Row],[UnitPrice]]&lt;=Quantiles!$B$2,Quantiles!$A$2,IF(Table1[[#This Row],[UnitPrice]]&lt;=Quantiles!$B$3,Quantiles!$A$3,Quantiles!$A$4))</f>
        <v>High</v>
      </c>
      <c r="AA543">
        <v>0.13600000000000001</v>
      </c>
      <c r="AB543" s="5">
        <f>MIN(Table1[[#This Row],[DiscountPct]],'scenario modeling'!$B$2)</f>
        <v>0.1</v>
      </c>
      <c r="AC543" t="str">
        <f>IF(Table1[[#This Row],[DiscountPct]]&gt;0.3, "&gt;0.3","")</f>
        <v/>
      </c>
      <c r="AD543">
        <v>16</v>
      </c>
      <c r="AE543">
        <f>Table1[[#This Row],[Quantity]]*(1+'scenario modeling'!$B$4)</f>
        <v>19.2</v>
      </c>
      <c r="AF543">
        <f>Table1[[#This Row],[UnitCost]]*Table1[[#This Row],[Quantity]]</f>
        <v>14858.88</v>
      </c>
      <c r="AG543">
        <f>SUMIF($U:U,Table1[[#This Row],[ProductCategory]],$AM:AM)</f>
        <v>1616102.6546600002</v>
      </c>
      <c r="AH543">
        <f>SUMIFS($AM$2:AM543,$U$2:U543,U543)</f>
        <v>207273.86828</v>
      </c>
      <c r="AI543" s="5">
        <f>Table1[[#This Row],[Cumulative_revenue]]/Table1[[#This Row],[Category_revenue]]</f>
        <v>0.12825538506624556</v>
      </c>
      <c r="AJ543" t="str">
        <f>IF(Table1[[#This Row],[cumulative_pct]]&lt;=0.8,"A",IF(Table1[[#This Row],[cumulative_pct]]&lt;=0.95,"B","C"))</f>
        <v>A</v>
      </c>
      <c r="AK543">
        <f>Table1[[#This Row],[adj_unit_cost]]*Table1[[#This Row],[scenario_quantity]]</f>
        <v>19613.721600000001</v>
      </c>
      <c r="AL543" s="5">
        <f>Table1[[#This Row],[UnitPrice]]*Table1[[#This Row],[scenario_quantity]]*(1-Table1[[#This Row],[cap_adjusted_discount]])</f>
        <v>37068.537600000003</v>
      </c>
      <c r="AM543" s="5">
        <f>Table1[[#This Row],[UnitPrice]]*Table1[[#This Row],[Quantity]]*(1-Table1[[#This Row],[DiscountPct]])</f>
        <v>29654.83008</v>
      </c>
      <c r="AN543" s="5">
        <f>Table1[[#This Row],[gross_revenue]]-Table1[[#This Row],[cost_of_goods]]</f>
        <v>14795.950080000001</v>
      </c>
      <c r="AO543" s="5">
        <f>Table1[[#This Row],[scenario_revenue]]-Table1[[#This Row],[Scenario_unit_cost]]</f>
        <v>17454.816000000003</v>
      </c>
      <c r="AP543" s="5">
        <f>IF(Table1[[#This Row],[gross_revenue]]=0,0,Table1[[#This Row],[gross_profit]]/Table1[[#This Row],[gross_revenue]])</f>
        <v>0.49893896003062177</v>
      </c>
    </row>
    <row r="544" spans="1:42" x14ac:dyDescent="0.35">
      <c r="A544" t="s">
        <v>373</v>
      </c>
      <c r="B544" t="str">
        <f>_xlfn.TEXTAFTER(Table1[[#This Row],[OrderID]],"-",2)</f>
        <v>892173</v>
      </c>
      <c r="C544">
        <f>YEAR(Table1[[#This Row],[OrderDate]])</f>
        <v>2024</v>
      </c>
      <c r="D544" s="9">
        <f>_xlfn.MINIFS(F:F,P:P,Table1[[#This Row],[Country]])</f>
        <v>44933</v>
      </c>
      <c r="E544" s="7">
        <f>DATEDIF(Table1[[#This Row],[first_time_orders]],Table1[[#This Row],[OrderDate]],"m")</f>
        <v>12</v>
      </c>
      <c r="F544" s="9">
        <v>45309</v>
      </c>
      <c r="G544" s="2" t="str">
        <f>TEXT(Table1[[#This Row],[OrderDate]],"MMM-YYYY")</f>
        <v>Jan-2024</v>
      </c>
      <c r="H544" s="7">
        <f>MONTH(Table1[[#This Row],[OrderDate]])</f>
        <v>1</v>
      </c>
      <c r="I544" s="7" t="str">
        <f>"Q"&amp;ROUNDUP(Table1[[#This Row],[months]]/3,0)&amp;"-"&amp;Table1[[#This Row],[order_year]]</f>
        <v>Q1-2024</v>
      </c>
      <c r="J544" s="7">
        <f>Table1[[#This Row],[RequiredDate]]-Table1[[#This Row],[OrderDate]]</f>
        <v>16</v>
      </c>
      <c r="K544" s="7">
        <f>IF(Table1[[#This Row],[lead_time]]&lt;0,MEDIAN(J:J),Table1[[#This Row],[lead_time]])</f>
        <v>16</v>
      </c>
      <c r="L544" s="7">
        <f>IF(Table1[[#This Row],[adj_lead_time]]&lt;=7,1,0)</f>
        <v>0</v>
      </c>
      <c r="M544" s="9">
        <v>45325</v>
      </c>
      <c r="N544" s="9">
        <f>IF(Table1[[#This Row],[lead_time]]&lt;0,(Table1[[#This Row],[OrderDate]]+Table1[[#This Row],[adj_lead_time]]),Table1[[#This Row],[RequiredDate]])</f>
        <v>45325</v>
      </c>
      <c r="O544" t="s">
        <v>646</v>
      </c>
      <c r="P544" t="s">
        <v>661</v>
      </c>
      <c r="Q544" t="s">
        <v>695</v>
      </c>
      <c r="R544" t="s">
        <v>703</v>
      </c>
      <c r="S544" t="s">
        <v>710</v>
      </c>
      <c r="T544" t="s">
        <v>716</v>
      </c>
      <c r="U544" t="s">
        <v>728</v>
      </c>
      <c r="V544" t="s">
        <v>1093</v>
      </c>
      <c r="W544">
        <v>666.23</v>
      </c>
      <c r="X544">
        <f>Table1[[#This Row],[UnitCost]]*(1+'scenario modeling'!$B$3)</f>
        <v>732.85300000000007</v>
      </c>
      <c r="Y544">
        <v>1382.91</v>
      </c>
      <c r="Z544" t="str">
        <f>IF(Table1[[#This Row],[UnitPrice]]&lt;=Quantiles!$B$2,Quantiles!$A$2,IF(Table1[[#This Row],[UnitPrice]]&lt;=Quantiles!$B$3,Quantiles!$A$3,Quantiles!$A$4))</f>
        <v>Medium</v>
      </c>
      <c r="AA544">
        <v>0.17599999999999999</v>
      </c>
      <c r="AB544" s="5">
        <f>MIN(Table1[[#This Row],[DiscountPct]],'scenario modeling'!$B$2)</f>
        <v>0.1</v>
      </c>
      <c r="AC544" t="str">
        <f>IF(Table1[[#This Row],[DiscountPct]]&gt;0.3, "&gt;0.3","")</f>
        <v/>
      </c>
      <c r="AD544">
        <v>13</v>
      </c>
      <c r="AE544">
        <f>Table1[[#This Row],[Quantity]]*(1+'scenario modeling'!$B$4)</f>
        <v>15.6</v>
      </c>
      <c r="AF544">
        <f>Table1[[#This Row],[UnitCost]]*Table1[[#This Row],[Quantity]]</f>
        <v>8660.99</v>
      </c>
      <c r="AG544">
        <f>SUMIF($U:U,Table1[[#This Row],[ProductCategory]],$AM:AM)</f>
        <v>1616102.6546600002</v>
      </c>
      <c r="AH544">
        <f>SUMIFS($AM$2:AM544,$U$2:U544,U544)</f>
        <v>222087.60019999999</v>
      </c>
      <c r="AI544" s="5">
        <f>Table1[[#This Row],[Cumulative_revenue]]/Table1[[#This Row],[Category_revenue]]</f>
        <v>0.1374217161017679</v>
      </c>
      <c r="AJ544" t="str">
        <f>IF(Table1[[#This Row],[cumulative_pct]]&lt;=0.8,"A",IF(Table1[[#This Row],[cumulative_pct]]&lt;=0.95,"B","C"))</f>
        <v>A</v>
      </c>
      <c r="AK544">
        <f>Table1[[#This Row],[adj_unit_cost]]*Table1[[#This Row],[scenario_quantity]]</f>
        <v>11432.506800000001</v>
      </c>
      <c r="AL544" s="5">
        <f>Table1[[#This Row],[UnitPrice]]*Table1[[#This Row],[scenario_quantity]]*(1-Table1[[#This Row],[cap_adjusted_discount]])</f>
        <v>19416.056400000001</v>
      </c>
      <c r="AM544" s="5">
        <f>Table1[[#This Row],[UnitPrice]]*Table1[[#This Row],[Quantity]]*(1-Table1[[#This Row],[DiscountPct]])</f>
        <v>14813.731920000002</v>
      </c>
      <c r="AN544" s="5">
        <f>Table1[[#This Row],[gross_revenue]]-Table1[[#This Row],[cost_of_goods]]</f>
        <v>6152.7419200000022</v>
      </c>
      <c r="AO544" s="5">
        <f>Table1[[#This Row],[scenario_revenue]]-Table1[[#This Row],[Scenario_unit_cost]]</f>
        <v>7983.5496000000003</v>
      </c>
      <c r="AP544" s="5">
        <f>IF(Table1[[#This Row],[gross_revenue]]=0,0,Table1[[#This Row],[gross_profit]]/Table1[[#This Row],[gross_revenue]])</f>
        <v>0.41534043907553048</v>
      </c>
    </row>
    <row r="545" spans="1:42" x14ac:dyDescent="0.35">
      <c r="A545" t="s">
        <v>351</v>
      </c>
      <c r="B545" t="str">
        <f>_xlfn.TEXTAFTER(Table1[[#This Row],[OrderID]],"-",2)</f>
        <v>129345</v>
      </c>
      <c r="C545">
        <f>YEAR(Table1[[#This Row],[OrderDate]])</f>
        <v>2024</v>
      </c>
      <c r="D545" s="9">
        <f>_xlfn.MINIFS(F:F,P:P,Table1[[#This Row],[Country]])</f>
        <v>44955</v>
      </c>
      <c r="E545" s="7">
        <f>DATEDIF(Table1[[#This Row],[first_time_orders]],Table1[[#This Row],[OrderDate]],"m")</f>
        <v>12</v>
      </c>
      <c r="F545" s="9">
        <v>45340</v>
      </c>
      <c r="G545" s="2" t="str">
        <f>TEXT(Table1[[#This Row],[OrderDate]],"MMM-YYYY")</f>
        <v>Feb-2024</v>
      </c>
      <c r="H545" s="7">
        <f>MONTH(Table1[[#This Row],[OrderDate]])</f>
        <v>2</v>
      </c>
      <c r="I545" s="7" t="str">
        <f>"Q"&amp;ROUNDUP(Table1[[#This Row],[months]]/3,0)&amp;"-"&amp;Table1[[#This Row],[order_year]]</f>
        <v>Q1-2024</v>
      </c>
      <c r="J545" s="7">
        <f>Table1[[#This Row],[RequiredDate]]-Table1[[#This Row],[OrderDate]]</f>
        <v>14</v>
      </c>
      <c r="K545" s="7">
        <f>IF(Table1[[#This Row],[lead_time]]&lt;0,MEDIAN(J:J),Table1[[#This Row],[lead_time]])</f>
        <v>14</v>
      </c>
      <c r="L545" s="7">
        <f>IF(Table1[[#This Row],[adj_lead_time]]&lt;=7,1,0)</f>
        <v>0</v>
      </c>
      <c r="M545" s="9">
        <v>45354</v>
      </c>
      <c r="N545" s="9">
        <f>IF(Table1[[#This Row],[lead_time]]&lt;0,(Table1[[#This Row],[OrderDate]]+Table1[[#This Row],[adj_lead_time]]),Table1[[#This Row],[RequiredDate]])</f>
        <v>45354</v>
      </c>
      <c r="O545" t="s">
        <v>648</v>
      </c>
      <c r="P545" t="s">
        <v>655</v>
      </c>
      <c r="Q545" t="s">
        <v>672</v>
      </c>
      <c r="R545" t="s">
        <v>706</v>
      </c>
      <c r="S545" t="s">
        <v>710</v>
      </c>
      <c r="T545" t="s">
        <v>720</v>
      </c>
      <c r="U545" t="s">
        <v>728</v>
      </c>
      <c r="V545" t="s">
        <v>1071</v>
      </c>
      <c r="W545">
        <v>624.23</v>
      </c>
      <c r="X545">
        <f>Table1[[#This Row],[UnitCost]]*(1+'scenario modeling'!$B$3)</f>
        <v>686.65300000000002</v>
      </c>
      <c r="Y545">
        <v>1318.37</v>
      </c>
      <c r="Z545" t="str">
        <f>IF(Table1[[#This Row],[UnitPrice]]&lt;=Quantiles!$B$2,Quantiles!$A$2,IF(Table1[[#This Row],[UnitPrice]]&lt;=Quantiles!$B$3,Quantiles!$A$3,Quantiles!$A$4))</f>
        <v>Medium</v>
      </c>
      <c r="AA545">
        <v>0.21</v>
      </c>
      <c r="AB545" s="5">
        <f>MIN(Table1[[#This Row],[DiscountPct]],'scenario modeling'!$B$2)</f>
        <v>0.1</v>
      </c>
      <c r="AC545" t="str">
        <f>IF(Table1[[#This Row],[DiscountPct]]&gt;0.3, "&gt;0.3","")</f>
        <v/>
      </c>
      <c r="AD545">
        <v>37</v>
      </c>
      <c r="AE545">
        <f>Table1[[#This Row],[Quantity]]*(1+'scenario modeling'!$B$4)</f>
        <v>44.4</v>
      </c>
      <c r="AF545">
        <f>Table1[[#This Row],[UnitCost]]*Table1[[#This Row],[Quantity]]</f>
        <v>23096.510000000002</v>
      </c>
      <c r="AG545">
        <f>SUMIF($U:U,Table1[[#This Row],[ProductCategory]],$AM:AM)</f>
        <v>1616102.6546600002</v>
      </c>
      <c r="AH545">
        <f>SUMIFS($AM$2:AM545,$U$2:U545,U545)</f>
        <v>260623.55529999998</v>
      </c>
      <c r="AI545" s="5">
        <f>Table1[[#This Row],[Cumulative_revenue]]/Table1[[#This Row],[Category_revenue]]</f>
        <v>0.16126670824312866</v>
      </c>
      <c r="AJ545" t="str">
        <f>IF(Table1[[#This Row],[cumulative_pct]]&lt;=0.8,"A",IF(Table1[[#This Row],[cumulative_pct]]&lt;=0.95,"B","C"))</f>
        <v>A</v>
      </c>
      <c r="AK545">
        <f>Table1[[#This Row],[adj_unit_cost]]*Table1[[#This Row],[scenario_quantity]]</f>
        <v>30487.393199999999</v>
      </c>
      <c r="AL545" s="5">
        <f>Table1[[#This Row],[UnitPrice]]*Table1[[#This Row],[scenario_quantity]]*(1-Table1[[#This Row],[cap_adjusted_discount]])</f>
        <v>52682.06519999999</v>
      </c>
      <c r="AM545" s="5">
        <f>Table1[[#This Row],[UnitPrice]]*Table1[[#This Row],[Quantity]]*(1-Table1[[#This Row],[DiscountPct]])</f>
        <v>38535.955099999999</v>
      </c>
      <c r="AN545" s="5">
        <f>Table1[[#This Row],[gross_revenue]]-Table1[[#This Row],[cost_of_goods]]</f>
        <v>15439.445099999997</v>
      </c>
      <c r="AO545" s="5">
        <f>Table1[[#This Row],[scenario_revenue]]-Table1[[#This Row],[Scenario_unit_cost]]</f>
        <v>22194.671999999991</v>
      </c>
      <c r="AP545" s="5">
        <f>IF(Table1[[#This Row],[gross_revenue]]=0,0,Table1[[#This Row],[gross_profit]]/Table1[[#This Row],[gross_revenue]])</f>
        <v>0.40065038118128793</v>
      </c>
    </row>
    <row r="546" spans="1:42" x14ac:dyDescent="0.35">
      <c r="A546" t="s">
        <v>625</v>
      </c>
      <c r="B546" t="str">
        <f>_xlfn.TEXTAFTER(Table1[[#This Row],[OrderID]],"-",2)</f>
        <v>331408</v>
      </c>
      <c r="C546">
        <f>YEAR(Table1[[#This Row],[OrderDate]])</f>
        <v>2024</v>
      </c>
      <c r="D546" s="9">
        <f>_xlfn.MINIFS(F:F,P:P,Table1[[#This Row],[Country]])</f>
        <v>44939</v>
      </c>
      <c r="E546" s="7">
        <f>DATEDIF(Table1[[#This Row],[first_time_orders]],Table1[[#This Row],[OrderDate]],"m")</f>
        <v>12</v>
      </c>
      <c r="F546" s="9">
        <v>45323</v>
      </c>
      <c r="G546" s="2" t="str">
        <f>TEXT(Table1[[#This Row],[OrderDate]],"MMM-YYYY")</f>
        <v>Feb-2024</v>
      </c>
      <c r="H546" s="7">
        <f>MONTH(Table1[[#This Row],[OrderDate]])</f>
        <v>2</v>
      </c>
      <c r="I546" s="7" t="str">
        <f>"Q"&amp;ROUNDUP(Table1[[#This Row],[months]]/3,0)&amp;"-"&amp;Table1[[#This Row],[order_year]]</f>
        <v>Q1-2024</v>
      </c>
      <c r="J546" s="7">
        <f>Table1[[#This Row],[RequiredDate]]-Table1[[#This Row],[OrderDate]]</f>
        <v>0</v>
      </c>
      <c r="K546" s="7">
        <f>IF(Table1[[#This Row],[lead_time]]&lt;0,MEDIAN(J:J),Table1[[#This Row],[lead_time]])</f>
        <v>0</v>
      </c>
      <c r="L546" s="7">
        <f>IF(Table1[[#This Row],[adj_lead_time]]&lt;=7,1,0)</f>
        <v>1</v>
      </c>
      <c r="M546" s="9">
        <v>45323</v>
      </c>
      <c r="N546" s="9">
        <f>IF(Table1[[#This Row],[lead_time]]&lt;0,(Table1[[#This Row],[OrderDate]]+Table1[[#This Row],[adj_lead_time]]),Table1[[#This Row],[RequiredDate]])</f>
        <v>45323</v>
      </c>
      <c r="O546" t="s">
        <v>648</v>
      </c>
      <c r="P546" t="s">
        <v>660</v>
      </c>
      <c r="Q546" t="s">
        <v>697</v>
      </c>
      <c r="R546" t="s">
        <v>704</v>
      </c>
      <c r="S546" t="s">
        <v>710</v>
      </c>
      <c r="T546" t="s">
        <v>722</v>
      </c>
      <c r="U546" t="s">
        <v>728</v>
      </c>
      <c r="V546" t="s">
        <v>1343</v>
      </c>
      <c r="W546">
        <v>714.43</v>
      </c>
      <c r="X546">
        <f>Table1[[#This Row],[UnitCost]]*(1+'scenario modeling'!$B$3)</f>
        <v>785.87300000000005</v>
      </c>
      <c r="Y546">
        <v>1595.52</v>
      </c>
      <c r="Z546" t="str">
        <f>IF(Table1[[#This Row],[UnitPrice]]&lt;=Quantiles!$B$2,Quantiles!$A$2,IF(Table1[[#This Row],[UnitPrice]]&lt;=Quantiles!$B$3,Quantiles!$A$3,Quantiles!$A$4))</f>
        <v>Medium</v>
      </c>
      <c r="AA546">
        <v>0.19400000000000001</v>
      </c>
      <c r="AB546" s="5">
        <f>MIN(Table1[[#This Row],[DiscountPct]],'scenario modeling'!$B$2)</f>
        <v>0.1</v>
      </c>
      <c r="AC546" t="str">
        <f>IF(Table1[[#This Row],[DiscountPct]]&gt;0.3, "&gt;0.3","")</f>
        <v/>
      </c>
      <c r="AD546">
        <v>14</v>
      </c>
      <c r="AE546">
        <f>Table1[[#This Row],[Quantity]]*(1+'scenario modeling'!$B$4)</f>
        <v>16.8</v>
      </c>
      <c r="AF546">
        <f>Table1[[#This Row],[UnitCost]]*Table1[[#This Row],[Quantity]]</f>
        <v>10002.019999999999</v>
      </c>
      <c r="AG546">
        <f>SUMIF($U:U,Table1[[#This Row],[ProductCategory]],$AM:AM)</f>
        <v>1616102.6546600002</v>
      </c>
      <c r="AH546">
        <f>SUMIFS($AM$2:AM546,$U$2:U546,U546)</f>
        <v>278627.40297999996</v>
      </c>
      <c r="AI546" s="5">
        <f>Table1[[#This Row],[Cumulative_revenue]]/Table1[[#This Row],[Category_revenue]]</f>
        <v>0.17240699541986601</v>
      </c>
      <c r="AJ546" t="str">
        <f>IF(Table1[[#This Row],[cumulative_pct]]&lt;=0.8,"A",IF(Table1[[#This Row],[cumulative_pct]]&lt;=0.95,"B","C"))</f>
        <v>A</v>
      </c>
      <c r="AK546">
        <f>Table1[[#This Row],[adj_unit_cost]]*Table1[[#This Row],[scenario_quantity]]</f>
        <v>13202.666400000002</v>
      </c>
      <c r="AL546" s="5">
        <f>Table1[[#This Row],[UnitPrice]]*Table1[[#This Row],[scenario_quantity]]*(1-Table1[[#This Row],[cap_adjusted_discount]])</f>
        <v>24124.2624</v>
      </c>
      <c r="AM546" s="5">
        <f>Table1[[#This Row],[UnitPrice]]*Table1[[#This Row],[Quantity]]*(1-Table1[[#This Row],[DiscountPct]])</f>
        <v>18003.847679999999</v>
      </c>
      <c r="AN546" s="5">
        <f>Table1[[#This Row],[gross_revenue]]-Table1[[#This Row],[cost_of_goods]]</f>
        <v>8001.8276800000003</v>
      </c>
      <c r="AO546" s="5">
        <f>Table1[[#This Row],[scenario_revenue]]-Table1[[#This Row],[Scenario_unit_cost]]</f>
        <v>10921.595999999998</v>
      </c>
      <c r="AP546" s="5">
        <f>IF(Table1[[#This Row],[gross_revenue]]=0,0,Table1[[#This Row],[gross_profit]]/Table1[[#This Row],[gross_revenue]])</f>
        <v>0.44445097638151093</v>
      </c>
    </row>
    <row r="547" spans="1:42" x14ac:dyDescent="0.35">
      <c r="A547" t="s">
        <v>28</v>
      </c>
      <c r="B547" t="str">
        <f>_xlfn.TEXTAFTER(Table1[[#This Row],[OrderID]],"-",2)</f>
        <v>890180</v>
      </c>
      <c r="C547">
        <f>YEAR(Table1[[#This Row],[OrderDate]])</f>
        <v>2024</v>
      </c>
      <c r="D547" s="9">
        <f>_xlfn.MINIFS(F:F,P:P,Table1[[#This Row],[Country]])</f>
        <v>44936</v>
      </c>
      <c r="E547" s="7">
        <f>DATEDIF(Table1[[#This Row],[first_time_orders]],Table1[[#This Row],[OrderDate]],"m")</f>
        <v>12</v>
      </c>
      <c r="F547" s="9">
        <v>45311</v>
      </c>
      <c r="G547" s="2" t="str">
        <f>TEXT(Table1[[#This Row],[OrderDate]],"MMM-YYYY")</f>
        <v>Jan-2024</v>
      </c>
      <c r="H547" s="7">
        <f>MONTH(Table1[[#This Row],[OrderDate]])</f>
        <v>1</v>
      </c>
      <c r="I547" s="7" t="str">
        <f>"Q"&amp;ROUNDUP(Table1[[#This Row],[months]]/3,0)&amp;"-"&amp;Table1[[#This Row],[order_year]]</f>
        <v>Q1-2024</v>
      </c>
      <c r="J547" s="7">
        <f>Table1[[#This Row],[RequiredDate]]-Table1[[#This Row],[OrderDate]]</f>
        <v>24</v>
      </c>
      <c r="K547" s="7">
        <f>IF(Table1[[#This Row],[lead_time]]&lt;0,MEDIAN(J:J),Table1[[#This Row],[lead_time]])</f>
        <v>24</v>
      </c>
      <c r="L547" s="7">
        <f>IF(Table1[[#This Row],[adj_lead_time]]&lt;=7,1,0)</f>
        <v>0</v>
      </c>
      <c r="M547" s="9">
        <v>45335</v>
      </c>
      <c r="N547" s="9">
        <f>IF(Table1[[#This Row],[lead_time]]&lt;0,(Table1[[#This Row],[OrderDate]]+Table1[[#This Row],[adj_lead_time]]),Table1[[#This Row],[RequiredDate]])</f>
        <v>45335</v>
      </c>
      <c r="O547" t="s">
        <v>649</v>
      </c>
      <c r="P547" t="s">
        <v>657</v>
      </c>
      <c r="Q547" t="s">
        <v>673</v>
      </c>
      <c r="R547" t="s">
        <v>701</v>
      </c>
      <c r="S547" t="s">
        <v>707</v>
      </c>
      <c r="T547" t="s">
        <v>722</v>
      </c>
      <c r="U547" t="s">
        <v>728</v>
      </c>
      <c r="V547" t="s">
        <v>747</v>
      </c>
      <c r="W547">
        <v>643.53</v>
      </c>
      <c r="X547">
        <f>Table1[[#This Row],[UnitCost]]*(1+'scenario modeling'!$B$3)</f>
        <v>707.88300000000004</v>
      </c>
      <c r="Y547">
        <v>1439.01</v>
      </c>
      <c r="Z547" t="str">
        <f>IF(Table1[[#This Row],[UnitPrice]]&lt;=Quantiles!$B$2,Quantiles!$A$2,IF(Table1[[#This Row],[UnitPrice]]&lt;=Quantiles!$B$3,Quantiles!$A$3,Quantiles!$A$4))</f>
        <v>Medium</v>
      </c>
      <c r="AA547">
        <v>0</v>
      </c>
      <c r="AB547" s="5">
        <f>MIN(Table1[[#This Row],[DiscountPct]],'scenario modeling'!$B$2)</f>
        <v>0</v>
      </c>
      <c r="AC547" t="str">
        <f>IF(Table1[[#This Row],[DiscountPct]]&gt;0.3, "&gt;0.3","")</f>
        <v/>
      </c>
      <c r="AD547">
        <v>15</v>
      </c>
      <c r="AE547">
        <f>Table1[[#This Row],[Quantity]]*(1+'scenario modeling'!$B$4)</f>
        <v>18</v>
      </c>
      <c r="AF547">
        <f>Table1[[#This Row],[UnitCost]]*Table1[[#This Row],[Quantity]]</f>
        <v>9652.9499999999989</v>
      </c>
      <c r="AG547">
        <f>SUMIF($U:U,Table1[[#This Row],[ProductCategory]],$AM:AM)</f>
        <v>1616102.6546600002</v>
      </c>
      <c r="AH547">
        <f>SUMIFS($AM$2:AM547,$U$2:U547,U547)</f>
        <v>300212.55297999998</v>
      </c>
      <c r="AI547" s="5">
        <f>Table1[[#This Row],[Cumulative_revenue]]/Table1[[#This Row],[Category_revenue]]</f>
        <v>0.18576329425259155</v>
      </c>
      <c r="AJ547" t="str">
        <f>IF(Table1[[#This Row],[cumulative_pct]]&lt;=0.8,"A",IF(Table1[[#This Row],[cumulative_pct]]&lt;=0.95,"B","C"))</f>
        <v>A</v>
      </c>
      <c r="AK547">
        <f>Table1[[#This Row],[adj_unit_cost]]*Table1[[#This Row],[scenario_quantity]]</f>
        <v>12741.894</v>
      </c>
      <c r="AL547" s="5">
        <f>Table1[[#This Row],[UnitPrice]]*Table1[[#This Row],[scenario_quantity]]*(1-Table1[[#This Row],[cap_adjusted_discount]])</f>
        <v>25902.18</v>
      </c>
      <c r="AM547" s="5">
        <f>Table1[[#This Row],[UnitPrice]]*Table1[[#This Row],[Quantity]]*(1-Table1[[#This Row],[DiscountPct]])</f>
        <v>21585.15</v>
      </c>
      <c r="AN547" s="5">
        <f>Table1[[#This Row],[gross_revenue]]-Table1[[#This Row],[cost_of_goods]]</f>
        <v>11932.200000000003</v>
      </c>
      <c r="AO547" s="5">
        <f>Table1[[#This Row],[scenario_revenue]]-Table1[[#This Row],[Scenario_unit_cost]]</f>
        <v>13160.286</v>
      </c>
      <c r="AP547" s="5">
        <f>IF(Table1[[#This Row],[gross_revenue]]=0,0,Table1[[#This Row],[gross_profit]]/Table1[[#This Row],[gross_revenue]])</f>
        <v>0.55279671440782208</v>
      </c>
    </row>
    <row r="548" spans="1:42" x14ac:dyDescent="0.35">
      <c r="A548" t="s">
        <v>283</v>
      </c>
      <c r="B548" t="str">
        <f>_xlfn.TEXTAFTER(Table1[[#This Row],[OrderID]],"-",2)</f>
        <v>885858</v>
      </c>
      <c r="C548">
        <f>YEAR(Table1[[#This Row],[OrderDate]])</f>
        <v>2024</v>
      </c>
      <c r="D548" s="9">
        <f>_xlfn.MINIFS(F:F,P:P,Table1[[#This Row],[Country]])</f>
        <v>44936</v>
      </c>
      <c r="E548" s="7">
        <f>DATEDIF(Table1[[#This Row],[first_time_orders]],Table1[[#This Row],[OrderDate]],"m")</f>
        <v>12</v>
      </c>
      <c r="F548" s="9">
        <v>45301</v>
      </c>
      <c r="G548" s="2" t="str">
        <f>TEXT(Table1[[#This Row],[OrderDate]],"MMM-YYYY")</f>
        <v>Jan-2024</v>
      </c>
      <c r="H548" s="7">
        <f>MONTH(Table1[[#This Row],[OrderDate]])</f>
        <v>1</v>
      </c>
      <c r="I548" s="7" t="str">
        <f>"Q"&amp;ROUNDUP(Table1[[#This Row],[months]]/3,0)&amp;"-"&amp;Table1[[#This Row],[order_year]]</f>
        <v>Q1-2024</v>
      </c>
      <c r="J548" s="7">
        <f>Table1[[#This Row],[RequiredDate]]-Table1[[#This Row],[OrderDate]]</f>
        <v>13</v>
      </c>
      <c r="K548" s="7">
        <f>IF(Table1[[#This Row],[lead_time]]&lt;0,MEDIAN(J:J),Table1[[#This Row],[lead_time]])</f>
        <v>13</v>
      </c>
      <c r="L548" s="7">
        <f>IF(Table1[[#This Row],[adj_lead_time]]&lt;=7,1,0)</f>
        <v>0</v>
      </c>
      <c r="M548" s="9">
        <v>45314</v>
      </c>
      <c r="N548" s="9">
        <f>IF(Table1[[#This Row],[lead_time]]&lt;0,(Table1[[#This Row],[OrderDate]]+Table1[[#This Row],[adj_lead_time]]),Table1[[#This Row],[RequiredDate]])</f>
        <v>45314</v>
      </c>
      <c r="O548" t="s">
        <v>649</v>
      </c>
      <c r="P548" t="s">
        <v>657</v>
      </c>
      <c r="Q548" t="s">
        <v>673</v>
      </c>
      <c r="R548" t="s">
        <v>701</v>
      </c>
      <c r="S548" t="s">
        <v>711</v>
      </c>
      <c r="T548" t="s">
        <v>720</v>
      </c>
      <c r="U548" t="s">
        <v>728</v>
      </c>
      <c r="V548" t="s">
        <v>1003</v>
      </c>
      <c r="W548">
        <v>720</v>
      </c>
      <c r="X548">
        <f>Table1[[#This Row],[UnitCost]]*(1+'scenario modeling'!$B$3)</f>
        <v>792.00000000000011</v>
      </c>
      <c r="Y548">
        <v>907.59</v>
      </c>
      <c r="Z548" t="str">
        <f>IF(Table1[[#This Row],[UnitPrice]]&lt;=Quantiles!$B$2,Quantiles!$A$2,IF(Table1[[#This Row],[UnitPrice]]&lt;=Quantiles!$B$3,Quantiles!$A$3,Quantiles!$A$4))</f>
        <v>Medium</v>
      </c>
      <c r="AA548">
        <v>0.154</v>
      </c>
      <c r="AB548" s="5">
        <f>MIN(Table1[[#This Row],[DiscountPct]],'scenario modeling'!$B$2)</f>
        <v>0.1</v>
      </c>
      <c r="AC548" t="str">
        <f>IF(Table1[[#This Row],[DiscountPct]]&gt;0.3, "&gt;0.3","")</f>
        <v/>
      </c>
      <c r="AD548">
        <v>10</v>
      </c>
      <c r="AE548">
        <f>Table1[[#This Row],[Quantity]]*(1+'scenario modeling'!$B$4)</f>
        <v>12</v>
      </c>
      <c r="AF548">
        <f>Table1[[#This Row],[UnitCost]]*Table1[[#This Row],[Quantity]]</f>
        <v>7200</v>
      </c>
      <c r="AG548">
        <f>SUMIF($U:U,Table1[[#This Row],[ProductCategory]],$AM:AM)</f>
        <v>1616102.6546600002</v>
      </c>
      <c r="AH548">
        <f>SUMIFS($AM$2:AM548,$U$2:U548,U548)</f>
        <v>307890.76437999995</v>
      </c>
      <c r="AI548" s="5">
        <f>Table1[[#This Row],[Cumulative_revenue]]/Table1[[#This Row],[Category_revenue]]</f>
        <v>0.1905143608867933</v>
      </c>
      <c r="AJ548" t="str">
        <f>IF(Table1[[#This Row],[cumulative_pct]]&lt;=0.8,"A",IF(Table1[[#This Row],[cumulative_pct]]&lt;=0.95,"B","C"))</f>
        <v>A</v>
      </c>
      <c r="AK548">
        <f>Table1[[#This Row],[adj_unit_cost]]*Table1[[#This Row],[scenario_quantity]]</f>
        <v>9504.0000000000018</v>
      </c>
      <c r="AL548" s="5">
        <f>Table1[[#This Row],[UnitPrice]]*Table1[[#This Row],[scenario_quantity]]*(1-Table1[[#This Row],[cap_adjusted_discount]])</f>
        <v>9801.9719999999998</v>
      </c>
      <c r="AM548" s="5">
        <f>Table1[[#This Row],[UnitPrice]]*Table1[[#This Row],[Quantity]]*(1-Table1[[#This Row],[DiscountPct]])</f>
        <v>7678.2113999999992</v>
      </c>
      <c r="AN548" s="5">
        <f>Table1[[#This Row],[gross_revenue]]-Table1[[#This Row],[cost_of_goods]]</f>
        <v>478.21139999999923</v>
      </c>
      <c r="AO548" s="5">
        <f>Table1[[#This Row],[scenario_revenue]]-Table1[[#This Row],[Scenario_unit_cost]]</f>
        <v>297.97199999999793</v>
      </c>
      <c r="AP548" s="5">
        <f>IF(Table1[[#This Row],[gross_revenue]]=0,0,Table1[[#This Row],[gross_profit]]/Table1[[#This Row],[gross_revenue]])</f>
        <v>6.2281614179052078E-2</v>
      </c>
    </row>
    <row r="549" spans="1:42" x14ac:dyDescent="0.35">
      <c r="A549" t="s">
        <v>438</v>
      </c>
      <c r="B549" t="str">
        <f>_xlfn.TEXTAFTER(Table1[[#This Row],[OrderID]],"-",2)</f>
        <v>468655</v>
      </c>
      <c r="C549">
        <f>YEAR(Table1[[#This Row],[OrderDate]])</f>
        <v>2024</v>
      </c>
      <c r="D549" s="9">
        <f>_xlfn.MINIFS(F:F,P:P,Table1[[#This Row],[Country]])</f>
        <v>44938</v>
      </c>
      <c r="E549" s="7">
        <f>DATEDIF(Table1[[#This Row],[first_time_orders]],Table1[[#This Row],[OrderDate]],"m")</f>
        <v>13</v>
      </c>
      <c r="F549" s="9">
        <v>45341</v>
      </c>
      <c r="G549" s="2" t="str">
        <f>TEXT(Table1[[#This Row],[OrderDate]],"MMM-YYYY")</f>
        <v>Feb-2024</v>
      </c>
      <c r="H549" s="7">
        <f>MONTH(Table1[[#This Row],[OrderDate]])</f>
        <v>2</v>
      </c>
      <c r="I549" s="7" t="str">
        <f>"Q"&amp;ROUNDUP(Table1[[#This Row],[months]]/3,0)&amp;"-"&amp;Table1[[#This Row],[order_year]]</f>
        <v>Q1-2024</v>
      </c>
      <c r="J549" s="7">
        <f>Table1[[#This Row],[RequiredDate]]-Table1[[#This Row],[OrderDate]]</f>
        <v>16</v>
      </c>
      <c r="K549" s="7">
        <f>IF(Table1[[#This Row],[lead_time]]&lt;0,MEDIAN(J:J),Table1[[#This Row],[lead_time]])</f>
        <v>16</v>
      </c>
      <c r="L549" s="7">
        <f>IF(Table1[[#This Row],[adj_lead_time]]&lt;=7,1,0)</f>
        <v>0</v>
      </c>
      <c r="M549" s="9">
        <v>45357</v>
      </c>
      <c r="N549" s="9">
        <f>IF(Table1[[#This Row],[lead_time]]&lt;0,(Table1[[#This Row],[OrderDate]]+Table1[[#This Row],[adj_lead_time]]),Table1[[#This Row],[RequiredDate]])</f>
        <v>45357</v>
      </c>
      <c r="O549" t="s">
        <v>647</v>
      </c>
      <c r="P549" t="s">
        <v>659</v>
      </c>
      <c r="Q549" t="s">
        <v>699</v>
      </c>
      <c r="R549" t="s">
        <v>702</v>
      </c>
      <c r="S549" t="s">
        <v>709</v>
      </c>
      <c r="T549" t="s">
        <v>719</v>
      </c>
      <c r="U549" t="s">
        <v>728</v>
      </c>
      <c r="V549" t="s">
        <v>1157</v>
      </c>
      <c r="W549">
        <v>1477.84</v>
      </c>
      <c r="X549">
        <f>Table1[[#This Row],[UnitCost]]*(1+'scenario modeling'!$B$3)</f>
        <v>1625.624</v>
      </c>
      <c r="Y549">
        <v>3197.47</v>
      </c>
      <c r="Z549" t="str">
        <f>IF(Table1[[#This Row],[UnitPrice]]&lt;=Quantiles!$B$2,Quantiles!$A$2,IF(Table1[[#This Row],[UnitPrice]]&lt;=Quantiles!$B$3,Quantiles!$A$3,Quantiles!$A$4))</f>
        <v>High</v>
      </c>
      <c r="AA549">
        <v>0.24299999999999999</v>
      </c>
      <c r="AB549" s="5">
        <f>MIN(Table1[[#This Row],[DiscountPct]],'scenario modeling'!$B$2)</f>
        <v>0.1</v>
      </c>
      <c r="AC549" t="str">
        <f>IF(Table1[[#This Row],[DiscountPct]]&gt;0.3, "&gt;0.3","")</f>
        <v/>
      </c>
      <c r="AD549">
        <v>24</v>
      </c>
      <c r="AE549">
        <f>Table1[[#This Row],[Quantity]]*(1+'scenario modeling'!$B$4)</f>
        <v>28.799999999999997</v>
      </c>
      <c r="AF549">
        <f>Table1[[#This Row],[UnitCost]]*Table1[[#This Row],[Quantity]]</f>
        <v>35468.159999999996</v>
      </c>
      <c r="AG549">
        <f>SUMIF($U:U,Table1[[#This Row],[ProductCategory]],$AM:AM)</f>
        <v>1616102.6546600002</v>
      </c>
      <c r="AH549">
        <f>SUMIFS($AM$2:AM549,$U$2:U549,U549)</f>
        <v>365982.39933999995</v>
      </c>
      <c r="AI549" s="5">
        <f>Table1[[#This Row],[Cumulative_revenue]]/Table1[[#This Row],[Category_revenue]]</f>
        <v>0.22645987139783286</v>
      </c>
      <c r="AJ549" t="str">
        <f>IF(Table1[[#This Row],[cumulative_pct]]&lt;=0.8,"A",IF(Table1[[#This Row],[cumulative_pct]]&lt;=0.95,"B","C"))</f>
        <v>A</v>
      </c>
      <c r="AK549">
        <f>Table1[[#This Row],[adj_unit_cost]]*Table1[[#This Row],[scenario_quantity]]</f>
        <v>46817.971199999993</v>
      </c>
      <c r="AL549" s="5">
        <f>Table1[[#This Row],[UnitPrice]]*Table1[[#This Row],[scenario_quantity]]*(1-Table1[[#This Row],[cap_adjusted_discount]])</f>
        <v>82878.422399999981</v>
      </c>
      <c r="AM549" s="5">
        <f>Table1[[#This Row],[UnitPrice]]*Table1[[#This Row],[Quantity]]*(1-Table1[[#This Row],[DiscountPct]])</f>
        <v>58091.634960000003</v>
      </c>
      <c r="AN549" s="5">
        <f>Table1[[#This Row],[gross_revenue]]-Table1[[#This Row],[cost_of_goods]]</f>
        <v>22623.474960000007</v>
      </c>
      <c r="AO549" s="5">
        <f>Table1[[#This Row],[scenario_revenue]]-Table1[[#This Row],[Scenario_unit_cost]]</f>
        <v>36060.451199999989</v>
      </c>
      <c r="AP549" s="5">
        <f>IF(Table1[[#This Row],[gross_revenue]]=0,0,Table1[[#This Row],[gross_profit]]/Table1[[#This Row],[gross_revenue]])</f>
        <v>0.38944462443823091</v>
      </c>
    </row>
    <row r="550" spans="1:42" x14ac:dyDescent="0.35">
      <c r="A550" t="s">
        <v>476</v>
      </c>
      <c r="B550" t="str">
        <f>_xlfn.TEXTAFTER(Table1[[#This Row],[OrderID]],"-",2)</f>
        <v>356812</v>
      </c>
      <c r="C550">
        <f>YEAR(Table1[[#This Row],[OrderDate]])</f>
        <v>2024</v>
      </c>
      <c r="D550" s="9">
        <f>_xlfn.MINIFS(F:F,P:P,Table1[[#This Row],[Country]])</f>
        <v>44948</v>
      </c>
      <c r="E550" s="7">
        <f>DATEDIF(Table1[[#This Row],[first_time_orders]],Table1[[#This Row],[OrderDate]],"m")</f>
        <v>13</v>
      </c>
      <c r="F550" s="9">
        <v>45358</v>
      </c>
      <c r="G550" s="2" t="str">
        <f>TEXT(Table1[[#This Row],[OrderDate]],"MMM-YYYY")</f>
        <v>Mar-2024</v>
      </c>
      <c r="H550" s="7">
        <f>MONTH(Table1[[#This Row],[OrderDate]])</f>
        <v>3</v>
      </c>
      <c r="I550" s="7" t="str">
        <f>"Q"&amp;ROUNDUP(Table1[[#This Row],[months]]/3,0)&amp;"-"&amp;Table1[[#This Row],[order_year]]</f>
        <v>Q1-2024</v>
      </c>
      <c r="J550" s="7">
        <f>Table1[[#This Row],[RequiredDate]]-Table1[[#This Row],[OrderDate]]</f>
        <v>27</v>
      </c>
      <c r="K550" s="7">
        <f>IF(Table1[[#This Row],[lead_time]]&lt;0,MEDIAN(J:J),Table1[[#This Row],[lead_time]])</f>
        <v>27</v>
      </c>
      <c r="L550" s="7">
        <f>IF(Table1[[#This Row],[adj_lead_time]]&lt;=7,1,0)</f>
        <v>0</v>
      </c>
      <c r="M550" s="9">
        <v>45385</v>
      </c>
      <c r="N550" s="9">
        <f>IF(Table1[[#This Row],[lead_time]]&lt;0,(Table1[[#This Row],[OrderDate]]+Table1[[#This Row],[adj_lead_time]]),Table1[[#This Row],[RequiredDate]])</f>
        <v>45385</v>
      </c>
      <c r="O550" t="s">
        <v>649</v>
      </c>
      <c r="P550" t="s">
        <v>656</v>
      </c>
      <c r="Q550" t="s">
        <v>698</v>
      </c>
      <c r="R550" t="s">
        <v>701</v>
      </c>
      <c r="S550" t="s">
        <v>711</v>
      </c>
      <c r="T550" t="s">
        <v>724</v>
      </c>
      <c r="U550" t="s">
        <v>728</v>
      </c>
      <c r="V550" t="s">
        <v>1195</v>
      </c>
      <c r="W550">
        <v>738.16</v>
      </c>
      <c r="X550">
        <f>Table1[[#This Row],[UnitCost]]*(1+'scenario modeling'!$B$3)</f>
        <v>811.976</v>
      </c>
      <c r="Y550">
        <v>956.49</v>
      </c>
      <c r="Z550" t="str">
        <f>IF(Table1[[#This Row],[UnitPrice]]&lt;=Quantiles!$B$2,Quantiles!$A$2,IF(Table1[[#This Row],[UnitPrice]]&lt;=Quantiles!$B$3,Quantiles!$A$3,Quantiles!$A$4))</f>
        <v>Medium</v>
      </c>
      <c r="AA550">
        <v>0.152</v>
      </c>
      <c r="AB550" s="5">
        <f>MIN(Table1[[#This Row],[DiscountPct]],'scenario modeling'!$B$2)</f>
        <v>0.1</v>
      </c>
      <c r="AC550" t="str">
        <f>IF(Table1[[#This Row],[DiscountPct]]&gt;0.3, "&gt;0.3","")</f>
        <v/>
      </c>
      <c r="AD550">
        <v>5</v>
      </c>
      <c r="AE550">
        <f>Table1[[#This Row],[Quantity]]*(1+'scenario modeling'!$B$4)</f>
        <v>6</v>
      </c>
      <c r="AF550">
        <f>Table1[[#This Row],[UnitCost]]*Table1[[#This Row],[Quantity]]</f>
        <v>3690.7999999999997</v>
      </c>
      <c r="AG550">
        <f>SUMIF($U:U,Table1[[#This Row],[ProductCategory]],$AM:AM)</f>
        <v>1616102.6546600002</v>
      </c>
      <c r="AH550">
        <f>SUMIFS($AM$2:AM550,$U$2:U550,U550)</f>
        <v>370037.91693999997</v>
      </c>
      <c r="AI550" s="5">
        <f>Table1[[#This Row],[Cumulative_revenue]]/Table1[[#This Row],[Category_revenue]]</f>
        <v>0.22896931446341165</v>
      </c>
      <c r="AJ550" t="str">
        <f>IF(Table1[[#This Row],[cumulative_pct]]&lt;=0.8,"A",IF(Table1[[#This Row],[cumulative_pct]]&lt;=0.95,"B","C"))</f>
        <v>A</v>
      </c>
      <c r="AK550">
        <f>Table1[[#This Row],[adj_unit_cost]]*Table1[[#This Row],[scenario_quantity]]</f>
        <v>4871.8559999999998</v>
      </c>
      <c r="AL550" s="5">
        <f>Table1[[#This Row],[UnitPrice]]*Table1[[#This Row],[scenario_quantity]]*(1-Table1[[#This Row],[cap_adjusted_discount]])</f>
        <v>5165.0460000000003</v>
      </c>
      <c r="AM550" s="5">
        <f>Table1[[#This Row],[UnitPrice]]*Table1[[#This Row],[Quantity]]*(1-Table1[[#This Row],[DiscountPct]])</f>
        <v>4055.5175999999997</v>
      </c>
      <c r="AN550" s="5">
        <f>Table1[[#This Row],[gross_revenue]]-Table1[[#This Row],[cost_of_goods]]</f>
        <v>364.71759999999995</v>
      </c>
      <c r="AO550" s="5">
        <f>Table1[[#This Row],[scenario_revenue]]-Table1[[#This Row],[Scenario_unit_cost]]</f>
        <v>293.19000000000051</v>
      </c>
      <c r="AP550" s="5">
        <f>IF(Table1[[#This Row],[gross_revenue]]=0,0,Table1[[#This Row],[gross_profit]]/Table1[[#This Row],[gross_revenue]])</f>
        <v>8.9931208780847108E-2</v>
      </c>
    </row>
    <row r="551" spans="1:42" x14ac:dyDescent="0.35">
      <c r="A551" t="s">
        <v>539</v>
      </c>
      <c r="B551" t="str">
        <f>_xlfn.TEXTAFTER(Table1[[#This Row],[OrderID]],"-",2)</f>
        <v>364080</v>
      </c>
      <c r="C551">
        <f>YEAR(Table1[[#This Row],[OrderDate]])</f>
        <v>2024</v>
      </c>
      <c r="D551" s="9">
        <f>_xlfn.MINIFS(F:F,P:P,Table1[[#This Row],[Country]])</f>
        <v>44946</v>
      </c>
      <c r="E551" s="7">
        <f>DATEDIF(Table1[[#This Row],[first_time_orders]],Table1[[#This Row],[OrderDate]],"m")</f>
        <v>14</v>
      </c>
      <c r="F551" s="9">
        <v>45398</v>
      </c>
      <c r="G551" s="2" t="str">
        <f>TEXT(Table1[[#This Row],[OrderDate]],"MMM-YYYY")</f>
        <v>Apr-2024</v>
      </c>
      <c r="H551" s="7">
        <f>MONTH(Table1[[#This Row],[OrderDate]])</f>
        <v>4</v>
      </c>
      <c r="I551" s="7" t="str">
        <f>"Q"&amp;ROUNDUP(Table1[[#This Row],[months]]/3,0)&amp;"-"&amp;Table1[[#This Row],[order_year]]</f>
        <v>Q2-2024</v>
      </c>
      <c r="J551" s="7">
        <f>Table1[[#This Row],[RequiredDate]]-Table1[[#This Row],[OrderDate]]</f>
        <v>11</v>
      </c>
      <c r="K551" s="7">
        <f>IF(Table1[[#This Row],[lead_time]]&lt;0,MEDIAN(J:J),Table1[[#This Row],[lead_time]])</f>
        <v>11</v>
      </c>
      <c r="L551" s="7">
        <f>IF(Table1[[#This Row],[adj_lead_time]]&lt;=7,1,0)</f>
        <v>0</v>
      </c>
      <c r="M551" s="9">
        <v>45409</v>
      </c>
      <c r="N551" s="9">
        <f>IF(Table1[[#This Row],[lead_time]]&lt;0,(Table1[[#This Row],[OrderDate]]+Table1[[#This Row],[adj_lead_time]]),Table1[[#This Row],[RequiredDate]])</f>
        <v>45409</v>
      </c>
      <c r="O551" t="s">
        <v>646</v>
      </c>
      <c r="P551" t="s">
        <v>650</v>
      </c>
      <c r="Q551" t="s">
        <v>678</v>
      </c>
      <c r="R551" t="s">
        <v>706</v>
      </c>
      <c r="S551" t="s">
        <v>708</v>
      </c>
      <c r="T551" t="s">
        <v>726</v>
      </c>
      <c r="U551" t="s">
        <v>728</v>
      </c>
      <c r="V551" t="s">
        <v>1258</v>
      </c>
      <c r="W551">
        <v>401.3</v>
      </c>
      <c r="X551">
        <f>Table1[[#This Row],[UnitCost]]*(1+'scenario modeling'!$B$3)</f>
        <v>441.43000000000006</v>
      </c>
      <c r="Y551">
        <v>826.47</v>
      </c>
      <c r="Z551" t="str">
        <f>IF(Table1[[#This Row],[UnitPrice]]&lt;=Quantiles!$B$2,Quantiles!$A$2,IF(Table1[[#This Row],[UnitPrice]]&lt;=Quantiles!$B$3,Quantiles!$A$3,Quantiles!$A$4))</f>
        <v>Medium</v>
      </c>
      <c r="AA551">
        <v>0.22500000000000001</v>
      </c>
      <c r="AB551" s="5">
        <f>MIN(Table1[[#This Row],[DiscountPct]],'scenario modeling'!$B$2)</f>
        <v>0.1</v>
      </c>
      <c r="AC551" t="str">
        <f>IF(Table1[[#This Row],[DiscountPct]]&gt;0.3, "&gt;0.3","")</f>
        <v/>
      </c>
      <c r="AD551">
        <v>13</v>
      </c>
      <c r="AE551">
        <f>Table1[[#This Row],[Quantity]]*(1+'scenario modeling'!$B$4)</f>
        <v>15.6</v>
      </c>
      <c r="AF551">
        <f>Table1[[#This Row],[UnitCost]]*Table1[[#This Row],[Quantity]]</f>
        <v>5216.9000000000005</v>
      </c>
      <c r="AG551">
        <f>SUMIF($U:U,Table1[[#This Row],[ProductCategory]],$AM:AM)</f>
        <v>1616102.6546600002</v>
      </c>
      <c r="AH551">
        <f>SUMIFS($AM$2:AM551,$U$2:U551,U551)</f>
        <v>378364.60218999995</v>
      </c>
      <c r="AI551" s="5">
        <f>Table1[[#This Row],[Cumulative_revenue]]/Table1[[#This Row],[Category_revenue]]</f>
        <v>0.23412163893116136</v>
      </c>
      <c r="AJ551" t="str">
        <f>IF(Table1[[#This Row],[cumulative_pct]]&lt;=0.8,"A",IF(Table1[[#This Row],[cumulative_pct]]&lt;=0.95,"B","C"))</f>
        <v>A</v>
      </c>
      <c r="AK551">
        <f>Table1[[#This Row],[adj_unit_cost]]*Table1[[#This Row],[scenario_quantity]]</f>
        <v>6886.3080000000009</v>
      </c>
      <c r="AL551" s="5">
        <f>Table1[[#This Row],[UnitPrice]]*Table1[[#This Row],[scenario_quantity]]*(1-Table1[[#This Row],[cap_adjusted_discount]])</f>
        <v>11603.638800000001</v>
      </c>
      <c r="AM551" s="5">
        <f>Table1[[#This Row],[UnitPrice]]*Table1[[#This Row],[Quantity]]*(1-Table1[[#This Row],[DiscountPct]])</f>
        <v>8326.6852500000005</v>
      </c>
      <c r="AN551" s="5">
        <f>Table1[[#This Row],[gross_revenue]]-Table1[[#This Row],[cost_of_goods]]</f>
        <v>3109.7852499999999</v>
      </c>
      <c r="AO551" s="5">
        <f>Table1[[#This Row],[scenario_revenue]]-Table1[[#This Row],[Scenario_unit_cost]]</f>
        <v>4717.3307999999997</v>
      </c>
      <c r="AP551" s="5">
        <f>IF(Table1[[#This Row],[gross_revenue]]=0,0,Table1[[#This Row],[gross_profit]]/Table1[[#This Row],[gross_revenue]])</f>
        <v>0.37347217489696755</v>
      </c>
    </row>
    <row r="552" spans="1:42" x14ac:dyDescent="0.35">
      <c r="A552" t="s">
        <v>310</v>
      </c>
      <c r="B552" t="str">
        <f>_xlfn.TEXTAFTER(Table1[[#This Row],[OrderID]],"-",2)</f>
        <v>792137</v>
      </c>
      <c r="C552">
        <f>YEAR(Table1[[#This Row],[OrderDate]])</f>
        <v>2024</v>
      </c>
      <c r="D552" s="9">
        <f>_xlfn.MINIFS(F:F,P:P,Table1[[#This Row],[Country]])</f>
        <v>44928</v>
      </c>
      <c r="E552" s="7">
        <f>DATEDIF(Table1[[#This Row],[first_time_orders]],Table1[[#This Row],[OrderDate]],"m")</f>
        <v>14</v>
      </c>
      <c r="F552" s="9">
        <v>45353</v>
      </c>
      <c r="G552" s="2" t="str">
        <f>TEXT(Table1[[#This Row],[OrderDate]],"MMM-YYYY")</f>
        <v>Mar-2024</v>
      </c>
      <c r="H552" s="7">
        <f>MONTH(Table1[[#This Row],[OrderDate]])</f>
        <v>3</v>
      </c>
      <c r="I552" s="7" t="str">
        <f>"Q"&amp;ROUNDUP(Table1[[#This Row],[months]]/3,0)&amp;"-"&amp;Table1[[#This Row],[order_year]]</f>
        <v>Q1-2024</v>
      </c>
      <c r="J552" s="7">
        <f>Table1[[#This Row],[RequiredDate]]-Table1[[#This Row],[OrderDate]]</f>
        <v>14</v>
      </c>
      <c r="K552" s="7">
        <f>IF(Table1[[#This Row],[lead_time]]&lt;0,MEDIAN(J:J),Table1[[#This Row],[lead_time]])</f>
        <v>14</v>
      </c>
      <c r="L552" s="7">
        <f>IF(Table1[[#This Row],[adj_lead_time]]&lt;=7,1,0)</f>
        <v>0</v>
      </c>
      <c r="M552" s="9">
        <v>45367</v>
      </c>
      <c r="N552" s="9">
        <f>IF(Table1[[#This Row],[lead_time]]&lt;0,(Table1[[#This Row],[OrderDate]]+Table1[[#This Row],[adj_lead_time]]),Table1[[#This Row],[RequiredDate]])</f>
        <v>45367</v>
      </c>
      <c r="O552" t="s">
        <v>648</v>
      </c>
      <c r="P552" t="s">
        <v>653</v>
      </c>
      <c r="Q552" t="s">
        <v>688</v>
      </c>
      <c r="R552" t="s">
        <v>703</v>
      </c>
      <c r="S552" t="s">
        <v>711</v>
      </c>
      <c r="T552" t="s">
        <v>719</v>
      </c>
      <c r="U552" t="s">
        <v>728</v>
      </c>
      <c r="V552" t="s">
        <v>1030</v>
      </c>
      <c r="W552">
        <v>248.24</v>
      </c>
      <c r="X552">
        <f>Table1[[#This Row],[UnitCost]]*(1+'scenario modeling'!$B$3)</f>
        <v>273.06400000000002</v>
      </c>
      <c r="Y552">
        <v>464.05</v>
      </c>
      <c r="Z552" t="str">
        <f>IF(Table1[[#This Row],[UnitPrice]]&lt;=Quantiles!$B$2,Quantiles!$A$2,IF(Table1[[#This Row],[UnitPrice]]&lt;=Quantiles!$B$3,Quantiles!$A$3,Quantiles!$A$4))</f>
        <v>Low</v>
      </c>
      <c r="AA552">
        <v>0.16900000000000001</v>
      </c>
      <c r="AB552" s="5">
        <f>MIN(Table1[[#This Row],[DiscountPct]],'scenario modeling'!$B$2)</f>
        <v>0.1</v>
      </c>
      <c r="AC552" t="str">
        <f>IF(Table1[[#This Row],[DiscountPct]]&gt;0.3, "&gt;0.3","")</f>
        <v/>
      </c>
      <c r="AD552">
        <v>11</v>
      </c>
      <c r="AE552">
        <f>Table1[[#This Row],[Quantity]]*(1+'scenario modeling'!$B$4)</f>
        <v>13.2</v>
      </c>
      <c r="AF552">
        <f>Table1[[#This Row],[UnitCost]]*Table1[[#This Row],[Quantity]]</f>
        <v>2730.6400000000003</v>
      </c>
      <c r="AG552">
        <f>SUMIF($U:U,Table1[[#This Row],[ProductCategory]],$AM:AM)</f>
        <v>1616102.6546600002</v>
      </c>
      <c r="AH552">
        <f>SUMIFS($AM$2:AM552,$U$2:U552,U552)</f>
        <v>382606.48323999997</v>
      </c>
      <c r="AI552" s="5">
        <f>Table1[[#This Row],[Cumulative_revenue]]/Table1[[#This Row],[Category_revenue]]</f>
        <v>0.23674639858845706</v>
      </c>
      <c r="AJ552" t="str">
        <f>IF(Table1[[#This Row],[cumulative_pct]]&lt;=0.8,"A",IF(Table1[[#This Row],[cumulative_pct]]&lt;=0.95,"B","C"))</f>
        <v>A</v>
      </c>
      <c r="AK552">
        <f>Table1[[#This Row],[adj_unit_cost]]*Table1[[#This Row],[scenario_quantity]]</f>
        <v>3604.4448000000002</v>
      </c>
      <c r="AL552" s="5">
        <f>Table1[[#This Row],[UnitPrice]]*Table1[[#This Row],[scenario_quantity]]*(1-Table1[[#This Row],[cap_adjusted_discount]])</f>
        <v>5512.9139999999998</v>
      </c>
      <c r="AM552" s="5">
        <f>Table1[[#This Row],[UnitPrice]]*Table1[[#This Row],[Quantity]]*(1-Table1[[#This Row],[DiscountPct]])</f>
        <v>4241.88105</v>
      </c>
      <c r="AN552" s="5">
        <f>Table1[[#This Row],[gross_revenue]]-Table1[[#This Row],[cost_of_goods]]</f>
        <v>1511.2410499999996</v>
      </c>
      <c r="AO552" s="5">
        <f>Table1[[#This Row],[scenario_revenue]]-Table1[[#This Row],[Scenario_unit_cost]]</f>
        <v>1908.4691999999995</v>
      </c>
      <c r="AP552" s="5">
        <f>IF(Table1[[#This Row],[gross_revenue]]=0,0,Table1[[#This Row],[gross_profit]]/Table1[[#This Row],[gross_revenue]])</f>
        <v>0.3562667203975462</v>
      </c>
    </row>
    <row r="553" spans="1:42" x14ac:dyDescent="0.35">
      <c r="A553" t="s">
        <v>349</v>
      </c>
      <c r="B553" t="str">
        <f>_xlfn.TEXTAFTER(Table1[[#This Row],[OrderID]],"-",2)</f>
        <v>332076</v>
      </c>
      <c r="C553">
        <f>YEAR(Table1[[#This Row],[OrderDate]])</f>
        <v>2024</v>
      </c>
      <c r="D553" s="9">
        <f>_xlfn.MINIFS(F:F,P:P,Table1[[#This Row],[Country]])</f>
        <v>44936</v>
      </c>
      <c r="E553" s="7">
        <f>DATEDIF(Table1[[#This Row],[first_time_orders]],Table1[[#This Row],[OrderDate]],"m")</f>
        <v>14</v>
      </c>
      <c r="F553" s="9">
        <v>45391</v>
      </c>
      <c r="G553" s="2" t="str">
        <f>TEXT(Table1[[#This Row],[OrderDate]],"MMM-YYYY")</f>
        <v>Apr-2024</v>
      </c>
      <c r="H553" s="7">
        <f>MONTH(Table1[[#This Row],[OrderDate]])</f>
        <v>4</v>
      </c>
      <c r="I553" s="7" t="str">
        <f>"Q"&amp;ROUNDUP(Table1[[#This Row],[months]]/3,0)&amp;"-"&amp;Table1[[#This Row],[order_year]]</f>
        <v>Q2-2024</v>
      </c>
      <c r="J553" s="7">
        <f>Table1[[#This Row],[RequiredDate]]-Table1[[#This Row],[OrderDate]]</f>
        <v>9</v>
      </c>
      <c r="K553" s="7">
        <f>IF(Table1[[#This Row],[lead_time]]&lt;0,MEDIAN(J:J),Table1[[#This Row],[lead_time]])</f>
        <v>9</v>
      </c>
      <c r="L553" s="7">
        <f>IF(Table1[[#This Row],[adj_lead_time]]&lt;=7,1,0)</f>
        <v>0</v>
      </c>
      <c r="M553" s="9">
        <v>45400</v>
      </c>
      <c r="N553" s="9">
        <f>IF(Table1[[#This Row],[lead_time]]&lt;0,(Table1[[#This Row],[OrderDate]]+Table1[[#This Row],[adj_lead_time]]),Table1[[#This Row],[RequiredDate]])</f>
        <v>45400</v>
      </c>
      <c r="O553" t="s">
        <v>649</v>
      </c>
      <c r="P553" t="s">
        <v>657</v>
      </c>
      <c r="Q553" t="s">
        <v>679</v>
      </c>
      <c r="R553" t="s">
        <v>704</v>
      </c>
      <c r="S553" t="s">
        <v>708</v>
      </c>
      <c r="T553" t="s">
        <v>718</v>
      </c>
      <c r="U553" t="s">
        <v>728</v>
      </c>
      <c r="V553" t="s">
        <v>1069</v>
      </c>
      <c r="W553">
        <v>1288.8499999999999</v>
      </c>
      <c r="X553">
        <f>Table1[[#This Row],[UnitCost]]*(1+'scenario modeling'!$B$3)</f>
        <v>1417.7350000000001</v>
      </c>
      <c r="Y553">
        <v>2751.84</v>
      </c>
      <c r="Z553" t="str">
        <f>IF(Table1[[#This Row],[UnitPrice]]&lt;=Quantiles!$B$2,Quantiles!$A$2,IF(Table1[[#This Row],[UnitPrice]]&lt;=Quantiles!$B$3,Quantiles!$A$3,Quantiles!$A$4))</f>
        <v>High</v>
      </c>
      <c r="AA553">
        <v>0.158</v>
      </c>
      <c r="AB553" s="5">
        <f>MIN(Table1[[#This Row],[DiscountPct]],'scenario modeling'!$B$2)</f>
        <v>0.1</v>
      </c>
      <c r="AC553" t="str">
        <f>IF(Table1[[#This Row],[DiscountPct]]&gt;0.3, "&gt;0.3","")</f>
        <v/>
      </c>
      <c r="AD553">
        <v>7</v>
      </c>
      <c r="AE553">
        <f>Table1[[#This Row],[Quantity]]*(1+'scenario modeling'!$B$4)</f>
        <v>8.4</v>
      </c>
      <c r="AF553">
        <f>Table1[[#This Row],[UnitCost]]*Table1[[#This Row],[Quantity]]</f>
        <v>9021.9499999999989</v>
      </c>
      <c r="AG553">
        <f>SUMIF($U:U,Table1[[#This Row],[ProductCategory]],$AM:AM)</f>
        <v>1616102.6546600002</v>
      </c>
      <c r="AH553">
        <f>SUMIFS($AM$2:AM553,$U$2:U553,U553)</f>
        <v>398825.82819999999</v>
      </c>
      <c r="AI553" s="5">
        <f>Table1[[#This Row],[Cumulative_revenue]]/Table1[[#This Row],[Category_revenue]]</f>
        <v>0.24678248442324721</v>
      </c>
      <c r="AJ553" t="str">
        <f>IF(Table1[[#This Row],[cumulative_pct]]&lt;=0.8,"A",IF(Table1[[#This Row],[cumulative_pct]]&lt;=0.95,"B","C"))</f>
        <v>A</v>
      </c>
      <c r="AK553">
        <f>Table1[[#This Row],[adj_unit_cost]]*Table1[[#This Row],[scenario_quantity]]</f>
        <v>11908.974000000002</v>
      </c>
      <c r="AL553" s="5">
        <f>Table1[[#This Row],[UnitPrice]]*Table1[[#This Row],[scenario_quantity]]*(1-Table1[[#This Row],[cap_adjusted_discount]])</f>
        <v>20803.910400000001</v>
      </c>
      <c r="AM553" s="5">
        <f>Table1[[#This Row],[UnitPrice]]*Table1[[#This Row],[Quantity]]*(1-Table1[[#This Row],[DiscountPct]])</f>
        <v>16219.34496</v>
      </c>
      <c r="AN553" s="5">
        <f>Table1[[#This Row],[gross_revenue]]-Table1[[#This Row],[cost_of_goods]]</f>
        <v>7197.3949600000014</v>
      </c>
      <c r="AO553" s="5">
        <f>Table1[[#This Row],[scenario_revenue]]-Table1[[#This Row],[Scenario_unit_cost]]</f>
        <v>8894.9363999999987</v>
      </c>
      <c r="AP553" s="5">
        <f>IF(Table1[[#This Row],[gross_revenue]]=0,0,Table1[[#This Row],[gross_profit]]/Table1[[#This Row],[gross_revenue]])</f>
        <v>0.44375373837538756</v>
      </c>
    </row>
    <row r="554" spans="1:42" x14ac:dyDescent="0.35">
      <c r="A554" t="s">
        <v>288</v>
      </c>
      <c r="B554" t="str">
        <f>_xlfn.TEXTAFTER(Table1[[#This Row],[OrderID]],"-",2)</f>
        <v>834983</v>
      </c>
      <c r="C554">
        <f>YEAR(Table1[[#This Row],[OrderDate]])</f>
        <v>2024</v>
      </c>
      <c r="D554" s="9">
        <f>_xlfn.MINIFS(F:F,P:P,Table1[[#This Row],[Country]])</f>
        <v>44936</v>
      </c>
      <c r="E554" s="7">
        <f>DATEDIF(Table1[[#This Row],[first_time_orders]],Table1[[#This Row],[OrderDate]],"m")</f>
        <v>14</v>
      </c>
      <c r="F554" s="9">
        <v>45367</v>
      </c>
      <c r="G554" s="2" t="str">
        <f>TEXT(Table1[[#This Row],[OrderDate]],"MMM-YYYY")</f>
        <v>Mar-2024</v>
      </c>
      <c r="H554" s="7">
        <f>MONTH(Table1[[#This Row],[OrderDate]])</f>
        <v>3</v>
      </c>
      <c r="I554" s="7" t="str">
        <f>"Q"&amp;ROUNDUP(Table1[[#This Row],[months]]/3,0)&amp;"-"&amp;Table1[[#This Row],[order_year]]</f>
        <v>Q1-2024</v>
      </c>
      <c r="J554" s="7">
        <f>Table1[[#This Row],[RequiredDate]]-Table1[[#This Row],[OrderDate]]</f>
        <v>28</v>
      </c>
      <c r="K554" s="7">
        <f>IF(Table1[[#This Row],[lead_time]]&lt;0,MEDIAN(J:J),Table1[[#This Row],[lead_time]])</f>
        <v>28</v>
      </c>
      <c r="L554" s="7">
        <f>IF(Table1[[#This Row],[adj_lead_time]]&lt;=7,1,0)</f>
        <v>0</v>
      </c>
      <c r="M554" s="9">
        <v>45395</v>
      </c>
      <c r="N554" s="9">
        <f>IF(Table1[[#This Row],[lead_time]]&lt;0,(Table1[[#This Row],[OrderDate]]+Table1[[#This Row],[adj_lead_time]]),Table1[[#This Row],[RequiredDate]])</f>
        <v>45395</v>
      </c>
      <c r="O554" t="s">
        <v>649</v>
      </c>
      <c r="P554" t="s">
        <v>657</v>
      </c>
      <c r="Q554" t="s">
        <v>690</v>
      </c>
      <c r="R554" t="s">
        <v>705</v>
      </c>
      <c r="S554" t="s">
        <v>708</v>
      </c>
      <c r="T554" t="s">
        <v>723</v>
      </c>
      <c r="U554" t="s">
        <v>728</v>
      </c>
      <c r="V554" t="s">
        <v>1008</v>
      </c>
      <c r="W554">
        <v>287.61</v>
      </c>
      <c r="X554">
        <f>Table1[[#This Row],[UnitCost]]*(1+'scenario modeling'!$B$3)</f>
        <v>316.37100000000004</v>
      </c>
      <c r="Y554">
        <v>628.54</v>
      </c>
      <c r="Z554" t="str">
        <f>IF(Table1[[#This Row],[UnitPrice]]&lt;=Quantiles!$B$2,Quantiles!$A$2,IF(Table1[[#This Row],[UnitPrice]]&lt;=Quantiles!$B$3,Quantiles!$A$3,Quantiles!$A$4))</f>
        <v>Low</v>
      </c>
      <c r="AA554">
        <v>0.13500000000000001</v>
      </c>
      <c r="AB554" s="5">
        <f>MIN(Table1[[#This Row],[DiscountPct]],'scenario modeling'!$B$2)</f>
        <v>0.1</v>
      </c>
      <c r="AC554" t="str">
        <f>IF(Table1[[#This Row],[DiscountPct]]&gt;0.3, "&gt;0.3","")</f>
        <v/>
      </c>
      <c r="AD554">
        <v>21</v>
      </c>
      <c r="AE554">
        <f>Table1[[#This Row],[Quantity]]*(1+'scenario modeling'!$B$4)</f>
        <v>25.2</v>
      </c>
      <c r="AF554">
        <f>Table1[[#This Row],[UnitCost]]*Table1[[#This Row],[Quantity]]</f>
        <v>6039.81</v>
      </c>
      <c r="AG554">
        <f>SUMIF($U:U,Table1[[#This Row],[ProductCategory]],$AM:AM)</f>
        <v>1616102.6546600002</v>
      </c>
      <c r="AH554">
        <f>SUMIFS($AM$2:AM554,$U$2:U554,U554)</f>
        <v>410243.2573</v>
      </c>
      <c r="AI554" s="5">
        <f>Table1[[#This Row],[Cumulative_revenue]]/Table1[[#This Row],[Category_revenue]]</f>
        <v>0.2538472764196455</v>
      </c>
      <c r="AJ554" t="str">
        <f>IF(Table1[[#This Row],[cumulative_pct]]&lt;=0.8,"A",IF(Table1[[#This Row],[cumulative_pct]]&lt;=0.95,"B","C"))</f>
        <v>A</v>
      </c>
      <c r="AK554">
        <f>Table1[[#This Row],[adj_unit_cost]]*Table1[[#This Row],[scenario_quantity]]</f>
        <v>7972.5492000000004</v>
      </c>
      <c r="AL554" s="5">
        <f>Table1[[#This Row],[UnitPrice]]*Table1[[#This Row],[scenario_quantity]]*(1-Table1[[#This Row],[cap_adjusted_discount]])</f>
        <v>14255.287199999999</v>
      </c>
      <c r="AM554" s="5">
        <f>Table1[[#This Row],[UnitPrice]]*Table1[[#This Row],[Quantity]]*(1-Table1[[#This Row],[DiscountPct]])</f>
        <v>11417.429099999999</v>
      </c>
      <c r="AN554" s="5">
        <f>Table1[[#This Row],[gross_revenue]]-Table1[[#This Row],[cost_of_goods]]</f>
        <v>5377.619099999999</v>
      </c>
      <c r="AO554" s="5">
        <f>Table1[[#This Row],[scenario_revenue]]-Table1[[#This Row],[Scenario_unit_cost]]</f>
        <v>6282.7379999999985</v>
      </c>
      <c r="AP554" s="5">
        <f>IF(Table1[[#This Row],[gross_revenue]]=0,0,Table1[[#This Row],[gross_profit]]/Table1[[#This Row],[gross_revenue]])</f>
        <v>0.47100087531964613</v>
      </c>
    </row>
    <row r="555" spans="1:42" x14ac:dyDescent="0.35">
      <c r="A555" t="s">
        <v>53</v>
      </c>
      <c r="B555" t="str">
        <f>_xlfn.TEXTAFTER(Table1[[#This Row],[OrderID]],"-",2)</f>
        <v>599522</v>
      </c>
      <c r="C555">
        <f>YEAR(Table1[[#This Row],[OrderDate]])</f>
        <v>2024</v>
      </c>
      <c r="D555" s="9">
        <f>_xlfn.MINIFS(F:F,P:P,Table1[[#This Row],[Country]])</f>
        <v>44941</v>
      </c>
      <c r="E555" s="7">
        <f>DATEDIF(Table1[[#This Row],[first_time_orders]],Table1[[#This Row],[OrderDate]],"m")</f>
        <v>15</v>
      </c>
      <c r="F555" s="9">
        <v>45401</v>
      </c>
      <c r="G555" s="2" t="str">
        <f>TEXT(Table1[[#This Row],[OrderDate]],"MMM-YYYY")</f>
        <v>Apr-2024</v>
      </c>
      <c r="H555" s="7">
        <f>MONTH(Table1[[#This Row],[OrderDate]])</f>
        <v>4</v>
      </c>
      <c r="I555" s="7" t="str">
        <f>"Q"&amp;ROUNDUP(Table1[[#This Row],[months]]/3,0)&amp;"-"&amp;Table1[[#This Row],[order_year]]</f>
        <v>Q2-2024</v>
      </c>
      <c r="J555" s="7">
        <f>Table1[[#This Row],[RequiredDate]]-Table1[[#This Row],[OrderDate]]</f>
        <v>17</v>
      </c>
      <c r="K555" s="7">
        <f>IF(Table1[[#This Row],[lead_time]]&lt;0,MEDIAN(J:J),Table1[[#This Row],[lead_time]])</f>
        <v>17</v>
      </c>
      <c r="L555" s="7">
        <f>IF(Table1[[#This Row],[adj_lead_time]]&lt;=7,1,0)</f>
        <v>0</v>
      </c>
      <c r="M555" s="9">
        <v>45418</v>
      </c>
      <c r="N555" s="9">
        <f>IF(Table1[[#This Row],[lead_time]]&lt;0,(Table1[[#This Row],[OrderDate]]+Table1[[#This Row],[adj_lead_time]]),Table1[[#This Row],[RequiredDate]])</f>
        <v>45418</v>
      </c>
      <c r="O555" t="s">
        <v>646</v>
      </c>
      <c r="P555" t="s">
        <v>651</v>
      </c>
      <c r="Q555" t="s">
        <v>663</v>
      </c>
      <c r="R555" t="s">
        <v>703</v>
      </c>
      <c r="S555" t="s">
        <v>708</v>
      </c>
      <c r="T555" t="s">
        <v>720</v>
      </c>
      <c r="U555" t="s">
        <v>728</v>
      </c>
      <c r="V555" t="s">
        <v>772</v>
      </c>
      <c r="W555">
        <v>865.33</v>
      </c>
      <c r="X555">
        <f>Table1[[#This Row],[UnitCost]]*(1+'scenario modeling'!$B$3)</f>
        <v>951.86300000000017</v>
      </c>
      <c r="Y555">
        <v>1395.64</v>
      </c>
      <c r="Z555" t="str">
        <f>IF(Table1[[#This Row],[UnitPrice]]&lt;=Quantiles!$B$2,Quantiles!$A$2,IF(Table1[[#This Row],[UnitPrice]]&lt;=Quantiles!$B$3,Quantiles!$A$3,Quantiles!$A$4))</f>
        <v>Medium</v>
      </c>
      <c r="AA555">
        <v>0.17499999999999999</v>
      </c>
      <c r="AB555" s="5">
        <f>MIN(Table1[[#This Row],[DiscountPct]],'scenario modeling'!$B$2)</f>
        <v>0.1</v>
      </c>
      <c r="AC555" t="str">
        <f>IF(Table1[[#This Row],[DiscountPct]]&gt;0.3, "&gt;0.3","")</f>
        <v/>
      </c>
      <c r="AD555">
        <v>13</v>
      </c>
      <c r="AE555">
        <f>Table1[[#This Row],[Quantity]]*(1+'scenario modeling'!$B$4)</f>
        <v>15.6</v>
      </c>
      <c r="AF555">
        <f>Table1[[#This Row],[UnitCost]]*Table1[[#This Row],[Quantity]]</f>
        <v>11249.29</v>
      </c>
      <c r="AG555">
        <f>SUMIF($U:U,Table1[[#This Row],[ProductCategory]],$AM:AM)</f>
        <v>1616102.6546600002</v>
      </c>
      <c r="AH555">
        <f>SUMIFS($AM$2:AM555,$U$2:U555,U555)</f>
        <v>425211.4963</v>
      </c>
      <c r="AI555" s="5">
        <f>Table1[[#This Row],[Cumulative_revenue]]/Table1[[#This Row],[Category_revenue]]</f>
        <v>0.26310921219881112</v>
      </c>
      <c r="AJ555" t="str">
        <f>IF(Table1[[#This Row],[cumulative_pct]]&lt;=0.8,"A",IF(Table1[[#This Row],[cumulative_pct]]&lt;=0.95,"B","C"))</f>
        <v>A</v>
      </c>
      <c r="AK555">
        <f>Table1[[#This Row],[adj_unit_cost]]*Table1[[#This Row],[scenario_quantity]]</f>
        <v>14849.062800000002</v>
      </c>
      <c r="AL555" s="5">
        <f>Table1[[#This Row],[UnitPrice]]*Table1[[#This Row],[scenario_quantity]]*(1-Table1[[#This Row],[cap_adjusted_discount]])</f>
        <v>19594.785599999999</v>
      </c>
      <c r="AM555" s="5">
        <f>Table1[[#This Row],[UnitPrice]]*Table1[[#This Row],[Quantity]]*(1-Table1[[#This Row],[DiscountPct]])</f>
        <v>14968.239</v>
      </c>
      <c r="AN555" s="5">
        <f>Table1[[#This Row],[gross_revenue]]-Table1[[#This Row],[cost_of_goods]]</f>
        <v>3718.9489999999987</v>
      </c>
      <c r="AO555" s="5">
        <f>Table1[[#This Row],[scenario_revenue]]-Table1[[#This Row],[Scenario_unit_cost]]</f>
        <v>4745.7227999999977</v>
      </c>
      <c r="AP555" s="5">
        <f>IF(Table1[[#This Row],[gross_revenue]]=0,0,Table1[[#This Row],[gross_profit]]/Table1[[#This Row],[gross_revenue]])</f>
        <v>0.24845601409758347</v>
      </c>
    </row>
    <row r="556" spans="1:42" x14ac:dyDescent="0.35">
      <c r="A556" t="s">
        <v>502</v>
      </c>
      <c r="B556" t="str">
        <f>_xlfn.TEXTAFTER(Table1[[#This Row],[OrderID]],"-",2)</f>
        <v>973420</v>
      </c>
      <c r="C556">
        <f>YEAR(Table1[[#This Row],[OrderDate]])</f>
        <v>2024</v>
      </c>
      <c r="D556" s="9">
        <f>_xlfn.MINIFS(F:F,P:P,Table1[[#This Row],[Country]])</f>
        <v>44945</v>
      </c>
      <c r="E556" s="7">
        <f>DATEDIF(Table1[[#This Row],[first_time_orders]],Table1[[#This Row],[OrderDate]],"m")</f>
        <v>15</v>
      </c>
      <c r="F556" s="9">
        <v>45424</v>
      </c>
      <c r="G556" s="2" t="str">
        <f>TEXT(Table1[[#This Row],[OrderDate]],"MMM-YYYY")</f>
        <v>May-2024</v>
      </c>
      <c r="H556" s="7">
        <f>MONTH(Table1[[#This Row],[OrderDate]])</f>
        <v>5</v>
      </c>
      <c r="I556" s="7" t="str">
        <f>"Q"&amp;ROUNDUP(Table1[[#This Row],[months]]/3,0)&amp;"-"&amp;Table1[[#This Row],[order_year]]</f>
        <v>Q2-2024</v>
      </c>
      <c r="J556" s="7">
        <f>Table1[[#This Row],[RequiredDate]]-Table1[[#This Row],[OrderDate]]</f>
        <v>12</v>
      </c>
      <c r="K556" s="7">
        <f>IF(Table1[[#This Row],[lead_time]]&lt;0,MEDIAN(J:J),Table1[[#This Row],[lead_time]])</f>
        <v>12</v>
      </c>
      <c r="L556" s="7">
        <f>IF(Table1[[#This Row],[adj_lead_time]]&lt;=7,1,0)</f>
        <v>0</v>
      </c>
      <c r="M556" s="9">
        <v>45436</v>
      </c>
      <c r="N556" s="9">
        <f>IF(Table1[[#This Row],[lead_time]]&lt;0,(Table1[[#This Row],[OrderDate]]+Table1[[#This Row],[adj_lead_time]]),Table1[[#This Row],[RequiredDate]])</f>
        <v>45436</v>
      </c>
      <c r="O556" t="s">
        <v>649</v>
      </c>
      <c r="P556" t="s">
        <v>658</v>
      </c>
      <c r="Q556" t="s">
        <v>693</v>
      </c>
      <c r="R556" t="s">
        <v>702</v>
      </c>
      <c r="S556" t="s">
        <v>709</v>
      </c>
      <c r="T556" t="s">
        <v>723</v>
      </c>
      <c r="U556" t="s">
        <v>728</v>
      </c>
      <c r="V556" t="s">
        <v>1221</v>
      </c>
      <c r="W556">
        <v>111.02</v>
      </c>
      <c r="X556">
        <f>Table1[[#This Row],[UnitCost]]*(1+'scenario modeling'!$B$3)</f>
        <v>122.122</v>
      </c>
      <c r="Y556">
        <v>172.88</v>
      </c>
      <c r="Z556" t="str">
        <f>IF(Table1[[#This Row],[UnitPrice]]&lt;=Quantiles!$B$2,Quantiles!$A$2,IF(Table1[[#This Row],[UnitPrice]]&lt;=Quantiles!$B$3,Quantiles!$A$3,Quantiles!$A$4))</f>
        <v>Low</v>
      </c>
      <c r="AA556">
        <v>0.19700000000000001</v>
      </c>
      <c r="AB556" s="5">
        <f>MIN(Table1[[#This Row],[DiscountPct]],'scenario modeling'!$B$2)</f>
        <v>0.1</v>
      </c>
      <c r="AC556" t="str">
        <f>IF(Table1[[#This Row],[DiscountPct]]&gt;0.3, "&gt;0.3","")</f>
        <v/>
      </c>
      <c r="AD556">
        <v>29</v>
      </c>
      <c r="AE556">
        <f>Table1[[#This Row],[Quantity]]*(1+'scenario modeling'!$B$4)</f>
        <v>34.799999999999997</v>
      </c>
      <c r="AF556">
        <f>Table1[[#This Row],[UnitCost]]*Table1[[#This Row],[Quantity]]</f>
        <v>3219.58</v>
      </c>
      <c r="AG556">
        <f>SUMIF($U:U,Table1[[#This Row],[ProductCategory]],$AM:AM)</f>
        <v>1616102.6546600002</v>
      </c>
      <c r="AH556">
        <f>SUMIFS($AM$2:AM556,$U$2:U556,U556)</f>
        <v>429237.35285999998</v>
      </c>
      <c r="AI556" s="5">
        <f>Table1[[#This Row],[Cumulative_revenue]]/Table1[[#This Row],[Category_revenue]]</f>
        <v>0.26560030182631189</v>
      </c>
      <c r="AJ556" t="str">
        <f>IF(Table1[[#This Row],[cumulative_pct]]&lt;=0.8,"A",IF(Table1[[#This Row],[cumulative_pct]]&lt;=0.95,"B","C"))</f>
        <v>A</v>
      </c>
      <c r="AK556">
        <f>Table1[[#This Row],[adj_unit_cost]]*Table1[[#This Row],[scenario_quantity]]</f>
        <v>4249.8455999999996</v>
      </c>
      <c r="AL556" s="5">
        <f>Table1[[#This Row],[UnitPrice]]*Table1[[#This Row],[scenario_quantity]]*(1-Table1[[#This Row],[cap_adjusted_discount]])</f>
        <v>5414.6015999999991</v>
      </c>
      <c r="AM556" s="5">
        <f>Table1[[#This Row],[UnitPrice]]*Table1[[#This Row],[Quantity]]*(1-Table1[[#This Row],[DiscountPct]])</f>
        <v>4025.8565599999993</v>
      </c>
      <c r="AN556" s="5">
        <f>Table1[[#This Row],[gross_revenue]]-Table1[[#This Row],[cost_of_goods]]</f>
        <v>806.27655999999934</v>
      </c>
      <c r="AO556" s="5">
        <f>Table1[[#This Row],[scenario_revenue]]-Table1[[#This Row],[Scenario_unit_cost]]</f>
        <v>1164.7559999999994</v>
      </c>
      <c r="AP556" s="5">
        <f>IF(Table1[[#This Row],[gross_revenue]]=0,0,Table1[[#This Row],[gross_profit]]/Table1[[#This Row],[gross_revenue]])</f>
        <v>0.20027453735212053</v>
      </c>
    </row>
    <row r="557" spans="1:42" x14ac:dyDescent="0.35">
      <c r="A557" t="s">
        <v>189</v>
      </c>
      <c r="B557" t="str">
        <f>_xlfn.TEXTAFTER(Table1[[#This Row],[OrderID]],"-",2)</f>
        <v>970848</v>
      </c>
      <c r="C557">
        <f>YEAR(Table1[[#This Row],[OrderDate]])</f>
        <v>2024</v>
      </c>
      <c r="D557" s="9">
        <f>_xlfn.MINIFS(F:F,P:P,Table1[[#This Row],[Country]])</f>
        <v>44933</v>
      </c>
      <c r="E557" s="7">
        <f>DATEDIF(Table1[[#This Row],[first_time_orders]],Table1[[#This Row],[OrderDate]],"m")</f>
        <v>16</v>
      </c>
      <c r="F557" s="9">
        <v>45435</v>
      </c>
      <c r="G557" s="2" t="str">
        <f>TEXT(Table1[[#This Row],[OrderDate]],"MMM-YYYY")</f>
        <v>May-2024</v>
      </c>
      <c r="H557" s="7">
        <f>MONTH(Table1[[#This Row],[OrderDate]])</f>
        <v>5</v>
      </c>
      <c r="I557" s="7" t="str">
        <f>"Q"&amp;ROUNDUP(Table1[[#This Row],[months]]/3,0)&amp;"-"&amp;Table1[[#This Row],[order_year]]</f>
        <v>Q2-2024</v>
      </c>
      <c r="J557" s="7">
        <f>Table1[[#This Row],[RequiredDate]]-Table1[[#This Row],[OrderDate]]</f>
        <v>11</v>
      </c>
      <c r="K557" s="7">
        <f>IF(Table1[[#This Row],[lead_time]]&lt;0,MEDIAN(J:J),Table1[[#This Row],[lead_time]])</f>
        <v>11</v>
      </c>
      <c r="L557" s="7">
        <f>IF(Table1[[#This Row],[adj_lead_time]]&lt;=7,1,0)</f>
        <v>0</v>
      </c>
      <c r="M557" s="9">
        <v>45446</v>
      </c>
      <c r="N557" s="9">
        <f>IF(Table1[[#This Row],[lead_time]]&lt;0,(Table1[[#This Row],[OrderDate]]+Table1[[#This Row],[adj_lead_time]]),Table1[[#This Row],[RequiredDate]])</f>
        <v>45446</v>
      </c>
      <c r="O557" t="s">
        <v>646</v>
      </c>
      <c r="P557" t="s">
        <v>661</v>
      </c>
      <c r="Q557" t="s">
        <v>682</v>
      </c>
      <c r="R557" t="s">
        <v>705</v>
      </c>
      <c r="S557" t="s">
        <v>710</v>
      </c>
      <c r="T557" t="s">
        <v>721</v>
      </c>
      <c r="U557" t="s">
        <v>728</v>
      </c>
      <c r="V557" t="s">
        <v>908</v>
      </c>
      <c r="W557">
        <v>180.89</v>
      </c>
      <c r="X557">
        <f>Table1[[#This Row],[UnitCost]]*(1+'scenario modeling'!$B$3)</f>
        <v>198.97900000000001</v>
      </c>
      <c r="Y557">
        <v>249.57</v>
      </c>
      <c r="Z557" t="str">
        <f>IF(Table1[[#This Row],[UnitPrice]]&lt;=Quantiles!$B$2,Quantiles!$A$2,IF(Table1[[#This Row],[UnitPrice]]&lt;=Quantiles!$B$3,Quantiles!$A$3,Quantiles!$A$4))</f>
        <v>Low</v>
      </c>
      <c r="AA557">
        <v>2.1999999999999999E-2</v>
      </c>
      <c r="AB557" s="5">
        <f>MIN(Table1[[#This Row],[DiscountPct]],'scenario modeling'!$B$2)</f>
        <v>2.1999999999999999E-2</v>
      </c>
      <c r="AC557" t="str">
        <f>IF(Table1[[#This Row],[DiscountPct]]&gt;0.3, "&gt;0.3","")</f>
        <v/>
      </c>
      <c r="AD557">
        <v>8</v>
      </c>
      <c r="AE557">
        <f>Table1[[#This Row],[Quantity]]*(1+'scenario modeling'!$B$4)</f>
        <v>9.6</v>
      </c>
      <c r="AF557">
        <f>Table1[[#This Row],[UnitCost]]*Table1[[#This Row],[Quantity]]</f>
        <v>1447.12</v>
      </c>
      <c r="AG557">
        <f>SUMIF($U:U,Table1[[#This Row],[ProductCategory]],$AM:AM)</f>
        <v>1616102.6546600002</v>
      </c>
      <c r="AH557">
        <f>SUMIFS($AM$2:AM557,$U$2:U557,U557)</f>
        <v>431189.98853999999</v>
      </c>
      <c r="AI557" s="5">
        <f>Table1[[#This Row],[Cumulative_revenue]]/Table1[[#This Row],[Category_revenue]]</f>
        <v>0.26680853923274744</v>
      </c>
      <c r="AJ557" t="str">
        <f>IF(Table1[[#This Row],[cumulative_pct]]&lt;=0.8,"A",IF(Table1[[#This Row],[cumulative_pct]]&lt;=0.95,"B","C"))</f>
        <v>A</v>
      </c>
      <c r="AK557">
        <f>Table1[[#This Row],[adj_unit_cost]]*Table1[[#This Row],[scenario_quantity]]</f>
        <v>1910.1984</v>
      </c>
      <c r="AL557" s="5">
        <f>Table1[[#This Row],[UnitPrice]]*Table1[[#This Row],[scenario_quantity]]*(1-Table1[[#This Row],[cap_adjusted_discount]])</f>
        <v>2343.162816</v>
      </c>
      <c r="AM557" s="5">
        <f>Table1[[#This Row],[UnitPrice]]*Table1[[#This Row],[Quantity]]*(1-Table1[[#This Row],[DiscountPct]])</f>
        <v>1952.6356799999999</v>
      </c>
      <c r="AN557" s="5">
        <f>Table1[[#This Row],[gross_revenue]]-Table1[[#This Row],[cost_of_goods]]</f>
        <v>505.51567999999997</v>
      </c>
      <c r="AO557" s="5">
        <f>Table1[[#This Row],[scenario_revenue]]-Table1[[#This Row],[Scenario_unit_cost]]</f>
        <v>432.96441600000003</v>
      </c>
      <c r="AP557" s="5">
        <f>IF(Table1[[#This Row],[gross_revenue]]=0,0,Table1[[#This Row],[gross_profit]]/Table1[[#This Row],[gross_revenue]])</f>
        <v>0.25888888806948362</v>
      </c>
    </row>
    <row r="558" spans="1:42" x14ac:dyDescent="0.35">
      <c r="A558" t="s">
        <v>179</v>
      </c>
      <c r="B558" t="str">
        <f>_xlfn.TEXTAFTER(Table1[[#This Row],[OrderID]],"-",2)</f>
        <v>134084</v>
      </c>
      <c r="C558">
        <f>YEAR(Table1[[#This Row],[OrderDate]])</f>
        <v>2024</v>
      </c>
      <c r="D558" s="9">
        <f>_xlfn.MINIFS(F:F,P:P,Table1[[#This Row],[Country]])</f>
        <v>44938</v>
      </c>
      <c r="E558" s="7">
        <f>DATEDIF(Table1[[#This Row],[first_time_orders]],Table1[[#This Row],[OrderDate]],"m")</f>
        <v>16</v>
      </c>
      <c r="F558" s="9">
        <v>45447</v>
      </c>
      <c r="G558" s="2" t="str">
        <f>TEXT(Table1[[#This Row],[OrderDate]],"MMM-YYYY")</f>
        <v>Jun-2024</v>
      </c>
      <c r="H558" s="7">
        <f>MONTH(Table1[[#This Row],[OrderDate]])</f>
        <v>6</v>
      </c>
      <c r="I558" s="7" t="str">
        <f>"Q"&amp;ROUNDUP(Table1[[#This Row],[months]]/3,0)&amp;"-"&amp;Table1[[#This Row],[order_year]]</f>
        <v>Q2-2024</v>
      </c>
      <c r="J558" s="7">
        <f>Table1[[#This Row],[RequiredDate]]-Table1[[#This Row],[OrderDate]]</f>
        <v>12</v>
      </c>
      <c r="K558" s="7">
        <f>IF(Table1[[#This Row],[lead_time]]&lt;0,MEDIAN(J:J),Table1[[#This Row],[lead_time]])</f>
        <v>12</v>
      </c>
      <c r="L558" s="7">
        <f>IF(Table1[[#This Row],[adj_lead_time]]&lt;=7,1,0)</f>
        <v>0</v>
      </c>
      <c r="M558" s="9">
        <v>45459</v>
      </c>
      <c r="N558" s="9">
        <f>IF(Table1[[#This Row],[lead_time]]&lt;0,(Table1[[#This Row],[OrderDate]]+Table1[[#This Row],[adj_lead_time]]),Table1[[#This Row],[RequiredDate]])</f>
        <v>45459</v>
      </c>
      <c r="O558" t="s">
        <v>647</v>
      </c>
      <c r="P558" t="s">
        <v>659</v>
      </c>
      <c r="Q558" t="s">
        <v>685</v>
      </c>
      <c r="R558" t="s">
        <v>701</v>
      </c>
      <c r="S558" t="s">
        <v>707</v>
      </c>
      <c r="T558" t="s">
        <v>713</v>
      </c>
      <c r="U558" t="s">
        <v>728</v>
      </c>
      <c r="V558" t="s">
        <v>898</v>
      </c>
      <c r="W558">
        <v>918.42</v>
      </c>
      <c r="X558">
        <f>Table1[[#This Row],[UnitCost]]*(1+'scenario modeling'!$B$3)</f>
        <v>1010.2620000000001</v>
      </c>
      <c r="Y558">
        <v>1511.71</v>
      </c>
      <c r="Z558" t="str">
        <f>IF(Table1[[#This Row],[UnitPrice]]&lt;=Quantiles!$B$2,Quantiles!$A$2,IF(Table1[[#This Row],[UnitPrice]]&lt;=Quantiles!$B$3,Quantiles!$A$3,Quantiles!$A$4))</f>
        <v>Medium</v>
      </c>
      <c r="AA558">
        <v>0.02</v>
      </c>
      <c r="AB558" s="5">
        <f>MIN(Table1[[#This Row],[DiscountPct]],'scenario modeling'!$B$2)</f>
        <v>0.02</v>
      </c>
      <c r="AC558" t="str">
        <f>IF(Table1[[#This Row],[DiscountPct]]&gt;0.3, "&gt;0.3","")</f>
        <v/>
      </c>
      <c r="AD558">
        <v>8</v>
      </c>
      <c r="AE558">
        <f>Table1[[#This Row],[Quantity]]*(1+'scenario modeling'!$B$4)</f>
        <v>9.6</v>
      </c>
      <c r="AF558">
        <f>Table1[[#This Row],[UnitCost]]*Table1[[#This Row],[Quantity]]</f>
        <v>7347.36</v>
      </c>
      <c r="AG558">
        <f>SUMIF($U:U,Table1[[#This Row],[ProductCategory]],$AM:AM)</f>
        <v>1616102.6546600002</v>
      </c>
      <c r="AH558">
        <f>SUMIFS($AM$2:AM558,$U$2:U558,U558)</f>
        <v>443041.79493999999</v>
      </c>
      <c r="AI558" s="5">
        <f>Table1[[#This Row],[Cumulative_revenue]]/Table1[[#This Row],[Category_revenue]]</f>
        <v>0.27414211198929578</v>
      </c>
      <c r="AJ558" t="str">
        <f>IF(Table1[[#This Row],[cumulative_pct]]&lt;=0.8,"A",IF(Table1[[#This Row],[cumulative_pct]]&lt;=0.95,"B","C"))</f>
        <v>A</v>
      </c>
      <c r="AK558">
        <f>Table1[[#This Row],[adj_unit_cost]]*Table1[[#This Row],[scenario_quantity]]</f>
        <v>9698.5151999999998</v>
      </c>
      <c r="AL558" s="5">
        <f>Table1[[#This Row],[UnitPrice]]*Table1[[#This Row],[scenario_quantity]]*(1-Table1[[#This Row],[cap_adjusted_discount]])</f>
        <v>14222.167679999999</v>
      </c>
      <c r="AM558" s="5">
        <f>Table1[[#This Row],[UnitPrice]]*Table1[[#This Row],[Quantity]]*(1-Table1[[#This Row],[DiscountPct]])</f>
        <v>11851.806399999999</v>
      </c>
      <c r="AN558" s="5">
        <f>Table1[[#This Row],[gross_revenue]]-Table1[[#This Row],[cost_of_goods]]</f>
        <v>4504.4463999999998</v>
      </c>
      <c r="AO558" s="5">
        <f>Table1[[#This Row],[scenario_revenue]]-Table1[[#This Row],[Scenario_unit_cost]]</f>
        <v>4523.6524799999988</v>
      </c>
      <c r="AP558" s="5">
        <f>IF(Table1[[#This Row],[gross_revenue]]=0,0,Table1[[#This Row],[gross_profit]]/Table1[[#This Row],[gross_revenue]])</f>
        <v>0.38006412254590999</v>
      </c>
    </row>
    <row r="559" spans="1:42" x14ac:dyDescent="0.35">
      <c r="A559" t="s">
        <v>425</v>
      </c>
      <c r="B559" t="str">
        <f>_xlfn.TEXTAFTER(Table1[[#This Row],[OrderID]],"-",2)</f>
        <v>375848</v>
      </c>
      <c r="C559">
        <f>YEAR(Table1[[#This Row],[OrderDate]])</f>
        <v>2024</v>
      </c>
      <c r="D559" s="9">
        <f>_xlfn.MINIFS(F:F,P:P,Table1[[#This Row],[Country]])</f>
        <v>44936</v>
      </c>
      <c r="E559" s="7">
        <f>DATEDIF(Table1[[#This Row],[first_time_orders]],Table1[[#This Row],[OrderDate]],"m")</f>
        <v>16</v>
      </c>
      <c r="F559" s="9">
        <v>45430</v>
      </c>
      <c r="G559" s="2" t="str">
        <f>TEXT(Table1[[#This Row],[OrderDate]],"MMM-YYYY")</f>
        <v>May-2024</v>
      </c>
      <c r="H559" s="7">
        <f>MONTH(Table1[[#This Row],[OrderDate]])</f>
        <v>5</v>
      </c>
      <c r="I559" s="7" t="str">
        <f>"Q"&amp;ROUNDUP(Table1[[#This Row],[months]]/3,0)&amp;"-"&amp;Table1[[#This Row],[order_year]]</f>
        <v>Q2-2024</v>
      </c>
      <c r="J559" s="7">
        <f>Table1[[#This Row],[RequiredDate]]-Table1[[#This Row],[OrderDate]]</f>
        <v>3</v>
      </c>
      <c r="K559" s="7">
        <f>IF(Table1[[#This Row],[lead_time]]&lt;0,MEDIAN(J:J),Table1[[#This Row],[lead_time]])</f>
        <v>3</v>
      </c>
      <c r="L559" s="7">
        <f>IF(Table1[[#This Row],[adj_lead_time]]&lt;=7,1,0)</f>
        <v>1</v>
      </c>
      <c r="M559" s="9">
        <v>45433</v>
      </c>
      <c r="N559" s="9">
        <f>IF(Table1[[#This Row],[lead_time]]&lt;0,(Table1[[#This Row],[OrderDate]]+Table1[[#This Row],[adj_lead_time]]),Table1[[#This Row],[RequiredDate]])</f>
        <v>45433</v>
      </c>
      <c r="O559" t="s">
        <v>649</v>
      </c>
      <c r="P559" t="s">
        <v>657</v>
      </c>
      <c r="Q559" t="s">
        <v>673</v>
      </c>
      <c r="R559" t="s">
        <v>703</v>
      </c>
      <c r="S559" t="s">
        <v>709</v>
      </c>
      <c r="T559" t="s">
        <v>726</v>
      </c>
      <c r="U559" t="s">
        <v>728</v>
      </c>
      <c r="V559" t="s">
        <v>1144</v>
      </c>
      <c r="W559">
        <v>663.66</v>
      </c>
      <c r="X559">
        <f>Table1[[#This Row],[UnitCost]]*(1+'scenario modeling'!$B$3)</f>
        <v>730.02600000000007</v>
      </c>
      <c r="Y559">
        <v>824.26</v>
      </c>
      <c r="Z559" t="str">
        <f>IF(Table1[[#This Row],[UnitPrice]]&lt;=Quantiles!$B$2,Quantiles!$A$2,IF(Table1[[#This Row],[UnitPrice]]&lt;=Quantiles!$B$3,Quantiles!$A$3,Quantiles!$A$4))</f>
        <v>Medium</v>
      </c>
      <c r="AA559">
        <v>0.23899999999999999</v>
      </c>
      <c r="AB559" s="5">
        <f>MIN(Table1[[#This Row],[DiscountPct]],'scenario modeling'!$B$2)</f>
        <v>0.1</v>
      </c>
      <c r="AC559" t="str">
        <f>IF(Table1[[#This Row],[DiscountPct]]&gt;0.3, "&gt;0.3","")</f>
        <v/>
      </c>
      <c r="AD559">
        <v>11</v>
      </c>
      <c r="AE559">
        <f>Table1[[#This Row],[Quantity]]*(1+'scenario modeling'!$B$4)</f>
        <v>13.2</v>
      </c>
      <c r="AF559">
        <f>Table1[[#This Row],[UnitCost]]*Table1[[#This Row],[Quantity]]</f>
        <v>7300.2599999999993</v>
      </c>
      <c r="AG559">
        <f>SUMIF($U:U,Table1[[#This Row],[ProductCategory]],$AM:AM)</f>
        <v>1616102.6546600002</v>
      </c>
      <c r="AH559">
        <f>SUMIFS($AM$2:AM559,$U$2:U559,U559)</f>
        <v>449941.67540000001</v>
      </c>
      <c r="AI559" s="5">
        <f>Table1[[#This Row],[Cumulative_revenue]]/Table1[[#This Row],[Category_revenue]]</f>
        <v>0.27841156878407569</v>
      </c>
      <c r="AJ559" t="str">
        <f>IF(Table1[[#This Row],[cumulative_pct]]&lt;=0.8,"A",IF(Table1[[#This Row],[cumulative_pct]]&lt;=0.95,"B","C"))</f>
        <v>A</v>
      </c>
      <c r="AK559">
        <f>Table1[[#This Row],[adj_unit_cost]]*Table1[[#This Row],[scenario_quantity]]</f>
        <v>9636.3432000000012</v>
      </c>
      <c r="AL559" s="5">
        <f>Table1[[#This Row],[UnitPrice]]*Table1[[#This Row],[scenario_quantity]]*(1-Table1[[#This Row],[cap_adjusted_discount]])</f>
        <v>9792.2088000000003</v>
      </c>
      <c r="AM559" s="5">
        <f>Table1[[#This Row],[UnitPrice]]*Table1[[#This Row],[Quantity]]*(1-Table1[[#This Row],[DiscountPct]])</f>
        <v>6899.8804600000003</v>
      </c>
      <c r="AN559" s="5">
        <f>Table1[[#This Row],[gross_revenue]]-Table1[[#This Row],[cost_of_goods]]</f>
        <v>-400.379539999999</v>
      </c>
      <c r="AO559" s="5">
        <f>Table1[[#This Row],[scenario_revenue]]-Table1[[#This Row],[Scenario_unit_cost]]</f>
        <v>155.86559999999918</v>
      </c>
      <c r="AP559" s="5">
        <f>IF(Table1[[#This Row],[gross_revenue]]=0,0,Table1[[#This Row],[gross_profit]]/Table1[[#This Row],[gross_revenue]])</f>
        <v>-5.8027025587048933E-2</v>
      </c>
    </row>
    <row r="560" spans="1:42" x14ac:dyDescent="0.35">
      <c r="A560" t="s">
        <v>158</v>
      </c>
      <c r="B560" t="str">
        <f>_xlfn.TEXTAFTER(Table1[[#This Row],[OrderID]],"-",2)</f>
        <v>389102</v>
      </c>
      <c r="C560">
        <f>YEAR(Table1[[#This Row],[OrderDate]])</f>
        <v>2024</v>
      </c>
      <c r="D560" s="9">
        <f>_xlfn.MINIFS(F:F,P:P,Table1[[#This Row],[Country]])</f>
        <v>44928</v>
      </c>
      <c r="E560" s="7">
        <f>DATEDIF(Table1[[#This Row],[first_time_orders]],Table1[[#This Row],[OrderDate]],"m")</f>
        <v>17</v>
      </c>
      <c r="F560" s="9">
        <v>45458</v>
      </c>
      <c r="G560" s="2" t="str">
        <f>TEXT(Table1[[#This Row],[OrderDate]],"MMM-YYYY")</f>
        <v>Jun-2024</v>
      </c>
      <c r="H560" s="7">
        <f>MONTH(Table1[[#This Row],[OrderDate]])</f>
        <v>6</v>
      </c>
      <c r="I560" s="7" t="str">
        <f>"Q"&amp;ROUNDUP(Table1[[#This Row],[months]]/3,0)&amp;"-"&amp;Table1[[#This Row],[order_year]]</f>
        <v>Q2-2024</v>
      </c>
      <c r="J560" s="7">
        <f>Table1[[#This Row],[RequiredDate]]-Table1[[#This Row],[OrderDate]]</f>
        <v>21</v>
      </c>
      <c r="K560" s="7">
        <f>IF(Table1[[#This Row],[lead_time]]&lt;0,MEDIAN(J:J),Table1[[#This Row],[lead_time]])</f>
        <v>21</v>
      </c>
      <c r="L560" s="7">
        <f>IF(Table1[[#This Row],[adj_lead_time]]&lt;=7,1,0)</f>
        <v>0</v>
      </c>
      <c r="M560" s="9">
        <v>45479</v>
      </c>
      <c r="N560" s="9">
        <f>IF(Table1[[#This Row],[lead_time]]&lt;0,(Table1[[#This Row],[OrderDate]]+Table1[[#This Row],[adj_lead_time]]),Table1[[#This Row],[RequiredDate]])</f>
        <v>45479</v>
      </c>
      <c r="O560" t="s">
        <v>648</v>
      </c>
      <c r="P560" t="s">
        <v>653</v>
      </c>
      <c r="Q560" t="s">
        <v>667</v>
      </c>
      <c r="R560" t="s">
        <v>706</v>
      </c>
      <c r="S560" t="s">
        <v>710</v>
      </c>
      <c r="T560" t="s">
        <v>716</v>
      </c>
      <c r="U560" t="s">
        <v>728</v>
      </c>
      <c r="V560" t="s">
        <v>877</v>
      </c>
      <c r="W560">
        <v>817.23</v>
      </c>
      <c r="X560">
        <f>Table1[[#This Row],[UnitCost]]*(1+'scenario modeling'!$B$3)</f>
        <v>898.95300000000009</v>
      </c>
      <c r="Y560">
        <v>1467.17</v>
      </c>
      <c r="Z560" t="str">
        <f>IF(Table1[[#This Row],[UnitPrice]]&lt;=Quantiles!$B$2,Quantiles!$A$2,IF(Table1[[#This Row],[UnitPrice]]&lt;=Quantiles!$B$3,Quantiles!$A$3,Quantiles!$A$4))</f>
        <v>Medium</v>
      </c>
      <c r="AA560">
        <v>0.245</v>
      </c>
      <c r="AB560" s="5">
        <f>MIN(Table1[[#This Row],[DiscountPct]],'scenario modeling'!$B$2)</f>
        <v>0.1</v>
      </c>
      <c r="AC560" t="str">
        <f>IF(Table1[[#This Row],[DiscountPct]]&gt;0.3, "&gt;0.3","")</f>
        <v/>
      </c>
      <c r="AD560">
        <v>9</v>
      </c>
      <c r="AE560">
        <f>Table1[[#This Row],[Quantity]]*(1+'scenario modeling'!$B$4)</f>
        <v>10.799999999999999</v>
      </c>
      <c r="AF560">
        <f>Table1[[#This Row],[UnitCost]]*Table1[[#This Row],[Quantity]]</f>
        <v>7355.07</v>
      </c>
      <c r="AG560">
        <f>SUMIF($U:U,Table1[[#This Row],[ProductCategory]],$AM:AM)</f>
        <v>1616102.6546600002</v>
      </c>
      <c r="AH560">
        <f>SUMIFS($AM$2:AM560,$U$2:U560,U560)</f>
        <v>459911.09555000003</v>
      </c>
      <c r="AI560" s="5">
        <f>Table1[[#This Row],[Cumulative_revenue]]/Table1[[#This Row],[Category_revenue]]</f>
        <v>0.28458037255483459</v>
      </c>
      <c r="AJ560" t="str">
        <f>IF(Table1[[#This Row],[cumulative_pct]]&lt;=0.8,"A",IF(Table1[[#This Row],[cumulative_pct]]&lt;=0.95,"B","C"))</f>
        <v>A</v>
      </c>
      <c r="AK560">
        <f>Table1[[#This Row],[adj_unit_cost]]*Table1[[#This Row],[scenario_quantity]]</f>
        <v>9708.6923999999999</v>
      </c>
      <c r="AL560" s="5">
        <f>Table1[[#This Row],[UnitPrice]]*Table1[[#This Row],[scenario_quantity]]*(1-Table1[[#This Row],[cap_adjusted_discount]])</f>
        <v>14260.892400000001</v>
      </c>
      <c r="AM560" s="5">
        <f>Table1[[#This Row],[UnitPrice]]*Table1[[#This Row],[Quantity]]*(1-Table1[[#This Row],[DiscountPct]])</f>
        <v>9969.4201499999999</v>
      </c>
      <c r="AN560" s="5">
        <f>Table1[[#This Row],[gross_revenue]]-Table1[[#This Row],[cost_of_goods]]</f>
        <v>2614.3501500000002</v>
      </c>
      <c r="AO560" s="5">
        <f>Table1[[#This Row],[scenario_revenue]]-Table1[[#This Row],[Scenario_unit_cost]]</f>
        <v>4552.2000000000007</v>
      </c>
      <c r="AP560" s="5">
        <f>IF(Table1[[#This Row],[gross_revenue]]=0,0,Table1[[#This Row],[gross_profit]]/Table1[[#This Row],[gross_revenue]])</f>
        <v>0.26223693160328893</v>
      </c>
    </row>
    <row r="561" spans="1:42" x14ac:dyDescent="0.35">
      <c r="A561" t="s">
        <v>415</v>
      </c>
      <c r="B561" t="str">
        <f>_xlfn.TEXTAFTER(Table1[[#This Row],[OrderID]],"-",2)</f>
        <v>626750</v>
      </c>
      <c r="C561">
        <f>YEAR(Table1[[#This Row],[OrderDate]])</f>
        <v>2024</v>
      </c>
      <c r="D561" s="9">
        <f>_xlfn.MINIFS(F:F,P:P,Table1[[#This Row],[Country]])</f>
        <v>44939</v>
      </c>
      <c r="E561" s="7">
        <f>DATEDIF(Table1[[#This Row],[first_time_orders]],Table1[[#This Row],[OrderDate]],"m")</f>
        <v>18</v>
      </c>
      <c r="F561" s="9">
        <v>45516</v>
      </c>
      <c r="G561" s="2" t="str">
        <f>TEXT(Table1[[#This Row],[OrderDate]],"MMM-YYYY")</f>
        <v>Aug-2024</v>
      </c>
      <c r="H561" s="7">
        <f>MONTH(Table1[[#This Row],[OrderDate]])</f>
        <v>8</v>
      </c>
      <c r="I561" s="7" t="str">
        <f>"Q"&amp;ROUNDUP(Table1[[#This Row],[months]]/3,0)&amp;"-"&amp;Table1[[#This Row],[order_year]]</f>
        <v>Q3-2024</v>
      </c>
      <c r="J561" s="7">
        <f>Table1[[#This Row],[RequiredDate]]-Table1[[#This Row],[OrderDate]]</f>
        <v>3</v>
      </c>
      <c r="K561" s="7">
        <f>IF(Table1[[#This Row],[lead_time]]&lt;0,MEDIAN(J:J),Table1[[#This Row],[lead_time]])</f>
        <v>3</v>
      </c>
      <c r="L561" s="7">
        <f>IF(Table1[[#This Row],[adj_lead_time]]&lt;=7,1,0)</f>
        <v>1</v>
      </c>
      <c r="M561" s="9">
        <v>45519</v>
      </c>
      <c r="N561" s="9">
        <f>IF(Table1[[#This Row],[lead_time]]&lt;0,(Table1[[#This Row],[OrderDate]]+Table1[[#This Row],[adj_lead_time]]),Table1[[#This Row],[RequiredDate]])</f>
        <v>45519</v>
      </c>
      <c r="O561" t="s">
        <v>648</v>
      </c>
      <c r="P561" t="s">
        <v>660</v>
      </c>
      <c r="Q561" t="s">
        <v>677</v>
      </c>
      <c r="R561" t="s">
        <v>701</v>
      </c>
      <c r="S561" t="s">
        <v>709</v>
      </c>
      <c r="T561" t="s">
        <v>726</v>
      </c>
      <c r="U561" t="s">
        <v>728</v>
      </c>
      <c r="V561" t="s">
        <v>1134</v>
      </c>
      <c r="W561">
        <v>850.7</v>
      </c>
      <c r="X561">
        <f>Table1[[#This Row],[UnitCost]]*(1+'scenario modeling'!$B$3)</f>
        <v>935.7700000000001</v>
      </c>
      <c r="Y561">
        <v>1118.56</v>
      </c>
      <c r="Z561" t="str">
        <f>IF(Table1[[#This Row],[UnitPrice]]&lt;=Quantiles!$B$2,Quantiles!$A$2,IF(Table1[[#This Row],[UnitPrice]]&lt;=Quantiles!$B$3,Quantiles!$A$3,Quantiles!$A$4))</f>
        <v>Medium</v>
      </c>
      <c r="AA561">
        <v>0.18</v>
      </c>
      <c r="AB561" s="5">
        <f>MIN(Table1[[#This Row],[DiscountPct]],'scenario modeling'!$B$2)</f>
        <v>0.1</v>
      </c>
      <c r="AC561" t="str">
        <f>IF(Table1[[#This Row],[DiscountPct]]&gt;0.3, "&gt;0.3","")</f>
        <v/>
      </c>
      <c r="AD561">
        <v>19</v>
      </c>
      <c r="AE561">
        <f>Table1[[#This Row],[Quantity]]*(1+'scenario modeling'!$B$4)</f>
        <v>22.8</v>
      </c>
      <c r="AF561">
        <f>Table1[[#This Row],[UnitCost]]*Table1[[#This Row],[Quantity]]</f>
        <v>16163.300000000001</v>
      </c>
      <c r="AG561">
        <f>SUMIF($U:U,Table1[[#This Row],[ProductCategory]],$AM:AM)</f>
        <v>1616102.6546600002</v>
      </c>
      <c r="AH561">
        <f>SUMIFS($AM$2:AM561,$U$2:U561,U561)</f>
        <v>477338.26035000006</v>
      </c>
      <c r="AI561" s="5">
        <f>Table1[[#This Row],[Cumulative_revenue]]/Table1[[#This Row],[Category_revenue]]</f>
        <v>0.29536382418134427</v>
      </c>
      <c r="AJ561" t="str">
        <f>IF(Table1[[#This Row],[cumulative_pct]]&lt;=0.8,"A",IF(Table1[[#This Row],[cumulative_pct]]&lt;=0.95,"B","C"))</f>
        <v>A</v>
      </c>
      <c r="AK561">
        <f>Table1[[#This Row],[adj_unit_cost]]*Table1[[#This Row],[scenario_quantity]]</f>
        <v>21335.556000000004</v>
      </c>
      <c r="AL561" s="5">
        <f>Table1[[#This Row],[UnitPrice]]*Table1[[#This Row],[scenario_quantity]]*(1-Table1[[#This Row],[cap_adjusted_discount]])</f>
        <v>22952.851199999997</v>
      </c>
      <c r="AM561" s="5">
        <f>Table1[[#This Row],[UnitPrice]]*Table1[[#This Row],[Quantity]]*(1-Table1[[#This Row],[DiscountPct]])</f>
        <v>17427.164800000002</v>
      </c>
      <c r="AN561" s="5">
        <f>Table1[[#This Row],[gross_revenue]]-Table1[[#This Row],[cost_of_goods]]</f>
        <v>1263.8648000000012</v>
      </c>
      <c r="AO561" s="5">
        <f>Table1[[#This Row],[scenario_revenue]]-Table1[[#This Row],[Scenario_unit_cost]]</f>
        <v>1617.2951999999932</v>
      </c>
      <c r="AP561" s="5">
        <f>IF(Table1[[#This Row],[gross_revenue]]=0,0,Table1[[#This Row],[gross_profit]]/Table1[[#This Row],[gross_revenue]])</f>
        <v>7.2522685962090688E-2</v>
      </c>
    </row>
    <row r="562" spans="1:42" x14ac:dyDescent="0.35">
      <c r="A562" t="s">
        <v>267</v>
      </c>
      <c r="B562" t="str">
        <f>_xlfn.TEXTAFTER(Table1[[#This Row],[OrderID]],"-",2)</f>
        <v>301260</v>
      </c>
      <c r="C562">
        <f>YEAR(Table1[[#This Row],[OrderDate]])</f>
        <v>2024</v>
      </c>
      <c r="D562" s="9">
        <f>_xlfn.MINIFS(F:F,P:P,Table1[[#This Row],[Country]])</f>
        <v>44939</v>
      </c>
      <c r="E562" s="7">
        <f>DATEDIF(Table1[[#This Row],[first_time_orders]],Table1[[#This Row],[OrderDate]],"m")</f>
        <v>18</v>
      </c>
      <c r="F562" s="9">
        <v>45502</v>
      </c>
      <c r="G562" s="2" t="str">
        <f>TEXT(Table1[[#This Row],[OrderDate]],"MMM-YYYY")</f>
        <v>Jul-2024</v>
      </c>
      <c r="H562" s="7">
        <f>MONTH(Table1[[#This Row],[OrderDate]])</f>
        <v>7</v>
      </c>
      <c r="I562" s="7" t="str">
        <f>"Q"&amp;ROUNDUP(Table1[[#This Row],[months]]/3,0)&amp;"-"&amp;Table1[[#This Row],[order_year]]</f>
        <v>Q3-2024</v>
      </c>
      <c r="J562" s="7">
        <f>Table1[[#This Row],[RequiredDate]]-Table1[[#This Row],[OrderDate]]</f>
        <v>2</v>
      </c>
      <c r="K562" s="7">
        <f>IF(Table1[[#This Row],[lead_time]]&lt;0,MEDIAN(J:J),Table1[[#This Row],[lead_time]])</f>
        <v>2</v>
      </c>
      <c r="L562" s="7">
        <f>IF(Table1[[#This Row],[adj_lead_time]]&lt;=7,1,0)</f>
        <v>1</v>
      </c>
      <c r="M562" s="9">
        <v>45504</v>
      </c>
      <c r="N562" s="9">
        <f>IF(Table1[[#This Row],[lead_time]]&lt;0,(Table1[[#This Row],[OrderDate]]+Table1[[#This Row],[adj_lead_time]]),Table1[[#This Row],[RequiredDate]])</f>
        <v>45504</v>
      </c>
      <c r="O562" t="s">
        <v>648</v>
      </c>
      <c r="P562" t="s">
        <v>660</v>
      </c>
      <c r="Q562" t="s">
        <v>700</v>
      </c>
      <c r="R562" t="s">
        <v>702</v>
      </c>
      <c r="S562" t="s">
        <v>709</v>
      </c>
      <c r="T562" t="s">
        <v>714</v>
      </c>
      <c r="U562" t="s">
        <v>728</v>
      </c>
      <c r="V562" t="s">
        <v>987</v>
      </c>
      <c r="W562">
        <v>798.97</v>
      </c>
      <c r="X562">
        <f>Table1[[#This Row],[UnitCost]]*(1+'scenario modeling'!$B$3)</f>
        <v>878.86700000000008</v>
      </c>
      <c r="Y562">
        <v>1814.06</v>
      </c>
      <c r="Z562" t="str">
        <f>IF(Table1[[#This Row],[UnitPrice]]&lt;=Quantiles!$B$2,Quantiles!$A$2,IF(Table1[[#This Row],[UnitPrice]]&lt;=Quantiles!$B$3,Quantiles!$A$3,Quantiles!$A$4))</f>
        <v>High</v>
      </c>
      <c r="AA562">
        <v>0.122</v>
      </c>
      <c r="AB562" s="5">
        <f>MIN(Table1[[#This Row],[DiscountPct]],'scenario modeling'!$B$2)</f>
        <v>0.1</v>
      </c>
      <c r="AC562" t="str">
        <f>IF(Table1[[#This Row],[DiscountPct]]&gt;0.3, "&gt;0.3","")</f>
        <v/>
      </c>
      <c r="AD562">
        <v>16</v>
      </c>
      <c r="AE562">
        <f>Table1[[#This Row],[Quantity]]*(1+'scenario modeling'!$B$4)</f>
        <v>19.2</v>
      </c>
      <c r="AF562">
        <f>Table1[[#This Row],[UnitCost]]*Table1[[#This Row],[Quantity]]</f>
        <v>12783.52</v>
      </c>
      <c r="AG562">
        <f>SUMIF($U:U,Table1[[#This Row],[ProductCategory]],$AM:AM)</f>
        <v>1616102.6546600002</v>
      </c>
      <c r="AH562">
        <f>SUMIFS($AM$2:AM562,$U$2:U562,U562)</f>
        <v>502822.17523000005</v>
      </c>
      <c r="AI562" s="5">
        <f>Table1[[#This Row],[Cumulative_revenue]]/Table1[[#This Row],[Category_revenue]]</f>
        <v>0.31113257179556147</v>
      </c>
      <c r="AJ562" t="str">
        <f>IF(Table1[[#This Row],[cumulative_pct]]&lt;=0.8,"A",IF(Table1[[#This Row],[cumulative_pct]]&lt;=0.95,"B","C"))</f>
        <v>A</v>
      </c>
      <c r="AK562">
        <f>Table1[[#This Row],[adj_unit_cost]]*Table1[[#This Row],[scenario_quantity]]</f>
        <v>16874.2464</v>
      </c>
      <c r="AL562" s="5">
        <f>Table1[[#This Row],[UnitPrice]]*Table1[[#This Row],[scenario_quantity]]*(1-Table1[[#This Row],[cap_adjusted_discount]])</f>
        <v>31346.9568</v>
      </c>
      <c r="AM562" s="5">
        <f>Table1[[#This Row],[UnitPrice]]*Table1[[#This Row],[Quantity]]*(1-Table1[[#This Row],[DiscountPct]])</f>
        <v>25483.91488</v>
      </c>
      <c r="AN562" s="5">
        <f>Table1[[#This Row],[gross_revenue]]-Table1[[#This Row],[cost_of_goods]]</f>
        <v>12700.39488</v>
      </c>
      <c r="AO562" s="5">
        <f>Table1[[#This Row],[scenario_revenue]]-Table1[[#This Row],[Scenario_unit_cost]]</f>
        <v>14472.7104</v>
      </c>
      <c r="AP562" s="5">
        <f>IF(Table1[[#This Row],[gross_revenue]]=0,0,Table1[[#This Row],[gross_profit]]/Table1[[#This Row],[gross_revenue]])</f>
        <v>0.49836906691159061</v>
      </c>
    </row>
    <row r="563" spans="1:42" x14ac:dyDescent="0.35">
      <c r="A563" t="s">
        <v>495</v>
      </c>
      <c r="B563" t="str">
        <f>_xlfn.TEXTAFTER(Table1[[#This Row],[OrderID]],"-",2)</f>
        <v>207792</v>
      </c>
      <c r="C563">
        <f>YEAR(Table1[[#This Row],[OrderDate]])</f>
        <v>2024</v>
      </c>
      <c r="D563" s="9">
        <f>_xlfn.MINIFS(F:F,P:P,Table1[[#This Row],[Country]])</f>
        <v>44988</v>
      </c>
      <c r="E563" s="7">
        <f>DATEDIF(Table1[[#This Row],[first_time_orders]],Table1[[#This Row],[OrderDate]],"m")</f>
        <v>18</v>
      </c>
      <c r="F563" s="9">
        <v>45538</v>
      </c>
      <c r="G563" s="2" t="str">
        <f>TEXT(Table1[[#This Row],[OrderDate]],"MMM-YYYY")</f>
        <v>Sept-2024</v>
      </c>
      <c r="H563" s="7">
        <f>MONTH(Table1[[#This Row],[OrderDate]])</f>
        <v>9</v>
      </c>
      <c r="I563" s="7" t="str">
        <f>"Q"&amp;ROUNDUP(Table1[[#This Row],[months]]/3,0)&amp;"-"&amp;Table1[[#This Row],[order_year]]</f>
        <v>Q3-2024</v>
      </c>
      <c r="J563" s="7">
        <f>Table1[[#This Row],[RequiredDate]]-Table1[[#This Row],[OrderDate]]</f>
        <v>4</v>
      </c>
      <c r="K563" s="7">
        <f>IF(Table1[[#This Row],[lead_time]]&lt;0,MEDIAN(J:J),Table1[[#This Row],[lead_time]])</f>
        <v>4</v>
      </c>
      <c r="L563" s="7">
        <f>IF(Table1[[#This Row],[adj_lead_time]]&lt;=7,1,0)</f>
        <v>1</v>
      </c>
      <c r="M563" s="9">
        <v>45542</v>
      </c>
      <c r="N563" s="9">
        <f>IF(Table1[[#This Row],[lead_time]]&lt;0,(Table1[[#This Row],[OrderDate]]+Table1[[#This Row],[adj_lead_time]]),Table1[[#This Row],[RequiredDate]])</f>
        <v>45542</v>
      </c>
      <c r="O563" t="s">
        <v>647</v>
      </c>
      <c r="P563" t="s">
        <v>652</v>
      </c>
      <c r="Q563" t="s">
        <v>689</v>
      </c>
      <c r="R563" t="s">
        <v>705</v>
      </c>
      <c r="S563" t="s">
        <v>710</v>
      </c>
      <c r="T563" t="s">
        <v>725</v>
      </c>
      <c r="U563" t="s">
        <v>728</v>
      </c>
      <c r="V563" t="s">
        <v>1214</v>
      </c>
      <c r="W563">
        <v>43.23</v>
      </c>
      <c r="X563">
        <f>Table1[[#This Row],[UnitCost]]*(1+'scenario modeling'!$B$3)</f>
        <v>47.552999999999997</v>
      </c>
      <c r="Y563">
        <v>94.78</v>
      </c>
      <c r="Z563" t="str">
        <f>IF(Table1[[#This Row],[UnitPrice]]&lt;=Quantiles!$B$2,Quantiles!$A$2,IF(Table1[[#This Row],[UnitPrice]]&lt;=Quantiles!$B$3,Quantiles!$A$3,Quantiles!$A$4))</f>
        <v>Low</v>
      </c>
      <c r="AA563">
        <v>9.0999999999999998E-2</v>
      </c>
      <c r="AB563" s="5">
        <f>MIN(Table1[[#This Row],[DiscountPct]],'scenario modeling'!$B$2)</f>
        <v>9.0999999999999998E-2</v>
      </c>
      <c r="AC563" t="str">
        <f>IF(Table1[[#This Row],[DiscountPct]]&gt;0.3, "&gt;0.3","")</f>
        <v/>
      </c>
      <c r="AD563">
        <v>55</v>
      </c>
      <c r="AE563">
        <f>Table1[[#This Row],[Quantity]]*(1+'scenario modeling'!$B$4)</f>
        <v>66</v>
      </c>
      <c r="AF563">
        <f>Table1[[#This Row],[UnitCost]]*Table1[[#This Row],[Quantity]]</f>
        <v>2377.6499999999996</v>
      </c>
      <c r="AG563">
        <f>SUMIF($U:U,Table1[[#This Row],[ProductCategory]],$AM:AM)</f>
        <v>1616102.6546600002</v>
      </c>
      <c r="AH563">
        <f>SUMIFS($AM$2:AM563,$U$2:U563,U563)</f>
        <v>507560.70133000007</v>
      </c>
      <c r="AI563" s="5">
        <f>Table1[[#This Row],[Cumulative_revenue]]/Table1[[#This Row],[Category_revenue]]</f>
        <v>0.31406464178897225</v>
      </c>
      <c r="AJ563" t="str">
        <f>IF(Table1[[#This Row],[cumulative_pct]]&lt;=0.8,"A",IF(Table1[[#This Row],[cumulative_pct]]&lt;=0.95,"B","C"))</f>
        <v>A</v>
      </c>
      <c r="AK563">
        <f>Table1[[#This Row],[adj_unit_cost]]*Table1[[#This Row],[scenario_quantity]]</f>
        <v>3138.4979999999996</v>
      </c>
      <c r="AL563" s="5">
        <f>Table1[[#This Row],[UnitPrice]]*Table1[[#This Row],[scenario_quantity]]*(1-Table1[[#This Row],[cap_adjusted_discount]])</f>
        <v>5686.2313200000008</v>
      </c>
      <c r="AM563" s="5">
        <f>Table1[[#This Row],[UnitPrice]]*Table1[[#This Row],[Quantity]]*(1-Table1[[#This Row],[DiscountPct]])</f>
        <v>4738.5261</v>
      </c>
      <c r="AN563" s="5">
        <f>Table1[[#This Row],[gross_revenue]]-Table1[[#This Row],[cost_of_goods]]</f>
        <v>2360.8761000000004</v>
      </c>
      <c r="AO563" s="5">
        <f>Table1[[#This Row],[scenario_revenue]]-Table1[[#This Row],[Scenario_unit_cost]]</f>
        <v>2547.7333200000012</v>
      </c>
      <c r="AP563" s="5">
        <f>IF(Table1[[#This Row],[gross_revenue]]=0,0,Table1[[#This Row],[gross_profit]]/Table1[[#This Row],[gross_revenue]])</f>
        <v>0.49823005090127082</v>
      </c>
    </row>
    <row r="564" spans="1:42" x14ac:dyDescent="0.35">
      <c r="A564" t="s">
        <v>222</v>
      </c>
      <c r="B564" t="str">
        <f>_xlfn.TEXTAFTER(Table1[[#This Row],[OrderID]],"-",2)</f>
        <v>687100</v>
      </c>
      <c r="C564">
        <f>YEAR(Table1[[#This Row],[OrderDate]])</f>
        <v>2024</v>
      </c>
      <c r="D564" s="9">
        <f>_xlfn.MINIFS(F:F,P:P,Table1[[#This Row],[Country]])</f>
        <v>44946</v>
      </c>
      <c r="E564" s="7">
        <f>DATEDIF(Table1[[#This Row],[first_time_orders]],Table1[[#This Row],[OrderDate]],"m")</f>
        <v>19</v>
      </c>
      <c r="F564" s="9">
        <v>45545</v>
      </c>
      <c r="G564" s="2" t="str">
        <f>TEXT(Table1[[#This Row],[OrderDate]],"MMM-YYYY")</f>
        <v>Sept-2024</v>
      </c>
      <c r="H564" s="7">
        <f>MONTH(Table1[[#This Row],[OrderDate]])</f>
        <v>9</v>
      </c>
      <c r="I564" s="7" t="str">
        <f>"Q"&amp;ROUNDUP(Table1[[#This Row],[months]]/3,0)&amp;"-"&amp;Table1[[#This Row],[order_year]]</f>
        <v>Q3-2024</v>
      </c>
      <c r="J564" s="7">
        <f>Table1[[#This Row],[RequiredDate]]-Table1[[#This Row],[OrderDate]]</f>
        <v>27</v>
      </c>
      <c r="K564" s="7">
        <f>IF(Table1[[#This Row],[lead_time]]&lt;0,MEDIAN(J:J),Table1[[#This Row],[lead_time]])</f>
        <v>27</v>
      </c>
      <c r="L564" s="7">
        <f>IF(Table1[[#This Row],[adj_lead_time]]&lt;=7,1,0)</f>
        <v>0</v>
      </c>
      <c r="M564" s="9">
        <v>45572</v>
      </c>
      <c r="N564" s="9">
        <f>IF(Table1[[#This Row],[lead_time]]&lt;0,(Table1[[#This Row],[OrderDate]]+Table1[[#This Row],[adj_lead_time]]),Table1[[#This Row],[RequiredDate]])</f>
        <v>45572</v>
      </c>
      <c r="O564" t="s">
        <v>646</v>
      </c>
      <c r="P564" t="s">
        <v>650</v>
      </c>
      <c r="Q564" t="s">
        <v>662</v>
      </c>
      <c r="R564" t="s">
        <v>704</v>
      </c>
      <c r="S564" t="s">
        <v>707</v>
      </c>
      <c r="T564" t="s">
        <v>716</v>
      </c>
      <c r="U564" t="s">
        <v>728</v>
      </c>
      <c r="V564" t="s">
        <v>942</v>
      </c>
      <c r="W564">
        <v>1248.3900000000001</v>
      </c>
      <c r="X564">
        <f>Table1[[#This Row],[UnitCost]]*(1+'scenario modeling'!$B$3)</f>
        <v>1373.2290000000003</v>
      </c>
      <c r="Y564">
        <v>1805.11</v>
      </c>
      <c r="Z564" t="str">
        <f>IF(Table1[[#This Row],[UnitPrice]]&lt;=Quantiles!$B$2,Quantiles!$A$2,IF(Table1[[#This Row],[UnitPrice]]&lt;=Quantiles!$B$3,Quantiles!$A$3,Quantiles!$A$4))</f>
        <v>High</v>
      </c>
      <c r="AA564">
        <v>0.20300000000000001</v>
      </c>
      <c r="AB564" s="5">
        <f>MIN(Table1[[#This Row],[DiscountPct]],'scenario modeling'!$B$2)</f>
        <v>0.1</v>
      </c>
      <c r="AC564" t="str">
        <f>IF(Table1[[#This Row],[DiscountPct]]&gt;0.3, "&gt;0.3","")</f>
        <v/>
      </c>
      <c r="AD564">
        <v>11</v>
      </c>
      <c r="AE564">
        <f>Table1[[#This Row],[Quantity]]*(1+'scenario modeling'!$B$4)</f>
        <v>13.2</v>
      </c>
      <c r="AF564">
        <f>Table1[[#This Row],[UnitCost]]*Table1[[#This Row],[Quantity]]</f>
        <v>13732.29</v>
      </c>
      <c r="AG564">
        <f>SUMIF($U:U,Table1[[#This Row],[ProductCategory]],$AM:AM)</f>
        <v>1616102.6546600002</v>
      </c>
      <c r="AH564">
        <f>SUMIFS($AM$2:AM564,$U$2:U564,U564)</f>
        <v>523386.10070000007</v>
      </c>
      <c r="AI564" s="5">
        <f>Table1[[#This Row],[Cumulative_revenue]]/Table1[[#This Row],[Category_revenue]]</f>
        <v>0.32385696489689347</v>
      </c>
      <c r="AJ564" t="str">
        <f>IF(Table1[[#This Row],[cumulative_pct]]&lt;=0.8,"A",IF(Table1[[#This Row],[cumulative_pct]]&lt;=0.95,"B","C"))</f>
        <v>A</v>
      </c>
      <c r="AK564">
        <f>Table1[[#This Row],[adj_unit_cost]]*Table1[[#This Row],[scenario_quantity]]</f>
        <v>18126.622800000001</v>
      </c>
      <c r="AL564" s="5">
        <f>Table1[[#This Row],[UnitPrice]]*Table1[[#This Row],[scenario_quantity]]*(1-Table1[[#This Row],[cap_adjusted_discount]])</f>
        <v>21444.7068</v>
      </c>
      <c r="AM564" s="5">
        <f>Table1[[#This Row],[UnitPrice]]*Table1[[#This Row],[Quantity]]*(1-Table1[[#This Row],[DiscountPct]])</f>
        <v>15825.399369999997</v>
      </c>
      <c r="AN564" s="5">
        <f>Table1[[#This Row],[gross_revenue]]-Table1[[#This Row],[cost_of_goods]]</f>
        <v>2093.1093699999965</v>
      </c>
      <c r="AO564" s="5">
        <f>Table1[[#This Row],[scenario_revenue]]-Table1[[#This Row],[Scenario_unit_cost]]</f>
        <v>3318.0839999999989</v>
      </c>
      <c r="AP564" s="5">
        <f>IF(Table1[[#This Row],[gross_revenue]]=0,0,Table1[[#This Row],[gross_profit]]/Table1[[#This Row],[gross_revenue]])</f>
        <v>0.13226265707820786</v>
      </c>
    </row>
    <row r="565" spans="1:42" x14ac:dyDescent="0.35">
      <c r="A565" t="s">
        <v>246</v>
      </c>
      <c r="B565" t="str">
        <f>_xlfn.TEXTAFTER(Table1[[#This Row],[OrderID]],"-",2)</f>
        <v>423853</v>
      </c>
      <c r="C565">
        <f>YEAR(Table1[[#This Row],[OrderDate]])</f>
        <v>2024</v>
      </c>
      <c r="D565" s="9">
        <f>_xlfn.MINIFS(F:F,P:P,Table1[[#This Row],[Country]])</f>
        <v>44941</v>
      </c>
      <c r="E565" s="7">
        <f>DATEDIF(Table1[[#This Row],[first_time_orders]],Table1[[#This Row],[OrderDate]],"m")</f>
        <v>19</v>
      </c>
      <c r="F565" s="9">
        <v>45538</v>
      </c>
      <c r="G565" s="2" t="str">
        <f>TEXT(Table1[[#This Row],[OrderDate]],"MMM-YYYY")</f>
        <v>Sept-2024</v>
      </c>
      <c r="H565" s="7">
        <f>MONTH(Table1[[#This Row],[OrderDate]])</f>
        <v>9</v>
      </c>
      <c r="I565" s="7" t="str">
        <f>"Q"&amp;ROUNDUP(Table1[[#This Row],[months]]/3,0)&amp;"-"&amp;Table1[[#This Row],[order_year]]</f>
        <v>Q3-2024</v>
      </c>
      <c r="J565" s="7">
        <f>Table1[[#This Row],[RequiredDate]]-Table1[[#This Row],[OrderDate]]</f>
        <v>5</v>
      </c>
      <c r="K565" s="7">
        <f>IF(Table1[[#This Row],[lead_time]]&lt;0,MEDIAN(J:J),Table1[[#This Row],[lead_time]])</f>
        <v>5</v>
      </c>
      <c r="L565" s="7">
        <f>IF(Table1[[#This Row],[adj_lead_time]]&lt;=7,1,0)</f>
        <v>1</v>
      </c>
      <c r="M565" s="9">
        <v>45543</v>
      </c>
      <c r="N565" s="9">
        <f>IF(Table1[[#This Row],[lead_time]]&lt;0,(Table1[[#This Row],[OrderDate]]+Table1[[#This Row],[adj_lead_time]]),Table1[[#This Row],[RequiredDate]])</f>
        <v>45543</v>
      </c>
      <c r="O565" t="s">
        <v>646</v>
      </c>
      <c r="P565" t="s">
        <v>651</v>
      </c>
      <c r="Q565" t="s">
        <v>665</v>
      </c>
      <c r="R565" t="s">
        <v>705</v>
      </c>
      <c r="S565" t="s">
        <v>711</v>
      </c>
      <c r="T565" t="s">
        <v>723</v>
      </c>
      <c r="U565" t="s">
        <v>728</v>
      </c>
      <c r="V565" t="s">
        <v>966</v>
      </c>
      <c r="W565">
        <v>197.63</v>
      </c>
      <c r="X565">
        <f>Table1[[#This Row],[UnitCost]]*(1+'scenario modeling'!$B$3)</f>
        <v>217.393</v>
      </c>
      <c r="Y565">
        <v>325.79000000000002</v>
      </c>
      <c r="Z565" t="str">
        <f>IF(Table1[[#This Row],[UnitPrice]]&lt;=Quantiles!$B$2,Quantiles!$A$2,IF(Table1[[#This Row],[UnitPrice]]&lt;=Quantiles!$B$3,Quantiles!$A$3,Quantiles!$A$4))</f>
        <v>Low</v>
      </c>
      <c r="AA565">
        <v>0.11600000000000001</v>
      </c>
      <c r="AB565" s="5">
        <f>MIN(Table1[[#This Row],[DiscountPct]],'scenario modeling'!$B$2)</f>
        <v>0.1</v>
      </c>
      <c r="AC565" t="str">
        <f>IF(Table1[[#This Row],[DiscountPct]]&gt;0.3, "&gt;0.3","")</f>
        <v/>
      </c>
      <c r="AD565">
        <v>10</v>
      </c>
      <c r="AE565">
        <f>Table1[[#This Row],[Quantity]]*(1+'scenario modeling'!$B$4)</f>
        <v>12</v>
      </c>
      <c r="AF565">
        <f>Table1[[#This Row],[UnitCost]]*Table1[[#This Row],[Quantity]]</f>
        <v>1976.3</v>
      </c>
      <c r="AG565">
        <f>SUMIF($U:U,Table1[[#This Row],[ProductCategory]],$AM:AM)</f>
        <v>1616102.6546600002</v>
      </c>
      <c r="AH565">
        <f>SUMIFS($AM$2:AM565,$U$2:U565,U565)</f>
        <v>526266.0843000001</v>
      </c>
      <c r="AI565" s="5">
        <f>Table1[[#This Row],[Cumulative_revenue]]/Table1[[#This Row],[Category_revenue]]</f>
        <v>0.32563901976308385</v>
      </c>
      <c r="AJ565" t="str">
        <f>IF(Table1[[#This Row],[cumulative_pct]]&lt;=0.8,"A",IF(Table1[[#This Row],[cumulative_pct]]&lt;=0.95,"B","C"))</f>
        <v>A</v>
      </c>
      <c r="AK565">
        <f>Table1[[#This Row],[adj_unit_cost]]*Table1[[#This Row],[scenario_quantity]]</f>
        <v>2608.7159999999999</v>
      </c>
      <c r="AL565" s="5">
        <f>Table1[[#This Row],[UnitPrice]]*Table1[[#This Row],[scenario_quantity]]*(1-Table1[[#This Row],[cap_adjusted_discount]])</f>
        <v>3518.5320000000006</v>
      </c>
      <c r="AM565" s="5">
        <f>Table1[[#This Row],[UnitPrice]]*Table1[[#This Row],[Quantity]]*(1-Table1[[#This Row],[DiscountPct]])</f>
        <v>2879.9836</v>
      </c>
      <c r="AN565" s="5">
        <f>Table1[[#This Row],[gross_revenue]]-Table1[[#This Row],[cost_of_goods]]</f>
        <v>903.68360000000007</v>
      </c>
      <c r="AO565" s="5">
        <f>Table1[[#This Row],[scenario_revenue]]-Table1[[#This Row],[Scenario_unit_cost]]</f>
        <v>909.81600000000071</v>
      </c>
      <c r="AP565" s="5">
        <f>IF(Table1[[#This Row],[gross_revenue]]=0,0,Table1[[#This Row],[gross_profit]]/Table1[[#This Row],[gross_revenue]])</f>
        <v>0.31378081458519419</v>
      </c>
    </row>
    <row r="566" spans="1:42" x14ac:dyDescent="0.35">
      <c r="A566" t="s">
        <v>233</v>
      </c>
      <c r="B566" t="str">
        <f>_xlfn.TEXTAFTER(Table1[[#This Row],[OrderID]],"-",2)</f>
        <v>777623</v>
      </c>
      <c r="C566">
        <f>YEAR(Table1[[#This Row],[OrderDate]])</f>
        <v>2024</v>
      </c>
      <c r="D566" s="9">
        <f>_xlfn.MINIFS(F:F,P:P,Table1[[#This Row],[Country]])</f>
        <v>44955</v>
      </c>
      <c r="E566" s="7">
        <f>DATEDIF(Table1[[#This Row],[first_time_orders]],Table1[[#This Row],[OrderDate]],"m")</f>
        <v>19</v>
      </c>
      <c r="F566" s="9">
        <v>45554</v>
      </c>
      <c r="G566" s="2" t="str">
        <f>TEXT(Table1[[#This Row],[OrderDate]],"MMM-YYYY")</f>
        <v>Sept-2024</v>
      </c>
      <c r="H566" s="7">
        <f>MONTH(Table1[[#This Row],[OrderDate]])</f>
        <v>9</v>
      </c>
      <c r="I566" s="7" t="str">
        <f>"Q"&amp;ROUNDUP(Table1[[#This Row],[months]]/3,0)&amp;"-"&amp;Table1[[#This Row],[order_year]]</f>
        <v>Q3-2024</v>
      </c>
      <c r="J566" s="7">
        <f>Table1[[#This Row],[RequiredDate]]-Table1[[#This Row],[OrderDate]]</f>
        <v>25</v>
      </c>
      <c r="K566" s="7">
        <f>IF(Table1[[#This Row],[lead_time]]&lt;0,MEDIAN(J:J),Table1[[#This Row],[lead_time]])</f>
        <v>25</v>
      </c>
      <c r="L566" s="7">
        <f>IF(Table1[[#This Row],[adj_lead_time]]&lt;=7,1,0)</f>
        <v>0</v>
      </c>
      <c r="M566" s="9">
        <v>45579</v>
      </c>
      <c r="N566" s="9">
        <f>IF(Table1[[#This Row],[lead_time]]&lt;0,(Table1[[#This Row],[OrderDate]]+Table1[[#This Row],[adj_lead_time]]),Table1[[#This Row],[RequiredDate]])</f>
        <v>45579</v>
      </c>
      <c r="O566" t="s">
        <v>648</v>
      </c>
      <c r="P566" t="s">
        <v>655</v>
      </c>
      <c r="Q566" t="s">
        <v>692</v>
      </c>
      <c r="R566" t="s">
        <v>705</v>
      </c>
      <c r="S566" t="s">
        <v>707</v>
      </c>
      <c r="T566" t="s">
        <v>723</v>
      </c>
      <c r="U566" t="s">
        <v>728</v>
      </c>
      <c r="V566" t="s">
        <v>953</v>
      </c>
      <c r="W566">
        <v>386.96</v>
      </c>
      <c r="X566">
        <f>Table1[[#This Row],[UnitCost]]*(1+'scenario modeling'!$B$3)</f>
        <v>425.65600000000001</v>
      </c>
      <c r="Y566">
        <v>937.46</v>
      </c>
      <c r="Z566" t="str">
        <f>IF(Table1[[#This Row],[UnitPrice]]&lt;=Quantiles!$B$2,Quantiles!$A$2,IF(Table1[[#This Row],[UnitPrice]]&lt;=Quantiles!$B$3,Quantiles!$A$3,Quantiles!$A$4))</f>
        <v>Medium</v>
      </c>
      <c r="AA566">
        <v>0.26600000000000001</v>
      </c>
      <c r="AB566" s="5">
        <f>MIN(Table1[[#This Row],[DiscountPct]],'scenario modeling'!$B$2)</f>
        <v>0.1</v>
      </c>
      <c r="AC566" t="str">
        <f>IF(Table1[[#This Row],[DiscountPct]]&gt;0.3, "&gt;0.3","")</f>
        <v/>
      </c>
      <c r="AD566">
        <v>41</v>
      </c>
      <c r="AE566">
        <f>Table1[[#This Row],[Quantity]]*(1+'scenario modeling'!$B$4)</f>
        <v>49.199999999999996</v>
      </c>
      <c r="AF566">
        <f>Table1[[#This Row],[UnitCost]]*Table1[[#This Row],[Quantity]]</f>
        <v>15865.359999999999</v>
      </c>
      <c r="AG566">
        <f>SUMIF($U:U,Table1[[#This Row],[ProductCategory]],$AM:AM)</f>
        <v>1616102.6546600002</v>
      </c>
      <c r="AH566">
        <f>SUMIFS($AM$2:AM566,$U$2:U566,U566)</f>
        <v>554478.00554000016</v>
      </c>
      <c r="AI566" s="5">
        <f>Table1[[#This Row],[Cumulative_revenue]]/Table1[[#This Row],[Category_revenue]]</f>
        <v>0.34309578289545761</v>
      </c>
      <c r="AJ566" t="str">
        <f>IF(Table1[[#This Row],[cumulative_pct]]&lt;=0.8,"A",IF(Table1[[#This Row],[cumulative_pct]]&lt;=0.95,"B","C"))</f>
        <v>A</v>
      </c>
      <c r="AK566">
        <f>Table1[[#This Row],[adj_unit_cost]]*Table1[[#This Row],[scenario_quantity]]</f>
        <v>20942.2752</v>
      </c>
      <c r="AL566" s="5">
        <f>Table1[[#This Row],[UnitPrice]]*Table1[[#This Row],[scenario_quantity]]*(1-Table1[[#This Row],[cap_adjusted_discount]])</f>
        <v>41510.728799999997</v>
      </c>
      <c r="AM566" s="5">
        <f>Table1[[#This Row],[UnitPrice]]*Table1[[#This Row],[Quantity]]*(1-Table1[[#This Row],[DiscountPct]])</f>
        <v>28211.92124</v>
      </c>
      <c r="AN566" s="5">
        <f>Table1[[#This Row],[gross_revenue]]-Table1[[#This Row],[cost_of_goods]]</f>
        <v>12346.561240000001</v>
      </c>
      <c r="AO566" s="5">
        <f>Table1[[#This Row],[scenario_revenue]]-Table1[[#This Row],[Scenario_unit_cost]]</f>
        <v>20568.453599999997</v>
      </c>
      <c r="AP566" s="5">
        <f>IF(Table1[[#This Row],[gross_revenue]]=0,0,Table1[[#This Row],[gross_profit]]/Table1[[#This Row],[gross_revenue]])</f>
        <v>0.43763631462626335</v>
      </c>
    </row>
    <row r="567" spans="1:42" x14ac:dyDescent="0.35">
      <c r="A567" t="s">
        <v>615</v>
      </c>
      <c r="B567" t="str">
        <f>_xlfn.TEXTAFTER(Table1[[#This Row],[OrderID]],"-",2)</f>
        <v>550400</v>
      </c>
      <c r="C567">
        <f>YEAR(Table1[[#This Row],[OrderDate]])</f>
        <v>2024</v>
      </c>
      <c r="D567" s="9">
        <f>_xlfn.MINIFS(F:F,P:P,Table1[[#This Row],[Country]])</f>
        <v>44928</v>
      </c>
      <c r="E567" s="7">
        <f>DATEDIF(Table1[[#This Row],[first_time_orders]],Table1[[#This Row],[OrderDate]],"m")</f>
        <v>19</v>
      </c>
      <c r="F567" s="9">
        <v>45523</v>
      </c>
      <c r="G567" s="2" t="str">
        <f>TEXT(Table1[[#This Row],[OrderDate]],"MMM-YYYY")</f>
        <v>Aug-2024</v>
      </c>
      <c r="H567" s="7">
        <f>MONTH(Table1[[#This Row],[OrderDate]])</f>
        <v>8</v>
      </c>
      <c r="I567" s="7" t="str">
        <f>"Q"&amp;ROUNDUP(Table1[[#This Row],[months]]/3,0)&amp;"-"&amp;Table1[[#This Row],[order_year]]</f>
        <v>Q3-2024</v>
      </c>
      <c r="J567" s="7">
        <f>Table1[[#This Row],[RequiredDate]]-Table1[[#This Row],[OrderDate]]</f>
        <v>14</v>
      </c>
      <c r="K567" s="7">
        <f>IF(Table1[[#This Row],[lead_time]]&lt;0,MEDIAN(J:J),Table1[[#This Row],[lead_time]])</f>
        <v>14</v>
      </c>
      <c r="L567" s="7">
        <f>IF(Table1[[#This Row],[adj_lead_time]]&lt;=7,1,0)</f>
        <v>0</v>
      </c>
      <c r="M567" s="9">
        <v>45537</v>
      </c>
      <c r="N567" s="9">
        <f>IF(Table1[[#This Row],[lead_time]]&lt;0,(Table1[[#This Row],[OrderDate]]+Table1[[#This Row],[adj_lead_time]]),Table1[[#This Row],[RequiredDate]])</f>
        <v>45537</v>
      </c>
      <c r="O567" t="s">
        <v>648</v>
      </c>
      <c r="P567" t="s">
        <v>653</v>
      </c>
      <c r="Q567" t="s">
        <v>667</v>
      </c>
      <c r="R567" t="s">
        <v>704</v>
      </c>
      <c r="S567" t="s">
        <v>710</v>
      </c>
      <c r="T567" t="s">
        <v>712</v>
      </c>
      <c r="U567" t="s">
        <v>728</v>
      </c>
      <c r="V567" t="s">
        <v>1333</v>
      </c>
      <c r="W567">
        <v>1337.01</v>
      </c>
      <c r="X567">
        <f>Table1[[#This Row],[UnitCost]]*(1+'scenario modeling'!$B$3)</f>
        <v>1470.711</v>
      </c>
      <c r="Y567">
        <v>1269.78</v>
      </c>
      <c r="Z567" t="str">
        <f>IF(Table1[[#This Row],[UnitPrice]]&lt;=Quantiles!$B$2,Quantiles!$A$2,IF(Table1[[#This Row],[UnitPrice]]&lt;=Quantiles!$B$3,Quantiles!$A$3,Quantiles!$A$4))</f>
        <v>Medium</v>
      </c>
      <c r="AA567">
        <v>0.16</v>
      </c>
      <c r="AB567" s="5">
        <f>MIN(Table1[[#This Row],[DiscountPct]],'scenario modeling'!$B$2)</f>
        <v>0.1</v>
      </c>
      <c r="AC567" t="str">
        <f>IF(Table1[[#This Row],[DiscountPct]]&gt;0.3, "&gt;0.3","")</f>
        <v/>
      </c>
      <c r="AD567">
        <v>7</v>
      </c>
      <c r="AE567">
        <f>Table1[[#This Row],[Quantity]]*(1+'scenario modeling'!$B$4)</f>
        <v>8.4</v>
      </c>
      <c r="AF567">
        <f>Table1[[#This Row],[UnitCost]]*Table1[[#This Row],[Quantity]]</f>
        <v>9359.07</v>
      </c>
      <c r="AG567">
        <f>SUMIF($U:U,Table1[[#This Row],[ProductCategory]],$AM:AM)</f>
        <v>1616102.6546600002</v>
      </c>
      <c r="AH567">
        <f>SUMIFS($AM$2:AM567,$U$2:U567,U567)</f>
        <v>561944.31194000016</v>
      </c>
      <c r="AI567" s="5">
        <f>Table1[[#This Row],[Cumulative_revenue]]/Table1[[#This Row],[Category_revenue]]</f>
        <v>0.34771572852729671</v>
      </c>
      <c r="AJ567" t="str">
        <f>IF(Table1[[#This Row],[cumulative_pct]]&lt;=0.8,"A",IF(Table1[[#This Row],[cumulative_pct]]&lt;=0.95,"B","C"))</f>
        <v>A</v>
      </c>
      <c r="AK567">
        <f>Table1[[#This Row],[adj_unit_cost]]*Table1[[#This Row],[scenario_quantity]]</f>
        <v>12353.972400000001</v>
      </c>
      <c r="AL567" s="5">
        <f>Table1[[#This Row],[UnitPrice]]*Table1[[#This Row],[scenario_quantity]]*(1-Table1[[#This Row],[cap_adjusted_discount]])</f>
        <v>9599.5367999999999</v>
      </c>
      <c r="AM567" s="5">
        <f>Table1[[#This Row],[UnitPrice]]*Table1[[#This Row],[Quantity]]*(1-Table1[[#This Row],[DiscountPct]])</f>
        <v>7466.3063999999986</v>
      </c>
      <c r="AN567" s="5">
        <f>Table1[[#This Row],[gross_revenue]]-Table1[[#This Row],[cost_of_goods]]</f>
        <v>-1892.7636000000011</v>
      </c>
      <c r="AO567" s="5">
        <f>Table1[[#This Row],[scenario_revenue]]-Table1[[#This Row],[Scenario_unit_cost]]</f>
        <v>-2754.4356000000007</v>
      </c>
      <c r="AP567" s="5">
        <f>IF(Table1[[#This Row],[gross_revenue]]=0,0,Table1[[#This Row],[gross_profit]]/Table1[[#This Row],[gross_revenue]])</f>
        <v>-0.25350735672996244</v>
      </c>
    </row>
    <row r="568" spans="1:42" x14ac:dyDescent="0.35">
      <c r="A568" t="s">
        <v>226</v>
      </c>
      <c r="B568" t="str">
        <f>_xlfn.TEXTAFTER(Table1[[#This Row],[OrderID]],"-",2)</f>
        <v>988736</v>
      </c>
      <c r="C568">
        <f>YEAR(Table1[[#This Row],[OrderDate]])</f>
        <v>2024</v>
      </c>
      <c r="D568" s="9">
        <f>_xlfn.MINIFS(F:F,P:P,Table1[[#This Row],[Country]])</f>
        <v>44938</v>
      </c>
      <c r="E568" s="7">
        <f>DATEDIF(Table1[[#This Row],[first_time_orders]],Table1[[#This Row],[OrderDate]],"m")</f>
        <v>19</v>
      </c>
      <c r="F568" s="9">
        <v>45544</v>
      </c>
      <c r="G568" s="2" t="str">
        <f>TEXT(Table1[[#This Row],[OrderDate]],"MMM-YYYY")</f>
        <v>Sept-2024</v>
      </c>
      <c r="H568" s="7">
        <f>MONTH(Table1[[#This Row],[OrderDate]])</f>
        <v>9</v>
      </c>
      <c r="I568" s="7" t="str">
        <f>"Q"&amp;ROUNDUP(Table1[[#This Row],[months]]/3,0)&amp;"-"&amp;Table1[[#This Row],[order_year]]</f>
        <v>Q3-2024</v>
      </c>
      <c r="J568" s="7">
        <f>Table1[[#This Row],[RequiredDate]]-Table1[[#This Row],[OrderDate]]</f>
        <v>22</v>
      </c>
      <c r="K568" s="7">
        <f>IF(Table1[[#This Row],[lead_time]]&lt;0,MEDIAN(J:J),Table1[[#This Row],[lead_time]])</f>
        <v>22</v>
      </c>
      <c r="L568" s="7">
        <f>IF(Table1[[#This Row],[adj_lead_time]]&lt;=7,1,0)</f>
        <v>0</v>
      </c>
      <c r="M568" s="9">
        <v>45566</v>
      </c>
      <c r="N568" s="9">
        <f>IF(Table1[[#This Row],[lead_time]]&lt;0,(Table1[[#This Row],[OrderDate]]+Table1[[#This Row],[adj_lead_time]]),Table1[[#This Row],[RequiredDate]])</f>
        <v>45566</v>
      </c>
      <c r="O568" t="s">
        <v>647</v>
      </c>
      <c r="P568" t="s">
        <v>659</v>
      </c>
      <c r="Q568" t="s">
        <v>676</v>
      </c>
      <c r="R568" t="s">
        <v>704</v>
      </c>
      <c r="S568" t="s">
        <v>711</v>
      </c>
      <c r="T568" t="s">
        <v>716</v>
      </c>
      <c r="U568" t="s">
        <v>728</v>
      </c>
      <c r="V568" t="s">
        <v>946</v>
      </c>
      <c r="W568">
        <v>1166.18</v>
      </c>
      <c r="X568">
        <f>Table1[[#This Row],[UnitCost]]*(1+'scenario modeling'!$B$3)</f>
        <v>1282.7980000000002</v>
      </c>
      <c r="Y568">
        <v>1335.02</v>
      </c>
      <c r="Z568" t="str">
        <f>IF(Table1[[#This Row],[UnitPrice]]&lt;=Quantiles!$B$2,Quantiles!$A$2,IF(Table1[[#This Row],[UnitPrice]]&lt;=Quantiles!$B$3,Quantiles!$A$3,Quantiles!$A$4))</f>
        <v>Medium</v>
      </c>
      <c r="AA568">
        <v>0.128</v>
      </c>
      <c r="AB568" s="5">
        <f>MIN(Table1[[#This Row],[DiscountPct]],'scenario modeling'!$B$2)</f>
        <v>0.1</v>
      </c>
      <c r="AC568" t="str">
        <f>IF(Table1[[#This Row],[DiscountPct]]&gt;0.3, "&gt;0.3","")</f>
        <v/>
      </c>
      <c r="AD568">
        <v>6</v>
      </c>
      <c r="AE568">
        <f>Table1[[#This Row],[Quantity]]*(1+'scenario modeling'!$B$4)</f>
        <v>7.1999999999999993</v>
      </c>
      <c r="AF568">
        <f>Table1[[#This Row],[UnitCost]]*Table1[[#This Row],[Quantity]]</f>
        <v>6997.08</v>
      </c>
      <c r="AG568">
        <f>SUMIF($U:U,Table1[[#This Row],[ProductCategory]],$AM:AM)</f>
        <v>1616102.6546600002</v>
      </c>
      <c r="AH568">
        <f>SUMIFS($AM$2:AM568,$U$2:U568,U568)</f>
        <v>568929.13658000017</v>
      </c>
      <c r="AI568" s="5">
        <f>Table1[[#This Row],[Cumulative_revenue]]/Table1[[#This Row],[Category_revenue]]</f>
        <v>0.35203774645100927</v>
      </c>
      <c r="AJ568" t="str">
        <f>IF(Table1[[#This Row],[cumulative_pct]]&lt;=0.8,"A",IF(Table1[[#This Row],[cumulative_pct]]&lt;=0.95,"B","C"))</f>
        <v>A</v>
      </c>
      <c r="AK568">
        <f>Table1[[#This Row],[adj_unit_cost]]*Table1[[#This Row],[scenario_quantity]]</f>
        <v>9236.1455999999998</v>
      </c>
      <c r="AL568" s="5">
        <f>Table1[[#This Row],[UnitPrice]]*Table1[[#This Row],[scenario_quantity]]*(1-Table1[[#This Row],[cap_adjusted_discount]])</f>
        <v>8650.9295999999995</v>
      </c>
      <c r="AM568" s="5">
        <f>Table1[[#This Row],[UnitPrice]]*Table1[[#This Row],[Quantity]]*(1-Table1[[#This Row],[DiscountPct]])</f>
        <v>6984.8246399999998</v>
      </c>
      <c r="AN568" s="5">
        <f>Table1[[#This Row],[gross_revenue]]-Table1[[#This Row],[cost_of_goods]]</f>
        <v>-12.25536000000011</v>
      </c>
      <c r="AO568" s="5">
        <f>Table1[[#This Row],[scenario_revenue]]-Table1[[#This Row],[Scenario_unit_cost]]</f>
        <v>-585.21600000000035</v>
      </c>
      <c r="AP568" s="5">
        <f>IF(Table1[[#This Row],[gross_revenue]]=0,0,Table1[[#This Row],[gross_profit]]/Table1[[#This Row],[gross_revenue]])</f>
        <v>-1.7545694604582242E-3</v>
      </c>
    </row>
    <row r="569" spans="1:42" x14ac:dyDescent="0.35">
      <c r="A569" t="s">
        <v>405</v>
      </c>
      <c r="B569" t="str">
        <f>_xlfn.TEXTAFTER(Table1[[#This Row],[OrderID]],"-",2)</f>
        <v>307849</v>
      </c>
      <c r="C569">
        <f>YEAR(Table1[[#This Row],[OrderDate]])</f>
        <v>2024</v>
      </c>
      <c r="D569" s="9">
        <f>_xlfn.MINIFS(F:F,P:P,Table1[[#This Row],[Country]])</f>
        <v>44936</v>
      </c>
      <c r="E569" s="7">
        <f>DATEDIF(Table1[[#This Row],[first_time_orders]],Table1[[#This Row],[OrderDate]],"m")</f>
        <v>19</v>
      </c>
      <c r="F569" s="9">
        <v>45514</v>
      </c>
      <c r="G569" s="2" t="str">
        <f>TEXT(Table1[[#This Row],[OrderDate]],"MMM-YYYY")</f>
        <v>Aug-2024</v>
      </c>
      <c r="H569" s="7">
        <f>MONTH(Table1[[#This Row],[OrderDate]])</f>
        <v>8</v>
      </c>
      <c r="I569" s="7" t="str">
        <f>"Q"&amp;ROUNDUP(Table1[[#This Row],[months]]/3,0)&amp;"-"&amp;Table1[[#This Row],[order_year]]</f>
        <v>Q3-2024</v>
      </c>
      <c r="J569" s="7">
        <f>Table1[[#This Row],[RequiredDate]]-Table1[[#This Row],[OrderDate]]</f>
        <v>28</v>
      </c>
      <c r="K569" s="7">
        <f>IF(Table1[[#This Row],[lead_time]]&lt;0,MEDIAN(J:J),Table1[[#This Row],[lead_time]])</f>
        <v>28</v>
      </c>
      <c r="L569" s="7">
        <f>IF(Table1[[#This Row],[adj_lead_time]]&lt;=7,1,0)</f>
        <v>0</v>
      </c>
      <c r="M569" s="9">
        <v>45542</v>
      </c>
      <c r="N569" s="9">
        <f>IF(Table1[[#This Row],[lead_time]]&lt;0,(Table1[[#This Row],[OrderDate]]+Table1[[#This Row],[adj_lead_time]]),Table1[[#This Row],[RequiredDate]])</f>
        <v>45542</v>
      </c>
      <c r="O569" t="s">
        <v>649</v>
      </c>
      <c r="P569" t="s">
        <v>657</v>
      </c>
      <c r="Q569" t="s">
        <v>673</v>
      </c>
      <c r="R569" t="s">
        <v>703</v>
      </c>
      <c r="S569" t="s">
        <v>711</v>
      </c>
      <c r="T569" t="s">
        <v>721</v>
      </c>
      <c r="U569" t="s">
        <v>728</v>
      </c>
      <c r="V569" t="s">
        <v>1124</v>
      </c>
      <c r="W569">
        <v>229.96</v>
      </c>
      <c r="X569">
        <f>Table1[[#This Row],[UnitCost]]*(1+'scenario modeling'!$B$3)</f>
        <v>252.95600000000002</v>
      </c>
      <c r="Y569">
        <v>564.26</v>
      </c>
      <c r="Z569" t="str">
        <f>IF(Table1[[#This Row],[UnitPrice]]&lt;=Quantiles!$B$2,Quantiles!$A$2,IF(Table1[[#This Row],[UnitPrice]]&lt;=Quantiles!$B$3,Quantiles!$A$3,Quantiles!$A$4))</f>
        <v>Low</v>
      </c>
      <c r="AA569">
        <v>0.105</v>
      </c>
      <c r="AB569" s="5">
        <f>MIN(Table1[[#This Row],[DiscountPct]],'scenario modeling'!$B$2)</f>
        <v>0.1</v>
      </c>
      <c r="AC569" t="str">
        <f>IF(Table1[[#This Row],[DiscountPct]]&gt;0.3, "&gt;0.3","")</f>
        <v/>
      </c>
      <c r="AD569">
        <v>5</v>
      </c>
      <c r="AE569">
        <f>Table1[[#This Row],[Quantity]]*(1+'scenario modeling'!$B$4)</f>
        <v>6</v>
      </c>
      <c r="AF569">
        <f>Table1[[#This Row],[UnitCost]]*Table1[[#This Row],[Quantity]]</f>
        <v>1149.8</v>
      </c>
      <c r="AG569">
        <f>SUMIF($U:U,Table1[[#This Row],[ProductCategory]],$AM:AM)</f>
        <v>1616102.6546600002</v>
      </c>
      <c r="AH569">
        <f>SUMIFS($AM$2:AM569,$U$2:U569,U569)</f>
        <v>571454.20008000021</v>
      </c>
      <c r="AI569" s="5">
        <f>Table1[[#This Row],[Cumulative_revenue]]/Table1[[#This Row],[Category_revenue]]</f>
        <v>0.35360018649324243</v>
      </c>
      <c r="AJ569" t="str">
        <f>IF(Table1[[#This Row],[cumulative_pct]]&lt;=0.8,"A",IF(Table1[[#This Row],[cumulative_pct]]&lt;=0.95,"B","C"))</f>
        <v>A</v>
      </c>
      <c r="AK569">
        <f>Table1[[#This Row],[adj_unit_cost]]*Table1[[#This Row],[scenario_quantity]]</f>
        <v>1517.7360000000001</v>
      </c>
      <c r="AL569" s="5">
        <f>Table1[[#This Row],[UnitPrice]]*Table1[[#This Row],[scenario_quantity]]*(1-Table1[[#This Row],[cap_adjusted_discount]])</f>
        <v>3047.0039999999999</v>
      </c>
      <c r="AM569" s="5">
        <f>Table1[[#This Row],[UnitPrice]]*Table1[[#This Row],[Quantity]]*(1-Table1[[#This Row],[DiscountPct]])</f>
        <v>2525.0635000000002</v>
      </c>
      <c r="AN569" s="5">
        <f>Table1[[#This Row],[gross_revenue]]-Table1[[#This Row],[cost_of_goods]]</f>
        <v>1375.2635000000002</v>
      </c>
      <c r="AO569" s="5">
        <f>Table1[[#This Row],[scenario_revenue]]-Table1[[#This Row],[Scenario_unit_cost]]</f>
        <v>1529.2679999999998</v>
      </c>
      <c r="AP569" s="5">
        <f>IF(Table1[[#This Row],[gross_revenue]]=0,0,Table1[[#This Row],[gross_profit]]/Table1[[#This Row],[gross_revenue]])</f>
        <v>0.54464511486542821</v>
      </c>
    </row>
    <row r="570" spans="1:42" x14ac:dyDescent="0.35">
      <c r="A570" t="s">
        <v>457</v>
      </c>
      <c r="B570" t="str">
        <f>_xlfn.TEXTAFTER(Table1[[#This Row],[OrderID]],"-",2)</f>
        <v>745424</v>
      </c>
      <c r="C570">
        <f>YEAR(Table1[[#This Row],[OrderDate]])</f>
        <v>2024</v>
      </c>
      <c r="D570" s="9">
        <f>_xlfn.MINIFS(F:F,P:P,Table1[[#This Row],[Country]])</f>
        <v>44948</v>
      </c>
      <c r="E570" s="7">
        <f>DATEDIF(Table1[[#This Row],[first_time_orders]],Table1[[#This Row],[OrderDate]],"m")</f>
        <v>19</v>
      </c>
      <c r="F570" s="9">
        <v>45526</v>
      </c>
      <c r="G570" s="2" t="str">
        <f>TEXT(Table1[[#This Row],[OrderDate]],"MMM-YYYY")</f>
        <v>Aug-2024</v>
      </c>
      <c r="H570" s="7">
        <f>MONTH(Table1[[#This Row],[OrderDate]])</f>
        <v>8</v>
      </c>
      <c r="I570" s="7" t="str">
        <f>"Q"&amp;ROUNDUP(Table1[[#This Row],[months]]/3,0)&amp;"-"&amp;Table1[[#This Row],[order_year]]</f>
        <v>Q3-2024</v>
      </c>
      <c r="J570" s="7">
        <f>Table1[[#This Row],[RequiredDate]]-Table1[[#This Row],[OrderDate]]</f>
        <v>13</v>
      </c>
      <c r="K570" s="7">
        <f>IF(Table1[[#This Row],[lead_time]]&lt;0,MEDIAN(J:J),Table1[[#This Row],[lead_time]])</f>
        <v>13</v>
      </c>
      <c r="L570" s="7">
        <f>IF(Table1[[#This Row],[adj_lead_time]]&lt;=7,1,0)</f>
        <v>0</v>
      </c>
      <c r="M570" s="9">
        <v>45539</v>
      </c>
      <c r="N570" s="9">
        <f>IF(Table1[[#This Row],[lead_time]]&lt;0,(Table1[[#This Row],[OrderDate]]+Table1[[#This Row],[adj_lead_time]]),Table1[[#This Row],[RequiredDate]])</f>
        <v>45539</v>
      </c>
      <c r="O570" t="s">
        <v>649</v>
      </c>
      <c r="P570" t="s">
        <v>656</v>
      </c>
      <c r="Q570" t="s">
        <v>698</v>
      </c>
      <c r="R570" t="s">
        <v>703</v>
      </c>
      <c r="S570" t="s">
        <v>707</v>
      </c>
      <c r="T570" t="s">
        <v>716</v>
      </c>
      <c r="U570" t="s">
        <v>728</v>
      </c>
      <c r="V570" t="s">
        <v>1176</v>
      </c>
      <c r="W570">
        <v>90.04</v>
      </c>
      <c r="X570">
        <f>Table1[[#This Row],[UnitCost]]*(1+'scenario modeling'!$B$3)</f>
        <v>99.044000000000011</v>
      </c>
      <c r="Y570">
        <v>194.62</v>
      </c>
      <c r="Z570" t="str">
        <f>IF(Table1[[#This Row],[UnitPrice]]&lt;=Quantiles!$B$2,Quantiles!$A$2,IF(Table1[[#This Row],[UnitPrice]]&lt;=Quantiles!$B$3,Quantiles!$A$3,Quantiles!$A$4))</f>
        <v>Low</v>
      </c>
      <c r="AA570">
        <v>4.2999999999999997E-2</v>
      </c>
      <c r="AB570" s="5">
        <f>MIN(Table1[[#This Row],[DiscountPct]],'scenario modeling'!$B$2)</f>
        <v>4.2999999999999997E-2</v>
      </c>
      <c r="AC570" t="str">
        <f>IF(Table1[[#This Row],[DiscountPct]]&gt;0.3, "&gt;0.3","")</f>
        <v/>
      </c>
      <c r="AD570">
        <v>32</v>
      </c>
      <c r="AE570">
        <f>Table1[[#This Row],[Quantity]]*(1+'scenario modeling'!$B$4)</f>
        <v>38.4</v>
      </c>
      <c r="AF570">
        <f>Table1[[#This Row],[UnitCost]]*Table1[[#This Row],[Quantity]]</f>
        <v>2881.28</v>
      </c>
      <c r="AG570">
        <f>SUMIF($U:U,Table1[[#This Row],[ProductCategory]],$AM:AM)</f>
        <v>1616102.6546600002</v>
      </c>
      <c r="AH570">
        <f>SUMIFS($AM$2:AM570,$U$2:U570,U570)</f>
        <v>577414.24296000018</v>
      </c>
      <c r="AI570" s="5">
        <f>Table1[[#This Row],[Cumulative_revenue]]/Table1[[#This Row],[Category_revenue]]</f>
        <v>0.35728809756919683</v>
      </c>
      <c r="AJ570" t="str">
        <f>IF(Table1[[#This Row],[cumulative_pct]]&lt;=0.8,"A",IF(Table1[[#This Row],[cumulative_pct]]&lt;=0.95,"B","C"))</f>
        <v>A</v>
      </c>
      <c r="AK570">
        <f>Table1[[#This Row],[adj_unit_cost]]*Table1[[#This Row],[scenario_quantity]]</f>
        <v>3803.2896000000001</v>
      </c>
      <c r="AL570" s="5">
        <f>Table1[[#This Row],[UnitPrice]]*Table1[[#This Row],[scenario_quantity]]*(1-Table1[[#This Row],[cap_adjusted_discount]])</f>
        <v>7152.0514559999992</v>
      </c>
      <c r="AM570" s="5">
        <f>Table1[[#This Row],[UnitPrice]]*Table1[[#This Row],[Quantity]]*(1-Table1[[#This Row],[DiscountPct]])</f>
        <v>5960.04288</v>
      </c>
      <c r="AN570" s="5">
        <f>Table1[[#This Row],[gross_revenue]]-Table1[[#This Row],[cost_of_goods]]</f>
        <v>3078.7628799999998</v>
      </c>
      <c r="AO570" s="5">
        <f>Table1[[#This Row],[scenario_revenue]]-Table1[[#This Row],[Scenario_unit_cost]]</f>
        <v>3348.7618559999992</v>
      </c>
      <c r="AP570" s="5">
        <f>IF(Table1[[#This Row],[gross_revenue]]=0,0,Table1[[#This Row],[gross_profit]]/Table1[[#This Row],[gross_revenue]])</f>
        <v>0.51656723650954672</v>
      </c>
    </row>
    <row r="571" spans="1:42" x14ac:dyDescent="0.35">
      <c r="A571" t="s">
        <v>213</v>
      </c>
      <c r="B571" t="str">
        <f>_xlfn.TEXTAFTER(Table1[[#This Row],[OrderID]],"-",2)</f>
        <v>701153</v>
      </c>
      <c r="C571">
        <f>YEAR(Table1[[#This Row],[OrderDate]])</f>
        <v>2023</v>
      </c>
      <c r="D571" s="9">
        <f>_xlfn.MINIFS(F:F,P:P,Table1[[#This Row],[Country]])</f>
        <v>44948</v>
      </c>
      <c r="E571" s="7">
        <f>DATEDIF(Table1[[#This Row],[first_time_orders]],Table1[[#This Row],[OrderDate]],"m")</f>
        <v>2</v>
      </c>
      <c r="F571" s="9">
        <v>45030</v>
      </c>
      <c r="G571" s="2" t="str">
        <f>TEXT(Table1[[#This Row],[OrderDate]],"MMM-YYYY")</f>
        <v>Apr-2023</v>
      </c>
      <c r="H571" s="7">
        <f>MONTH(Table1[[#This Row],[OrderDate]])</f>
        <v>4</v>
      </c>
      <c r="I571" s="7" t="str">
        <f>"Q"&amp;ROUNDUP(Table1[[#This Row],[months]]/3,0)&amp;"-"&amp;Table1[[#This Row],[order_year]]</f>
        <v>Q2-2023</v>
      </c>
      <c r="J571" s="7">
        <f>Table1[[#This Row],[RequiredDate]]-Table1[[#This Row],[OrderDate]]</f>
        <v>29</v>
      </c>
      <c r="K571" s="7">
        <f>IF(Table1[[#This Row],[lead_time]]&lt;0,MEDIAN(J:J),Table1[[#This Row],[lead_time]])</f>
        <v>29</v>
      </c>
      <c r="L571" s="7">
        <f>IF(Table1[[#This Row],[adj_lead_time]]&lt;=7,1,0)</f>
        <v>0</v>
      </c>
      <c r="M571" s="9">
        <v>45059</v>
      </c>
      <c r="N571" s="9">
        <f>IF(Table1[[#This Row],[lead_time]]&lt;0,(Table1[[#This Row],[OrderDate]]+Table1[[#This Row],[adj_lead_time]]),Table1[[#This Row],[RequiredDate]])</f>
        <v>45059</v>
      </c>
      <c r="O571" t="s">
        <v>649</v>
      </c>
      <c r="P571" t="s">
        <v>656</v>
      </c>
      <c r="Q571" t="s">
        <v>698</v>
      </c>
      <c r="R571" t="s">
        <v>704</v>
      </c>
      <c r="S571" t="s">
        <v>711</v>
      </c>
      <c r="T571" t="s">
        <v>713</v>
      </c>
      <c r="U571" t="s">
        <v>728</v>
      </c>
      <c r="V571" t="s">
        <v>933</v>
      </c>
      <c r="W571">
        <v>1320.33</v>
      </c>
      <c r="X571">
        <f>Table1[[#This Row],[UnitCost]]*(1+'scenario modeling'!$B$3)</f>
        <v>1452.3630000000001</v>
      </c>
      <c r="Y571">
        <v>2645.23</v>
      </c>
      <c r="Z571" t="str">
        <f>IF(Table1[[#This Row],[UnitPrice]]&lt;=Quantiles!$B$2,Quantiles!$A$2,IF(Table1[[#This Row],[UnitPrice]]&lt;=Quantiles!$B$3,Quantiles!$A$3,Quantiles!$A$4))</f>
        <v>High</v>
      </c>
      <c r="AA571">
        <v>0.155</v>
      </c>
      <c r="AB571" s="5">
        <f>MIN(Table1[[#This Row],[DiscountPct]],'scenario modeling'!$B$2)</f>
        <v>0.1</v>
      </c>
      <c r="AC571" t="str">
        <f>IF(Table1[[#This Row],[DiscountPct]]&gt;0.3, "&gt;0.3","")</f>
        <v/>
      </c>
      <c r="AD571">
        <v>25</v>
      </c>
      <c r="AE571">
        <f>Table1[[#This Row],[Quantity]]*(1+'scenario modeling'!$B$4)</f>
        <v>30</v>
      </c>
      <c r="AF571">
        <f>Table1[[#This Row],[UnitCost]]*Table1[[#This Row],[Quantity]]</f>
        <v>33008.25</v>
      </c>
      <c r="AG571">
        <f>SUMIF($U:U,Table1[[#This Row],[ProductCategory]],$AM:AM)</f>
        <v>1616102.6546600002</v>
      </c>
      <c r="AH571">
        <f>SUMIFS($AM$2:AM571,$U$2:U571,U571)</f>
        <v>633294.72671000019</v>
      </c>
      <c r="AI571" s="5">
        <f>Table1[[#This Row],[Cumulative_revenue]]/Table1[[#This Row],[Category_revenue]]</f>
        <v>0.39186540835379935</v>
      </c>
      <c r="AJ571" t="str">
        <f>IF(Table1[[#This Row],[cumulative_pct]]&lt;=0.8,"A",IF(Table1[[#This Row],[cumulative_pct]]&lt;=0.95,"B","C"))</f>
        <v>A</v>
      </c>
      <c r="AK571">
        <f>Table1[[#This Row],[adj_unit_cost]]*Table1[[#This Row],[scenario_quantity]]</f>
        <v>43570.89</v>
      </c>
      <c r="AL571" s="5">
        <f>Table1[[#This Row],[UnitPrice]]*Table1[[#This Row],[scenario_quantity]]*(1-Table1[[#This Row],[cap_adjusted_discount]])</f>
        <v>71421.209999999992</v>
      </c>
      <c r="AM571" s="5">
        <f>Table1[[#This Row],[UnitPrice]]*Table1[[#This Row],[Quantity]]*(1-Table1[[#This Row],[DiscountPct]])</f>
        <v>55880.483749999999</v>
      </c>
      <c r="AN571" s="5">
        <f>Table1[[#This Row],[gross_revenue]]-Table1[[#This Row],[cost_of_goods]]</f>
        <v>22872.233749999999</v>
      </c>
      <c r="AO571" s="5">
        <f>Table1[[#This Row],[scenario_revenue]]-Table1[[#This Row],[Scenario_unit_cost]]</f>
        <v>27850.319999999992</v>
      </c>
      <c r="AP571" s="5">
        <f>IF(Table1[[#This Row],[gross_revenue]]=0,0,Table1[[#This Row],[gross_profit]]/Table1[[#This Row],[gross_revenue]])</f>
        <v>0.40930629470436536</v>
      </c>
    </row>
    <row r="572" spans="1:42" x14ac:dyDescent="0.35">
      <c r="A572" t="s">
        <v>618</v>
      </c>
      <c r="B572" t="str">
        <f>_xlfn.TEXTAFTER(Table1[[#This Row],[OrderID]],"-",2)</f>
        <v>294716</v>
      </c>
      <c r="C572">
        <f>YEAR(Table1[[#This Row],[OrderDate]])</f>
        <v>2023</v>
      </c>
      <c r="D572" s="9">
        <f>_xlfn.MINIFS(F:F,P:P,Table1[[#This Row],[Country]])</f>
        <v>44945</v>
      </c>
      <c r="E572" s="7">
        <f>DATEDIF(Table1[[#This Row],[first_time_orders]],Table1[[#This Row],[OrderDate]],"m")</f>
        <v>2</v>
      </c>
      <c r="F572" s="9">
        <v>45026</v>
      </c>
      <c r="G572" s="2" t="str">
        <f>TEXT(Table1[[#This Row],[OrderDate]],"MMM-YYYY")</f>
        <v>Apr-2023</v>
      </c>
      <c r="H572" s="7">
        <f>MONTH(Table1[[#This Row],[OrderDate]])</f>
        <v>4</v>
      </c>
      <c r="I572" s="7" t="str">
        <f>"Q"&amp;ROUNDUP(Table1[[#This Row],[months]]/3,0)&amp;"-"&amp;Table1[[#This Row],[order_year]]</f>
        <v>Q2-2023</v>
      </c>
      <c r="J572" s="7">
        <f>Table1[[#This Row],[RequiredDate]]-Table1[[#This Row],[OrderDate]]</f>
        <v>15</v>
      </c>
      <c r="K572" s="7">
        <f>IF(Table1[[#This Row],[lead_time]]&lt;0,MEDIAN(J:J),Table1[[#This Row],[lead_time]])</f>
        <v>15</v>
      </c>
      <c r="L572" s="7">
        <f>IF(Table1[[#This Row],[adj_lead_time]]&lt;=7,1,0)</f>
        <v>0</v>
      </c>
      <c r="M572" s="9">
        <v>45041</v>
      </c>
      <c r="N572" s="9">
        <f>IF(Table1[[#This Row],[lead_time]]&lt;0,(Table1[[#This Row],[OrderDate]]+Table1[[#This Row],[adj_lead_time]]),Table1[[#This Row],[RequiredDate]])</f>
        <v>45041</v>
      </c>
      <c r="O572" t="s">
        <v>649</v>
      </c>
      <c r="P572" t="s">
        <v>658</v>
      </c>
      <c r="Q572" t="s">
        <v>683</v>
      </c>
      <c r="R572" t="s">
        <v>705</v>
      </c>
      <c r="S572" t="s">
        <v>707</v>
      </c>
      <c r="T572" t="s">
        <v>726</v>
      </c>
      <c r="U572" t="s">
        <v>728</v>
      </c>
      <c r="V572" t="s">
        <v>1336</v>
      </c>
      <c r="W572">
        <v>405.66</v>
      </c>
      <c r="X572">
        <f>Table1[[#This Row],[UnitCost]]*(1+'scenario modeling'!$B$3)</f>
        <v>446.22600000000006</v>
      </c>
      <c r="Y572">
        <v>962.51</v>
      </c>
      <c r="Z572" t="str">
        <f>IF(Table1[[#This Row],[UnitPrice]]&lt;=Quantiles!$B$2,Quantiles!$A$2,IF(Table1[[#This Row],[UnitPrice]]&lt;=Quantiles!$B$3,Quantiles!$A$3,Quantiles!$A$4))</f>
        <v>Medium</v>
      </c>
      <c r="AA572">
        <v>0.19</v>
      </c>
      <c r="AB572" s="5">
        <f>MIN(Table1[[#This Row],[DiscountPct]],'scenario modeling'!$B$2)</f>
        <v>0.1</v>
      </c>
      <c r="AC572" t="str">
        <f>IF(Table1[[#This Row],[DiscountPct]]&gt;0.3, "&gt;0.3","")</f>
        <v/>
      </c>
      <c r="AD572">
        <v>7</v>
      </c>
      <c r="AE572">
        <f>Table1[[#This Row],[Quantity]]*(1+'scenario modeling'!$B$4)</f>
        <v>8.4</v>
      </c>
      <c r="AF572">
        <f>Table1[[#This Row],[UnitCost]]*Table1[[#This Row],[Quantity]]</f>
        <v>2839.6200000000003</v>
      </c>
      <c r="AG572">
        <f>SUMIF($U:U,Table1[[#This Row],[ProductCategory]],$AM:AM)</f>
        <v>1616102.6546600002</v>
      </c>
      <c r="AH572">
        <f>SUMIFS($AM$2:AM572,$U$2:U572,U572)</f>
        <v>638752.15841000015</v>
      </c>
      <c r="AI572" s="5">
        <f>Table1[[#This Row],[Cumulative_revenue]]/Table1[[#This Row],[Category_revenue]]</f>
        <v>0.39524231741601984</v>
      </c>
      <c r="AJ572" t="str">
        <f>IF(Table1[[#This Row],[cumulative_pct]]&lt;=0.8,"A",IF(Table1[[#This Row],[cumulative_pct]]&lt;=0.95,"B","C"))</f>
        <v>A</v>
      </c>
      <c r="AK572">
        <f>Table1[[#This Row],[adj_unit_cost]]*Table1[[#This Row],[scenario_quantity]]</f>
        <v>3748.2984000000006</v>
      </c>
      <c r="AL572" s="5">
        <f>Table1[[#This Row],[UnitPrice]]*Table1[[#This Row],[scenario_quantity]]*(1-Table1[[#This Row],[cap_adjusted_discount]])</f>
        <v>7276.5756000000001</v>
      </c>
      <c r="AM572" s="5">
        <f>Table1[[#This Row],[UnitPrice]]*Table1[[#This Row],[Quantity]]*(1-Table1[[#This Row],[DiscountPct]])</f>
        <v>5457.4317000000001</v>
      </c>
      <c r="AN572" s="5">
        <f>Table1[[#This Row],[gross_revenue]]-Table1[[#This Row],[cost_of_goods]]</f>
        <v>2617.8116999999997</v>
      </c>
      <c r="AO572" s="5">
        <f>Table1[[#This Row],[scenario_revenue]]-Table1[[#This Row],[Scenario_unit_cost]]</f>
        <v>3528.2771999999995</v>
      </c>
      <c r="AP572" s="5">
        <f>IF(Table1[[#This Row],[gross_revenue]]=0,0,Table1[[#This Row],[gross_profit]]/Table1[[#This Row],[gross_revenue]])</f>
        <v>0.47967832561239376</v>
      </c>
    </row>
    <row r="573" spans="1:42" x14ac:dyDescent="0.35">
      <c r="A573" t="s">
        <v>110</v>
      </c>
      <c r="B573" t="str">
        <f>_xlfn.TEXTAFTER(Table1[[#This Row],[OrderID]],"-",2)</f>
        <v>868734</v>
      </c>
      <c r="C573">
        <f>YEAR(Table1[[#This Row],[OrderDate]])</f>
        <v>2023</v>
      </c>
      <c r="D573" s="9">
        <f>_xlfn.MINIFS(F:F,P:P,Table1[[#This Row],[Country]])</f>
        <v>44945</v>
      </c>
      <c r="E573" s="7">
        <f>DATEDIF(Table1[[#This Row],[first_time_orders]],Table1[[#This Row],[OrderDate]],"m")</f>
        <v>2</v>
      </c>
      <c r="F573" s="9">
        <v>45022</v>
      </c>
      <c r="G573" s="2" t="str">
        <f>TEXT(Table1[[#This Row],[OrderDate]],"MMM-YYYY")</f>
        <v>Apr-2023</v>
      </c>
      <c r="H573" s="7">
        <f>MONTH(Table1[[#This Row],[OrderDate]])</f>
        <v>4</v>
      </c>
      <c r="I573" s="7" t="str">
        <f>"Q"&amp;ROUNDUP(Table1[[#This Row],[months]]/3,0)&amp;"-"&amp;Table1[[#This Row],[order_year]]</f>
        <v>Q2-2023</v>
      </c>
      <c r="J573" s="7">
        <f>Table1[[#This Row],[RequiredDate]]-Table1[[#This Row],[OrderDate]]</f>
        <v>21</v>
      </c>
      <c r="K573" s="7">
        <f>IF(Table1[[#This Row],[lead_time]]&lt;0,MEDIAN(J:J),Table1[[#This Row],[lead_time]])</f>
        <v>21</v>
      </c>
      <c r="L573" s="7">
        <f>IF(Table1[[#This Row],[adj_lead_time]]&lt;=7,1,0)</f>
        <v>0</v>
      </c>
      <c r="M573" s="9">
        <v>45043</v>
      </c>
      <c r="N573" s="9">
        <f>IF(Table1[[#This Row],[lead_time]]&lt;0,(Table1[[#This Row],[OrderDate]]+Table1[[#This Row],[adj_lead_time]]),Table1[[#This Row],[RequiredDate]])</f>
        <v>45043</v>
      </c>
      <c r="O573" t="s">
        <v>649</v>
      </c>
      <c r="P573" t="s">
        <v>658</v>
      </c>
      <c r="Q573" t="s">
        <v>693</v>
      </c>
      <c r="R573" t="s">
        <v>706</v>
      </c>
      <c r="S573" t="s">
        <v>710</v>
      </c>
      <c r="T573" t="s">
        <v>714</v>
      </c>
      <c r="U573" t="s">
        <v>728</v>
      </c>
      <c r="V573" t="s">
        <v>829</v>
      </c>
      <c r="W573">
        <v>1084.79</v>
      </c>
      <c r="X573">
        <f>Table1[[#This Row],[UnitCost]]*(1+'scenario modeling'!$B$3)</f>
        <v>1193.269</v>
      </c>
      <c r="Y573">
        <v>2484.9899999999998</v>
      </c>
      <c r="Z573" t="str">
        <f>IF(Table1[[#This Row],[UnitPrice]]&lt;=Quantiles!$B$2,Quantiles!$A$2,IF(Table1[[#This Row],[UnitPrice]]&lt;=Quantiles!$B$3,Quantiles!$A$3,Quantiles!$A$4))</f>
        <v>High</v>
      </c>
      <c r="AA573">
        <v>3.4000000000000002E-2</v>
      </c>
      <c r="AB573" s="5">
        <f>MIN(Table1[[#This Row],[DiscountPct]],'scenario modeling'!$B$2)</f>
        <v>3.4000000000000002E-2</v>
      </c>
      <c r="AC573" t="str">
        <f>IF(Table1[[#This Row],[DiscountPct]]&gt;0.3, "&gt;0.3","")</f>
        <v/>
      </c>
      <c r="AD573">
        <v>18</v>
      </c>
      <c r="AE573">
        <f>Table1[[#This Row],[Quantity]]*(1+'scenario modeling'!$B$4)</f>
        <v>21.599999999999998</v>
      </c>
      <c r="AF573">
        <f>Table1[[#This Row],[UnitCost]]*Table1[[#This Row],[Quantity]]</f>
        <v>19526.22</v>
      </c>
      <c r="AG573">
        <f>SUMIF($U:U,Table1[[#This Row],[ProductCategory]],$AM:AM)</f>
        <v>1616102.6546600002</v>
      </c>
      <c r="AH573">
        <f>SUMIFS($AM$2:AM573,$U$2:U573,U573)</f>
        <v>681961.16453000018</v>
      </c>
      <c r="AI573" s="5">
        <f>Table1[[#This Row],[Cumulative_revenue]]/Table1[[#This Row],[Category_revenue]]</f>
        <v>0.42197886536698553</v>
      </c>
      <c r="AJ573" t="str">
        <f>IF(Table1[[#This Row],[cumulative_pct]]&lt;=0.8,"A",IF(Table1[[#This Row],[cumulative_pct]]&lt;=0.95,"B","C"))</f>
        <v>A</v>
      </c>
      <c r="AK573">
        <f>Table1[[#This Row],[adj_unit_cost]]*Table1[[#This Row],[scenario_quantity]]</f>
        <v>25774.610399999998</v>
      </c>
      <c r="AL573" s="5">
        <f>Table1[[#This Row],[UnitPrice]]*Table1[[#This Row],[scenario_quantity]]*(1-Table1[[#This Row],[cap_adjusted_discount]])</f>
        <v>51850.807343999993</v>
      </c>
      <c r="AM573" s="5">
        <f>Table1[[#This Row],[UnitPrice]]*Table1[[#This Row],[Quantity]]*(1-Table1[[#This Row],[DiscountPct]])</f>
        <v>43209.006119999991</v>
      </c>
      <c r="AN573" s="5">
        <f>Table1[[#This Row],[gross_revenue]]-Table1[[#This Row],[cost_of_goods]]</f>
        <v>23682.78611999999</v>
      </c>
      <c r="AO573" s="5">
        <f>Table1[[#This Row],[scenario_revenue]]-Table1[[#This Row],[Scenario_unit_cost]]</f>
        <v>26076.196943999996</v>
      </c>
      <c r="AP573" s="5">
        <f>IF(Table1[[#This Row],[gross_revenue]]=0,0,Table1[[#This Row],[gross_profit]]/Table1[[#This Row],[gross_revenue]])</f>
        <v>0.54809837685755114</v>
      </c>
    </row>
    <row r="574" spans="1:42" x14ac:dyDescent="0.35">
      <c r="A574" t="s">
        <v>458</v>
      </c>
      <c r="B574" t="str">
        <f>_xlfn.TEXTAFTER(Table1[[#This Row],[OrderID]],"-",2)</f>
        <v>510520</v>
      </c>
      <c r="C574">
        <f>YEAR(Table1[[#This Row],[OrderDate]])</f>
        <v>2024</v>
      </c>
      <c r="D574" s="9">
        <f>_xlfn.MINIFS(F:F,P:P,Table1[[#This Row],[Country]])</f>
        <v>44928</v>
      </c>
      <c r="E574" s="7">
        <f>DATEDIF(Table1[[#This Row],[first_time_orders]],Table1[[#This Row],[OrderDate]],"m")</f>
        <v>20</v>
      </c>
      <c r="F574" s="9">
        <v>45560</v>
      </c>
      <c r="G574" s="2" t="str">
        <f>TEXT(Table1[[#This Row],[OrderDate]],"MMM-YYYY")</f>
        <v>Sept-2024</v>
      </c>
      <c r="H574" s="7">
        <f>MONTH(Table1[[#This Row],[OrderDate]])</f>
        <v>9</v>
      </c>
      <c r="I574" s="7" t="str">
        <f>"Q"&amp;ROUNDUP(Table1[[#This Row],[months]]/3,0)&amp;"-"&amp;Table1[[#This Row],[order_year]]</f>
        <v>Q3-2024</v>
      </c>
      <c r="J574" s="7">
        <f>Table1[[#This Row],[RequiredDate]]-Table1[[#This Row],[OrderDate]]</f>
        <v>8</v>
      </c>
      <c r="K574" s="7">
        <f>IF(Table1[[#This Row],[lead_time]]&lt;0,MEDIAN(J:J),Table1[[#This Row],[lead_time]])</f>
        <v>8</v>
      </c>
      <c r="L574" s="7">
        <f>IF(Table1[[#This Row],[adj_lead_time]]&lt;=7,1,0)</f>
        <v>0</v>
      </c>
      <c r="M574" s="9">
        <v>45568</v>
      </c>
      <c r="N574" s="9">
        <f>IF(Table1[[#This Row],[lead_time]]&lt;0,(Table1[[#This Row],[OrderDate]]+Table1[[#This Row],[adj_lead_time]]),Table1[[#This Row],[RequiredDate]])</f>
        <v>45568</v>
      </c>
      <c r="O574" t="s">
        <v>648</v>
      </c>
      <c r="P574" t="s">
        <v>653</v>
      </c>
      <c r="Q574" t="s">
        <v>667</v>
      </c>
      <c r="R574" t="s">
        <v>704</v>
      </c>
      <c r="S574" t="s">
        <v>708</v>
      </c>
      <c r="T574" t="s">
        <v>718</v>
      </c>
      <c r="U574" t="s">
        <v>728</v>
      </c>
      <c r="V574" t="s">
        <v>1177</v>
      </c>
      <c r="W574">
        <v>558.19000000000005</v>
      </c>
      <c r="X574">
        <f>Table1[[#This Row],[UnitCost]]*(1+'scenario modeling'!$B$3)</f>
        <v>614.00900000000013</v>
      </c>
      <c r="Y574">
        <v>1031.6400000000001</v>
      </c>
      <c r="Z574" t="str">
        <f>IF(Table1[[#This Row],[UnitPrice]]&lt;=Quantiles!$B$2,Quantiles!$A$2,IF(Table1[[#This Row],[UnitPrice]]&lt;=Quantiles!$B$3,Quantiles!$A$3,Quantiles!$A$4))</f>
        <v>Medium</v>
      </c>
      <c r="AA574">
        <v>0</v>
      </c>
      <c r="AB574" s="5">
        <f>MIN(Table1[[#This Row],[DiscountPct]],'scenario modeling'!$B$2)</f>
        <v>0</v>
      </c>
      <c r="AC574" t="str">
        <f>IF(Table1[[#This Row],[DiscountPct]]&gt;0.3, "&gt;0.3","")</f>
        <v/>
      </c>
      <c r="AD574">
        <v>21</v>
      </c>
      <c r="AE574">
        <f>Table1[[#This Row],[Quantity]]*(1+'scenario modeling'!$B$4)</f>
        <v>25.2</v>
      </c>
      <c r="AF574">
        <f>Table1[[#This Row],[UnitCost]]*Table1[[#This Row],[Quantity]]</f>
        <v>11721.990000000002</v>
      </c>
      <c r="AG574">
        <f>SUMIF($U:U,Table1[[#This Row],[ProductCategory]],$AM:AM)</f>
        <v>1616102.6546600002</v>
      </c>
      <c r="AH574">
        <f>SUMIFS($AM$2:AM574,$U$2:U574,U574)</f>
        <v>703625.60453000013</v>
      </c>
      <c r="AI574" s="5">
        <f>Table1[[#This Row],[Cumulative_revenue]]/Table1[[#This Row],[Category_revenue]]</f>
        <v>0.43538422667712939</v>
      </c>
      <c r="AJ574" t="str">
        <f>IF(Table1[[#This Row],[cumulative_pct]]&lt;=0.8,"A",IF(Table1[[#This Row],[cumulative_pct]]&lt;=0.95,"B","C"))</f>
        <v>A</v>
      </c>
      <c r="AK574">
        <f>Table1[[#This Row],[adj_unit_cost]]*Table1[[#This Row],[scenario_quantity]]</f>
        <v>15473.026800000003</v>
      </c>
      <c r="AL574" s="5">
        <f>Table1[[#This Row],[UnitPrice]]*Table1[[#This Row],[scenario_quantity]]*(1-Table1[[#This Row],[cap_adjusted_discount]])</f>
        <v>25997.328000000001</v>
      </c>
      <c r="AM574" s="5">
        <f>Table1[[#This Row],[UnitPrice]]*Table1[[#This Row],[Quantity]]*(1-Table1[[#This Row],[DiscountPct]])</f>
        <v>21664.440000000002</v>
      </c>
      <c r="AN574" s="5">
        <f>Table1[[#This Row],[gross_revenue]]-Table1[[#This Row],[cost_of_goods]]</f>
        <v>9942.4500000000007</v>
      </c>
      <c r="AO574" s="5">
        <f>Table1[[#This Row],[scenario_revenue]]-Table1[[#This Row],[Scenario_unit_cost]]</f>
        <v>10524.301199999998</v>
      </c>
      <c r="AP574" s="5">
        <f>IF(Table1[[#This Row],[gross_revenue]]=0,0,Table1[[#This Row],[gross_profit]]/Table1[[#This Row],[gross_revenue]])</f>
        <v>0.45892947152107322</v>
      </c>
    </row>
    <row r="575" spans="1:42" x14ac:dyDescent="0.35">
      <c r="A575" t="s">
        <v>232</v>
      </c>
      <c r="B575" t="str">
        <f>_xlfn.TEXTAFTER(Table1[[#This Row],[OrderID]],"-",2)</f>
        <v>720756</v>
      </c>
      <c r="C575">
        <f>YEAR(Table1[[#This Row],[OrderDate]])</f>
        <v>2024</v>
      </c>
      <c r="D575" s="9">
        <f>_xlfn.MINIFS(F:F,P:P,Table1[[#This Row],[Country]])</f>
        <v>44938</v>
      </c>
      <c r="E575" s="7">
        <f>DATEDIF(Table1[[#This Row],[first_time_orders]],Table1[[#This Row],[OrderDate]],"m")</f>
        <v>20</v>
      </c>
      <c r="F575" s="9">
        <v>45576</v>
      </c>
      <c r="G575" s="2" t="str">
        <f>TEXT(Table1[[#This Row],[OrderDate]],"MMM-YYYY")</f>
        <v>Oct-2024</v>
      </c>
      <c r="H575" s="7">
        <f>MONTH(Table1[[#This Row],[OrderDate]])</f>
        <v>10</v>
      </c>
      <c r="I575" s="7" t="str">
        <f>"Q"&amp;ROUNDUP(Table1[[#This Row],[months]]/3,0)&amp;"-"&amp;Table1[[#This Row],[order_year]]</f>
        <v>Q4-2024</v>
      </c>
      <c r="J575" s="7">
        <f>Table1[[#This Row],[RequiredDate]]-Table1[[#This Row],[OrderDate]]</f>
        <v>29</v>
      </c>
      <c r="K575" s="7">
        <f>IF(Table1[[#This Row],[lead_time]]&lt;0,MEDIAN(J:J),Table1[[#This Row],[lead_time]])</f>
        <v>29</v>
      </c>
      <c r="L575" s="7">
        <f>IF(Table1[[#This Row],[adj_lead_time]]&lt;=7,1,0)</f>
        <v>0</v>
      </c>
      <c r="M575" s="9">
        <v>45605</v>
      </c>
      <c r="N575" s="9">
        <f>IF(Table1[[#This Row],[lead_time]]&lt;0,(Table1[[#This Row],[OrderDate]]+Table1[[#This Row],[adj_lead_time]]),Table1[[#This Row],[RequiredDate]])</f>
        <v>45605</v>
      </c>
      <c r="O575" t="s">
        <v>647</v>
      </c>
      <c r="P575" t="s">
        <v>659</v>
      </c>
      <c r="Q575" t="s">
        <v>685</v>
      </c>
      <c r="R575" t="s">
        <v>703</v>
      </c>
      <c r="S575" t="s">
        <v>708</v>
      </c>
      <c r="T575" t="s">
        <v>721</v>
      </c>
      <c r="U575" t="s">
        <v>728</v>
      </c>
      <c r="V575" t="s">
        <v>952</v>
      </c>
      <c r="W575">
        <v>391.64</v>
      </c>
      <c r="X575">
        <f>Table1[[#This Row],[UnitCost]]*(1+'scenario modeling'!$B$3)</f>
        <v>430.80400000000003</v>
      </c>
      <c r="Y575">
        <v>504.76</v>
      </c>
      <c r="Z575" t="str">
        <f>IF(Table1[[#This Row],[UnitPrice]]&lt;=Quantiles!$B$2,Quantiles!$A$2,IF(Table1[[#This Row],[UnitPrice]]&lt;=Quantiles!$B$3,Quantiles!$A$3,Quantiles!$A$4))</f>
        <v>Low</v>
      </c>
      <c r="AA575">
        <v>4.0000000000000001E-3</v>
      </c>
      <c r="AB575" s="5">
        <f>MIN(Table1[[#This Row],[DiscountPct]],'scenario modeling'!$B$2)</f>
        <v>4.0000000000000001E-3</v>
      </c>
      <c r="AC575" t="str">
        <f>IF(Table1[[#This Row],[DiscountPct]]&gt;0.3, "&gt;0.3","")</f>
        <v/>
      </c>
      <c r="AD575">
        <v>13</v>
      </c>
      <c r="AE575">
        <f>Table1[[#This Row],[Quantity]]*(1+'scenario modeling'!$B$4)</f>
        <v>15.6</v>
      </c>
      <c r="AF575">
        <f>Table1[[#This Row],[UnitCost]]*Table1[[#This Row],[Quantity]]</f>
        <v>5091.32</v>
      </c>
      <c r="AG575">
        <f>SUMIF($U:U,Table1[[#This Row],[ProductCategory]],$AM:AM)</f>
        <v>1616102.6546600002</v>
      </c>
      <c r="AH575">
        <f>SUMIFS($AM$2:AM575,$U$2:U575,U575)</f>
        <v>710161.23701000016</v>
      </c>
      <c r="AI575" s="5">
        <f>Table1[[#This Row],[Cumulative_revenue]]/Table1[[#This Row],[Category_revenue]]</f>
        <v>0.43942829681163148</v>
      </c>
      <c r="AJ575" t="str">
        <f>IF(Table1[[#This Row],[cumulative_pct]]&lt;=0.8,"A",IF(Table1[[#This Row],[cumulative_pct]]&lt;=0.95,"B","C"))</f>
        <v>A</v>
      </c>
      <c r="AK575">
        <f>Table1[[#This Row],[adj_unit_cost]]*Table1[[#This Row],[scenario_quantity]]</f>
        <v>6720.5424000000003</v>
      </c>
      <c r="AL575" s="5">
        <f>Table1[[#This Row],[UnitPrice]]*Table1[[#This Row],[scenario_quantity]]*(1-Table1[[#This Row],[cap_adjusted_discount]])</f>
        <v>7842.7589759999992</v>
      </c>
      <c r="AM575" s="5">
        <f>Table1[[#This Row],[UnitPrice]]*Table1[[#This Row],[Quantity]]*(1-Table1[[#This Row],[DiscountPct]])</f>
        <v>6535.6324800000002</v>
      </c>
      <c r="AN575" s="5">
        <f>Table1[[#This Row],[gross_revenue]]-Table1[[#This Row],[cost_of_goods]]</f>
        <v>1444.3124800000005</v>
      </c>
      <c r="AO575" s="5">
        <f>Table1[[#This Row],[scenario_revenue]]-Table1[[#This Row],[Scenario_unit_cost]]</f>
        <v>1122.2165759999989</v>
      </c>
      <c r="AP575" s="5">
        <f>IF(Table1[[#This Row],[gross_revenue]]=0,0,Table1[[#This Row],[gross_profit]]/Table1[[#This Row],[gross_revenue]])</f>
        <v>0.22099046793402319</v>
      </c>
    </row>
    <row r="576" spans="1:42" x14ac:dyDescent="0.35">
      <c r="A576" t="s">
        <v>57</v>
      </c>
      <c r="B576" t="str">
        <f>_xlfn.TEXTAFTER(Table1[[#This Row],[OrderID]],"-",2)</f>
        <v>998320</v>
      </c>
      <c r="C576">
        <f>YEAR(Table1[[#This Row],[OrderDate]])</f>
        <v>2024</v>
      </c>
      <c r="D576" s="9">
        <f>_xlfn.MINIFS(F:F,P:P,Table1[[#This Row],[Country]])</f>
        <v>44946</v>
      </c>
      <c r="E576" s="7">
        <f>DATEDIF(Table1[[#This Row],[first_time_orders]],Table1[[#This Row],[OrderDate]],"m")</f>
        <v>21</v>
      </c>
      <c r="F576" s="9">
        <v>45590</v>
      </c>
      <c r="G576" s="2" t="str">
        <f>TEXT(Table1[[#This Row],[OrderDate]],"MMM-YYYY")</f>
        <v>Oct-2024</v>
      </c>
      <c r="H576" s="7">
        <f>MONTH(Table1[[#This Row],[OrderDate]])</f>
        <v>10</v>
      </c>
      <c r="I576" s="7" t="str">
        <f>"Q"&amp;ROUNDUP(Table1[[#This Row],[months]]/3,0)&amp;"-"&amp;Table1[[#This Row],[order_year]]</f>
        <v>Q4-2024</v>
      </c>
      <c r="J576" s="7">
        <f>Table1[[#This Row],[RequiredDate]]-Table1[[#This Row],[OrderDate]]</f>
        <v>20</v>
      </c>
      <c r="K576" s="7">
        <f>IF(Table1[[#This Row],[lead_time]]&lt;0,MEDIAN(J:J),Table1[[#This Row],[lead_time]])</f>
        <v>20</v>
      </c>
      <c r="L576" s="7">
        <f>IF(Table1[[#This Row],[adj_lead_time]]&lt;=7,1,0)</f>
        <v>0</v>
      </c>
      <c r="M576" s="9">
        <v>45610</v>
      </c>
      <c r="N576" s="9">
        <f>IF(Table1[[#This Row],[lead_time]]&lt;0,(Table1[[#This Row],[OrderDate]]+Table1[[#This Row],[adj_lead_time]]),Table1[[#This Row],[RequiredDate]])</f>
        <v>45610</v>
      </c>
      <c r="O576" t="s">
        <v>646</v>
      </c>
      <c r="P576" t="s">
        <v>650</v>
      </c>
      <c r="Q576" t="s">
        <v>675</v>
      </c>
      <c r="R576" t="s">
        <v>701</v>
      </c>
      <c r="S576" t="s">
        <v>711</v>
      </c>
      <c r="T576" t="s">
        <v>722</v>
      </c>
      <c r="U576" t="s">
        <v>728</v>
      </c>
      <c r="V576" t="s">
        <v>776</v>
      </c>
      <c r="W576">
        <v>1396.48</v>
      </c>
      <c r="X576">
        <f>Table1[[#This Row],[UnitCost]]*(1+'scenario modeling'!$B$3)</f>
        <v>1536.1280000000002</v>
      </c>
      <c r="Y576">
        <v>3204.5</v>
      </c>
      <c r="Z576" t="str">
        <f>IF(Table1[[#This Row],[UnitPrice]]&lt;=Quantiles!$B$2,Quantiles!$A$2,IF(Table1[[#This Row],[UnitPrice]]&lt;=Quantiles!$B$3,Quantiles!$A$3,Quantiles!$A$4))</f>
        <v>High</v>
      </c>
      <c r="AA576">
        <v>0.318</v>
      </c>
      <c r="AB576" s="5">
        <f>MIN(Table1[[#This Row],[DiscountPct]],'scenario modeling'!$B$2)</f>
        <v>0.1</v>
      </c>
      <c r="AC576" t="str">
        <f>IF(Table1[[#This Row],[DiscountPct]]&gt;0.3, "&gt;0.3","")</f>
        <v>&gt;0.3</v>
      </c>
      <c r="AD576">
        <v>14</v>
      </c>
      <c r="AE576">
        <f>Table1[[#This Row],[Quantity]]*(1+'scenario modeling'!$B$4)</f>
        <v>16.8</v>
      </c>
      <c r="AF576">
        <f>Table1[[#This Row],[UnitCost]]*Table1[[#This Row],[Quantity]]</f>
        <v>19550.72</v>
      </c>
      <c r="AG576">
        <f>SUMIF($U:U,Table1[[#This Row],[ProductCategory]],$AM:AM)</f>
        <v>1616102.6546600002</v>
      </c>
      <c r="AH576">
        <f>SUMIFS($AM$2:AM576,$U$2:U576,U576)</f>
        <v>740757.80301000015</v>
      </c>
      <c r="AI576" s="5">
        <f>Table1[[#This Row],[Cumulative_revenue]]/Table1[[#This Row],[Category_revenue]]</f>
        <v>0.45836061272100481</v>
      </c>
      <c r="AJ576" t="str">
        <f>IF(Table1[[#This Row],[cumulative_pct]]&lt;=0.8,"A",IF(Table1[[#This Row],[cumulative_pct]]&lt;=0.95,"B","C"))</f>
        <v>A</v>
      </c>
      <c r="AK576">
        <f>Table1[[#This Row],[adj_unit_cost]]*Table1[[#This Row],[scenario_quantity]]</f>
        <v>25806.950400000005</v>
      </c>
      <c r="AL576" s="5">
        <f>Table1[[#This Row],[UnitPrice]]*Table1[[#This Row],[scenario_quantity]]*(1-Table1[[#This Row],[cap_adjusted_discount]])</f>
        <v>48452.040000000008</v>
      </c>
      <c r="AM576" s="5">
        <f>Table1[[#This Row],[UnitPrice]]*Table1[[#This Row],[Quantity]]*(1-Table1[[#This Row],[DiscountPct]])</f>
        <v>30596.565999999999</v>
      </c>
      <c r="AN576" s="5">
        <f>Table1[[#This Row],[gross_revenue]]-Table1[[#This Row],[cost_of_goods]]</f>
        <v>11045.845999999998</v>
      </c>
      <c r="AO576" s="5">
        <f>Table1[[#This Row],[scenario_revenue]]-Table1[[#This Row],[Scenario_unit_cost]]</f>
        <v>22645.089600000003</v>
      </c>
      <c r="AP576" s="5">
        <f>IF(Table1[[#This Row],[gross_revenue]]=0,0,Table1[[#This Row],[gross_profit]]/Table1[[#This Row],[gross_revenue]])</f>
        <v>0.36101587348070363</v>
      </c>
    </row>
    <row r="577" spans="1:42" x14ac:dyDescent="0.35">
      <c r="A577" t="s">
        <v>356</v>
      </c>
      <c r="B577" t="str">
        <f>_xlfn.TEXTAFTER(Table1[[#This Row],[OrderID]],"-",2)</f>
        <v>333192</v>
      </c>
      <c r="C577">
        <f>YEAR(Table1[[#This Row],[OrderDate]])</f>
        <v>2024</v>
      </c>
      <c r="D577" s="9">
        <f>_xlfn.MINIFS(F:F,P:P,Table1[[#This Row],[Country]])</f>
        <v>44946</v>
      </c>
      <c r="E577" s="7">
        <f>DATEDIF(Table1[[#This Row],[first_time_orders]],Table1[[#This Row],[OrderDate]],"m")</f>
        <v>21</v>
      </c>
      <c r="F577" s="9">
        <v>45594</v>
      </c>
      <c r="G577" s="2" t="str">
        <f>TEXT(Table1[[#This Row],[OrderDate]],"MMM-YYYY")</f>
        <v>Oct-2024</v>
      </c>
      <c r="H577" s="7">
        <f>MONTH(Table1[[#This Row],[OrderDate]])</f>
        <v>10</v>
      </c>
      <c r="I577" s="7" t="str">
        <f>"Q"&amp;ROUNDUP(Table1[[#This Row],[months]]/3,0)&amp;"-"&amp;Table1[[#This Row],[order_year]]</f>
        <v>Q4-2024</v>
      </c>
      <c r="J577" s="7">
        <f>Table1[[#This Row],[RequiredDate]]-Table1[[#This Row],[OrderDate]]</f>
        <v>6</v>
      </c>
      <c r="K577" s="7">
        <f>IF(Table1[[#This Row],[lead_time]]&lt;0,MEDIAN(J:J),Table1[[#This Row],[lead_time]])</f>
        <v>6</v>
      </c>
      <c r="L577" s="7">
        <f>IF(Table1[[#This Row],[adj_lead_time]]&lt;=7,1,0)</f>
        <v>1</v>
      </c>
      <c r="M577" s="9">
        <v>45600</v>
      </c>
      <c r="N577" s="9">
        <f>IF(Table1[[#This Row],[lead_time]]&lt;0,(Table1[[#This Row],[OrderDate]]+Table1[[#This Row],[adj_lead_time]]),Table1[[#This Row],[RequiredDate]])</f>
        <v>45600</v>
      </c>
      <c r="O577" t="s">
        <v>646</v>
      </c>
      <c r="P577" t="s">
        <v>650</v>
      </c>
      <c r="Q577" t="s">
        <v>664</v>
      </c>
      <c r="R577" t="s">
        <v>701</v>
      </c>
      <c r="S577" t="s">
        <v>710</v>
      </c>
      <c r="T577" t="s">
        <v>724</v>
      </c>
      <c r="U577" t="s">
        <v>728</v>
      </c>
      <c r="V577" t="s">
        <v>1076</v>
      </c>
      <c r="W577">
        <v>805.81</v>
      </c>
      <c r="X577">
        <f>Table1[[#This Row],[UnitCost]]*(1+'scenario modeling'!$B$3)</f>
        <v>886.39099999999996</v>
      </c>
      <c r="Y577">
        <v>1823.04</v>
      </c>
      <c r="Z577" t="str">
        <f>IF(Table1[[#This Row],[UnitPrice]]&lt;=Quantiles!$B$2,Quantiles!$A$2,IF(Table1[[#This Row],[UnitPrice]]&lt;=Quantiles!$B$3,Quantiles!$A$3,Quantiles!$A$4))</f>
        <v>High</v>
      </c>
      <c r="AA577">
        <v>0</v>
      </c>
      <c r="AB577" s="5">
        <f>MIN(Table1[[#This Row],[DiscountPct]],'scenario modeling'!$B$2)</f>
        <v>0</v>
      </c>
      <c r="AC577" t="str">
        <f>IF(Table1[[#This Row],[DiscountPct]]&gt;0.3, "&gt;0.3","")</f>
        <v/>
      </c>
      <c r="AD577">
        <v>11</v>
      </c>
      <c r="AE577">
        <f>Table1[[#This Row],[Quantity]]*(1+'scenario modeling'!$B$4)</f>
        <v>13.2</v>
      </c>
      <c r="AF577">
        <f>Table1[[#This Row],[UnitCost]]*Table1[[#This Row],[Quantity]]</f>
        <v>8863.91</v>
      </c>
      <c r="AG577">
        <f>SUMIF($U:U,Table1[[#This Row],[ProductCategory]],$AM:AM)</f>
        <v>1616102.6546600002</v>
      </c>
      <c r="AH577">
        <f>SUMIFS($AM$2:AM577,$U$2:U577,U577)</f>
        <v>760811.24301000009</v>
      </c>
      <c r="AI577" s="5">
        <f>Table1[[#This Row],[Cumulative_revenue]]/Table1[[#This Row],[Category_revenue]]</f>
        <v>0.47076913141390853</v>
      </c>
      <c r="AJ577" t="str">
        <f>IF(Table1[[#This Row],[cumulative_pct]]&lt;=0.8,"A",IF(Table1[[#This Row],[cumulative_pct]]&lt;=0.95,"B","C"))</f>
        <v>A</v>
      </c>
      <c r="AK577">
        <f>Table1[[#This Row],[adj_unit_cost]]*Table1[[#This Row],[scenario_quantity]]</f>
        <v>11700.361199999999</v>
      </c>
      <c r="AL577" s="5">
        <f>Table1[[#This Row],[UnitPrice]]*Table1[[#This Row],[scenario_quantity]]*(1-Table1[[#This Row],[cap_adjusted_discount]])</f>
        <v>24064.127999999997</v>
      </c>
      <c r="AM577" s="5">
        <f>Table1[[#This Row],[UnitPrice]]*Table1[[#This Row],[Quantity]]*(1-Table1[[#This Row],[DiscountPct]])</f>
        <v>20053.439999999999</v>
      </c>
      <c r="AN577" s="5">
        <f>Table1[[#This Row],[gross_revenue]]-Table1[[#This Row],[cost_of_goods]]</f>
        <v>11189.529999999999</v>
      </c>
      <c r="AO577" s="5">
        <f>Table1[[#This Row],[scenario_revenue]]-Table1[[#This Row],[Scenario_unit_cost]]</f>
        <v>12363.766799999998</v>
      </c>
      <c r="AP577" s="5">
        <f>IF(Table1[[#This Row],[gross_revenue]]=0,0,Table1[[#This Row],[gross_profit]]/Table1[[#This Row],[gross_revenue]])</f>
        <v>0.55798556257679477</v>
      </c>
    </row>
    <row r="578" spans="1:42" x14ac:dyDescent="0.35">
      <c r="A578" t="s">
        <v>16</v>
      </c>
      <c r="B578" t="str">
        <f>_xlfn.TEXTAFTER(Table1[[#This Row],[OrderID]],"-",2)</f>
        <v>358795</v>
      </c>
      <c r="C578">
        <f>YEAR(Table1[[#This Row],[OrderDate]])</f>
        <v>2024</v>
      </c>
      <c r="D578" s="9">
        <f>_xlfn.MINIFS(F:F,P:P,Table1[[#This Row],[Country]])</f>
        <v>44941</v>
      </c>
      <c r="E578" s="7">
        <f>DATEDIF(Table1[[#This Row],[first_time_orders]],Table1[[#This Row],[OrderDate]],"m")</f>
        <v>21</v>
      </c>
      <c r="F578" s="9">
        <v>45588</v>
      </c>
      <c r="G578" s="2" t="str">
        <f>TEXT(Table1[[#This Row],[OrderDate]],"MMM-YYYY")</f>
        <v>Oct-2024</v>
      </c>
      <c r="H578" s="7">
        <f>MONTH(Table1[[#This Row],[OrderDate]])</f>
        <v>10</v>
      </c>
      <c r="I578" s="7" t="str">
        <f>"Q"&amp;ROUNDUP(Table1[[#This Row],[months]]/3,0)&amp;"-"&amp;Table1[[#This Row],[order_year]]</f>
        <v>Q4-2024</v>
      </c>
      <c r="J578" s="7">
        <f>Table1[[#This Row],[RequiredDate]]-Table1[[#This Row],[OrderDate]]</f>
        <v>-1</v>
      </c>
      <c r="K578" s="7">
        <f>IF(Table1[[#This Row],[lead_time]]&lt;0,MEDIAN(J:J),Table1[[#This Row],[lead_time]])</f>
        <v>15</v>
      </c>
      <c r="L578" s="7">
        <f>IF(Table1[[#This Row],[adj_lead_time]]&lt;=7,1,0)</f>
        <v>0</v>
      </c>
      <c r="M578" s="9">
        <v>45587</v>
      </c>
      <c r="N578" s="9">
        <f>IF(Table1[[#This Row],[lead_time]]&lt;0,(Table1[[#This Row],[OrderDate]]+Table1[[#This Row],[adj_lead_time]]),Table1[[#This Row],[RequiredDate]])</f>
        <v>45603</v>
      </c>
      <c r="O578" t="s">
        <v>646</v>
      </c>
      <c r="P578" t="s">
        <v>651</v>
      </c>
      <c r="Q578" t="s">
        <v>663</v>
      </c>
      <c r="R578" t="s">
        <v>702</v>
      </c>
      <c r="S578" t="s">
        <v>708</v>
      </c>
      <c r="T578" t="s">
        <v>713</v>
      </c>
      <c r="U578" t="s">
        <v>728</v>
      </c>
      <c r="V578" t="s">
        <v>735</v>
      </c>
      <c r="W578">
        <v>1084.3900000000001</v>
      </c>
      <c r="X578">
        <f>Table1[[#This Row],[UnitCost]]*(1+'scenario modeling'!$B$3)</f>
        <v>1192.8290000000002</v>
      </c>
      <c r="Y578">
        <v>759.33</v>
      </c>
      <c r="Z578" t="str">
        <f>IF(Table1[[#This Row],[UnitPrice]]&lt;=Quantiles!$B$2,Quantiles!$A$2,IF(Table1[[#This Row],[UnitPrice]]&lt;=Quantiles!$B$3,Quantiles!$A$3,Quantiles!$A$4))</f>
        <v>Low</v>
      </c>
      <c r="AA578">
        <v>0.23699999999999999</v>
      </c>
      <c r="AB578" s="5">
        <f>MIN(Table1[[#This Row],[DiscountPct]],'scenario modeling'!$B$2)</f>
        <v>0.1</v>
      </c>
      <c r="AC578" t="str">
        <f>IF(Table1[[#This Row],[DiscountPct]]&gt;0.3, "&gt;0.3","")</f>
        <v/>
      </c>
      <c r="AD578">
        <v>31</v>
      </c>
      <c r="AE578">
        <f>Table1[[#This Row],[Quantity]]*(1+'scenario modeling'!$B$4)</f>
        <v>37.199999999999996</v>
      </c>
      <c r="AF578">
        <f>Table1[[#This Row],[UnitCost]]*Table1[[#This Row],[Quantity]]</f>
        <v>33616.090000000004</v>
      </c>
      <c r="AG578">
        <f>SUMIF($U:U,Table1[[#This Row],[ProductCategory]],$AM:AM)</f>
        <v>1616102.6546600002</v>
      </c>
      <c r="AH578">
        <f>SUMIFS($AM$2:AM578,$U$2:U578,U578)</f>
        <v>778771.67550000013</v>
      </c>
      <c r="AI578" s="5">
        <f>Table1[[#This Row],[Cumulative_revenue]]/Table1[[#This Row],[Category_revenue]]</f>
        <v>0.48188255446176476</v>
      </c>
      <c r="AJ578" t="str">
        <f>IF(Table1[[#This Row],[cumulative_pct]]&lt;=0.8,"A",IF(Table1[[#This Row],[cumulative_pct]]&lt;=0.95,"B","C"))</f>
        <v>A</v>
      </c>
      <c r="AK578">
        <f>Table1[[#This Row],[adj_unit_cost]]*Table1[[#This Row],[scenario_quantity]]</f>
        <v>44373.238799999999</v>
      </c>
      <c r="AL578" s="5">
        <f>Table1[[#This Row],[UnitPrice]]*Table1[[#This Row],[scenario_quantity]]*(1-Table1[[#This Row],[cap_adjusted_discount]])</f>
        <v>25422.368399999999</v>
      </c>
      <c r="AM578" s="5">
        <f>Table1[[#This Row],[UnitPrice]]*Table1[[#This Row],[Quantity]]*(1-Table1[[#This Row],[DiscountPct]])</f>
        <v>17960.432489999999</v>
      </c>
      <c r="AN578" s="5">
        <f>Table1[[#This Row],[gross_revenue]]-Table1[[#This Row],[cost_of_goods]]</f>
        <v>-15655.657510000005</v>
      </c>
      <c r="AO578" s="5">
        <f>Table1[[#This Row],[scenario_revenue]]-Table1[[#This Row],[Scenario_unit_cost]]</f>
        <v>-18950.8704</v>
      </c>
      <c r="AP578" s="5">
        <f>IF(Table1[[#This Row],[gross_revenue]]=0,0,Table1[[#This Row],[gross_profit]]/Table1[[#This Row],[gross_revenue]])</f>
        <v>-0.87167486187856302</v>
      </c>
    </row>
    <row r="579" spans="1:42" x14ac:dyDescent="0.35">
      <c r="A579" t="s">
        <v>368</v>
      </c>
      <c r="B579" t="str">
        <f>_xlfn.TEXTAFTER(Table1[[#This Row],[OrderID]],"-",2)</f>
        <v>225829</v>
      </c>
      <c r="C579">
        <f>YEAR(Table1[[#This Row],[OrderDate]])</f>
        <v>2024</v>
      </c>
      <c r="D579" s="9">
        <f>_xlfn.MINIFS(F:F,P:P,Table1[[#This Row],[Country]])</f>
        <v>44955</v>
      </c>
      <c r="E579" s="7">
        <f>DATEDIF(Table1[[#This Row],[first_time_orders]],Table1[[#This Row],[OrderDate]],"m")</f>
        <v>21</v>
      </c>
      <c r="F579" s="9">
        <v>45603</v>
      </c>
      <c r="G579" s="2" t="str">
        <f>TEXT(Table1[[#This Row],[OrderDate]],"MMM-YYYY")</f>
        <v>Nov-2024</v>
      </c>
      <c r="H579" s="7">
        <f>MONTH(Table1[[#This Row],[OrderDate]])</f>
        <v>11</v>
      </c>
      <c r="I579" s="7" t="str">
        <f>"Q"&amp;ROUNDUP(Table1[[#This Row],[months]]/3,0)&amp;"-"&amp;Table1[[#This Row],[order_year]]</f>
        <v>Q4-2024</v>
      </c>
      <c r="J579" s="7">
        <f>Table1[[#This Row],[RequiredDate]]-Table1[[#This Row],[OrderDate]]</f>
        <v>19</v>
      </c>
      <c r="K579" s="7">
        <f>IF(Table1[[#This Row],[lead_time]]&lt;0,MEDIAN(J:J),Table1[[#This Row],[lead_time]])</f>
        <v>19</v>
      </c>
      <c r="L579" s="7">
        <f>IF(Table1[[#This Row],[adj_lead_time]]&lt;=7,1,0)</f>
        <v>0</v>
      </c>
      <c r="M579" s="9">
        <v>45622</v>
      </c>
      <c r="N579" s="9">
        <f>IF(Table1[[#This Row],[lead_time]]&lt;0,(Table1[[#This Row],[OrderDate]]+Table1[[#This Row],[adj_lead_time]]),Table1[[#This Row],[RequiredDate]])</f>
        <v>45622</v>
      </c>
      <c r="O579" t="s">
        <v>648</v>
      </c>
      <c r="P579" t="s">
        <v>655</v>
      </c>
      <c r="Q579" t="s">
        <v>692</v>
      </c>
      <c r="R579" t="s">
        <v>703</v>
      </c>
      <c r="S579" t="s">
        <v>710</v>
      </c>
      <c r="T579" t="s">
        <v>713</v>
      </c>
      <c r="U579" t="s">
        <v>728</v>
      </c>
      <c r="V579" t="s">
        <v>1088</v>
      </c>
      <c r="W579">
        <v>55.35</v>
      </c>
      <c r="X579">
        <f>Table1[[#This Row],[UnitCost]]*(1+'scenario modeling'!$B$3)</f>
        <v>60.885000000000005</v>
      </c>
      <c r="Y579">
        <v>128.68</v>
      </c>
      <c r="Z579" t="str">
        <f>IF(Table1[[#This Row],[UnitPrice]]&lt;=Quantiles!$B$2,Quantiles!$A$2,IF(Table1[[#This Row],[UnitPrice]]&lt;=Quantiles!$B$3,Quantiles!$A$3,Quantiles!$A$4))</f>
        <v>Low</v>
      </c>
      <c r="AA579">
        <v>0.128</v>
      </c>
      <c r="AB579" s="5">
        <f>MIN(Table1[[#This Row],[DiscountPct]],'scenario modeling'!$B$2)</f>
        <v>0.1</v>
      </c>
      <c r="AC579" t="str">
        <f>IF(Table1[[#This Row],[DiscountPct]]&gt;0.3, "&gt;0.3","")</f>
        <v/>
      </c>
      <c r="AD579">
        <v>10</v>
      </c>
      <c r="AE579">
        <f>Table1[[#This Row],[Quantity]]*(1+'scenario modeling'!$B$4)</f>
        <v>12</v>
      </c>
      <c r="AF579">
        <f>Table1[[#This Row],[UnitCost]]*Table1[[#This Row],[Quantity]]</f>
        <v>553.5</v>
      </c>
      <c r="AG579">
        <f>SUMIF($U:U,Table1[[#This Row],[ProductCategory]],$AM:AM)</f>
        <v>1616102.6546600002</v>
      </c>
      <c r="AH579">
        <f>SUMIFS($AM$2:AM579,$U$2:U579,U579)</f>
        <v>779893.76510000008</v>
      </c>
      <c r="AI579" s="5">
        <f>Table1[[#This Row],[Cumulative_revenue]]/Table1[[#This Row],[Category_revenue]]</f>
        <v>0.48257687273218181</v>
      </c>
      <c r="AJ579" t="str">
        <f>IF(Table1[[#This Row],[cumulative_pct]]&lt;=0.8,"A",IF(Table1[[#This Row],[cumulative_pct]]&lt;=0.95,"B","C"))</f>
        <v>A</v>
      </c>
      <c r="AK579">
        <f>Table1[[#This Row],[adj_unit_cost]]*Table1[[#This Row],[scenario_quantity]]</f>
        <v>730.62000000000012</v>
      </c>
      <c r="AL579" s="5">
        <f>Table1[[#This Row],[UnitPrice]]*Table1[[#This Row],[scenario_quantity]]*(1-Table1[[#This Row],[cap_adjusted_discount]])</f>
        <v>1389.7440000000001</v>
      </c>
      <c r="AM579" s="5">
        <f>Table1[[#This Row],[UnitPrice]]*Table1[[#This Row],[Quantity]]*(1-Table1[[#This Row],[DiscountPct]])</f>
        <v>1122.0896000000002</v>
      </c>
      <c r="AN579" s="5">
        <f>Table1[[#This Row],[gross_revenue]]-Table1[[#This Row],[cost_of_goods]]</f>
        <v>568.58960000000025</v>
      </c>
      <c r="AO579" s="5">
        <f>Table1[[#This Row],[scenario_revenue]]-Table1[[#This Row],[Scenario_unit_cost]]</f>
        <v>659.12400000000002</v>
      </c>
      <c r="AP579" s="5">
        <f>IF(Table1[[#This Row],[gross_revenue]]=0,0,Table1[[#This Row],[gross_profit]]/Table1[[#This Row],[gross_revenue]])</f>
        <v>0.50672388372550647</v>
      </c>
    </row>
    <row r="580" spans="1:42" x14ac:dyDescent="0.35">
      <c r="A580" t="s">
        <v>444</v>
      </c>
      <c r="B580" t="str">
        <f>_xlfn.TEXTAFTER(Table1[[#This Row],[OrderID]],"-",2)</f>
        <v>381197</v>
      </c>
      <c r="C580">
        <f>YEAR(Table1[[#This Row],[OrderDate]])</f>
        <v>2024</v>
      </c>
      <c r="D580" s="9">
        <f>_xlfn.MINIFS(F:F,P:P,Table1[[#This Row],[Country]])</f>
        <v>44948</v>
      </c>
      <c r="E580" s="7">
        <f>DATEDIF(Table1[[#This Row],[first_time_orders]],Table1[[#This Row],[OrderDate]],"m")</f>
        <v>21</v>
      </c>
      <c r="F580" s="9">
        <v>45597</v>
      </c>
      <c r="G580" s="2" t="str">
        <f>TEXT(Table1[[#This Row],[OrderDate]],"MMM-YYYY")</f>
        <v>Nov-2024</v>
      </c>
      <c r="H580" s="7">
        <f>MONTH(Table1[[#This Row],[OrderDate]])</f>
        <v>11</v>
      </c>
      <c r="I580" s="7" t="str">
        <f>"Q"&amp;ROUNDUP(Table1[[#This Row],[months]]/3,0)&amp;"-"&amp;Table1[[#This Row],[order_year]]</f>
        <v>Q4-2024</v>
      </c>
      <c r="J580" s="7">
        <f>Table1[[#This Row],[RequiredDate]]-Table1[[#This Row],[OrderDate]]</f>
        <v>11</v>
      </c>
      <c r="K580" s="7">
        <f>IF(Table1[[#This Row],[lead_time]]&lt;0,MEDIAN(J:J),Table1[[#This Row],[lead_time]])</f>
        <v>11</v>
      </c>
      <c r="L580" s="7">
        <f>IF(Table1[[#This Row],[adj_lead_time]]&lt;=7,1,0)</f>
        <v>0</v>
      </c>
      <c r="M580" s="9">
        <v>45608</v>
      </c>
      <c r="N580" s="9">
        <f>IF(Table1[[#This Row],[lead_time]]&lt;0,(Table1[[#This Row],[OrderDate]]+Table1[[#This Row],[adj_lead_time]]),Table1[[#This Row],[RequiredDate]])</f>
        <v>45608</v>
      </c>
      <c r="O580" t="s">
        <v>649</v>
      </c>
      <c r="P580" t="s">
        <v>656</v>
      </c>
      <c r="Q580" t="s">
        <v>698</v>
      </c>
      <c r="R580" t="s">
        <v>704</v>
      </c>
      <c r="S580" t="s">
        <v>708</v>
      </c>
      <c r="T580" t="s">
        <v>717</v>
      </c>
      <c r="U580" t="s">
        <v>728</v>
      </c>
      <c r="V580" t="s">
        <v>1163</v>
      </c>
      <c r="W580">
        <v>599.84</v>
      </c>
      <c r="X580">
        <f>Table1[[#This Row],[UnitCost]]*(1+'scenario modeling'!$B$3)</f>
        <v>659.82400000000007</v>
      </c>
      <c r="Y580">
        <v>1330.85</v>
      </c>
      <c r="Z580" t="str">
        <f>IF(Table1[[#This Row],[UnitPrice]]&lt;=Quantiles!$B$2,Quantiles!$A$2,IF(Table1[[#This Row],[UnitPrice]]&lt;=Quantiles!$B$3,Quantiles!$A$3,Quantiles!$A$4))</f>
        <v>Medium</v>
      </c>
      <c r="AA580">
        <v>0.115</v>
      </c>
      <c r="AB580" s="5">
        <f>MIN(Table1[[#This Row],[DiscountPct]],'scenario modeling'!$B$2)</f>
        <v>0.1</v>
      </c>
      <c r="AC580" t="str">
        <f>IF(Table1[[#This Row],[DiscountPct]]&gt;0.3, "&gt;0.3","")</f>
        <v/>
      </c>
      <c r="AD580">
        <v>11</v>
      </c>
      <c r="AE580">
        <f>Table1[[#This Row],[Quantity]]*(1+'scenario modeling'!$B$4)</f>
        <v>13.2</v>
      </c>
      <c r="AF580">
        <f>Table1[[#This Row],[UnitCost]]*Table1[[#This Row],[Quantity]]</f>
        <v>6598.2400000000007</v>
      </c>
      <c r="AG580">
        <f>SUMIF($U:U,Table1[[#This Row],[ProductCategory]],$AM:AM)</f>
        <v>1616102.6546600002</v>
      </c>
      <c r="AH580">
        <f>SUMIFS($AM$2:AM580,$U$2:U580,U580)</f>
        <v>792849.58985000011</v>
      </c>
      <c r="AI580" s="5">
        <f>Table1[[#This Row],[Cumulative_revenue]]/Table1[[#This Row],[Category_revenue]]</f>
        <v>0.49059358176526341</v>
      </c>
      <c r="AJ580" t="str">
        <f>IF(Table1[[#This Row],[cumulative_pct]]&lt;=0.8,"A",IF(Table1[[#This Row],[cumulative_pct]]&lt;=0.95,"B","C"))</f>
        <v>A</v>
      </c>
      <c r="AK580">
        <f>Table1[[#This Row],[adj_unit_cost]]*Table1[[#This Row],[scenario_quantity]]</f>
        <v>8709.6768000000011</v>
      </c>
      <c r="AL580" s="5">
        <f>Table1[[#This Row],[UnitPrice]]*Table1[[#This Row],[scenario_quantity]]*(1-Table1[[#This Row],[cap_adjusted_discount]])</f>
        <v>15810.497999999998</v>
      </c>
      <c r="AM580" s="5">
        <f>Table1[[#This Row],[UnitPrice]]*Table1[[#This Row],[Quantity]]*(1-Table1[[#This Row],[DiscountPct]])</f>
        <v>12955.824749999998</v>
      </c>
      <c r="AN580" s="5">
        <f>Table1[[#This Row],[gross_revenue]]-Table1[[#This Row],[cost_of_goods]]</f>
        <v>6357.5847499999973</v>
      </c>
      <c r="AO580" s="5">
        <f>Table1[[#This Row],[scenario_revenue]]-Table1[[#This Row],[Scenario_unit_cost]]</f>
        <v>7100.8211999999967</v>
      </c>
      <c r="AP580" s="5">
        <f>IF(Table1[[#This Row],[gross_revenue]]=0,0,Table1[[#This Row],[gross_profit]]/Table1[[#This Row],[gross_revenue]])</f>
        <v>0.49071246892252063</v>
      </c>
    </row>
    <row r="581" spans="1:42" x14ac:dyDescent="0.35">
      <c r="A581" t="s">
        <v>327</v>
      </c>
      <c r="B581" t="str">
        <f>_xlfn.TEXTAFTER(Table1[[#This Row],[OrderID]],"-",2)</f>
        <v>925626</v>
      </c>
      <c r="C581">
        <f>YEAR(Table1[[#This Row],[OrderDate]])</f>
        <v>2024</v>
      </c>
      <c r="D581" s="9">
        <f>_xlfn.MINIFS(F:F,P:P,Table1[[#This Row],[Country]])</f>
        <v>44945</v>
      </c>
      <c r="E581" s="7">
        <f>DATEDIF(Table1[[#This Row],[first_time_orders]],Table1[[#This Row],[OrderDate]],"m")</f>
        <v>21</v>
      </c>
      <c r="F581" s="9">
        <v>45600</v>
      </c>
      <c r="G581" s="2" t="str">
        <f>TEXT(Table1[[#This Row],[OrderDate]],"MMM-YYYY")</f>
        <v>Nov-2024</v>
      </c>
      <c r="H581" s="7">
        <f>MONTH(Table1[[#This Row],[OrderDate]])</f>
        <v>11</v>
      </c>
      <c r="I581" s="7" t="str">
        <f>"Q"&amp;ROUNDUP(Table1[[#This Row],[months]]/3,0)&amp;"-"&amp;Table1[[#This Row],[order_year]]</f>
        <v>Q4-2024</v>
      </c>
      <c r="J581" s="7">
        <f>Table1[[#This Row],[RequiredDate]]-Table1[[#This Row],[OrderDate]]</f>
        <v>1</v>
      </c>
      <c r="K581" s="7">
        <f>IF(Table1[[#This Row],[lead_time]]&lt;0,MEDIAN(J:J),Table1[[#This Row],[lead_time]])</f>
        <v>1</v>
      </c>
      <c r="L581" s="7">
        <f>IF(Table1[[#This Row],[adj_lead_time]]&lt;=7,1,0)</f>
        <v>1</v>
      </c>
      <c r="M581" s="9">
        <v>45601</v>
      </c>
      <c r="N581" s="9">
        <f>IF(Table1[[#This Row],[lead_time]]&lt;0,(Table1[[#This Row],[OrderDate]]+Table1[[#This Row],[adj_lead_time]]),Table1[[#This Row],[RequiredDate]])</f>
        <v>45601</v>
      </c>
      <c r="O581" t="s">
        <v>649</v>
      </c>
      <c r="P581" t="s">
        <v>658</v>
      </c>
      <c r="Q581" t="s">
        <v>683</v>
      </c>
      <c r="R581" t="s">
        <v>701</v>
      </c>
      <c r="S581" t="s">
        <v>707</v>
      </c>
      <c r="T581" t="s">
        <v>724</v>
      </c>
      <c r="U581" t="s">
        <v>728</v>
      </c>
      <c r="V581" t="s">
        <v>1047</v>
      </c>
      <c r="W581">
        <v>840.68</v>
      </c>
      <c r="X581">
        <f>Table1[[#This Row],[UnitCost]]*(1+'scenario modeling'!$B$3)</f>
        <v>924.74800000000005</v>
      </c>
      <c r="Y581">
        <v>1493.53</v>
      </c>
      <c r="Z581" t="str">
        <f>IF(Table1[[#This Row],[UnitPrice]]&lt;=Quantiles!$B$2,Quantiles!$A$2,IF(Table1[[#This Row],[UnitPrice]]&lt;=Quantiles!$B$3,Quantiles!$A$3,Quantiles!$A$4))</f>
        <v>Medium</v>
      </c>
      <c r="AA581">
        <v>0</v>
      </c>
      <c r="AB581" s="5">
        <f>MIN(Table1[[#This Row],[DiscountPct]],'scenario modeling'!$B$2)</f>
        <v>0</v>
      </c>
      <c r="AC581" t="str">
        <f>IF(Table1[[#This Row],[DiscountPct]]&gt;0.3, "&gt;0.3","")</f>
        <v/>
      </c>
      <c r="AD581">
        <v>27</v>
      </c>
      <c r="AE581">
        <f>Table1[[#This Row],[Quantity]]*(1+'scenario modeling'!$B$4)</f>
        <v>32.4</v>
      </c>
      <c r="AF581">
        <f>Table1[[#This Row],[UnitCost]]*Table1[[#This Row],[Quantity]]</f>
        <v>22698.359999999997</v>
      </c>
      <c r="AG581">
        <f>SUMIF($U:U,Table1[[#This Row],[ProductCategory]],$AM:AM)</f>
        <v>1616102.6546600002</v>
      </c>
      <c r="AH581">
        <f>SUMIFS($AM$2:AM581,$U$2:U581,U581)</f>
        <v>833174.89985000016</v>
      </c>
      <c r="AI581" s="5">
        <f>Table1[[#This Row],[Cumulative_revenue]]/Table1[[#This Row],[Category_revenue]]</f>
        <v>0.51554577764448117</v>
      </c>
      <c r="AJ581" t="str">
        <f>IF(Table1[[#This Row],[cumulative_pct]]&lt;=0.8,"A",IF(Table1[[#This Row],[cumulative_pct]]&lt;=0.95,"B","C"))</f>
        <v>A</v>
      </c>
      <c r="AK581">
        <f>Table1[[#This Row],[adj_unit_cost]]*Table1[[#This Row],[scenario_quantity]]</f>
        <v>29961.835200000001</v>
      </c>
      <c r="AL581" s="5">
        <f>Table1[[#This Row],[UnitPrice]]*Table1[[#This Row],[scenario_quantity]]*(1-Table1[[#This Row],[cap_adjusted_discount]])</f>
        <v>48390.371999999996</v>
      </c>
      <c r="AM581" s="5">
        <f>Table1[[#This Row],[UnitPrice]]*Table1[[#This Row],[Quantity]]*(1-Table1[[#This Row],[DiscountPct]])</f>
        <v>40325.31</v>
      </c>
      <c r="AN581" s="5">
        <f>Table1[[#This Row],[gross_revenue]]-Table1[[#This Row],[cost_of_goods]]</f>
        <v>17626.95</v>
      </c>
      <c r="AO581" s="5">
        <f>Table1[[#This Row],[scenario_revenue]]-Table1[[#This Row],[Scenario_unit_cost]]</f>
        <v>18428.536799999994</v>
      </c>
      <c r="AP581" s="5">
        <f>IF(Table1[[#This Row],[gross_revenue]]=0,0,Table1[[#This Row],[gross_profit]]/Table1[[#This Row],[gross_revenue]])</f>
        <v>0.43711877230454027</v>
      </c>
    </row>
    <row r="582" spans="1:42" x14ac:dyDescent="0.35">
      <c r="A582" t="s">
        <v>622</v>
      </c>
      <c r="B582" t="str">
        <f>_xlfn.TEXTAFTER(Table1[[#This Row],[OrderID]],"-",2)</f>
        <v>266562</v>
      </c>
      <c r="C582">
        <f>YEAR(Table1[[#This Row],[OrderDate]])</f>
        <v>2024</v>
      </c>
      <c r="D582" s="9">
        <f>_xlfn.MINIFS(F:F,P:P,Table1[[#This Row],[Country]])</f>
        <v>44946</v>
      </c>
      <c r="E582" s="7">
        <f>DATEDIF(Table1[[#This Row],[first_time_orders]],Table1[[#This Row],[OrderDate]],"m")</f>
        <v>22</v>
      </c>
      <c r="F582" s="9">
        <v>45623</v>
      </c>
      <c r="G582" s="2" t="str">
        <f>TEXT(Table1[[#This Row],[OrderDate]],"MMM-YYYY")</f>
        <v>Nov-2024</v>
      </c>
      <c r="H582" s="7">
        <f>MONTH(Table1[[#This Row],[OrderDate]])</f>
        <v>11</v>
      </c>
      <c r="I582" s="7" t="str">
        <f>"Q"&amp;ROUNDUP(Table1[[#This Row],[months]]/3,0)&amp;"-"&amp;Table1[[#This Row],[order_year]]</f>
        <v>Q4-2024</v>
      </c>
      <c r="J582" s="7">
        <f>Table1[[#This Row],[RequiredDate]]-Table1[[#This Row],[OrderDate]]</f>
        <v>27</v>
      </c>
      <c r="K582" s="7">
        <f>IF(Table1[[#This Row],[lead_time]]&lt;0,MEDIAN(J:J),Table1[[#This Row],[lead_time]])</f>
        <v>27</v>
      </c>
      <c r="L582" s="7">
        <f>IF(Table1[[#This Row],[adj_lead_time]]&lt;=7,1,0)</f>
        <v>0</v>
      </c>
      <c r="M582" s="9">
        <v>45650</v>
      </c>
      <c r="N582" s="9">
        <f>IF(Table1[[#This Row],[lead_time]]&lt;0,(Table1[[#This Row],[OrderDate]]+Table1[[#This Row],[adj_lead_time]]),Table1[[#This Row],[RequiredDate]])</f>
        <v>45650</v>
      </c>
      <c r="O582" t="s">
        <v>646</v>
      </c>
      <c r="P582" t="s">
        <v>650</v>
      </c>
      <c r="Q582" t="s">
        <v>675</v>
      </c>
      <c r="R582" t="s">
        <v>701</v>
      </c>
      <c r="S582" t="s">
        <v>710</v>
      </c>
      <c r="T582" t="s">
        <v>717</v>
      </c>
      <c r="U582" t="s">
        <v>728</v>
      </c>
      <c r="V582" t="s">
        <v>1340</v>
      </c>
      <c r="W582">
        <v>143.33000000000001</v>
      </c>
      <c r="X582">
        <f>Table1[[#This Row],[UnitCost]]*(1+'scenario modeling'!$B$3)</f>
        <v>157.66300000000004</v>
      </c>
      <c r="Y582">
        <v>233.51</v>
      </c>
      <c r="Z582" t="str">
        <f>IF(Table1[[#This Row],[UnitPrice]]&lt;=Quantiles!$B$2,Quantiles!$A$2,IF(Table1[[#This Row],[UnitPrice]]&lt;=Quantiles!$B$3,Quantiles!$A$3,Quantiles!$A$4))</f>
        <v>Low</v>
      </c>
      <c r="AA582">
        <v>0.16300000000000001</v>
      </c>
      <c r="AB582" s="5">
        <f>MIN(Table1[[#This Row],[DiscountPct]],'scenario modeling'!$B$2)</f>
        <v>0.1</v>
      </c>
      <c r="AC582" t="str">
        <f>IF(Table1[[#This Row],[DiscountPct]]&gt;0.3, "&gt;0.3","")</f>
        <v/>
      </c>
      <c r="AD582">
        <v>14</v>
      </c>
      <c r="AE582">
        <f>Table1[[#This Row],[Quantity]]*(1+'scenario modeling'!$B$4)</f>
        <v>16.8</v>
      </c>
      <c r="AF582">
        <f>Table1[[#This Row],[UnitCost]]*Table1[[#This Row],[Quantity]]</f>
        <v>2006.6200000000001</v>
      </c>
      <c r="AG582">
        <f>SUMIF($U:U,Table1[[#This Row],[ProductCategory]],$AM:AM)</f>
        <v>1616102.6546600002</v>
      </c>
      <c r="AH582">
        <f>SUMIFS($AM$2:AM582,$U$2:U582,U582)</f>
        <v>835911.17003000015</v>
      </c>
      <c r="AI582" s="5">
        <f>Table1[[#This Row],[Cumulative_revenue]]/Table1[[#This Row],[Category_revenue]]</f>
        <v>0.5172389065878128</v>
      </c>
      <c r="AJ582" t="str">
        <f>IF(Table1[[#This Row],[cumulative_pct]]&lt;=0.8,"A",IF(Table1[[#This Row],[cumulative_pct]]&lt;=0.95,"B","C"))</f>
        <v>A</v>
      </c>
      <c r="AK582">
        <f>Table1[[#This Row],[adj_unit_cost]]*Table1[[#This Row],[scenario_quantity]]</f>
        <v>2648.7384000000006</v>
      </c>
      <c r="AL582" s="5">
        <f>Table1[[#This Row],[UnitPrice]]*Table1[[#This Row],[scenario_quantity]]*(1-Table1[[#This Row],[cap_adjusted_discount]])</f>
        <v>3530.6711999999998</v>
      </c>
      <c r="AM582" s="5">
        <f>Table1[[#This Row],[UnitPrice]]*Table1[[#This Row],[Quantity]]*(1-Table1[[#This Row],[DiscountPct]])</f>
        <v>2736.27018</v>
      </c>
      <c r="AN582" s="5">
        <f>Table1[[#This Row],[gross_revenue]]-Table1[[#This Row],[cost_of_goods]]</f>
        <v>729.65017999999986</v>
      </c>
      <c r="AO582" s="5">
        <f>Table1[[#This Row],[scenario_revenue]]-Table1[[#This Row],[Scenario_unit_cost]]</f>
        <v>881.93279999999913</v>
      </c>
      <c r="AP582" s="5">
        <f>IF(Table1[[#This Row],[gross_revenue]]=0,0,Table1[[#This Row],[gross_profit]]/Table1[[#This Row],[gross_revenue]])</f>
        <v>0.26665867476580835</v>
      </c>
    </row>
    <row r="583" spans="1:42" x14ac:dyDescent="0.35">
      <c r="A583" t="s">
        <v>501</v>
      </c>
      <c r="B583" t="str">
        <f>_xlfn.TEXTAFTER(Table1[[#This Row],[OrderID]],"-",2)</f>
        <v>371409</v>
      </c>
      <c r="C583">
        <f>YEAR(Table1[[#This Row],[OrderDate]])</f>
        <v>2024</v>
      </c>
      <c r="D583" s="9">
        <f>_xlfn.MINIFS(F:F,P:P,Table1[[#This Row],[Country]])</f>
        <v>44928</v>
      </c>
      <c r="E583" s="7">
        <f>DATEDIF(Table1[[#This Row],[first_time_orders]],Table1[[#This Row],[OrderDate]],"m")</f>
        <v>22</v>
      </c>
      <c r="F583" s="9">
        <v>45613</v>
      </c>
      <c r="G583" s="2" t="str">
        <f>TEXT(Table1[[#This Row],[OrderDate]],"MMM-YYYY")</f>
        <v>Nov-2024</v>
      </c>
      <c r="H583" s="7">
        <f>MONTH(Table1[[#This Row],[OrderDate]])</f>
        <v>11</v>
      </c>
      <c r="I583" s="7" t="str">
        <f>"Q"&amp;ROUNDUP(Table1[[#This Row],[months]]/3,0)&amp;"-"&amp;Table1[[#This Row],[order_year]]</f>
        <v>Q4-2024</v>
      </c>
      <c r="J583" s="7">
        <f>Table1[[#This Row],[RequiredDate]]-Table1[[#This Row],[OrderDate]]</f>
        <v>11</v>
      </c>
      <c r="K583" s="7">
        <f>IF(Table1[[#This Row],[lead_time]]&lt;0,MEDIAN(J:J),Table1[[#This Row],[lead_time]])</f>
        <v>11</v>
      </c>
      <c r="L583" s="7">
        <f>IF(Table1[[#This Row],[adj_lead_time]]&lt;=7,1,0)</f>
        <v>0</v>
      </c>
      <c r="M583" s="9">
        <v>45624</v>
      </c>
      <c r="N583" s="9">
        <f>IF(Table1[[#This Row],[lead_time]]&lt;0,(Table1[[#This Row],[OrderDate]]+Table1[[#This Row],[adj_lead_time]]),Table1[[#This Row],[RequiredDate]])</f>
        <v>45624</v>
      </c>
      <c r="O583" t="s">
        <v>648</v>
      </c>
      <c r="P583" t="s">
        <v>653</v>
      </c>
      <c r="Q583" t="s">
        <v>688</v>
      </c>
      <c r="R583" t="s">
        <v>704</v>
      </c>
      <c r="S583" t="s">
        <v>710</v>
      </c>
      <c r="T583" t="s">
        <v>720</v>
      </c>
      <c r="U583" t="s">
        <v>728</v>
      </c>
      <c r="V583" t="s">
        <v>1220</v>
      </c>
      <c r="W583">
        <v>1008.16</v>
      </c>
      <c r="X583">
        <f>Table1[[#This Row],[UnitCost]]*(1+'scenario modeling'!$B$3)</f>
        <v>1108.9760000000001</v>
      </c>
      <c r="Y583">
        <v>2077.5</v>
      </c>
      <c r="Z583" t="str">
        <f>IF(Table1[[#This Row],[UnitPrice]]&lt;=Quantiles!$B$2,Quantiles!$A$2,IF(Table1[[#This Row],[UnitPrice]]&lt;=Quantiles!$B$3,Quantiles!$A$3,Quantiles!$A$4))</f>
        <v>High</v>
      </c>
      <c r="AA583">
        <v>7.3999999999999996E-2</v>
      </c>
      <c r="AB583" s="5">
        <f>MIN(Table1[[#This Row],[DiscountPct]],'scenario modeling'!$B$2)</f>
        <v>7.3999999999999996E-2</v>
      </c>
      <c r="AC583" t="str">
        <f>IF(Table1[[#This Row],[DiscountPct]]&gt;0.3, "&gt;0.3","")</f>
        <v/>
      </c>
      <c r="AD583">
        <v>15</v>
      </c>
      <c r="AE583">
        <f>Table1[[#This Row],[Quantity]]*(1+'scenario modeling'!$B$4)</f>
        <v>18</v>
      </c>
      <c r="AF583">
        <f>Table1[[#This Row],[UnitCost]]*Table1[[#This Row],[Quantity]]</f>
        <v>15122.4</v>
      </c>
      <c r="AG583">
        <f>SUMIF($U:U,Table1[[#This Row],[ProductCategory]],$AM:AM)</f>
        <v>1616102.6546600002</v>
      </c>
      <c r="AH583">
        <f>SUMIFS($AM$2:AM583,$U$2:U583,U583)</f>
        <v>864767.64503000013</v>
      </c>
      <c r="AI583" s="5">
        <f>Table1[[#This Row],[Cumulative_revenue]]/Table1[[#This Row],[Category_revenue]]</f>
        <v>0.53509450190955354</v>
      </c>
      <c r="AJ583" t="str">
        <f>IF(Table1[[#This Row],[cumulative_pct]]&lt;=0.8,"A",IF(Table1[[#This Row],[cumulative_pct]]&lt;=0.95,"B","C"))</f>
        <v>A</v>
      </c>
      <c r="AK583">
        <f>Table1[[#This Row],[adj_unit_cost]]*Table1[[#This Row],[scenario_quantity]]</f>
        <v>19961.568000000003</v>
      </c>
      <c r="AL583" s="5">
        <f>Table1[[#This Row],[UnitPrice]]*Table1[[#This Row],[scenario_quantity]]*(1-Table1[[#This Row],[cap_adjusted_discount]])</f>
        <v>34627.770000000004</v>
      </c>
      <c r="AM583" s="5">
        <f>Table1[[#This Row],[UnitPrice]]*Table1[[#This Row],[Quantity]]*(1-Table1[[#This Row],[DiscountPct]])</f>
        <v>28856.475000000002</v>
      </c>
      <c r="AN583" s="5">
        <f>Table1[[#This Row],[gross_revenue]]-Table1[[#This Row],[cost_of_goods]]</f>
        <v>13734.075000000003</v>
      </c>
      <c r="AO583" s="5">
        <f>Table1[[#This Row],[scenario_revenue]]-Table1[[#This Row],[Scenario_unit_cost]]</f>
        <v>14666.202000000001</v>
      </c>
      <c r="AP583" s="5">
        <f>IF(Table1[[#This Row],[gross_revenue]]=0,0,Table1[[#This Row],[gross_profit]]/Table1[[#This Row],[gross_revenue]])</f>
        <v>0.47594430712691005</v>
      </c>
    </row>
    <row r="584" spans="1:42" x14ac:dyDescent="0.35">
      <c r="A584" t="s">
        <v>420</v>
      </c>
      <c r="B584" t="str">
        <f>_xlfn.TEXTAFTER(Table1[[#This Row],[OrderID]],"-",2)</f>
        <v>390951</v>
      </c>
      <c r="C584">
        <f>YEAR(Table1[[#This Row],[OrderDate]])</f>
        <v>2024</v>
      </c>
      <c r="D584" s="9">
        <f>_xlfn.MINIFS(F:F,P:P,Table1[[#This Row],[Country]])</f>
        <v>44955</v>
      </c>
      <c r="E584" s="7">
        <f>DATEDIF(Table1[[#This Row],[first_time_orders]],Table1[[#This Row],[OrderDate]],"m")</f>
        <v>22</v>
      </c>
      <c r="F584" s="9">
        <v>45646</v>
      </c>
      <c r="G584" s="2" t="str">
        <f>TEXT(Table1[[#This Row],[OrderDate]],"MMM-YYYY")</f>
        <v>Dec-2024</v>
      </c>
      <c r="H584" s="7">
        <f>MONTH(Table1[[#This Row],[OrderDate]])</f>
        <v>12</v>
      </c>
      <c r="I584" s="7" t="str">
        <f>"Q"&amp;ROUNDUP(Table1[[#This Row],[months]]/3,0)&amp;"-"&amp;Table1[[#This Row],[order_year]]</f>
        <v>Q4-2024</v>
      </c>
      <c r="J584" s="7">
        <f>Table1[[#This Row],[RequiredDate]]-Table1[[#This Row],[OrderDate]]</f>
        <v>25</v>
      </c>
      <c r="K584" s="7">
        <f>IF(Table1[[#This Row],[lead_time]]&lt;0,MEDIAN(J:J),Table1[[#This Row],[lead_time]])</f>
        <v>25</v>
      </c>
      <c r="L584" s="7">
        <f>IF(Table1[[#This Row],[adj_lead_time]]&lt;=7,1,0)</f>
        <v>0</v>
      </c>
      <c r="M584" s="9">
        <v>45671</v>
      </c>
      <c r="N584" s="9">
        <f>IF(Table1[[#This Row],[lead_time]]&lt;0,(Table1[[#This Row],[OrderDate]]+Table1[[#This Row],[adj_lead_time]]),Table1[[#This Row],[RequiredDate]])</f>
        <v>45671</v>
      </c>
      <c r="O584" t="s">
        <v>647</v>
      </c>
      <c r="P584" t="s">
        <v>654</v>
      </c>
      <c r="Q584" t="s">
        <v>680</v>
      </c>
      <c r="R584" t="s">
        <v>705</v>
      </c>
      <c r="S584" t="s">
        <v>707</v>
      </c>
      <c r="T584" t="s">
        <v>724</v>
      </c>
      <c r="U584" t="s">
        <v>728</v>
      </c>
      <c r="V584" t="s">
        <v>1139</v>
      </c>
      <c r="W584">
        <v>1361.34</v>
      </c>
      <c r="X584">
        <f>Table1[[#This Row],[UnitCost]]*(1+'scenario modeling'!$B$3)</f>
        <v>1497.4739999999999</v>
      </c>
      <c r="Y584">
        <v>1737.9</v>
      </c>
      <c r="Z584" t="str">
        <f>IF(Table1[[#This Row],[UnitPrice]]&lt;=Quantiles!$B$2,Quantiles!$A$2,IF(Table1[[#This Row],[UnitPrice]]&lt;=Quantiles!$B$3,Quantiles!$A$3,Quantiles!$A$4))</f>
        <v>High</v>
      </c>
      <c r="AA584">
        <v>7.6999999999999999E-2</v>
      </c>
      <c r="AB584" s="5">
        <f>MIN(Table1[[#This Row],[DiscountPct]],'scenario modeling'!$B$2)</f>
        <v>7.6999999999999999E-2</v>
      </c>
      <c r="AC584" t="str">
        <f>IF(Table1[[#This Row],[DiscountPct]]&gt;0.3, "&gt;0.3","")</f>
        <v/>
      </c>
      <c r="AD584">
        <v>14</v>
      </c>
      <c r="AE584">
        <f>Table1[[#This Row],[Quantity]]*(1+'scenario modeling'!$B$4)</f>
        <v>16.8</v>
      </c>
      <c r="AF584">
        <f>Table1[[#This Row],[UnitCost]]*Table1[[#This Row],[Quantity]]</f>
        <v>19058.759999999998</v>
      </c>
      <c r="AG584">
        <f>SUMIF($U:U,Table1[[#This Row],[ProductCategory]],$AM:AM)</f>
        <v>1616102.6546600002</v>
      </c>
      <c r="AH584">
        <f>SUMIFS($AM$2:AM584,$U$2:U584,U584)</f>
        <v>887224.78883000009</v>
      </c>
      <c r="AI584" s="5">
        <f>Table1[[#This Row],[Cumulative_revenue]]/Table1[[#This Row],[Category_revenue]]</f>
        <v>0.54899036659070188</v>
      </c>
      <c r="AJ584" t="str">
        <f>IF(Table1[[#This Row],[cumulative_pct]]&lt;=0.8,"A",IF(Table1[[#This Row],[cumulative_pct]]&lt;=0.95,"B","C"))</f>
        <v>A</v>
      </c>
      <c r="AK584">
        <f>Table1[[#This Row],[adj_unit_cost]]*Table1[[#This Row],[scenario_quantity]]</f>
        <v>25157.563200000001</v>
      </c>
      <c r="AL584" s="5">
        <f>Table1[[#This Row],[UnitPrice]]*Table1[[#This Row],[scenario_quantity]]*(1-Table1[[#This Row],[cap_adjusted_discount]])</f>
        <v>26948.572560000001</v>
      </c>
      <c r="AM584" s="5">
        <f>Table1[[#This Row],[UnitPrice]]*Table1[[#This Row],[Quantity]]*(1-Table1[[#This Row],[DiscountPct]])</f>
        <v>22457.143800000002</v>
      </c>
      <c r="AN584" s="5">
        <f>Table1[[#This Row],[gross_revenue]]-Table1[[#This Row],[cost_of_goods]]</f>
        <v>3398.3838000000032</v>
      </c>
      <c r="AO584" s="5">
        <f>Table1[[#This Row],[scenario_revenue]]-Table1[[#This Row],[Scenario_unit_cost]]</f>
        <v>1791.00936</v>
      </c>
      <c r="AP584" s="5">
        <f>IF(Table1[[#This Row],[gross_revenue]]=0,0,Table1[[#This Row],[gross_profit]]/Table1[[#This Row],[gross_revenue]])</f>
        <v>0.15132751654731813</v>
      </c>
    </row>
    <row r="585" spans="1:42" x14ac:dyDescent="0.35">
      <c r="A585" t="s">
        <v>322</v>
      </c>
      <c r="B585" t="str">
        <f>_xlfn.TEXTAFTER(Table1[[#This Row],[OrderID]],"-",2)</f>
        <v>415018</v>
      </c>
      <c r="C585">
        <f>YEAR(Table1[[#This Row],[OrderDate]])</f>
        <v>2025</v>
      </c>
      <c r="D585" s="9">
        <f>_xlfn.MINIFS(F:F,P:P,Table1[[#This Row],[Country]])</f>
        <v>44988</v>
      </c>
      <c r="E585" s="7">
        <f>DATEDIF(Table1[[#This Row],[first_time_orders]],Table1[[#This Row],[OrderDate]],"m")</f>
        <v>22</v>
      </c>
      <c r="F585" s="9">
        <v>45679</v>
      </c>
      <c r="G585" s="2" t="str">
        <f>TEXT(Table1[[#This Row],[OrderDate]],"MMM-YYYY")</f>
        <v>Jan-2025</v>
      </c>
      <c r="H585" s="7">
        <f>MONTH(Table1[[#This Row],[OrderDate]])</f>
        <v>1</v>
      </c>
      <c r="I585" s="7" t="str">
        <f>"Q"&amp;ROUNDUP(Table1[[#This Row],[months]]/3,0)&amp;"-"&amp;Table1[[#This Row],[order_year]]</f>
        <v>Q1-2025</v>
      </c>
      <c r="J585" s="7">
        <f>Table1[[#This Row],[RequiredDate]]-Table1[[#This Row],[OrderDate]]</f>
        <v>13</v>
      </c>
      <c r="K585" s="7">
        <f>IF(Table1[[#This Row],[lead_time]]&lt;0,MEDIAN(J:J),Table1[[#This Row],[lead_time]])</f>
        <v>13</v>
      </c>
      <c r="L585" s="7">
        <f>IF(Table1[[#This Row],[adj_lead_time]]&lt;=7,1,0)</f>
        <v>0</v>
      </c>
      <c r="M585" s="9">
        <v>45692</v>
      </c>
      <c r="N585" s="9">
        <f>IF(Table1[[#This Row],[lead_time]]&lt;0,(Table1[[#This Row],[OrderDate]]+Table1[[#This Row],[adj_lead_time]]),Table1[[#This Row],[RequiredDate]])</f>
        <v>45692</v>
      </c>
      <c r="O585" t="s">
        <v>647</v>
      </c>
      <c r="P585" t="s">
        <v>652</v>
      </c>
      <c r="Q585" t="s">
        <v>689</v>
      </c>
      <c r="R585" t="s">
        <v>705</v>
      </c>
      <c r="S585" t="s">
        <v>710</v>
      </c>
      <c r="T585" t="s">
        <v>716</v>
      </c>
      <c r="U585" t="s">
        <v>728</v>
      </c>
      <c r="V585" t="s">
        <v>1042</v>
      </c>
      <c r="W585">
        <v>122.29</v>
      </c>
      <c r="X585">
        <f>Table1[[#This Row],[UnitCost]]*(1+'scenario modeling'!$B$3)</f>
        <v>134.51900000000001</v>
      </c>
      <c r="Y585">
        <v>224.95</v>
      </c>
      <c r="Z585" t="str">
        <f>IF(Table1[[#This Row],[UnitPrice]]&lt;=Quantiles!$B$2,Quantiles!$A$2,IF(Table1[[#This Row],[UnitPrice]]&lt;=Quantiles!$B$3,Quantiles!$A$3,Quantiles!$A$4))</f>
        <v>Low</v>
      </c>
      <c r="AA585">
        <v>0.153</v>
      </c>
      <c r="AB585" s="5">
        <f>MIN(Table1[[#This Row],[DiscountPct]],'scenario modeling'!$B$2)</f>
        <v>0.1</v>
      </c>
      <c r="AC585" t="str">
        <f>IF(Table1[[#This Row],[DiscountPct]]&gt;0.3, "&gt;0.3","")</f>
        <v/>
      </c>
      <c r="AD585">
        <v>28</v>
      </c>
      <c r="AE585">
        <f>Table1[[#This Row],[Quantity]]*(1+'scenario modeling'!$B$4)</f>
        <v>33.6</v>
      </c>
      <c r="AF585">
        <f>Table1[[#This Row],[UnitCost]]*Table1[[#This Row],[Quantity]]</f>
        <v>3424.1200000000003</v>
      </c>
      <c r="AG585">
        <f>SUMIF($U:U,Table1[[#This Row],[ProductCategory]],$AM:AM)</f>
        <v>1616102.6546600002</v>
      </c>
      <c r="AH585">
        <f>SUMIFS($AM$2:AM585,$U$2:U585,U585)</f>
        <v>892559.70303000009</v>
      </c>
      <c r="AI585" s="5">
        <f>Table1[[#This Row],[Cumulative_revenue]]/Table1[[#This Row],[Category_revenue]]</f>
        <v>0.55229146518404737</v>
      </c>
      <c r="AJ585" t="str">
        <f>IF(Table1[[#This Row],[cumulative_pct]]&lt;=0.8,"A",IF(Table1[[#This Row],[cumulative_pct]]&lt;=0.95,"B","C"))</f>
        <v>A</v>
      </c>
      <c r="AK585">
        <f>Table1[[#This Row],[adj_unit_cost]]*Table1[[#This Row],[scenario_quantity]]</f>
        <v>4519.8384000000005</v>
      </c>
      <c r="AL585" s="5">
        <f>Table1[[#This Row],[UnitPrice]]*Table1[[#This Row],[scenario_quantity]]*(1-Table1[[#This Row],[cap_adjusted_discount]])</f>
        <v>6802.4880000000003</v>
      </c>
      <c r="AM585" s="5">
        <f>Table1[[#This Row],[UnitPrice]]*Table1[[#This Row],[Quantity]]*(1-Table1[[#This Row],[DiscountPct]])</f>
        <v>5334.9141999999993</v>
      </c>
      <c r="AN585" s="5">
        <f>Table1[[#This Row],[gross_revenue]]-Table1[[#This Row],[cost_of_goods]]</f>
        <v>1910.7941999999989</v>
      </c>
      <c r="AO585" s="5">
        <f>Table1[[#This Row],[scenario_revenue]]-Table1[[#This Row],[Scenario_unit_cost]]</f>
        <v>2282.6495999999997</v>
      </c>
      <c r="AP585" s="5">
        <f>IF(Table1[[#This Row],[gross_revenue]]=0,0,Table1[[#This Row],[gross_profit]]/Table1[[#This Row],[gross_revenue]])</f>
        <v>0.3581677471026618</v>
      </c>
    </row>
    <row r="586" spans="1:42" x14ac:dyDescent="0.35">
      <c r="A586" t="s">
        <v>41</v>
      </c>
      <c r="B586" t="str">
        <f>_xlfn.TEXTAFTER(Table1[[#This Row],[OrderID]],"-",2)</f>
        <v>788105</v>
      </c>
      <c r="C586">
        <f>YEAR(Table1[[#This Row],[OrderDate]])</f>
        <v>2024</v>
      </c>
      <c r="D586" s="9">
        <f>_xlfn.MINIFS(F:F,P:P,Table1[[#This Row],[Country]])</f>
        <v>44936</v>
      </c>
      <c r="E586" s="7">
        <f>DATEDIF(Table1[[#This Row],[first_time_orders]],Table1[[#This Row],[OrderDate]],"m")</f>
        <v>22</v>
      </c>
      <c r="F586" s="9">
        <v>45626</v>
      </c>
      <c r="G586" s="2" t="str">
        <f>TEXT(Table1[[#This Row],[OrderDate]],"MMM-YYYY")</f>
        <v>Nov-2024</v>
      </c>
      <c r="H586" s="7">
        <f>MONTH(Table1[[#This Row],[OrderDate]])</f>
        <v>11</v>
      </c>
      <c r="I586" s="7" t="str">
        <f>"Q"&amp;ROUNDUP(Table1[[#This Row],[months]]/3,0)&amp;"-"&amp;Table1[[#This Row],[order_year]]</f>
        <v>Q4-2024</v>
      </c>
      <c r="J586" s="7">
        <f>Table1[[#This Row],[RequiredDate]]-Table1[[#This Row],[OrderDate]]</f>
        <v>30</v>
      </c>
      <c r="K586" s="7">
        <f>IF(Table1[[#This Row],[lead_time]]&lt;0,MEDIAN(J:J),Table1[[#This Row],[lead_time]])</f>
        <v>30</v>
      </c>
      <c r="L586" s="7">
        <f>IF(Table1[[#This Row],[adj_lead_time]]&lt;=7,1,0)</f>
        <v>0</v>
      </c>
      <c r="M586" s="9">
        <v>45656</v>
      </c>
      <c r="N586" s="9">
        <f>IF(Table1[[#This Row],[lead_time]]&lt;0,(Table1[[#This Row],[OrderDate]]+Table1[[#This Row],[adj_lead_time]]),Table1[[#This Row],[RequiredDate]])</f>
        <v>45656</v>
      </c>
      <c r="O586" t="s">
        <v>649</v>
      </c>
      <c r="P586" t="s">
        <v>657</v>
      </c>
      <c r="Q586" t="s">
        <v>673</v>
      </c>
      <c r="R586" t="s">
        <v>704</v>
      </c>
      <c r="S586" t="s">
        <v>709</v>
      </c>
      <c r="T586" t="s">
        <v>721</v>
      </c>
      <c r="U586" t="s">
        <v>728</v>
      </c>
      <c r="V586" t="s">
        <v>760</v>
      </c>
      <c r="W586">
        <v>117.64</v>
      </c>
      <c r="X586">
        <f>Table1[[#This Row],[UnitCost]]*(1+'scenario modeling'!$B$3)</f>
        <v>129.40400000000002</v>
      </c>
      <c r="Y586">
        <v>175.67</v>
      </c>
      <c r="Z586" t="str">
        <f>IF(Table1[[#This Row],[UnitPrice]]&lt;=Quantiles!$B$2,Quantiles!$A$2,IF(Table1[[#This Row],[UnitPrice]]&lt;=Quantiles!$B$3,Quantiles!$A$3,Quantiles!$A$4))</f>
        <v>Low</v>
      </c>
      <c r="AA586">
        <v>0</v>
      </c>
      <c r="AB586" s="5">
        <f>MIN(Table1[[#This Row],[DiscountPct]],'scenario modeling'!$B$2)</f>
        <v>0</v>
      </c>
      <c r="AC586" t="str">
        <f>IF(Table1[[#This Row],[DiscountPct]]&gt;0.3, "&gt;0.3","")</f>
        <v/>
      </c>
      <c r="AD586">
        <v>10</v>
      </c>
      <c r="AE586">
        <f>Table1[[#This Row],[Quantity]]*(1+'scenario modeling'!$B$4)</f>
        <v>12</v>
      </c>
      <c r="AF586">
        <f>Table1[[#This Row],[UnitCost]]*Table1[[#This Row],[Quantity]]</f>
        <v>1176.4000000000001</v>
      </c>
      <c r="AG586">
        <f>SUMIF($U:U,Table1[[#This Row],[ProductCategory]],$AM:AM)</f>
        <v>1616102.6546600002</v>
      </c>
      <c r="AH586">
        <f>SUMIFS($AM$2:AM586,$U$2:U586,U586)</f>
        <v>894316.40303000004</v>
      </c>
      <c r="AI586" s="5">
        <f>Table1[[#This Row],[Cumulative_revenue]]/Table1[[#This Row],[Category_revenue]]</f>
        <v>0.55337846296536686</v>
      </c>
      <c r="AJ586" t="str">
        <f>IF(Table1[[#This Row],[cumulative_pct]]&lt;=0.8,"A",IF(Table1[[#This Row],[cumulative_pct]]&lt;=0.95,"B","C"))</f>
        <v>A</v>
      </c>
      <c r="AK586">
        <f>Table1[[#This Row],[adj_unit_cost]]*Table1[[#This Row],[scenario_quantity]]</f>
        <v>1552.8480000000004</v>
      </c>
      <c r="AL586" s="5">
        <f>Table1[[#This Row],[UnitPrice]]*Table1[[#This Row],[scenario_quantity]]*(1-Table1[[#This Row],[cap_adjusted_discount]])</f>
        <v>2108.04</v>
      </c>
      <c r="AM586" s="5">
        <f>Table1[[#This Row],[UnitPrice]]*Table1[[#This Row],[Quantity]]*(1-Table1[[#This Row],[DiscountPct]])</f>
        <v>1756.6999999999998</v>
      </c>
      <c r="AN586" s="5">
        <f>Table1[[#This Row],[gross_revenue]]-Table1[[#This Row],[cost_of_goods]]</f>
        <v>580.29999999999973</v>
      </c>
      <c r="AO586" s="5">
        <f>Table1[[#This Row],[scenario_revenue]]-Table1[[#This Row],[Scenario_unit_cost]]</f>
        <v>555.19199999999955</v>
      </c>
      <c r="AP586" s="5">
        <f>IF(Table1[[#This Row],[gross_revenue]]=0,0,Table1[[#This Row],[gross_profit]]/Table1[[#This Row],[gross_revenue]])</f>
        <v>0.33033528775545046</v>
      </c>
    </row>
    <row r="587" spans="1:42" x14ac:dyDescent="0.35">
      <c r="A587" t="s">
        <v>153</v>
      </c>
      <c r="B587" t="str">
        <f>_xlfn.TEXTAFTER(Table1[[#This Row],[OrderID]],"-",2)</f>
        <v>783321</v>
      </c>
      <c r="C587">
        <f>YEAR(Table1[[#This Row],[OrderDate]])</f>
        <v>2024</v>
      </c>
      <c r="D587" s="9">
        <f>_xlfn.MINIFS(F:F,P:P,Table1[[#This Row],[Country]])</f>
        <v>44936</v>
      </c>
      <c r="E587" s="7">
        <f>DATEDIF(Table1[[#This Row],[first_time_orders]],Table1[[#This Row],[OrderDate]],"m")</f>
        <v>22</v>
      </c>
      <c r="F587" s="9">
        <v>45616</v>
      </c>
      <c r="G587" s="2" t="str">
        <f>TEXT(Table1[[#This Row],[OrderDate]],"MMM-YYYY")</f>
        <v>Nov-2024</v>
      </c>
      <c r="H587" s="7">
        <f>MONTH(Table1[[#This Row],[OrderDate]])</f>
        <v>11</v>
      </c>
      <c r="I587" s="7" t="str">
        <f>"Q"&amp;ROUNDUP(Table1[[#This Row],[months]]/3,0)&amp;"-"&amp;Table1[[#This Row],[order_year]]</f>
        <v>Q4-2024</v>
      </c>
      <c r="J587" s="7">
        <f>Table1[[#This Row],[RequiredDate]]-Table1[[#This Row],[OrderDate]]</f>
        <v>25</v>
      </c>
      <c r="K587" s="7">
        <f>IF(Table1[[#This Row],[lead_time]]&lt;0,MEDIAN(J:J),Table1[[#This Row],[lead_time]])</f>
        <v>25</v>
      </c>
      <c r="L587" s="7">
        <f>IF(Table1[[#This Row],[adj_lead_time]]&lt;=7,1,0)</f>
        <v>0</v>
      </c>
      <c r="M587" s="9">
        <v>45641</v>
      </c>
      <c r="N587" s="9">
        <f>IF(Table1[[#This Row],[lead_time]]&lt;0,(Table1[[#This Row],[OrderDate]]+Table1[[#This Row],[adj_lead_time]]),Table1[[#This Row],[RequiredDate]])</f>
        <v>45641</v>
      </c>
      <c r="O587" t="s">
        <v>649</v>
      </c>
      <c r="P587" t="s">
        <v>657</v>
      </c>
      <c r="Q587" t="s">
        <v>690</v>
      </c>
      <c r="R587" t="s">
        <v>701</v>
      </c>
      <c r="S587" t="s">
        <v>708</v>
      </c>
      <c r="T587" t="s">
        <v>715</v>
      </c>
      <c r="U587" t="s">
        <v>728</v>
      </c>
      <c r="V587" t="s">
        <v>872</v>
      </c>
      <c r="W587">
        <v>1203.58</v>
      </c>
      <c r="X587">
        <f>Table1[[#This Row],[UnitCost]]*(1+'scenario modeling'!$B$3)</f>
        <v>1323.9380000000001</v>
      </c>
      <c r="Y587">
        <v>1856.16</v>
      </c>
      <c r="Z587" t="str">
        <f>IF(Table1[[#This Row],[UnitPrice]]&lt;=Quantiles!$B$2,Quantiles!$A$2,IF(Table1[[#This Row],[UnitPrice]]&lt;=Quantiles!$B$3,Quantiles!$A$3,Quantiles!$A$4))</f>
        <v>High</v>
      </c>
      <c r="AA587">
        <v>0.129</v>
      </c>
      <c r="AB587" s="5">
        <f>MIN(Table1[[#This Row],[DiscountPct]],'scenario modeling'!$B$2)</f>
        <v>0.1</v>
      </c>
      <c r="AC587" t="str">
        <f>IF(Table1[[#This Row],[DiscountPct]]&gt;0.3, "&gt;0.3","")</f>
        <v/>
      </c>
      <c r="AD587">
        <v>22</v>
      </c>
      <c r="AE587">
        <f>Table1[[#This Row],[Quantity]]*(1+'scenario modeling'!$B$4)</f>
        <v>26.4</v>
      </c>
      <c r="AF587">
        <f>Table1[[#This Row],[UnitCost]]*Table1[[#This Row],[Quantity]]</f>
        <v>26478.76</v>
      </c>
      <c r="AG587">
        <f>SUMIF($U:U,Table1[[#This Row],[ProductCategory]],$AM:AM)</f>
        <v>1616102.6546600002</v>
      </c>
      <c r="AH587">
        <f>SUMIFS($AM$2:AM587,$U$2:U587,U587)</f>
        <v>929884.14095000003</v>
      </c>
      <c r="AI587" s="5">
        <f>Table1[[#This Row],[Cumulative_revenue]]/Table1[[#This Row],[Category_revenue]]</f>
        <v>0.57538680372109863</v>
      </c>
      <c r="AJ587" t="str">
        <f>IF(Table1[[#This Row],[cumulative_pct]]&lt;=0.8,"A",IF(Table1[[#This Row],[cumulative_pct]]&lt;=0.95,"B","C"))</f>
        <v>A</v>
      </c>
      <c r="AK587">
        <f>Table1[[#This Row],[adj_unit_cost]]*Table1[[#This Row],[scenario_quantity]]</f>
        <v>34951.963199999998</v>
      </c>
      <c r="AL587" s="5">
        <f>Table1[[#This Row],[UnitPrice]]*Table1[[#This Row],[scenario_quantity]]*(1-Table1[[#This Row],[cap_adjusted_discount]])</f>
        <v>44102.361599999997</v>
      </c>
      <c r="AM587" s="5">
        <f>Table1[[#This Row],[UnitPrice]]*Table1[[#This Row],[Quantity]]*(1-Table1[[#This Row],[DiscountPct]])</f>
        <v>35567.737920000007</v>
      </c>
      <c r="AN587" s="5">
        <f>Table1[[#This Row],[gross_revenue]]-Table1[[#This Row],[cost_of_goods]]</f>
        <v>9088.9779200000085</v>
      </c>
      <c r="AO587" s="5">
        <f>Table1[[#This Row],[scenario_revenue]]-Table1[[#This Row],[Scenario_unit_cost]]</f>
        <v>9150.3983999999982</v>
      </c>
      <c r="AP587" s="5">
        <f>IF(Table1[[#This Row],[gross_revenue]]=0,0,Table1[[#This Row],[gross_profit]]/Table1[[#This Row],[gross_revenue]])</f>
        <v>0.25553994860295032</v>
      </c>
    </row>
    <row r="588" spans="1:42" x14ac:dyDescent="0.35">
      <c r="A588" t="s">
        <v>257</v>
      </c>
      <c r="B588" t="str">
        <f>_xlfn.TEXTAFTER(Table1[[#This Row],[OrderID]],"-",2)</f>
        <v>866535</v>
      </c>
      <c r="C588">
        <f>YEAR(Table1[[#This Row],[OrderDate]])</f>
        <v>2024</v>
      </c>
      <c r="D588" s="9">
        <f>_xlfn.MINIFS(F:F,P:P,Table1[[#This Row],[Country]])</f>
        <v>44948</v>
      </c>
      <c r="E588" s="7">
        <f>DATEDIF(Table1[[#This Row],[first_time_orders]],Table1[[#This Row],[OrderDate]],"m")</f>
        <v>22</v>
      </c>
      <c r="F588" s="9">
        <v>45630</v>
      </c>
      <c r="G588" s="2" t="str">
        <f>TEXT(Table1[[#This Row],[OrderDate]],"MMM-YYYY")</f>
        <v>Dec-2024</v>
      </c>
      <c r="H588" s="7">
        <f>MONTH(Table1[[#This Row],[OrderDate]])</f>
        <v>12</v>
      </c>
      <c r="I588" s="7" t="str">
        <f>"Q"&amp;ROUNDUP(Table1[[#This Row],[months]]/3,0)&amp;"-"&amp;Table1[[#This Row],[order_year]]</f>
        <v>Q4-2024</v>
      </c>
      <c r="J588" s="7">
        <f>Table1[[#This Row],[RequiredDate]]-Table1[[#This Row],[OrderDate]]</f>
        <v>8</v>
      </c>
      <c r="K588" s="7">
        <f>IF(Table1[[#This Row],[lead_time]]&lt;0,MEDIAN(J:J),Table1[[#This Row],[lead_time]])</f>
        <v>8</v>
      </c>
      <c r="L588" s="7">
        <f>IF(Table1[[#This Row],[adj_lead_time]]&lt;=7,1,0)</f>
        <v>0</v>
      </c>
      <c r="M588" s="9">
        <v>45638</v>
      </c>
      <c r="N588" s="9">
        <f>IF(Table1[[#This Row],[lead_time]]&lt;0,(Table1[[#This Row],[OrderDate]]+Table1[[#This Row],[adj_lead_time]]),Table1[[#This Row],[RequiredDate]])</f>
        <v>45638</v>
      </c>
      <c r="O588" t="s">
        <v>649</v>
      </c>
      <c r="P588" t="s">
        <v>656</v>
      </c>
      <c r="Q588" t="s">
        <v>698</v>
      </c>
      <c r="R588" t="s">
        <v>706</v>
      </c>
      <c r="S588" t="s">
        <v>709</v>
      </c>
      <c r="T588" t="s">
        <v>717</v>
      </c>
      <c r="U588" t="s">
        <v>728</v>
      </c>
      <c r="V588" t="s">
        <v>977</v>
      </c>
      <c r="W588">
        <v>72.06</v>
      </c>
      <c r="X588">
        <f>Table1[[#This Row],[UnitCost]]*(1+'scenario modeling'!$B$3)</f>
        <v>79.266000000000005</v>
      </c>
      <c r="Y588">
        <v>122.74</v>
      </c>
      <c r="Z588" t="str">
        <f>IF(Table1[[#This Row],[UnitPrice]]&lt;=Quantiles!$B$2,Quantiles!$A$2,IF(Table1[[#This Row],[UnitPrice]]&lt;=Quantiles!$B$3,Quantiles!$A$3,Quantiles!$A$4))</f>
        <v>Low</v>
      </c>
      <c r="AA588">
        <v>0.23799999999999999</v>
      </c>
      <c r="AB588" s="5">
        <f>MIN(Table1[[#This Row],[DiscountPct]],'scenario modeling'!$B$2)</f>
        <v>0.1</v>
      </c>
      <c r="AC588" t="str">
        <f>IF(Table1[[#This Row],[DiscountPct]]&gt;0.3, "&gt;0.3","")</f>
        <v/>
      </c>
      <c r="AD588">
        <v>8</v>
      </c>
      <c r="AE588">
        <f>Table1[[#This Row],[Quantity]]*(1+'scenario modeling'!$B$4)</f>
        <v>9.6</v>
      </c>
      <c r="AF588">
        <f>Table1[[#This Row],[UnitCost]]*Table1[[#This Row],[Quantity]]</f>
        <v>576.48</v>
      </c>
      <c r="AG588">
        <f>SUMIF($U:U,Table1[[#This Row],[ProductCategory]],$AM:AM)</f>
        <v>1616102.6546600002</v>
      </c>
      <c r="AH588">
        <f>SUMIFS($AM$2:AM588,$U$2:U588,U588)</f>
        <v>930632.36398999998</v>
      </c>
      <c r="AI588" s="5">
        <f>Table1[[#This Row],[Cumulative_revenue]]/Table1[[#This Row],[Category_revenue]]</f>
        <v>0.57584978361772987</v>
      </c>
      <c r="AJ588" t="str">
        <f>IF(Table1[[#This Row],[cumulative_pct]]&lt;=0.8,"A",IF(Table1[[#This Row],[cumulative_pct]]&lt;=0.95,"B","C"))</f>
        <v>A</v>
      </c>
      <c r="AK588">
        <f>Table1[[#This Row],[adj_unit_cost]]*Table1[[#This Row],[scenario_quantity]]</f>
        <v>760.95360000000005</v>
      </c>
      <c r="AL588" s="5">
        <f>Table1[[#This Row],[UnitPrice]]*Table1[[#This Row],[scenario_quantity]]*(1-Table1[[#This Row],[cap_adjusted_discount]])</f>
        <v>1060.4735999999998</v>
      </c>
      <c r="AM588" s="5">
        <f>Table1[[#This Row],[UnitPrice]]*Table1[[#This Row],[Quantity]]*(1-Table1[[#This Row],[DiscountPct]])</f>
        <v>748.22303999999997</v>
      </c>
      <c r="AN588" s="5">
        <f>Table1[[#This Row],[gross_revenue]]-Table1[[#This Row],[cost_of_goods]]</f>
        <v>171.74303999999995</v>
      </c>
      <c r="AO588" s="5">
        <f>Table1[[#This Row],[scenario_revenue]]-Table1[[#This Row],[Scenario_unit_cost]]</f>
        <v>299.51999999999975</v>
      </c>
      <c r="AP588" s="5">
        <f>IF(Table1[[#This Row],[gross_revenue]]=0,0,Table1[[#This Row],[gross_profit]]/Table1[[#This Row],[gross_revenue]])</f>
        <v>0.22953455162246802</v>
      </c>
    </row>
    <row r="589" spans="1:42" x14ac:dyDescent="0.35">
      <c r="A589" t="s">
        <v>149</v>
      </c>
      <c r="B589" t="str">
        <f>_xlfn.TEXTAFTER(Table1[[#This Row],[OrderID]],"-",2)</f>
        <v>164288</v>
      </c>
      <c r="C589">
        <f>YEAR(Table1[[#This Row],[OrderDate]])</f>
        <v>2024</v>
      </c>
      <c r="D589" s="9">
        <f>_xlfn.MINIFS(F:F,P:P,Table1[[#This Row],[Country]])</f>
        <v>44939</v>
      </c>
      <c r="E589" s="7">
        <f>DATEDIF(Table1[[#This Row],[first_time_orders]],Table1[[#This Row],[OrderDate]],"m")</f>
        <v>23</v>
      </c>
      <c r="F589" s="9">
        <v>45647</v>
      </c>
      <c r="G589" s="2" t="str">
        <f>TEXT(Table1[[#This Row],[OrderDate]],"MMM-YYYY")</f>
        <v>Dec-2024</v>
      </c>
      <c r="H589" s="7">
        <f>MONTH(Table1[[#This Row],[OrderDate]])</f>
        <v>12</v>
      </c>
      <c r="I589" s="7" t="str">
        <f>"Q"&amp;ROUNDUP(Table1[[#This Row],[months]]/3,0)&amp;"-"&amp;Table1[[#This Row],[order_year]]</f>
        <v>Q4-2024</v>
      </c>
      <c r="J589" s="7">
        <f>Table1[[#This Row],[RequiredDate]]-Table1[[#This Row],[OrderDate]]</f>
        <v>5</v>
      </c>
      <c r="K589" s="7">
        <f>IF(Table1[[#This Row],[lead_time]]&lt;0,MEDIAN(J:J),Table1[[#This Row],[lead_time]])</f>
        <v>5</v>
      </c>
      <c r="L589" s="7">
        <f>IF(Table1[[#This Row],[adj_lead_time]]&lt;=7,1,0)</f>
        <v>1</v>
      </c>
      <c r="M589" s="9">
        <v>45652</v>
      </c>
      <c r="N589" s="9">
        <f>IF(Table1[[#This Row],[lead_time]]&lt;0,(Table1[[#This Row],[OrderDate]]+Table1[[#This Row],[adj_lead_time]]),Table1[[#This Row],[RequiredDate]])</f>
        <v>45652</v>
      </c>
      <c r="O589" t="s">
        <v>648</v>
      </c>
      <c r="P589" t="s">
        <v>660</v>
      </c>
      <c r="Q589" t="s">
        <v>686</v>
      </c>
      <c r="R589" t="s">
        <v>704</v>
      </c>
      <c r="S589" t="s">
        <v>709</v>
      </c>
      <c r="T589" t="s">
        <v>724</v>
      </c>
      <c r="U589" t="s">
        <v>728</v>
      </c>
      <c r="V589" t="s">
        <v>868</v>
      </c>
      <c r="W589">
        <v>699.57</v>
      </c>
      <c r="X589">
        <f>Table1[[#This Row],[UnitCost]]*(1+'scenario modeling'!$B$3)</f>
        <v>769.52700000000016</v>
      </c>
      <c r="Y589">
        <v>572.71</v>
      </c>
      <c r="Z589" t="str">
        <f>IF(Table1[[#This Row],[UnitPrice]]&lt;=Quantiles!$B$2,Quantiles!$A$2,IF(Table1[[#This Row],[UnitPrice]]&lt;=Quantiles!$B$3,Quantiles!$A$3,Quantiles!$A$4))</f>
        <v>Low</v>
      </c>
      <c r="AA589">
        <v>0.192</v>
      </c>
      <c r="AB589" s="5">
        <f>MIN(Table1[[#This Row],[DiscountPct]],'scenario modeling'!$B$2)</f>
        <v>0.1</v>
      </c>
      <c r="AC589" t="str">
        <f>IF(Table1[[#This Row],[DiscountPct]]&gt;0.3, "&gt;0.3","")</f>
        <v/>
      </c>
      <c r="AD589">
        <v>26</v>
      </c>
      <c r="AE589">
        <f>Table1[[#This Row],[Quantity]]*(1+'scenario modeling'!$B$4)</f>
        <v>31.2</v>
      </c>
      <c r="AF589">
        <f>Table1[[#This Row],[UnitCost]]*Table1[[#This Row],[Quantity]]</f>
        <v>18188.82</v>
      </c>
      <c r="AG589">
        <f>SUMIF($U:U,Table1[[#This Row],[ProductCategory]],$AM:AM)</f>
        <v>1616102.6546600002</v>
      </c>
      <c r="AH589">
        <f>SUMIFS($AM$2:AM589,$U$2:U589,U589)</f>
        <v>942663.85566999996</v>
      </c>
      <c r="AI589" s="5">
        <f>Table1[[#This Row],[Cumulative_revenue]]/Table1[[#This Row],[Category_revenue]]</f>
        <v>0.58329454069755238</v>
      </c>
      <c r="AJ589" t="str">
        <f>IF(Table1[[#This Row],[cumulative_pct]]&lt;=0.8,"A",IF(Table1[[#This Row],[cumulative_pct]]&lt;=0.95,"B","C"))</f>
        <v>A</v>
      </c>
      <c r="AK589">
        <f>Table1[[#This Row],[adj_unit_cost]]*Table1[[#This Row],[scenario_quantity]]</f>
        <v>24009.242400000003</v>
      </c>
      <c r="AL589" s="5">
        <f>Table1[[#This Row],[UnitPrice]]*Table1[[#This Row],[scenario_quantity]]*(1-Table1[[#This Row],[cap_adjusted_discount]])</f>
        <v>16081.6968</v>
      </c>
      <c r="AM589" s="5">
        <f>Table1[[#This Row],[UnitPrice]]*Table1[[#This Row],[Quantity]]*(1-Table1[[#This Row],[DiscountPct]])</f>
        <v>12031.491680000001</v>
      </c>
      <c r="AN589" s="5">
        <f>Table1[[#This Row],[gross_revenue]]-Table1[[#This Row],[cost_of_goods]]</f>
        <v>-6157.3283199999987</v>
      </c>
      <c r="AO589" s="5">
        <f>Table1[[#This Row],[scenario_revenue]]-Table1[[#This Row],[Scenario_unit_cost]]</f>
        <v>-7927.5456000000031</v>
      </c>
      <c r="AP589" s="5">
        <f>IF(Table1[[#This Row],[gross_revenue]]=0,0,Table1[[#This Row],[gross_profit]]/Table1[[#This Row],[gross_revenue]])</f>
        <v>-0.51176765805651114</v>
      </c>
    </row>
    <row r="590" spans="1:42" x14ac:dyDescent="0.35">
      <c r="A590" t="s">
        <v>31</v>
      </c>
      <c r="B590" t="str">
        <f>_xlfn.TEXTAFTER(Table1[[#This Row],[OrderID]],"-",2)</f>
        <v>206081</v>
      </c>
      <c r="C590">
        <f>YEAR(Table1[[#This Row],[OrderDate]])</f>
        <v>2024</v>
      </c>
      <c r="D590" s="9">
        <f>_xlfn.MINIFS(F:F,P:P,Table1[[#This Row],[Country]])</f>
        <v>44936</v>
      </c>
      <c r="E590" s="7">
        <f>DATEDIF(Table1[[#This Row],[first_time_orders]],Table1[[#This Row],[OrderDate]],"m")</f>
        <v>23</v>
      </c>
      <c r="F590" s="9">
        <v>45636</v>
      </c>
      <c r="G590" s="2" t="str">
        <f>TEXT(Table1[[#This Row],[OrderDate]],"MMM-YYYY")</f>
        <v>Dec-2024</v>
      </c>
      <c r="H590" s="7">
        <f>MONTH(Table1[[#This Row],[OrderDate]])</f>
        <v>12</v>
      </c>
      <c r="I590" s="7" t="str">
        <f>"Q"&amp;ROUNDUP(Table1[[#This Row],[months]]/3,0)&amp;"-"&amp;Table1[[#This Row],[order_year]]</f>
        <v>Q4-2024</v>
      </c>
      <c r="J590" s="7">
        <f>Table1[[#This Row],[RequiredDate]]-Table1[[#This Row],[OrderDate]]</f>
        <v>29</v>
      </c>
      <c r="K590" s="7">
        <f>IF(Table1[[#This Row],[lead_time]]&lt;0,MEDIAN(J:J),Table1[[#This Row],[lead_time]])</f>
        <v>29</v>
      </c>
      <c r="L590" s="7">
        <f>IF(Table1[[#This Row],[adj_lead_time]]&lt;=7,1,0)</f>
        <v>0</v>
      </c>
      <c r="M590" s="9">
        <v>45665</v>
      </c>
      <c r="N590" s="9">
        <f>IF(Table1[[#This Row],[lead_time]]&lt;0,(Table1[[#This Row],[OrderDate]]+Table1[[#This Row],[adj_lead_time]]),Table1[[#This Row],[RequiredDate]])</f>
        <v>45665</v>
      </c>
      <c r="O590" t="s">
        <v>649</v>
      </c>
      <c r="P590" t="s">
        <v>657</v>
      </c>
      <c r="Q590" t="s">
        <v>673</v>
      </c>
      <c r="R590" t="s">
        <v>705</v>
      </c>
      <c r="S590" t="s">
        <v>707</v>
      </c>
      <c r="T590" t="s">
        <v>723</v>
      </c>
      <c r="U590" t="s">
        <v>728</v>
      </c>
      <c r="V590" t="s">
        <v>750</v>
      </c>
      <c r="W590">
        <v>891.08</v>
      </c>
      <c r="X590">
        <f>Table1[[#This Row],[UnitCost]]*(1+'scenario modeling'!$B$3)</f>
        <v>980.1880000000001</v>
      </c>
      <c r="Y590">
        <v>1040.0999999999999</v>
      </c>
      <c r="Z590" t="str">
        <f>IF(Table1[[#This Row],[UnitPrice]]&lt;=Quantiles!$B$2,Quantiles!$A$2,IF(Table1[[#This Row],[UnitPrice]]&lt;=Quantiles!$B$3,Quantiles!$A$3,Quantiles!$A$4))</f>
        <v>Medium</v>
      </c>
      <c r="AA590">
        <v>0.109</v>
      </c>
      <c r="AB590" s="5">
        <f>MIN(Table1[[#This Row],[DiscountPct]],'scenario modeling'!$B$2)</f>
        <v>0.1</v>
      </c>
      <c r="AC590" t="str">
        <f>IF(Table1[[#This Row],[DiscountPct]]&gt;0.3, "&gt;0.3","")</f>
        <v/>
      </c>
      <c r="AD590">
        <v>28</v>
      </c>
      <c r="AE590">
        <f>Table1[[#This Row],[Quantity]]*(1+'scenario modeling'!$B$4)</f>
        <v>33.6</v>
      </c>
      <c r="AF590">
        <f>Table1[[#This Row],[UnitCost]]*Table1[[#This Row],[Quantity]]</f>
        <v>24950.240000000002</v>
      </c>
      <c r="AG590">
        <f>SUMIF($U:U,Table1[[#This Row],[ProductCategory]],$AM:AM)</f>
        <v>1616102.6546600002</v>
      </c>
      <c r="AH590">
        <f>SUMIFS($AM$2:AM590,$U$2:U590,U590)</f>
        <v>968612.27046999999</v>
      </c>
      <c r="AI590" s="5">
        <f>Table1[[#This Row],[Cumulative_revenue]]/Table1[[#This Row],[Category_revenue]]</f>
        <v>0.59935070812304247</v>
      </c>
      <c r="AJ590" t="str">
        <f>IF(Table1[[#This Row],[cumulative_pct]]&lt;=0.8,"A",IF(Table1[[#This Row],[cumulative_pct]]&lt;=0.95,"B","C"))</f>
        <v>A</v>
      </c>
      <c r="AK590">
        <f>Table1[[#This Row],[adj_unit_cost]]*Table1[[#This Row],[scenario_quantity]]</f>
        <v>32934.316800000008</v>
      </c>
      <c r="AL590" s="5">
        <f>Table1[[#This Row],[UnitPrice]]*Table1[[#This Row],[scenario_quantity]]*(1-Table1[[#This Row],[cap_adjusted_discount]])</f>
        <v>31452.624</v>
      </c>
      <c r="AM590" s="5">
        <f>Table1[[#This Row],[UnitPrice]]*Table1[[#This Row],[Quantity]]*(1-Table1[[#This Row],[DiscountPct]])</f>
        <v>25948.414799999995</v>
      </c>
      <c r="AN590" s="5">
        <f>Table1[[#This Row],[gross_revenue]]-Table1[[#This Row],[cost_of_goods]]</f>
        <v>998.17479999999341</v>
      </c>
      <c r="AO590" s="5">
        <f>Table1[[#This Row],[scenario_revenue]]-Table1[[#This Row],[Scenario_unit_cost]]</f>
        <v>-1481.692800000008</v>
      </c>
      <c r="AP590" s="5">
        <f>IF(Table1[[#This Row],[gross_revenue]]=0,0,Table1[[#This Row],[gross_profit]]/Table1[[#This Row],[gross_revenue]])</f>
        <v>3.8467660074556598E-2</v>
      </c>
    </row>
    <row r="591" spans="1:42" x14ac:dyDescent="0.35">
      <c r="A591" t="s">
        <v>540</v>
      </c>
      <c r="B591" t="str">
        <f>_xlfn.TEXTAFTER(Table1[[#This Row],[OrderID]],"-",2)</f>
        <v>460466</v>
      </c>
      <c r="C591">
        <f>YEAR(Table1[[#This Row],[OrderDate]])</f>
        <v>2025</v>
      </c>
      <c r="D591" s="9">
        <f>_xlfn.MINIFS(F:F,P:P,Table1[[#This Row],[Country]])</f>
        <v>44941</v>
      </c>
      <c r="E591" s="7">
        <f>DATEDIF(Table1[[#This Row],[first_time_orders]],Table1[[#This Row],[OrderDate]],"m")</f>
        <v>24</v>
      </c>
      <c r="F591" s="9">
        <v>45695</v>
      </c>
      <c r="G591" s="2" t="str">
        <f>TEXT(Table1[[#This Row],[OrderDate]],"MMM-YYYY")</f>
        <v>Feb-2025</v>
      </c>
      <c r="H591" s="7">
        <f>MONTH(Table1[[#This Row],[OrderDate]])</f>
        <v>2</v>
      </c>
      <c r="I591" s="7" t="str">
        <f>"Q"&amp;ROUNDUP(Table1[[#This Row],[months]]/3,0)&amp;"-"&amp;Table1[[#This Row],[order_year]]</f>
        <v>Q1-2025</v>
      </c>
      <c r="J591" s="7">
        <f>Table1[[#This Row],[RequiredDate]]-Table1[[#This Row],[OrderDate]]</f>
        <v>9</v>
      </c>
      <c r="K591" s="7">
        <f>IF(Table1[[#This Row],[lead_time]]&lt;0,MEDIAN(J:J),Table1[[#This Row],[lead_time]])</f>
        <v>9</v>
      </c>
      <c r="L591" s="7">
        <f>IF(Table1[[#This Row],[adj_lead_time]]&lt;=7,1,0)</f>
        <v>0</v>
      </c>
      <c r="M591" s="9">
        <v>45704</v>
      </c>
      <c r="N591" s="9">
        <f>IF(Table1[[#This Row],[lead_time]]&lt;0,(Table1[[#This Row],[OrderDate]]+Table1[[#This Row],[adj_lead_time]]),Table1[[#This Row],[RequiredDate]])</f>
        <v>45704</v>
      </c>
      <c r="O591" t="s">
        <v>646</v>
      </c>
      <c r="P591" t="s">
        <v>651</v>
      </c>
      <c r="Q591" t="s">
        <v>665</v>
      </c>
      <c r="R591" t="s">
        <v>705</v>
      </c>
      <c r="S591" t="s">
        <v>710</v>
      </c>
      <c r="T591" t="s">
        <v>712</v>
      </c>
      <c r="U591" t="s">
        <v>728</v>
      </c>
      <c r="V591" t="s">
        <v>1259</v>
      </c>
      <c r="W591">
        <v>90.68</v>
      </c>
      <c r="X591">
        <f>Table1[[#This Row],[UnitCost]]*(1+'scenario modeling'!$B$3)</f>
        <v>99.748000000000019</v>
      </c>
      <c r="Y591">
        <v>118.17</v>
      </c>
      <c r="Z591" t="str">
        <f>IF(Table1[[#This Row],[UnitPrice]]&lt;=Quantiles!$B$2,Quantiles!$A$2,IF(Table1[[#This Row],[UnitPrice]]&lt;=Quantiles!$B$3,Quantiles!$A$3,Quantiles!$A$4))</f>
        <v>Low</v>
      </c>
      <c r="AA591">
        <v>0.13500000000000001</v>
      </c>
      <c r="AB591" s="5">
        <f>MIN(Table1[[#This Row],[DiscountPct]],'scenario modeling'!$B$2)</f>
        <v>0.1</v>
      </c>
      <c r="AC591" t="str">
        <f>IF(Table1[[#This Row],[DiscountPct]]&gt;0.3, "&gt;0.3","")</f>
        <v/>
      </c>
      <c r="AD591">
        <v>21</v>
      </c>
      <c r="AE591">
        <f>Table1[[#This Row],[Quantity]]*(1+'scenario modeling'!$B$4)</f>
        <v>25.2</v>
      </c>
      <c r="AF591">
        <f>Table1[[#This Row],[UnitCost]]*Table1[[#This Row],[Quantity]]</f>
        <v>1904.2800000000002</v>
      </c>
      <c r="AG591">
        <f>SUMIF($U:U,Table1[[#This Row],[ProductCategory]],$AM:AM)</f>
        <v>1616102.6546600002</v>
      </c>
      <c r="AH591">
        <f>SUMIFS($AM$2:AM591,$U$2:U591,U591)</f>
        <v>970758.82851999998</v>
      </c>
      <c r="AI591" s="5">
        <f>Table1[[#This Row],[Cumulative_revenue]]/Table1[[#This Row],[Category_revenue]]</f>
        <v>0.60067893937358252</v>
      </c>
      <c r="AJ591" t="str">
        <f>IF(Table1[[#This Row],[cumulative_pct]]&lt;=0.8,"A",IF(Table1[[#This Row],[cumulative_pct]]&lt;=0.95,"B","C"))</f>
        <v>A</v>
      </c>
      <c r="AK591">
        <f>Table1[[#This Row],[adj_unit_cost]]*Table1[[#This Row],[scenario_quantity]]</f>
        <v>2513.6496000000002</v>
      </c>
      <c r="AL591" s="5">
        <f>Table1[[#This Row],[UnitPrice]]*Table1[[#This Row],[scenario_quantity]]*(1-Table1[[#This Row],[cap_adjusted_discount]])</f>
        <v>2680.0956000000001</v>
      </c>
      <c r="AM591" s="5">
        <f>Table1[[#This Row],[UnitPrice]]*Table1[[#This Row],[Quantity]]*(1-Table1[[#This Row],[DiscountPct]])</f>
        <v>2146.5580500000001</v>
      </c>
      <c r="AN591" s="5">
        <f>Table1[[#This Row],[gross_revenue]]-Table1[[#This Row],[cost_of_goods]]</f>
        <v>242.27804999999989</v>
      </c>
      <c r="AO591" s="5">
        <f>Table1[[#This Row],[scenario_revenue]]-Table1[[#This Row],[Scenario_unit_cost]]</f>
        <v>166.44599999999991</v>
      </c>
      <c r="AP591" s="5">
        <f>IF(Table1[[#This Row],[gross_revenue]]=0,0,Table1[[#This Row],[gross_profit]]/Table1[[#This Row],[gross_revenue]])</f>
        <v>0.11286815653552899</v>
      </c>
    </row>
    <row r="592" spans="1:42" x14ac:dyDescent="0.35">
      <c r="A592" t="s">
        <v>612</v>
      </c>
      <c r="B592" t="str">
        <f>_xlfn.TEXTAFTER(Table1[[#This Row],[OrderID]],"-",2)</f>
        <v>683247</v>
      </c>
      <c r="C592">
        <f>YEAR(Table1[[#This Row],[OrderDate]])</f>
        <v>2025</v>
      </c>
      <c r="D592" s="9">
        <f>_xlfn.MINIFS(F:F,P:P,Table1[[#This Row],[Country]])</f>
        <v>44988</v>
      </c>
      <c r="E592" s="7">
        <f>DATEDIF(Table1[[#This Row],[first_time_orders]],Table1[[#This Row],[OrderDate]],"m")</f>
        <v>24</v>
      </c>
      <c r="F592" s="9">
        <v>45726</v>
      </c>
      <c r="G592" s="2" t="str">
        <f>TEXT(Table1[[#This Row],[OrderDate]],"MMM-YYYY")</f>
        <v>Mar-2025</v>
      </c>
      <c r="H592" s="7">
        <f>MONTH(Table1[[#This Row],[OrderDate]])</f>
        <v>3</v>
      </c>
      <c r="I592" s="7" t="str">
        <f>"Q"&amp;ROUNDUP(Table1[[#This Row],[months]]/3,0)&amp;"-"&amp;Table1[[#This Row],[order_year]]</f>
        <v>Q1-2025</v>
      </c>
      <c r="J592" s="7">
        <f>Table1[[#This Row],[RequiredDate]]-Table1[[#This Row],[OrderDate]]</f>
        <v>25</v>
      </c>
      <c r="K592" s="7">
        <f>IF(Table1[[#This Row],[lead_time]]&lt;0,MEDIAN(J:J),Table1[[#This Row],[lead_time]])</f>
        <v>25</v>
      </c>
      <c r="L592" s="7">
        <f>IF(Table1[[#This Row],[adj_lead_time]]&lt;=7,1,0)</f>
        <v>0</v>
      </c>
      <c r="M592" s="9">
        <v>45751</v>
      </c>
      <c r="N592" s="9">
        <f>IF(Table1[[#This Row],[lead_time]]&lt;0,(Table1[[#This Row],[OrderDate]]+Table1[[#This Row],[adj_lead_time]]),Table1[[#This Row],[RequiredDate]])</f>
        <v>45751</v>
      </c>
      <c r="O592" t="s">
        <v>647</v>
      </c>
      <c r="P592" t="s">
        <v>652</v>
      </c>
      <c r="Q592" t="s">
        <v>666</v>
      </c>
      <c r="R592" t="s">
        <v>701</v>
      </c>
      <c r="S592" t="s">
        <v>711</v>
      </c>
      <c r="T592" t="s">
        <v>722</v>
      </c>
      <c r="U592" t="s">
        <v>728</v>
      </c>
      <c r="V592" t="s">
        <v>1330</v>
      </c>
      <c r="W592">
        <v>783.72</v>
      </c>
      <c r="X592">
        <f>Table1[[#This Row],[UnitCost]]*(1+'scenario modeling'!$B$3)</f>
        <v>862.0920000000001</v>
      </c>
      <c r="Y592">
        <v>1355.94</v>
      </c>
      <c r="Z592" t="str">
        <f>IF(Table1[[#This Row],[UnitPrice]]&lt;=Quantiles!$B$2,Quantiles!$A$2,IF(Table1[[#This Row],[UnitPrice]]&lt;=Quantiles!$B$3,Quantiles!$A$3,Quantiles!$A$4))</f>
        <v>Medium</v>
      </c>
      <c r="AA592">
        <v>0.187</v>
      </c>
      <c r="AB592" s="5">
        <f>MIN(Table1[[#This Row],[DiscountPct]],'scenario modeling'!$B$2)</f>
        <v>0.1</v>
      </c>
      <c r="AC592" t="str">
        <f>IF(Table1[[#This Row],[DiscountPct]]&gt;0.3, "&gt;0.3","")</f>
        <v/>
      </c>
      <c r="AD592">
        <v>4</v>
      </c>
      <c r="AE592">
        <f>Table1[[#This Row],[Quantity]]*(1+'scenario modeling'!$B$4)</f>
        <v>4.8</v>
      </c>
      <c r="AF592">
        <f>Table1[[#This Row],[UnitCost]]*Table1[[#This Row],[Quantity]]</f>
        <v>3134.88</v>
      </c>
      <c r="AG592">
        <f>SUMIF($U:U,Table1[[#This Row],[ProductCategory]],$AM:AM)</f>
        <v>1616102.6546600002</v>
      </c>
      <c r="AH592">
        <f>SUMIFS($AM$2:AM592,$U$2:U592,U592)</f>
        <v>975168.34539999999</v>
      </c>
      <c r="AI592" s="5">
        <f>Table1[[#This Row],[Cumulative_revenue]]/Table1[[#This Row],[Category_revenue]]</f>
        <v>0.60340742748495657</v>
      </c>
      <c r="AJ592" t="str">
        <f>IF(Table1[[#This Row],[cumulative_pct]]&lt;=0.8,"A",IF(Table1[[#This Row],[cumulative_pct]]&lt;=0.95,"B","C"))</f>
        <v>A</v>
      </c>
      <c r="AK592">
        <f>Table1[[#This Row],[adj_unit_cost]]*Table1[[#This Row],[scenario_quantity]]</f>
        <v>4138.0416000000005</v>
      </c>
      <c r="AL592" s="5">
        <f>Table1[[#This Row],[UnitPrice]]*Table1[[#This Row],[scenario_quantity]]*(1-Table1[[#This Row],[cap_adjusted_discount]])</f>
        <v>5857.6607999999997</v>
      </c>
      <c r="AM592" s="5">
        <f>Table1[[#This Row],[UnitPrice]]*Table1[[#This Row],[Quantity]]*(1-Table1[[#This Row],[DiscountPct]])</f>
        <v>4409.5168800000001</v>
      </c>
      <c r="AN592" s="5">
        <f>Table1[[#This Row],[gross_revenue]]-Table1[[#This Row],[cost_of_goods]]</f>
        <v>1274.63688</v>
      </c>
      <c r="AO592" s="5">
        <f>Table1[[#This Row],[scenario_revenue]]-Table1[[#This Row],[Scenario_unit_cost]]</f>
        <v>1719.6191999999992</v>
      </c>
      <c r="AP592" s="5">
        <f>IF(Table1[[#This Row],[gross_revenue]]=0,0,Table1[[#This Row],[gross_profit]]/Table1[[#This Row],[gross_revenue]])</f>
        <v>0.28906497348525856</v>
      </c>
    </row>
    <row r="593" spans="1:42" x14ac:dyDescent="0.35">
      <c r="A593" t="s">
        <v>629</v>
      </c>
      <c r="B593" t="str">
        <f>_xlfn.TEXTAFTER(Table1[[#This Row],[OrderID]],"-",2)</f>
        <v>532859</v>
      </c>
      <c r="C593">
        <f>YEAR(Table1[[#This Row],[OrderDate]])</f>
        <v>2025</v>
      </c>
      <c r="D593" s="9">
        <f>_xlfn.MINIFS(F:F,P:P,Table1[[#This Row],[Country]])</f>
        <v>44988</v>
      </c>
      <c r="E593" s="7">
        <f>DATEDIF(Table1[[#This Row],[first_time_orders]],Table1[[#This Row],[OrderDate]],"m")</f>
        <v>24</v>
      </c>
      <c r="F593" s="9">
        <v>45727</v>
      </c>
      <c r="G593" s="2" t="str">
        <f>TEXT(Table1[[#This Row],[OrderDate]],"MMM-YYYY")</f>
        <v>Mar-2025</v>
      </c>
      <c r="H593" s="7">
        <f>MONTH(Table1[[#This Row],[OrderDate]])</f>
        <v>3</v>
      </c>
      <c r="I593" s="7" t="str">
        <f>"Q"&amp;ROUNDUP(Table1[[#This Row],[months]]/3,0)&amp;"-"&amp;Table1[[#This Row],[order_year]]</f>
        <v>Q1-2025</v>
      </c>
      <c r="J593" s="7">
        <f>Table1[[#This Row],[RequiredDate]]-Table1[[#This Row],[OrderDate]]</f>
        <v>16</v>
      </c>
      <c r="K593" s="7">
        <f>IF(Table1[[#This Row],[lead_time]]&lt;0,MEDIAN(J:J),Table1[[#This Row],[lead_time]])</f>
        <v>16</v>
      </c>
      <c r="L593" s="7">
        <f>IF(Table1[[#This Row],[adj_lead_time]]&lt;=7,1,0)</f>
        <v>0</v>
      </c>
      <c r="M593" s="9">
        <v>45743</v>
      </c>
      <c r="N593" s="9">
        <f>IF(Table1[[#This Row],[lead_time]]&lt;0,(Table1[[#This Row],[OrderDate]]+Table1[[#This Row],[adj_lead_time]]),Table1[[#This Row],[RequiredDate]])</f>
        <v>45743</v>
      </c>
      <c r="O593" t="s">
        <v>647</v>
      </c>
      <c r="P593" t="s">
        <v>652</v>
      </c>
      <c r="Q593" t="s">
        <v>689</v>
      </c>
      <c r="R593" t="s">
        <v>706</v>
      </c>
      <c r="S593" t="s">
        <v>710</v>
      </c>
      <c r="T593" t="s">
        <v>717</v>
      </c>
      <c r="U593" t="s">
        <v>728</v>
      </c>
      <c r="V593" t="s">
        <v>1347</v>
      </c>
      <c r="W593">
        <v>1317.58</v>
      </c>
      <c r="X593">
        <f>Table1[[#This Row],[UnitCost]]*(1+'scenario modeling'!$B$3)</f>
        <v>1449.338</v>
      </c>
      <c r="Y593">
        <v>1897.74</v>
      </c>
      <c r="Z593" t="str">
        <f>IF(Table1[[#This Row],[UnitPrice]]&lt;=Quantiles!$B$2,Quantiles!$A$2,IF(Table1[[#This Row],[UnitPrice]]&lt;=Quantiles!$B$3,Quantiles!$A$3,Quantiles!$A$4))</f>
        <v>High</v>
      </c>
      <c r="AA593">
        <v>8.1000000000000003E-2</v>
      </c>
      <c r="AB593" s="5">
        <f>MIN(Table1[[#This Row],[DiscountPct]],'scenario modeling'!$B$2)</f>
        <v>8.1000000000000003E-2</v>
      </c>
      <c r="AC593" t="str">
        <f>IF(Table1[[#This Row],[DiscountPct]]&gt;0.3, "&gt;0.3","")</f>
        <v/>
      </c>
      <c r="AD593">
        <v>6</v>
      </c>
      <c r="AE593">
        <f>Table1[[#This Row],[Quantity]]*(1+'scenario modeling'!$B$4)</f>
        <v>7.1999999999999993</v>
      </c>
      <c r="AF593">
        <f>Table1[[#This Row],[UnitCost]]*Table1[[#This Row],[Quantity]]</f>
        <v>7905.48</v>
      </c>
      <c r="AG593">
        <f>SUMIF($U:U,Table1[[#This Row],[ProductCategory]],$AM:AM)</f>
        <v>1616102.6546600002</v>
      </c>
      <c r="AH593">
        <f>SUMIFS($AM$2:AM593,$U$2:U593,U593)</f>
        <v>985632.48375999997</v>
      </c>
      <c r="AI593" s="5">
        <f>Table1[[#This Row],[Cumulative_revenue]]/Table1[[#This Row],[Category_revenue]]</f>
        <v>0.60988234931608343</v>
      </c>
      <c r="AJ593" t="str">
        <f>IF(Table1[[#This Row],[cumulative_pct]]&lt;=0.8,"A",IF(Table1[[#This Row],[cumulative_pct]]&lt;=0.95,"B","C"))</f>
        <v>A</v>
      </c>
      <c r="AK593">
        <f>Table1[[#This Row],[adj_unit_cost]]*Table1[[#This Row],[scenario_quantity]]</f>
        <v>10435.2336</v>
      </c>
      <c r="AL593" s="5">
        <f>Table1[[#This Row],[UnitPrice]]*Table1[[#This Row],[scenario_quantity]]*(1-Table1[[#This Row],[cap_adjusted_discount]])</f>
        <v>12556.966032</v>
      </c>
      <c r="AM593" s="5">
        <f>Table1[[#This Row],[UnitPrice]]*Table1[[#This Row],[Quantity]]*(1-Table1[[#This Row],[DiscountPct]])</f>
        <v>10464.138360000001</v>
      </c>
      <c r="AN593" s="5">
        <f>Table1[[#This Row],[gross_revenue]]-Table1[[#This Row],[cost_of_goods]]</f>
        <v>2558.6583600000013</v>
      </c>
      <c r="AO593" s="5">
        <f>Table1[[#This Row],[scenario_revenue]]-Table1[[#This Row],[Scenario_unit_cost]]</f>
        <v>2121.7324320000007</v>
      </c>
      <c r="AP593" s="5">
        <f>IF(Table1[[#This Row],[gross_revenue]]=0,0,Table1[[#This Row],[gross_profit]]/Table1[[#This Row],[gross_revenue]])</f>
        <v>0.24451687009230266</v>
      </c>
    </row>
    <row r="594" spans="1:42" x14ac:dyDescent="0.35">
      <c r="A594" t="s">
        <v>305</v>
      </c>
      <c r="B594" t="str">
        <f>_xlfn.TEXTAFTER(Table1[[#This Row],[OrderID]],"-",2)</f>
        <v>752845</v>
      </c>
      <c r="C594">
        <f>YEAR(Table1[[#This Row],[OrderDate]])</f>
        <v>2025</v>
      </c>
      <c r="D594" s="9">
        <f>_xlfn.MINIFS(F:F,P:P,Table1[[#This Row],[Country]])</f>
        <v>44955</v>
      </c>
      <c r="E594" s="7">
        <f>DATEDIF(Table1[[#This Row],[first_time_orders]],Table1[[#This Row],[OrderDate]],"m")</f>
        <v>26</v>
      </c>
      <c r="F594" s="9">
        <v>45746</v>
      </c>
      <c r="G594" s="2" t="str">
        <f>TEXT(Table1[[#This Row],[OrderDate]],"MMM-YYYY")</f>
        <v>Mar-2025</v>
      </c>
      <c r="H594" s="7">
        <f>MONTH(Table1[[#This Row],[OrderDate]])</f>
        <v>3</v>
      </c>
      <c r="I594" s="7" t="str">
        <f>"Q"&amp;ROUNDUP(Table1[[#This Row],[months]]/3,0)&amp;"-"&amp;Table1[[#This Row],[order_year]]</f>
        <v>Q1-2025</v>
      </c>
      <c r="J594" s="7">
        <f>Table1[[#This Row],[RequiredDate]]-Table1[[#This Row],[OrderDate]]</f>
        <v>8</v>
      </c>
      <c r="K594" s="7">
        <f>IF(Table1[[#This Row],[lead_time]]&lt;0,MEDIAN(J:J),Table1[[#This Row],[lead_time]])</f>
        <v>8</v>
      </c>
      <c r="L594" s="7">
        <f>IF(Table1[[#This Row],[adj_lead_time]]&lt;=7,1,0)</f>
        <v>0</v>
      </c>
      <c r="M594" s="9">
        <v>45754</v>
      </c>
      <c r="N594" s="9">
        <f>IF(Table1[[#This Row],[lead_time]]&lt;0,(Table1[[#This Row],[OrderDate]]+Table1[[#This Row],[adj_lead_time]]),Table1[[#This Row],[RequiredDate]])</f>
        <v>45754</v>
      </c>
      <c r="O594" t="s">
        <v>648</v>
      </c>
      <c r="P594" t="s">
        <v>655</v>
      </c>
      <c r="Q594" t="s">
        <v>670</v>
      </c>
      <c r="R594" t="s">
        <v>703</v>
      </c>
      <c r="S594" t="s">
        <v>711</v>
      </c>
      <c r="T594" t="s">
        <v>716</v>
      </c>
      <c r="U594" t="s">
        <v>728</v>
      </c>
      <c r="V594" t="s">
        <v>1025</v>
      </c>
      <c r="W594">
        <v>71.62</v>
      </c>
      <c r="X594">
        <f>Table1[[#This Row],[UnitCost]]*(1+'scenario modeling'!$B$3)</f>
        <v>78.782000000000011</v>
      </c>
      <c r="Y594">
        <v>118.37</v>
      </c>
      <c r="Z594" t="str">
        <f>IF(Table1[[#This Row],[UnitPrice]]&lt;=Quantiles!$B$2,Quantiles!$A$2,IF(Table1[[#This Row],[UnitPrice]]&lt;=Quantiles!$B$3,Quantiles!$A$3,Quantiles!$A$4))</f>
        <v>Low</v>
      </c>
      <c r="AA594">
        <v>0.156</v>
      </c>
      <c r="AB594" s="5">
        <f>MIN(Table1[[#This Row],[DiscountPct]],'scenario modeling'!$B$2)</f>
        <v>0.1</v>
      </c>
      <c r="AC594" t="str">
        <f>IF(Table1[[#This Row],[DiscountPct]]&gt;0.3, "&gt;0.3","")</f>
        <v/>
      </c>
      <c r="AD594">
        <v>11</v>
      </c>
      <c r="AE594">
        <f>Table1[[#This Row],[Quantity]]*(1+'scenario modeling'!$B$4)</f>
        <v>13.2</v>
      </c>
      <c r="AF594">
        <f>Table1[[#This Row],[UnitCost]]*Table1[[#This Row],[Quantity]]</f>
        <v>787.82</v>
      </c>
      <c r="AG594">
        <f>SUMIF($U:U,Table1[[#This Row],[ProductCategory]],$AM:AM)</f>
        <v>1616102.6546600002</v>
      </c>
      <c r="AH594">
        <f>SUMIFS($AM$2:AM594,$U$2:U594,U594)</f>
        <v>986731.43083999993</v>
      </c>
      <c r="AI594" s="5">
        <f>Table1[[#This Row],[Cumulative_revenue]]/Table1[[#This Row],[Category_revenue]]</f>
        <v>0.61056234762982364</v>
      </c>
      <c r="AJ594" t="str">
        <f>IF(Table1[[#This Row],[cumulative_pct]]&lt;=0.8,"A",IF(Table1[[#This Row],[cumulative_pct]]&lt;=0.95,"B","C"))</f>
        <v>A</v>
      </c>
      <c r="AK594">
        <f>Table1[[#This Row],[adj_unit_cost]]*Table1[[#This Row],[scenario_quantity]]</f>
        <v>1039.9224000000002</v>
      </c>
      <c r="AL594" s="5">
        <f>Table1[[#This Row],[UnitPrice]]*Table1[[#This Row],[scenario_quantity]]*(1-Table1[[#This Row],[cap_adjusted_discount]])</f>
        <v>1406.2356</v>
      </c>
      <c r="AM594" s="5">
        <f>Table1[[#This Row],[UnitPrice]]*Table1[[#This Row],[Quantity]]*(1-Table1[[#This Row],[DiscountPct]])</f>
        <v>1098.9470800000001</v>
      </c>
      <c r="AN594" s="5">
        <f>Table1[[#This Row],[gross_revenue]]-Table1[[#This Row],[cost_of_goods]]</f>
        <v>311.12708000000009</v>
      </c>
      <c r="AO594" s="5">
        <f>Table1[[#This Row],[scenario_revenue]]-Table1[[#This Row],[Scenario_unit_cost]]</f>
        <v>366.31319999999982</v>
      </c>
      <c r="AP594" s="5">
        <f>IF(Table1[[#This Row],[gross_revenue]]=0,0,Table1[[#This Row],[gross_profit]]/Table1[[#This Row],[gross_revenue]])</f>
        <v>0.28311379652603474</v>
      </c>
    </row>
    <row r="595" spans="1:42" x14ac:dyDescent="0.35">
      <c r="A595" t="s">
        <v>432</v>
      </c>
      <c r="B595" t="str">
        <f>_xlfn.TEXTAFTER(Table1[[#This Row],[OrderID]],"-",2)</f>
        <v>222035</v>
      </c>
      <c r="C595">
        <f>YEAR(Table1[[#This Row],[OrderDate]])</f>
        <v>2025</v>
      </c>
      <c r="D595" s="9">
        <f>_xlfn.MINIFS(F:F,P:P,Table1[[#This Row],[Country]])</f>
        <v>44938</v>
      </c>
      <c r="E595" s="7">
        <f>DATEDIF(Table1[[#This Row],[first_time_orders]],Table1[[#This Row],[OrderDate]],"m")</f>
        <v>26</v>
      </c>
      <c r="F595" s="9">
        <v>45730</v>
      </c>
      <c r="G595" s="2" t="str">
        <f>TEXT(Table1[[#This Row],[OrderDate]],"MMM-YYYY")</f>
        <v>Mar-2025</v>
      </c>
      <c r="H595" s="7">
        <f>MONTH(Table1[[#This Row],[OrderDate]])</f>
        <v>3</v>
      </c>
      <c r="I595" s="7" t="str">
        <f>"Q"&amp;ROUNDUP(Table1[[#This Row],[months]]/3,0)&amp;"-"&amp;Table1[[#This Row],[order_year]]</f>
        <v>Q1-2025</v>
      </c>
      <c r="J595" s="7">
        <f>Table1[[#This Row],[RequiredDate]]-Table1[[#This Row],[OrderDate]]</f>
        <v>25</v>
      </c>
      <c r="K595" s="7">
        <f>IF(Table1[[#This Row],[lead_time]]&lt;0,MEDIAN(J:J),Table1[[#This Row],[lead_time]])</f>
        <v>25</v>
      </c>
      <c r="L595" s="7">
        <f>IF(Table1[[#This Row],[adj_lead_time]]&lt;=7,1,0)</f>
        <v>0</v>
      </c>
      <c r="M595" s="9">
        <v>45755</v>
      </c>
      <c r="N595" s="9">
        <f>IF(Table1[[#This Row],[lead_time]]&lt;0,(Table1[[#This Row],[OrderDate]]+Table1[[#This Row],[adj_lead_time]]),Table1[[#This Row],[RequiredDate]])</f>
        <v>45755</v>
      </c>
      <c r="O595" t="s">
        <v>647</v>
      </c>
      <c r="P595" t="s">
        <v>659</v>
      </c>
      <c r="Q595" t="s">
        <v>685</v>
      </c>
      <c r="R595" t="s">
        <v>701</v>
      </c>
      <c r="S595" t="s">
        <v>710</v>
      </c>
      <c r="T595" t="s">
        <v>726</v>
      </c>
      <c r="U595" t="s">
        <v>728</v>
      </c>
      <c r="V595" t="s">
        <v>1151</v>
      </c>
      <c r="W595">
        <v>80.59</v>
      </c>
      <c r="X595">
        <f>Table1[[#This Row],[UnitCost]]*(1+'scenario modeling'!$B$3)</f>
        <v>88.649000000000015</v>
      </c>
      <c r="Y595">
        <v>157.82</v>
      </c>
      <c r="Z595" t="str">
        <f>IF(Table1[[#This Row],[UnitPrice]]&lt;=Quantiles!$B$2,Quantiles!$A$2,IF(Table1[[#This Row],[UnitPrice]]&lt;=Quantiles!$B$3,Quantiles!$A$3,Quantiles!$A$4))</f>
        <v>Low</v>
      </c>
      <c r="AA595">
        <v>0.217</v>
      </c>
      <c r="AB595" s="5">
        <f>MIN(Table1[[#This Row],[DiscountPct]],'scenario modeling'!$B$2)</f>
        <v>0.1</v>
      </c>
      <c r="AC595" t="str">
        <f>IF(Table1[[#This Row],[DiscountPct]]&gt;0.3, "&gt;0.3","")</f>
        <v/>
      </c>
      <c r="AD595">
        <v>6</v>
      </c>
      <c r="AE595">
        <f>Table1[[#This Row],[Quantity]]*(1+'scenario modeling'!$B$4)</f>
        <v>7.1999999999999993</v>
      </c>
      <c r="AF595">
        <f>Table1[[#This Row],[UnitCost]]*Table1[[#This Row],[Quantity]]</f>
        <v>483.54</v>
      </c>
      <c r="AG595">
        <f>SUMIF($U:U,Table1[[#This Row],[ProductCategory]],$AM:AM)</f>
        <v>1616102.6546600002</v>
      </c>
      <c r="AH595">
        <f>SUMIFS($AM$2:AM595,$U$2:U595,U595)</f>
        <v>987472.86919999996</v>
      </c>
      <c r="AI595" s="5">
        <f>Table1[[#This Row],[Cumulative_revenue]]/Table1[[#This Row],[Category_revenue]]</f>
        <v>0.61102112935254538</v>
      </c>
      <c r="AJ595" t="str">
        <f>IF(Table1[[#This Row],[cumulative_pct]]&lt;=0.8,"A",IF(Table1[[#This Row],[cumulative_pct]]&lt;=0.95,"B","C"))</f>
        <v>A</v>
      </c>
      <c r="AK595">
        <f>Table1[[#This Row],[adj_unit_cost]]*Table1[[#This Row],[scenario_quantity]]</f>
        <v>638.27280000000007</v>
      </c>
      <c r="AL595" s="5">
        <f>Table1[[#This Row],[UnitPrice]]*Table1[[#This Row],[scenario_quantity]]*(1-Table1[[#This Row],[cap_adjusted_discount]])</f>
        <v>1022.6735999999999</v>
      </c>
      <c r="AM595" s="5">
        <f>Table1[[#This Row],[UnitPrice]]*Table1[[#This Row],[Quantity]]*(1-Table1[[#This Row],[DiscountPct]])</f>
        <v>741.43835999999999</v>
      </c>
      <c r="AN595" s="5">
        <f>Table1[[#This Row],[gross_revenue]]-Table1[[#This Row],[cost_of_goods]]</f>
        <v>257.89835999999997</v>
      </c>
      <c r="AO595" s="5">
        <f>Table1[[#This Row],[scenario_revenue]]-Table1[[#This Row],[Scenario_unit_cost]]</f>
        <v>384.40079999999978</v>
      </c>
      <c r="AP595" s="5">
        <f>IF(Table1[[#This Row],[gross_revenue]]=0,0,Table1[[#This Row],[gross_profit]]/Table1[[#This Row],[gross_revenue]])</f>
        <v>0.34783519967863541</v>
      </c>
    </row>
    <row r="596" spans="1:42" x14ac:dyDescent="0.35">
      <c r="A596" t="s">
        <v>617</v>
      </c>
      <c r="B596" t="str">
        <f>_xlfn.TEXTAFTER(Table1[[#This Row],[OrderID]],"-",2)</f>
        <v>752192</v>
      </c>
      <c r="C596">
        <f>YEAR(Table1[[#This Row],[OrderDate]])</f>
        <v>2025</v>
      </c>
      <c r="D596" s="9">
        <f>_xlfn.MINIFS(F:F,P:P,Table1[[#This Row],[Country]])</f>
        <v>44988</v>
      </c>
      <c r="E596" s="7">
        <f>DATEDIF(Table1[[#This Row],[first_time_orders]],Table1[[#This Row],[OrderDate]],"m")</f>
        <v>26</v>
      </c>
      <c r="F596" s="9">
        <v>45793</v>
      </c>
      <c r="G596" s="2" t="str">
        <f>TEXT(Table1[[#This Row],[OrderDate]],"MMM-YYYY")</f>
        <v>May-2025</v>
      </c>
      <c r="H596" s="7">
        <f>MONTH(Table1[[#This Row],[OrderDate]])</f>
        <v>5</v>
      </c>
      <c r="I596" s="7" t="str">
        <f>"Q"&amp;ROUNDUP(Table1[[#This Row],[months]]/3,0)&amp;"-"&amp;Table1[[#This Row],[order_year]]</f>
        <v>Q2-2025</v>
      </c>
      <c r="J596" s="7">
        <f>Table1[[#This Row],[RequiredDate]]-Table1[[#This Row],[OrderDate]]</f>
        <v>2</v>
      </c>
      <c r="K596" s="7">
        <f>IF(Table1[[#This Row],[lead_time]]&lt;0,MEDIAN(J:J),Table1[[#This Row],[lead_time]])</f>
        <v>2</v>
      </c>
      <c r="L596" s="7">
        <f>IF(Table1[[#This Row],[adj_lead_time]]&lt;=7,1,0)</f>
        <v>1</v>
      </c>
      <c r="M596" s="9">
        <v>45795</v>
      </c>
      <c r="N596" s="9">
        <f>IF(Table1[[#This Row],[lead_time]]&lt;0,(Table1[[#This Row],[OrderDate]]+Table1[[#This Row],[adj_lead_time]]),Table1[[#This Row],[RequiredDate]])</f>
        <v>45795</v>
      </c>
      <c r="O596" t="s">
        <v>647</v>
      </c>
      <c r="P596" t="s">
        <v>652</v>
      </c>
      <c r="Q596" t="s">
        <v>689</v>
      </c>
      <c r="R596" t="s">
        <v>706</v>
      </c>
      <c r="S596" t="s">
        <v>707</v>
      </c>
      <c r="T596" t="s">
        <v>713</v>
      </c>
      <c r="U596" t="s">
        <v>728</v>
      </c>
      <c r="V596" t="s">
        <v>1335</v>
      </c>
      <c r="W596">
        <v>1144.3800000000001</v>
      </c>
      <c r="X596">
        <f>Table1[[#This Row],[UnitCost]]*(1+'scenario modeling'!$B$3)</f>
        <v>1258.8180000000002</v>
      </c>
      <c r="Y596">
        <v>2755.04</v>
      </c>
      <c r="Z596" t="str">
        <f>IF(Table1[[#This Row],[UnitPrice]]&lt;=Quantiles!$B$2,Quantiles!$A$2,IF(Table1[[#This Row],[UnitPrice]]&lt;=Quantiles!$B$3,Quantiles!$A$3,Quantiles!$A$4))</f>
        <v>High</v>
      </c>
      <c r="AA596">
        <v>0.15</v>
      </c>
      <c r="AB596" s="5">
        <f>MIN(Table1[[#This Row],[DiscountPct]],'scenario modeling'!$B$2)</f>
        <v>0.1</v>
      </c>
      <c r="AC596" t="str">
        <f>IF(Table1[[#This Row],[DiscountPct]]&gt;0.3, "&gt;0.3","")</f>
        <v/>
      </c>
      <c r="AD596">
        <v>17</v>
      </c>
      <c r="AE596">
        <f>Table1[[#This Row],[Quantity]]*(1+'scenario modeling'!$B$4)</f>
        <v>20.399999999999999</v>
      </c>
      <c r="AF596">
        <f>Table1[[#This Row],[UnitCost]]*Table1[[#This Row],[Quantity]]</f>
        <v>19454.460000000003</v>
      </c>
      <c r="AG596">
        <f>SUMIF($U:U,Table1[[#This Row],[ProductCategory]],$AM:AM)</f>
        <v>1616102.6546600002</v>
      </c>
      <c r="AH596">
        <f>SUMIFS($AM$2:AM596,$U$2:U596,U596)</f>
        <v>1027283.1971999999</v>
      </c>
      <c r="AI596" s="5">
        <f>Table1[[#This Row],[Cumulative_revenue]]/Table1[[#This Row],[Category_revenue]]</f>
        <v>0.63565466849389118</v>
      </c>
      <c r="AJ596" t="str">
        <f>IF(Table1[[#This Row],[cumulative_pct]]&lt;=0.8,"A",IF(Table1[[#This Row],[cumulative_pct]]&lt;=0.95,"B","C"))</f>
        <v>A</v>
      </c>
      <c r="AK596">
        <f>Table1[[#This Row],[adj_unit_cost]]*Table1[[#This Row],[scenario_quantity]]</f>
        <v>25679.887200000001</v>
      </c>
      <c r="AL596" s="5">
        <f>Table1[[#This Row],[UnitPrice]]*Table1[[#This Row],[scenario_quantity]]*(1-Table1[[#This Row],[cap_adjusted_discount]])</f>
        <v>50582.534399999997</v>
      </c>
      <c r="AM596" s="5">
        <f>Table1[[#This Row],[UnitPrice]]*Table1[[#This Row],[Quantity]]*(1-Table1[[#This Row],[DiscountPct]])</f>
        <v>39810.328000000001</v>
      </c>
      <c r="AN596" s="5">
        <f>Table1[[#This Row],[gross_revenue]]-Table1[[#This Row],[cost_of_goods]]</f>
        <v>20355.867999999999</v>
      </c>
      <c r="AO596" s="5">
        <f>Table1[[#This Row],[scenario_revenue]]-Table1[[#This Row],[Scenario_unit_cost]]</f>
        <v>24902.647199999996</v>
      </c>
      <c r="AP596" s="5">
        <f>IF(Table1[[#This Row],[gross_revenue]]=0,0,Table1[[#This Row],[gross_profit]]/Table1[[#This Row],[gross_revenue]])</f>
        <v>0.51132128326096682</v>
      </c>
    </row>
    <row r="597" spans="1:42" x14ac:dyDescent="0.35">
      <c r="A597" t="s">
        <v>483</v>
      </c>
      <c r="B597" t="str">
        <f>_xlfn.TEXTAFTER(Table1[[#This Row],[OrderID]],"-",2)</f>
        <v>947929</v>
      </c>
      <c r="C597">
        <f>YEAR(Table1[[#This Row],[OrderDate]])</f>
        <v>2025</v>
      </c>
      <c r="D597" s="9">
        <f>_xlfn.MINIFS(F:F,P:P,Table1[[#This Row],[Country]])</f>
        <v>44948</v>
      </c>
      <c r="E597" s="7">
        <f>DATEDIF(Table1[[#This Row],[first_time_orders]],Table1[[#This Row],[OrderDate]],"m")</f>
        <v>26</v>
      </c>
      <c r="F597" s="9">
        <v>45739</v>
      </c>
      <c r="G597" s="2" t="str">
        <f>TEXT(Table1[[#This Row],[OrderDate]],"MMM-YYYY")</f>
        <v>Mar-2025</v>
      </c>
      <c r="H597" s="7">
        <f>MONTH(Table1[[#This Row],[OrderDate]])</f>
        <v>3</v>
      </c>
      <c r="I597" s="7" t="str">
        <f>"Q"&amp;ROUNDUP(Table1[[#This Row],[months]]/3,0)&amp;"-"&amp;Table1[[#This Row],[order_year]]</f>
        <v>Q1-2025</v>
      </c>
      <c r="J597" s="7">
        <f>Table1[[#This Row],[RequiredDate]]-Table1[[#This Row],[OrderDate]]</f>
        <v>10</v>
      </c>
      <c r="K597" s="7">
        <f>IF(Table1[[#This Row],[lead_time]]&lt;0,MEDIAN(J:J),Table1[[#This Row],[lead_time]])</f>
        <v>10</v>
      </c>
      <c r="L597" s="7">
        <f>IF(Table1[[#This Row],[adj_lead_time]]&lt;=7,1,0)</f>
        <v>0</v>
      </c>
      <c r="M597" s="9">
        <v>45749</v>
      </c>
      <c r="N597" s="9">
        <f>IF(Table1[[#This Row],[lead_time]]&lt;0,(Table1[[#This Row],[OrderDate]]+Table1[[#This Row],[adj_lead_time]]),Table1[[#This Row],[RequiredDate]])</f>
        <v>45749</v>
      </c>
      <c r="O597" t="s">
        <v>649</v>
      </c>
      <c r="P597" t="s">
        <v>656</v>
      </c>
      <c r="Q597" t="s">
        <v>671</v>
      </c>
      <c r="R597" t="s">
        <v>706</v>
      </c>
      <c r="S597" t="s">
        <v>708</v>
      </c>
      <c r="T597" t="s">
        <v>718</v>
      </c>
      <c r="U597" t="s">
        <v>728</v>
      </c>
      <c r="V597" t="s">
        <v>1202</v>
      </c>
      <c r="W597">
        <v>663.61</v>
      </c>
      <c r="X597">
        <f>Table1[[#This Row],[UnitCost]]*(1+'scenario modeling'!$B$3)</f>
        <v>729.97100000000012</v>
      </c>
      <c r="Y597">
        <v>1002.11</v>
      </c>
      <c r="Z597" t="str">
        <f>IF(Table1[[#This Row],[UnitPrice]]&lt;=Quantiles!$B$2,Quantiles!$A$2,IF(Table1[[#This Row],[UnitPrice]]&lt;=Quantiles!$B$3,Quantiles!$A$3,Quantiles!$A$4))</f>
        <v>Medium</v>
      </c>
      <c r="AA597">
        <v>4.5999999999999999E-2</v>
      </c>
      <c r="AB597" s="5">
        <f>MIN(Table1[[#This Row],[DiscountPct]],'scenario modeling'!$B$2)</f>
        <v>4.5999999999999999E-2</v>
      </c>
      <c r="AC597" t="str">
        <f>IF(Table1[[#This Row],[DiscountPct]]&gt;0.3, "&gt;0.3","")</f>
        <v/>
      </c>
      <c r="AD597">
        <v>17</v>
      </c>
      <c r="AE597">
        <f>Table1[[#This Row],[Quantity]]*(1+'scenario modeling'!$B$4)</f>
        <v>20.399999999999999</v>
      </c>
      <c r="AF597">
        <f>Table1[[#This Row],[UnitCost]]*Table1[[#This Row],[Quantity]]</f>
        <v>11281.37</v>
      </c>
      <c r="AG597">
        <f>SUMIF($U:U,Table1[[#This Row],[ProductCategory]],$AM:AM)</f>
        <v>1616102.6546600002</v>
      </c>
      <c r="AH597">
        <f>SUMIFS($AM$2:AM597,$U$2:U597,U597)</f>
        <v>1043535.41718</v>
      </c>
      <c r="AI597" s="5">
        <f>Table1[[#This Row],[Cumulative_revenue]]/Table1[[#This Row],[Category_revenue]]</f>
        <v>0.64571109648943781</v>
      </c>
      <c r="AJ597" t="str">
        <f>IF(Table1[[#This Row],[cumulative_pct]]&lt;=0.8,"A",IF(Table1[[#This Row],[cumulative_pct]]&lt;=0.95,"B","C"))</f>
        <v>A</v>
      </c>
      <c r="AK597">
        <f>Table1[[#This Row],[adj_unit_cost]]*Table1[[#This Row],[scenario_quantity]]</f>
        <v>14891.408400000002</v>
      </c>
      <c r="AL597" s="5">
        <f>Table1[[#This Row],[UnitPrice]]*Table1[[#This Row],[scenario_quantity]]*(1-Table1[[#This Row],[cap_adjusted_discount]])</f>
        <v>19502.663975999996</v>
      </c>
      <c r="AM597" s="5">
        <f>Table1[[#This Row],[UnitPrice]]*Table1[[#This Row],[Quantity]]*(1-Table1[[#This Row],[DiscountPct]])</f>
        <v>16252.219979999998</v>
      </c>
      <c r="AN597" s="5">
        <f>Table1[[#This Row],[gross_revenue]]-Table1[[#This Row],[cost_of_goods]]</f>
        <v>4970.8499799999972</v>
      </c>
      <c r="AO597" s="5">
        <f>Table1[[#This Row],[scenario_revenue]]-Table1[[#This Row],[Scenario_unit_cost]]</f>
        <v>4611.2555759999941</v>
      </c>
      <c r="AP597" s="5">
        <f>IF(Table1[[#This Row],[gross_revenue]]=0,0,Table1[[#This Row],[gross_profit]]/Table1[[#This Row],[gross_revenue]])</f>
        <v>0.30585667595670812</v>
      </c>
    </row>
    <row r="598" spans="1:42" x14ac:dyDescent="0.35">
      <c r="A598" t="s">
        <v>387</v>
      </c>
      <c r="B598" t="str">
        <f>_xlfn.TEXTAFTER(Table1[[#This Row],[OrderID]],"-",2)</f>
        <v>269934</v>
      </c>
      <c r="C598">
        <f>YEAR(Table1[[#This Row],[OrderDate]])</f>
        <v>2025</v>
      </c>
      <c r="D598" s="9">
        <f>_xlfn.MINIFS(F:F,P:P,Table1[[#This Row],[Country]])</f>
        <v>44945</v>
      </c>
      <c r="E598" s="7">
        <f>DATEDIF(Table1[[#This Row],[first_time_orders]],Table1[[#This Row],[OrderDate]],"m")</f>
        <v>26</v>
      </c>
      <c r="F598" s="9">
        <v>45751</v>
      </c>
      <c r="G598" s="2" t="str">
        <f>TEXT(Table1[[#This Row],[OrderDate]],"MMM-YYYY")</f>
        <v>Apr-2025</v>
      </c>
      <c r="H598" s="7">
        <f>MONTH(Table1[[#This Row],[OrderDate]])</f>
        <v>4</v>
      </c>
      <c r="I598" s="7" t="str">
        <f>"Q"&amp;ROUNDUP(Table1[[#This Row],[months]]/3,0)&amp;"-"&amp;Table1[[#This Row],[order_year]]</f>
        <v>Q2-2025</v>
      </c>
      <c r="J598" s="7">
        <f>Table1[[#This Row],[RequiredDate]]-Table1[[#This Row],[OrderDate]]</f>
        <v>6</v>
      </c>
      <c r="K598" s="7">
        <f>IF(Table1[[#This Row],[lead_time]]&lt;0,MEDIAN(J:J),Table1[[#This Row],[lead_time]])</f>
        <v>6</v>
      </c>
      <c r="L598" s="7">
        <f>IF(Table1[[#This Row],[adj_lead_time]]&lt;=7,1,0)</f>
        <v>1</v>
      </c>
      <c r="M598" s="9">
        <v>45757</v>
      </c>
      <c r="N598" s="9">
        <f>IF(Table1[[#This Row],[lead_time]]&lt;0,(Table1[[#This Row],[OrderDate]]+Table1[[#This Row],[adj_lead_time]]),Table1[[#This Row],[RequiredDate]])</f>
        <v>45757</v>
      </c>
      <c r="O598" t="s">
        <v>649</v>
      </c>
      <c r="P598" t="s">
        <v>658</v>
      </c>
      <c r="Q598" t="s">
        <v>674</v>
      </c>
      <c r="R598" t="s">
        <v>703</v>
      </c>
      <c r="S598" t="s">
        <v>711</v>
      </c>
      <c r="T598" t="s">
        <v>725</v>
      </c>
      <c r="U598" t="s">
        <v>728</v>
      </c>
      <c r="V598" t="s">
        <v>1107</v>
      </c>
      <c r="W598">
        <v>290.14</v>
      </c>
      <c r="X598">
        <f>Table1[[#This Row],[UnitCost]]*(1+'scenario modeling'!$B$3)</f>
        <v>319.154</v>
      </c>
      <c r="Y598">
        <v>250.73</v>
      </c>
      <c r="Z598" t="str">
        <f>IF(Table1[[#This Row],[UnitPrice]]&lt;=Quantiles!$B$2,Quantiles!$A$2,IF(Table1[[#This Row],[UnitPrice]]&lt;=Quantiles!$B$3,Quantiles!$A$3,Quantiles!$A$4))</f>
        <v>Low</v>
      </c>
      <c r="AA598">
        <v>3.4000000000000002E-2</v>
      </c>
      <c r="AB598" s="5">
        <f>MIN(Table1[[#This Row],[DiscountPct]],'scenario modeling'!$B$2)</f>
        <v>3.4000000000000002E-2</v>
      </c>
      <c r="AC598" t="str">
        <f>IF(Table1[[#This Row],[DiscountPct]]&gt;0.3, "&gt;0.3","")</f>
        <v/>
      </c>
      <c r="AD598">
        <v>17</v>
      </c>
      <c r="AE598">
        <f>Table1[[#This Row],[Quantity]]*(1+'scenario modeling'!$B$4)</f>
        <v>20.399999999999999</v>
      </c>
      <c r="AF598">
        <f>Table1[[#This Row],[UnitCost]]*Table1[[#This Row],[Quantity]]</f>
        <v>4932.38</v>
      </c>
      <c r="AG598">
        <f>SUMIF($U:U,Table1[[#This Row],[ProductCategory]],$AM:AM)</f>
        <v>1616102.6546600002</v>
      </c>
      <c r="AH598">
        <f>SUMIFS($AM$2:AM598,$U$2:U598,U598)</f>
        <v>1047652.90524</v>
      </c>
      <c r="AI598" s="5">
        <f>Table1[[#This Row],[Cumulative_revenue]]/Table1[[#This Row],[Category_revenue]]</f>
        <v>0.64825888517608299</v>
      </c>
      <c r="AJ598" t="str">
        <f>IF(Table1[[#This Row],[cumulative_pct]]&lt;=0.8,"A",IF(Table1[[#This Row],[cumulative_pct]]&lt;=0.95,"B","C"))</f>
        <v>A</v>
      </c>
      <c r="AK598">
        <f>Table1[[#This Row],[adj_unit_cost]]*Table1[[#This Row],[scenario_quantity]]</f>
        <v>6510.7415999999994</v>
      </c>
      <c r="AL598" s="5">
        <f>Table1[[#This Row],[UnitPrice]]*Table1[[#This Row],[scenario_quantity]]*(1-Table1[[#This Row],[cap_adjusted_discount]])</f>
        <v>4940.9856719999998</v>
      </c>
      <c r="AM598" s="5">
        <f>Table1[[#This Row],[UnitPrice]]*Table1[[#This Row],[Quantity]]*(1-Table1[[#This Row],[DiscountPct]])</f>
        <v>4117.4880599999997</v>
      </c>
      <c r="AN598" s="5">
        <f>Table1[[#This Row],[gross_revenue]]-Table1[[#This Row],[cost_of_goods]]</f>
        <v>-814.89194000000043</v>
      </c>
      <c r="AO598" s="5">
        <f>Table1[[#This Row],[scenario_revenue]]-Table1[[#This Row],[Scenario_unit_cost]]</f>
        <v>-1569.7559279999996</v>
      </c>
      <c r="AP598" s="5">
        <f>IF(Table1[[#This Row],[gross_revenue]]=0,0,Table1[[#This Row],[gross_profit]]/Table1[[#This Row],[gross_revenue]])</f>
        <v>-0.19790997038131072</v>
      </c>
    </row>
    <row r="599" spans="1:42" x14ac:dyDescent="0.35">
      <c r="A599" t="s">
        <v>165</v>
      </c>
      <c r="B599" t="str">
        <f>_xlfn.TEXTAFTER(Table1[[#This Row],[OrderID]],"-",2)</f>
        <v>246470</v>
      </c>
      <c r="C599">
        <f>YEAR(Table1[[#This Row],[OrderDate]])</f>
        <v>2025</v>
      </c>
      <c r="D599" s="9">
        <f>_xlfn.MINIFS(F:F,P:P,Table1[[#This Row],[Country]])</f>
        <v>44928</v>
      </c>
      <c r="E599" s="7">
        <f>DATEDIF(Table1[[#This Row],[first_time_orders]],Table1[[#This Row],[OrderDate]],"m")</f>
        <v>27</v>
      </c>
      <c r="F599" s="9">
        <v>45763</v>
      </c>
      <c r="G599" s="2" t="str">
        <f>TEXT(Table1[[#This Row],[OrderDate]],"MMM-YYYY")</f>
        <v>Apr-2025</v>
      </c>
      <c r="H599" s="7">
        <f>MONTH(Table1[[#This Row],[OrderDate]])</f>
        <v>4</v>
      </c>
      <c r="I599" s="7" t="str">
        <f>"Q"&amp;ROUNDUP(Table1[[#This Row],[months]]/3,0)&amp;"-"&amp;Table1[[#This Row],[order_year]]</f>
        <v>Q2-2025</v>
      </c>
      <c r="J599" s="7">
        <f>Table1[[#This Row],[RequiredDate]]-Table1[[#This Row],[OrderDate]]</f>
        <v>30</v>
      </c>
      <c r="K599" s="7">
        <f>IF(Table1[[#This Row],[lead_time]]&lt;0,MEDIAN(J:J),Table1[[#This Row],[lead_time]])</f>
        <v>30</v>
      </c>
      <c r="L599" s="7">
        <f>IF(Table1[[#This Row],[adj_lead_time]]&lt;=7,1,0)</f>
        <v>0</v>
      </c>
      <c r="M599" s="9">
        <v>45793</v>
      </c>
      <c r="N599" s="9">
        <f>IF(Table1[[#This Row],[lead_time]]&lt;0,(Table1[[#This Row],[OrderDate]]+Table1[[#This Row],[adj_lead_time]]),Table1[[#This Row],[RequiredDate]])</f>
        <v>45793</v>
      </c>
      <c r="O599" t="s">
        <v>648</v>
      </c>
      <c r="P599" t="s">
        <v>653</v>
      </c>
      <c r="Q599" t="s">
        <v>681</v>
      </c>
      <c r="R599" t="s">
        <v>706</v>
      </c>
      <c r="S599" t="s">
        <v>710</v>
      </c>
      <c r="T599" t="s">
        <v>723</v>
      </c>
      <c r="U599" t="s">
        <v>728</v>
      </c>
      <c r="V599" t="s">
        <v>884</v>
      </c>
      <c r="W599">
        <v>763.32</v>
      </c>
      <c r="X599">
        <f>Table1[[#This Row],[UnitCost]]*(1+'scenario modeling'!$B$3)</f>
        <v>839.65200000000016</v>
      </c>
      <c r="Y599">
        <v>568.29</v>
      </c>
      <c r="Z599" t="str">
        <f>IF(Table1[[#This Row],[UnitPrice]]&lt;=Quantiles!$B$2,Quantiles!$A$2,IF(Table1[[#This Row],[UnitPrice]]&lt;=Quantiles!$B$3,Quantiles!$A$3,Quantiles!$A$4))</f>
        <v>Low</v>
      </c>
      <c r="AA599">
        <v>0.13100000000000001</v>
      </c>
      <c r="AB599" s="5">
        <f>MIN(Table1[[#This Row],[DiscountPct]],'scenario modeling'!$B$2)</f>
        <v>0.1</v>
      </c>
      <c r="AC599" t="str">
        <f>IF(Table1[[#This Row],[DiscountPct]]&gt;0.3, "&gt;0.3","")</f>
        <v/>
      </c>
      <c r="AD599">
        <v>16</v>
      </c>
      <c r="AE599">
        <f>Table1[[#This Row],[Quantity]]*(1+'scenario modeling'!$B$4)</f>
        <v>19.2</v>
      </c>
      <c r="AF599">
        <f>Table1[[#This Row],[UnitCost]]*Table1[[#This Row],[Quantity]]</f>
        <v>12213.12</v>
      </c>
      <c r="AG599">
        <f>SUMIF($U:U,Table1[[#This Row],[ProductCategory]],$AM:AM)</f>
        <v>1616102.6546600002</v>
      </c>
      <c r="AH599">
        <f>SUMIFS($AM$2:AM599,$U$2:U599,U599)</f>
        <v>1055554.4094</v>
      </c>
      <c r="AI599" s="5">
        <f>Table1[[#This Row],[Cumulative_revenue]]/Table1[[#This Row],[Category_revenue]]</f>
        <v>0.65314811924621841</v>
      </c>
      <c r="AJ599" t="str">
        <f>IF(Table1[[#This Row],[cumulative_pct]]&lt;=0.8,"A",IF(Table1[[#This Row],[cumulative_pct]]&lt;=0.95,"B","C"))</f>
        <v>A</v>
      </c>
      <c r="AK599">
        <f>Table1[[#This Row],[adj_unit_cost]]*Table1[[#This Row],[scenario_quantity]]</f>
        <v>16121.318400000002</v>
      </c>
      <c r="AL599" s="5">
        <f>Table1[[#This Row],[UnitPrice]]*Table1[[#This Row],[scenario_quantity]]*(1-Table1[[#This Row],[cap_adjusted_discount]])</f>
        <v>9820.0511999999999</v>
      </c>
      <c r="AM599" s="5">
        <f>Table1[[#This Row],[UnitPrice]]*Table1[[#This Row],[Quantity]]*(1-Table1[[#This Row],[DiscountPct]])</f>
        <v>7901.5041599999995</v>
      </c>
      <c r="AN599" s="5">
        <f>Table1[[#This Row],[gross_revenue]]-Table1[[#This Row],[cost_of_goods]]</f>
        <v>-4311.6158400000013</v>
      </c>
      <c r="AO599" s="5">
        <f>Table1[[#This Row],[scenario_revenue]]-Table1[[#This Row],[Scenario_unit_cost]]</f>
        <v>-6301.267200000002</v>
      </c>
      <c r="AP599" s="5">
        <f>IF(Table1[[#This Row],[gross_revenue]]=0,0,Table1[[#This Row],[gross_profit]]/Table1[[#This Row],[gross_revenue]])</f>
        <v>-0.54567026134426555</v>
      </c>
    </row>
    <row r="600" spans="1:42" x14ac:dyDescent="0.35">
      <c r="A600" t="s">
        <v>400</v>
      </c>
      <c r="B600" t="str">
        <f>_xlfn.TEXTAFTER(Table1[[#This Row],[OrderID]],"-",2)</f>
        <v>866565</v>
      </c>
      <c r="C600">
        <f>YEAR(Table1[[#This Row],[OrderDate]])</f>
        <v>2025</v>
      </c>
      <c r="D600" s="9">
        <f>_xlfn.MINIFS(F:F,P:P,Table1[[#This Row],[Country]])</f>
        <v>44955</v>
      </c>
      <c r="E600" s="7">
        <f>DATEDIF(Table1[[#This Row],[first_time_orders]],Table1[[#This Row],[OrderDate]],"m")</f>
        <v>27</v>
      </c>
      <c r="F600" s="9">
        <v>45789</v>
      </c>
      <c r="G600" s="2" t="str">
        <f>TEXT(Table1[[#This Row],[OrderDate]],"MMM-YYYY")</f>
        <v>May-2025</v>
      </c>
      <c r="H600" s="7">
        <f>MONTH(Table1[[#This Row],[OrderDate]])</f>
        <v>5</v>
      </c>
      <c r="I600" s="7" t="str">
        <f>"Q"&amp;ROUNDUP(Table1[[#This Row],[months]]/3,0)&amp;"-"&amp;Table1[[#This Row],[order_year]]</f>
        <v>Q2-2025</v>
      </c>
      <c r="J600" s="7">
        <f>Table1[[#This Row],[RequiredDate]]-Table1[[#This Row],[OrderDate]]</f>
        <v>14</v>
      </c>
      <c r="K600" s="7">
        <f>IF(Table1[[#This Row],[lead_time]]&lt;0,MEDIAN(J:J),Table1[[#This Row],[lead_time]])</f>
        <v>14</v>
      </c>
      <c r="L600" s="7">
        <f>IF(Table1[[#This Row],[adj_lead_time]]&lt;=7,1,0)</f>
        <v>0</v>
      </c>
      <c r="M600" s="9">
        <v>45803</v>
      </c>
      <c r="N600" s="9">
        <f>IF(Table1[[#This Row],[lead_time]]&lt;0,(Table1[[#This Row],[OrderDate]]+Table1[[#This Row],[adj_lead_time]]),Table1[[#This Row],[RequiredDate]])</f>
        <v>45803</v>
      </c>
      <c r="O600" t="s">
        <v>647</v>
      </c>
      <c r="P600" t="s">
        <v>654</v>
      </c>
      <c r="Q600" t="s">
        <v>696</v>
      </c>
      <c r="R600" t="s">
        <v>701</v>
      </c>
      <c r="S600" t="s">
        <v>709</v>
      </c>
      <c r="T600" t="s">
        <v>715</v>
      </c>
      <c r="U600" t="s">
        <v>728</v>
      </c>
      <c r="V600" t="s">
        <v>1119</v>
      </c>
      <c r="W600">
        <v>320.12</v>
      </c>
      <c r="X600">
        <f>Table1[[#This Row],[UnitCost]]*(1+'scenario modeling'!$B$3)</f>
        <v>352.13200000000006</v>
      </c>
      <c r="Y600">
        <v>594.41999999999996</v>
      </c>
      <c r="Z600" t="str">
        <f>IF(Table1[[#This Row],[UnitPrice]]&lt;=Quantiles!$B$2,Quantiles!$A$2,IF(Table1[[#This Row],[UnitPrice]]&lt;=Quantiles!$B$3,Quantiles!$A$3,Quantiles!$A$4))</f>
        <v>Low</v>
      </c>
      <c r="AA600">
        <v>0.104</v>
      </c>
      <c r="AB600" s="5">
        <f>MIN(Table1[[#This Row],[DiscountPct]],'scenario modeling'!$B$2)</f>
        <v>0.1</v>
      </c>
      <c r="AC600" t="str">
        <f>IF(Table1[[#This Row],[DiscountPct]]&gt;0.3, "&gt;0.3","")</f>
        <v/>
      </c>
      <c r="AD600">
        <v>18</v>
      </c>
      <c r="AE600">
        <f>Table1[[#This Row],[Quantity]]*(1+'scenario modeling'!$B$4)</f>
        <v>21.599999999999998</v>
      </c>
      <c r="AF600">
        <f>Table1[[#This Row],[UnitCost]]*Table1[[#This Row],[Quantity]]</f>
        <v>5762.16</v>
      </c>
      <c r="AG600">
        <f>SUMIF($U:U,Table1[[#This Row],[ProductCategory]],$AM:AM)</f>
        <v>1616102.6546600002</v>
      </c>
      <c r="AH600">
        <f>SUMIFS($AM$2:AM600,$U$2:U600,U600)</f>
        <v>1065141.2151599999</v>
      </c>
      <c r="AI600" s="5">
        <f>Table1[[#This Row],[Cumulative_revenue]]/Table1[[#This Row],[Category_revenue]]</f>
        <v>0.6590801717259025</v>
      </c>
      <c r="AJ600" t="str">
        <f>IF(Table1[[#This Row],[cumulative_pct]]&lt;=0.8,"A",IF(Table1[[#This Row],[cumulative_pct]]&lt;=0.95,"B","C"))</f>
        <v>A</v>
      </c>
      <c r="AK600">
        <f>Table1[[#This Row],[adj_unit_cost]]*Table1[[#This Row],[scenario_quantity]]</f>
        <v>7606.0512000000008</v>
      </c>
      <c r="AL600" s="5">
        <f>Table1[[#This Row],[UnitPrice]]*Table1[[#This Row],[scenario_quantity]]*(1-Table1[[#This Row],[cap_adjusted_discount]])</f>
        <v>11555.524799999999</v>
      </c>
      <c r="AM600" s="5">
        <f>Table1[[#This Row],[UnitPrice]]*Table1[[#This Row],[Quantity]]*(1-Table1[[#This Row],[DiscountPct]])</f>
        <v>9586.8057599999993</v>
      </c>
      <c r="AN600" s="5">
        <f>Table1[[#This Row],[gross_revenue]]-Table1[[#This Row],[cost_of_goods]]</f>
        <v>3824.6457599999994</v>
      </c>
      <c r="AO600" s="5">
        <f>Table1[[#This Row],[scenario_revenue]]-Table1[[#This Row],[Scenario_unit_cost]]</f>
        <v>3949.4735999999984</v>
      </c>
      <c r="AP600" s="5">
        <f>IF(Table1[[#This Row],[gross_revenue]]=0,0,Table1[[#This Row],[gross_profit]]/Table1[[#This Row],[gross_revenue]])</f>
        <v>0.39894891538931104</v>
      </c>
    </row>
    <row r="601" spans="1:42" x14ac:dyDescent="0.35">
      <c r="A601" t="s">
        <v>571</v>
      </c>
      <c r="B601" t="str">
        <f>_xlfn.TEXTAFTER(Table1[[#This Row],[OrderID]],"-",2)</f>
        <v>874124</v>
      </c>
      <c r="C601">
        <f>YEAR(Table1[[#This Row],[OrderDate]])</f>
        <v>2025</v>
      </c>
      <c r="D601" s="9">
        <f>_xlfn.MINIFS(F:F,P:P,Table1[[#This Row],[Country]])</f>
        <v>44928</v>
      </c>
      <c r="E601" s="7">
        <f>DATEDIF(Table1[[#This Row],[first_time_orders]],Table1[[#This Row],[OrderDate]],"m")</f>
        <v>28</v>
      </c>
      <c r="F601" s="9">
        <v>45791</v>
      </c>
      <c r="G601" s="2" t="str">
        <f>TEXT(Table1[[#This Row],[OrderDate]],"MMM-YYYY")</f>
        <v>May-2025</v>
      </c>
      <c r="H601" s="7">
        <f>MONTH(Table1[[#This Row],[OrderDate]])</f>
        <v>5</v>
      </c>
      <c r="I601" s="7" t="str">
        <f>"Q"&amp;ROUNDUP(Table1[[#This Row],[months]]/3,0)&amp;"-"&amp;Table1[[#This Row],[order_year]]</f>
        <v>Q2-2025</v>
      </c>
      <c r="J601" s="7">
        <f>Table1[[#This Row],[RequiredDate]]-Table1[[#This Row],[OrderDate]]</f>
        <v>-2</v>
      </c>
      <c r="K601" s="7">
        <f>IF(Table1[[#This Row],[lead_time]]&lt;0,MEDIAN(J:J),Table1[[#This Row],[lead_time]])</f>
        <v>15</v>
      </c>
      <c r="L601" s="7">
        <f>IF(Table1[[#This Row],[adj_lead_time]]&lt;=7,1,0)</f>
        <v>0</v>
      </c>
      <c r="M601" s="9">
        <v>45789</v>
      </c>
      <c r="N601" s="9">
        <f>IF(Table1[[#This Row],[lead_time]]&lt;0,(Table1[[#This Row],[OrderDate]]+Table1[[#This Row],[adj_lead_time]]),Table1[[#This Row],[RequiredDate]])</f>
        <v>45806</v>
      </c>
      <c r="O601" t="s">
        <v>648</v>
      </c>
      <c r="P601" t="s">
        <v>653</v>
      </c>
      <c r="Q601" t="s">
        <v>688</v>
      </c>
      <c r="R601" t="s">
        <v>703</v>
      </c>
      <c r="S601" t="s">
        <v>710</v>
      </c>
      <c r="T601" t="s">
        <v>721</v>
      </c>
      <c r="U601" t="s">
        <v>728</v>
      </c>
      <c r="V601" t="s">
        <v>1289</v>
      </c>
      <c r="W601">
        <v>883.5</v>
      </c>
      <c r="X601">
        <f>Table1[[#This Row],[UnitCost]]*(1+'scenario modeling'!$B$3)</f>
        <v>971.85</v>
      </c>
      <c r="Y601">
        <v>1978.91</v>
      </c>
      <c r="Z601" t="str">
        <f>IF(Table1[[#This Row],[UnitPrice]]&lt;=Quantiles!$B$2,Quantiles!$A$2,IF(Table1[[#This Row],[UnitPrice]]&lt;=Quantiles!$B$3,Quantiles!$A$3,Quantiles!$A$4))</f>
        <v>High</v>
      </c>
      <c r="AA601">
        <v>5.3999999999999999E-2</v>
      </c>
      <c r="AB601" s="5">
        <f>MIN(Table1[[#This Row],[DiscountPct]],'scenario modeling'!$B$2)</f>
        <v>5.3999999999999999E-2</v>
      </c>
      <c r="AC601" t="str">
        <f>IF(Table1[[#This Row],[DiscountPct]]&gt;0.3, "&gt;0.3","")</f>
        <v/>
      </c>
      <c r="AD601">
        <v>27</v>
      </c>
      <c r="AE601">
        <f>Table1[[#This Row],[Quantity]]*(1+'scenario modeling'!$B$4)</f>
        <v>32.4</v>
      </c>
      <c r="AF601">
        <f>Table1[[#This Row],[UnitCost]]*Table1[[#This Row],[Quantity]]</f>
        <v>23854.5</v>
      </c>
      <c r="AG601">
        <f>SUMIF($U:U,Table1[[#This Row],[ProductCategory]],$AM:AM)</f>
        <v>1616102.6546600002</v>
      </c>
      <c r="AH601">
        <f>SUMIFS($AM$2:AM601,$U$2:U601,U601)</f>
        <v>1115686.5343799999</v>
      </c>
      <c r="AI601" s="5">
        <f>Table1[[#This Row],[Cumulative_revenue]]/Table1[[#This Row],[Category_revenue]]</f>
        <v>0.69035622901982108</v>
      </c>
      <c r="AJ601" t="str">
        <f>IF(Table1[[#This Row],[cumulative_pct]]&lt;=0.8,"A",IF(Table1[[#This Row],[cumulative_pct]]&lt;=0.95,"B","C"))</f>
        <v>A</v>
      </c>
      <c r="AK601">
        <f>Table1[[#This Row],[adj_unit_cost]]*Table1[[#This Row],[scenario_quantity]]</f>
        <v>31487.94</v>
      </c>
      <c r="AL601" s="5">
        <f>Table1[[#This Row],[UnitPrice]]*Table1[[#This Row],[scenario_quantity]]*(1-Table1[[#This Row],[cap_adjusted_discount]])</f>
        <v>60654.383064000001</v>
      </c>
      <c r="AM601" s="5">
        <f>Table1[[#This Row],[UnitPrice]]*Table1[[#This Row],[Quantity]]*(1-Table1[[#This Row],[DiscountPct]])</f>
        <v>50545.319219999998</v>
      </c>
      <c r="AN601" s="5">
        <f>Table1[[#This Row],[gross_revenue]]-Table1[[#This Row],[cost_of_goods]]</f>
        <v>26690.819219999998</v>
      </c>
      <c r="AO601" s="5">
        <f>Table1[[#This Row],[scenario_revenue]]-Table1[[#This Row],[Scenario_unit_cost]]</f>
        <v>29166.443064000003</v>
      </c>
      <c r="AP601" s="5">
        <f>IF(Table1[[#This Row],[gross_revenue]]=0,0,Table1[[#This Row],[gross_profit]]/Table1[[#This Row],[gross_revenue]])</f>
        <v>0.52805718970390547</v>
      </c>
    </row>
    <row r="602" spans="1:42" x14ac:dyDescent="0.35">
      <c r="A602" t="s">
        <v>58</v>
      </c>
      <c r="B602" t="str">
        <f>_xlfn.TEXTAFTER(Table1[[#This Row],[OrderID]],"-",2)</f>
        <v>820255</v>
      </c>
      <c r="C602">
        <f>YEAR(Table1[[#This Row],[OrderDate]])</f>
        <v>2025</v>
      </c>
      <c r="D602" s="9">
        <f>_xlfn.MINIFS(F:F,P:P,Table1[[#This Row],[Country]])</f>
        <v>44948</v>
      </c>
      <c r="E602" s="7">
        <f>DATEDIF(Table1[[#This Row],[first_time_orders]],Table1[[#This Row],[OrderDate]],"m")</f>
        <v>28</v>
      </c>
      <c r="F602" s="9">
        <v>45806</v>
      </c>
      <c r="G602" s="2" t="str">
        <f>TEXT(Table1[[#This Row],[OrderDate]],"MMM-YYYY")</f>
        <v>May-2025</v>
      </c>
      <c r="H602" s="7">
        <f>MONTH(Table1[[#This Row],[OrderDate]])</f>
        <v>5</v>
      </c>
      <c r="I602" s="7" t="str">
        <f>"Q"&amp;ROUNDUP(Table1[[#This Row],[months]]/3,0)&amp;"-"&amp;Table1[[#This Row],[order_year]]</f>
        <v>Q2-2025</v>
      </c>
      <c r="J602" s="7">
        <f>Table1[[#This Row],[RequiredDate]]-Table1[[#This Row],[OrderDate]]</f>
        <v>22</v>
      </c>
      <c r="K602" s="7">
        <f>IF(Table1[[#This Row],[lead_time]]&lt;0,MEDIAN(J:J),Table1[[#This Row],[lead_time]])</f>
        <v>22</v>
      </c>
      <c r="L602" s="7">
        <f>IF(Table1[[#This Row],[adj_lead_time]]&lt;=7,1,0)</f>
        <v>0</v>
      </c>
      <c r="M602" s="9">
        <v>45828</v>
      </c>
      <c r="N602" s="9">
        <f>IF(Table1[[#This Row],[lead_time]]&lt;0,(Table1[[#This Row],[OrderDate]]+Table1[[#This Row],[adj_lead_time]]),Table1[[#This Row],[RequiredDate]])</f>
        <v>45828</v>
      </c>
      <c r="O602" t="s">
        <v>649</v>
      </c>
      <c r="P602" t="s">
        <v>656</v>
      </c>
      <c r="Q602" t="s">
        <v>671</v>
      </c>
      <c r="R602" t="s">
        <v>701</v>
      </c>
      <c r="S602" t="s">
        <v>711</v>
      </c>
      <c r="T602" t="s">
        <v>720</v>
      </c>
      <c r="U602" t="s">
        <v>728</v>
      </c>
      <c r="V602" t="s">
        <v>777</v>
      </c>
      <c r="W602">
        <v>483.47</v>
      </c>
      <c r="X602">
        <f>Table1[[#This Row],[UnitCost]]*(1+'scenario modeling'!$B$3)</f>
        <v>531.81700000000012</v>
      </c>
      <c r="Y602">
        <v>1135.43</v>
      </c>
      <c r="Z602" t="str">
        <f>IF(Table1[[#This Row],[UnitPrice]]&lt;=Quantiles!$B$2,Quantiles!$A$2,IF(Table1[[#This Row],[UnitPrice]]&lt;=Quantiles!$B$3,Quantiles!$A$3,Quantiles!$A$4))</f>
        <v>Medium</v>
      </c>
      <c r="AA602">
        <v>0.14599999999999999</v>
      </c>
      <c r="AB602" s="5">
        <f>MIN(Table1[[#This Row],[DiscountPct]],'scenario modeling'!$B$2)</f>
        <v>0.1</v>
      </c>
      <c r="AC602" t="str">
        <f>IF(Table1[[#This Row],[DiscountPct]]&gt;0.3, "&gt;0.3","")</f>
        <v/>
      </c>
      <c r="AD602">
        <v>11</v>
      </c>
      <c r="AE602">
        <f>Table1[[#This Row],[Quantity]]*(1+'scenario modeling'!$B$4)</f>
        <v>13.2</v>
      </c>
      <c r="AF602">
        <f>Table1[[#This Row],[UnitCost]]*Table1[[#This Row],[Quantity]]</f>
        <v>5318.17</v>
      </c>
      <c r="AG602">
        <f>SUMIF($U:U,Table1[[#This Row],[ProductCategory]],$AM:AM)</f>
        <v>1616102.6546600002</v>
      </c>
      <c r="AH602">
        <f>SUMIFS($AM$2:AM602,$U$2:U602,U602)</f>
        <v>1126352.7637999998</v>
      </c>
      <c r="AI602" s="5">
        <f>Table1[[#This Row],[Cumulative_revenue]]/Table1[[#This Row],[Category_revenue]]</f>
        <v>0.69695619925639241</v>
      </c>
      <c r="AJ602" t="str">
        <f>IF(Table1[[#This Row],[cumulative_pct]]&lt;=0.8,"A",IF(Table1[[#This Row],[cumulative_pct]]&lt;=0.95,"B","C"))</f>
        <v>A</v>
      </c>
      <c r="AK602">
        <f>Table1[[#This Row],[adj_unit_cost]]*Table1[[#This Row],[scenario_quantity]]</f>
        <v>7019.9844000000012</v>
      </c>
      <c r="AL602" s="5">
        <f>Table1[[#This Row],[UnitPrice]]*Table1[[#This Row],[scenario_quantity]]*(1-Table1[[#This Row],[cap_adjusted_discount]])</f>
        <v>13488.9084</v>
      </c>
      <c r="AM602" s="5">
        <f>Table1[[#This Row],[UnitPrice]]*Table1[[#This Row],[Quantity]]*(1-Table1[[#This Row],[DiscountPct]])</f>
        <v>10666.229420000001</v>
      </c>
      <c r="AN602" s="5">
        <f>Table1[[#This Row],[gross_revenue]]-Table1[[#This Row],[cost_of_goods]]</f>
        <v>5348.0594200000014</v>
      </c>
      <c r="AO602" s="5">
        <f>Table1[[#This Row],[scenario_revenue]]-Table1[[#This Row],[Scenario_unit_cost]]</f>
        <v>6468.9239999999991</v>
      </c>
      <c r="AP602" s="5">
        <f>IF(Table1[[#This Row],[gross_revenue]]=0,0,Table1[[#This Row],[gross_profit]]/Table1[[#This Row],[gross_revenue]])</f>
        <v>0.50140112399719983</v>
      </c>
    </row>
    <row r="603" spans="1:42" x14ac:dyDescent="0.35">
      <c r="A603" t="s">
        <v>131</v>
      </c>
      <c r="B603" t="str">
        <f>_xlfn.TEXTAFTER(Table1[[#This Row],[OrderID]],"-",2)</f>
        <v>698069</v>
      </c>
      <c r="C603">
        <f>YEAR(Table1[[#This Row],[OrderDate]])</f>
        <v>2025</v>
      </c>
      <c r="D603" s="9">
        <f>_xlfn.MINIFS(F:F,P:P,Table1[[#This Row],[Country]])</f>
        <v>44928</v>
      </c>
      <c r="E603" s="7">
        <f>DATEDIF(Table1[[#This Row],[first_time_orders]],Table1[[#This Row],[OrderDate]],"m")</f>
        <v>29</v>
      </c>
      <c r="F603" s="9">
        <v>45811</v>
      </c>
      <c r="G603" s="2" t="str">
        <f>TEXT(Table1[[#This Row],[OrderDate]],"MMM-YYYY")</f>
        <v>Jun-2025</v>
      </c>
      <c r="H603" s="7">
        <f>MONTH(Table1[[#This Row],[OrderDate]])</f>
        <v>6</v>
      </c>
      <c r="I603" s="7" t="str">
        <f>"Q"&amp;ROUNDUP(Table1[[#This Row],[months]]/3,0)&amp;"-"&amp;Table1[[#This Row],[order_year]]</f>
        <v>Q2-2025</v>
      </c>
      <c r="J603" s="7">
        <f>Table1[[#This Row],[RequiredDate]]-Table1[[#This Row],[OrderDate]]</f>
        <v>7</v>
      </c>
      <c r="K603" s="7">
        <f>IF(Table1[[#This Row],[lead_time]]&lt;0,MEDIAN(J:J),Table1[[#This Row],[lead_time]])</f>
        <v>7</v>
      </c>
      <c r="L603" s="7">
        <f>IF(Table1[[#This Row],[adj_lead_time]]&lt;=7,1,0)</f>
        <v>1</v>
      </c>
      <c r="M603" s="9">
        <v>45818</v>
      </c>
      <c r="N603" s="9">
        <f>IF(Table1[[#This Row],[lead_time]]&lt;0,(Table1[[#This Row],[OrderDate]]+Table1[[#This Row],[adj_lead_time]]),Table1[[#This Row],[RequiredDate]])</f>
        <v>45818</v>
      </c>
      <c r="O603" t="s">
        <v>648</v>
      </c>
      <c r="P603" t="s">
        <v>653</v>
      </c>
      <c r="Q603" t="s">
        <v>667</v>
      </c>
      <c r="R603" t="s">
        <v>704</v>
      </c>
      <c r="S603" t="s">
        <v>710</v>
      </c>
      <c r="T603" t="s">
        <v>719</v>
      </c>
      <c r="U603" t="s">
        <v>728</v>
      </c>
      <c r="V603" t="s">
        <v>850</v>
      </c>
      <c r="W603">
        <v>75.180000000000007</v>
      </c>
      <c r="X603">
        <f>Table1[[#This Row],[UnitCost]]*(1+'scenario modeling'!$B$3)</f>
        <v>82.698000000000008</v>
      </c>
      <c r="Y603">
        <v>53.45</v>
      </c>
      <c r="Z603" t="str">
        <f>IF(Table1[[#This Row],[UnitPrice]]&lt;=Quantiles!$B$2,Quantiles!$A$2,IF(Table1[[#This Row],[UnitPrice]]&lt;=Quantiles!$B$3,Quantiles!$A$3,Quantiles!$A$4))</f>
        <v>Low</v>
      </c>
      <c r="AA603">
        <v>0.157</v>
      </c>
      <c r="AB603" s="5">
        <f>MIN(Table1[[#This Row],[DiscountPct]],'scenario modeling'!$B$2)</f>
        <v>0.1</v>
      </c>
      <c r="AC603" t="str">
        <f>IF(Table1[[#This Row],[DiscountPct]]&gt;0.3, "&gt;0.3","")</f>
        <v/>
      </c>
      <c r="AD603">
        <v>17</v>
      </c>
      <c r="AE603">
        <f>Table1[[#This Row],[Quantity]]*(1+'scenario modeling'!$B$4)</f>
        <v>20.399999999999999</v>
      </c>
      <c r="AF603">
        <f>Table1[[#This Row],[UnitCost]]*Table1[[#This Row],[Quantity]]</f>
        <v>1278.0600000000002</v>
      </c>
      <c r="AG603">
        <f>SUMIF($U:U,Table1[[#This Row],[ProductCategory]],$AM:AM)</f>
        <v>1616102.6546600002</v>
      </c>
      <c r="AH603">
        <f>SUMIFS($AM$2:AM603,$U$2:U603,U603)</f>
        <v>1127118.7557499998</v>
      </c>
      <c r="AI603" s="5">
        <f>Table1[[#This Row],[Cumulative_revenue]]/Table1[[#This Row],[Category_revenue]]</f>
        <v>0.69743017406720731</v>
      </c>
      <c r="AJ603" t="str">
        <f>IF(Table1[[#This Row],[cumulative_pct]]&lt;=0.8,"A",IF(Table1[[#This Row],[cumulative_pct]]&lt;=0.95,"B","C"))</f>
        <v>A</v>
      </c>
      <c r="AK603">
        <f>Table1[[#This Row],[adj_unit_cost]]*Table1[[#This Row],[scenario_quantity]]</f>
        <v>1687.0391999999999</v>
      </c>
      <c r="AL603" s="5">
        <f>Table1[[#This Row],[UnitPrice]]*Table1[[#This Row],[scenario_quantity]]*(1-Table1[[#This Row],[cap_adjusted_discount]])</f>
        <v>981.34199999999987</v>
      </c>
      <c r="AM603" s="5">
        <f>Table1[[#This Row],[UnitPrice]]*Table1[[#This Row],[Quantity]]*(1-Table1[[#This Row],[DiscountPct]])</f>
        <v>765.99195000000009</v>
      </c>
      <c r="AN603" s="5">
        <f>Table1[[#This Row],[gross_revenue]]-Table1[[#This Row],[cost_of_goods]]</f>
        <v>-512.06805000000008</v>
      </c>
      <c r="AO603" s="5">
        <f>Table1[[#This Row],[scenario_revenue]]-Table1[[#This Row],[Scenario_unit_cost]]</f>
        <v>-705.69720000000007</v>
      </c>
      <c r="AP603" s="5">
        <f>IF(Table1[[#This Row],[gross_revenue]]=0,0,Table1[[#This Row],[gross_profit]]/Table1[[#This Row],[gross_revenue]])</f>
        <v>-0.66850317421743144</v>
      </c>
    </row>
    <row r="604" spans="1:42" x14ac:dyDescent="0.35">
      <c r="A604" t="s">
        <v>383</v>
      </c>
      <c r="B604" t="str">
        <f>_xlfn.TEXTAFTER(Table1[[#This Row],[OrderID]],"-",2)</f>
        <v>306903</v>
      </c>
      <c r="C604">
        <f>YEAR(Table1[[#This Row],[OrderDate]])</f>
        <v>2025</v>
      </c>
      <c r="D604" s="9">
        <f>_xlfn.MINIFS(F:F,P:P,Table1[[#This Row],[Country]])</f>
        <v>44928</v>
      </c>
      <c r="E604" s="7">
        <f>DATEDIF(Table1[[#This Row],[first_time_orders]],Table1[[#This Row],[OrderDate]],"m")</f>
        <v>29</v>
      </c>
      <c r="F604" s="9">
        <v>45832</v>
      </c>
      <c r="G604" s="2" t="str">
        <f>TEXT(Table1[[#This Row],[OrderDate]],"MMM-YYYY")</f>
        <v>Jun-2025</v>
      </c>
      <c r="H604" s="7">
        <f>MONTH(Table1[[#This Row],[OrderDate]])</f>
        <v>6</v>
      </c>
      <c r="I604" s="7" t="str">
        <f>"Q"&amp;ROUNDUP(Table1[[#This Row],[months]]/3,0)&amp;"-"&amp;Table1[[#This Row],[order_year]]</f>
        <v>Q2-2025</v>
      </c>
      <c r="J604" s="7">
        <f>Table1[[#This Row],[RequiredDate]]-Table1[[#This Row],[OrderDate]]</f>
        <v>29</v>
      </c>
      <c r="K604" s="7">
        <f>IF(Table1[[#This Row],[lead_time]]&lt;0,MEDIAN(J:J),Table1[[#This Row],[lead_time]])</f>
        <v>29</v>
      </c>
      <c r="L604" s="7">
        <f>IF(Table1[[#This Row],[adj_lead_time]]&lt;=7,1,0)</f>
        <v>0</v>
      </c>
      <c r="M604" s="9">
        <v>45861</v>
      </c>
      <c r="N604" s="9">
        <f>IF(Table1[[#This Row],[lead_time]]&lt;0,(Table1[[#This Row],[OrderDate]]+Table1[[#This Row],[adj_lead_time]]),Table1[[#This Row],[RequiredDate]])</f>
        <v>45861</v>
      </c>
      <c r="O604" t="s">
        <v>648</v>
      </c>
      <c r="P604" t="s">
        <v>653</v>
      </c>
      <c r="Q604" t="s">
        <v>688</v>
      </c>
      <c r="R604" t="s">
        <v>703</v>
      </c>
      <c r="S604" t="s">
        <v>709</v>
      </c>
      <c r="T604" t="s">
        <v>714</v>
      </c>
      <c r="U604" t="s">
        <v>728</v>
      </c>
      <c r="V604" t="s">
        <v>1103</v>
      </c>
      <c r="W604">
        <v>255.4</v>
      </c>
      <c r="X604">
        <f>Table1[[#This Row],[UnitCost]]*(1+'scenario modeling'!$B$3)</f>
        <v>280.94000000000005</v>
      </c>
      <c r="Y604">
        <v>322.70999999999998</v>
      </c>
      <c r="Z604" t="str">
        <f>IF(Table1[[#This Row],[UnitPrice]]&lt;=Quantiles!$B$2,Quantiles!$A$2,IF(Table1[[#This Row],[UnitPrice]]&lt;=Quantiles!$B$3,Quantiles!$A$3,Quantiles!$A$4))</f>
        <v>Low</v>
      </c>
      <c r="AA604">
        <v>0.115</v>
      </c>
      <c r="AB604" s="5">
        <f>MIN(Table1[[#This Row],[DiscountPct]],'scenario modeling'!$B$2)</f>
        <v>0.1</v>
      </c>
      <c r="AC604" t="str">
        <f>IF(Table1[[#This Row],[DiscountPct]]&gt;0.3, "&gt;0.3","")</f>
        <v/>
      </c>
      <c r="AD604">
        <v>16</v>
      </c>
      <c r="AE604">
        <f>Table1[[#This Row],[Quantity]]*(1+'scenario modeling'!$B$4)</f>
        <v>19.2</v>
      </c>
      <c r="AF604">
        <f>Table1[[#This Row],[UnitCost]]*Table1[[#This Row],[Quantity]]</f>
        <v>4086.4</v>
      </c>
      <c r="AG604">
        <f>SUMIF($U:U,Table1[[#This Row],[ProductCategory]],$AM:AM)</f>
        <v>1616102.6546600002</v>
      </c>
      <c r="AH604">
        <f>SUMIFS($AM$2:AM604,$U$2:U604,U604)</f>
        <v>1131688.3293499998</v>
      </c>
      <c r="AI604" s="5">
        <f>Table1[[#This Row],[Cumulative_revenue]]/Table1[[#This Row],[Category_revenue]]</f>
        <v>0.70025770088725414</v>
      </c>
      <c r="AJ604" t="str">
        <f>IF(Table1[[#This Row],[cumulative_pct]]&lt;=0.8,"A",IF(Table1[[#This Row],[cumulative_pct]]&lt;=0.95,"B","C"))</f>
        <v>A</v>
      </c>
      <c r="AK604">
        <f>Table1[[#This Row],[adj_unit_cost]]*Table1[[#This Row],[scenario_quantity]]</f>
        <v>5394.0480000000007</v>
      </c>
      <c r="AL604" s="5">
        <f>Table1[[#This Row],[UnitPrice]]*Table1[[#This Row],[scenario_quantity]]*(1-Table1[[#This Row],[cap_adjusted_discount]])</f>
        <v>5576.4287999999997</v>
      </c>
      <c r="AM604" s="5">
        <f>Table1[[#This Row],[UnitPrice]]*Table1[[#This Row],[Quantity]]*(1-Table1[[#This Row],[DiscountPct]])</f>
        <v>4569.5735999999997</v>
      </c>
      <c r="AN604" s="5">
        <f>Table1[[#This Row],[gross_revenue]]-Table1[[#This Row],[cost_of_goods]]</f>
        <v>483.17359999999962</v>
      </c>
      <c r="AO604" s="5">
        <f>Table1[[#This Row],[scenario_revenue]]-Table1[[#This Row],[Scenario_unit_cost]]</f>
        <v>182.380799999999</v>
      </c>
      <c r="AP604" s="5">
        <f>IF(Table1[[#This Row],[gross_revenue]]=0,0,Table1[[#This Row],[gross_profit]]/Table1[[#This Row],[gross_revenue]])</f>
        <v>0.10573713048412212</v>
      </c>
    </row>
    <row r="605" spans="1:42" x14ac:dyDescent="0.35">
      <c r="A605" t="s">
        <v>632</v>
      </c>
      <c r="B605" t="str">
        <f>_xlfn.TEXTAFTER(Table1[[#This Row],[OrderID]],"-",2)</f>
        <v>150713</v>
      </c>
      <c r="C605">
        <f>YEAR(Table1[[#This Row],[OrderDate]])</f>
        <v>2025</v>
      </c>
      <c r="D605" s="9">
        <f>_xlfn.MINIFS(F:F,P:P,Table1[[#This Row],[Country]])</f>
        <v>44945</v>
      </c>
      <c r="E605" s="7">
        <f>DATEDIF(Table1[[#This Row],[first_time_orders]],Table1[[#This Row],[OrderDate]],"m")</f>
        <v>29</v>
      </c>
      <c r="F605" s="9">
        <v>45849</v>
      </c>
      <c r="G605" s="2" t="str">
        <f>TEXT(Table1[[#This Row],[OrderDate]],"MMM-YYYY")</f>
        <v>Jul-2025</v>
      </c>
      <c r="H605" s="7">
        <f>MONTH(Table1[[#This Row],[OrderDate]])</f>
        <v>7</v>
      </c>
      <c r="I605" s="7" t="str">
        <f>"Q"&amp;ROUNDUP(Table1[[#This Row],[months]]/3,0)&amp;"-"&amp;Table1[[#This Row],[order_year]]</f>
        <v>Q3-2025</v>
      </c>
      <c r="J605" s="7">
        <f>Table1[[#This Row],[RequiredDate]]-Table1[[#This Row],[OrderDate]]</f>
        <v>5</v>
      </c>
      <c r="K605" s="7">
        <f>IF(Table1[[#This Row],[lead_time]]&lt;0,MEDIAN(J:J),Table1[[#This Row],[lead_time]])</f>
        <v>5</v>
      </c>
      <c r="L605" s="7">
        <f>IF(Table1[[#This Row],[adj_lead_time]]&lt;=7,1,0)</f>
        <v>1</v>
      </c>
      <c r="M605" s="9">
        <v>45854</v>
      </c>
      <c r="N605" s="9">
        <f>IF(Table1[[#This Row],[lead_time]]&lt;0,(Table1[[#This Row],[OrderDate]]+Table1[[#This Row],[adj_lead_time]]),Table1[[#This Row],[RequiredDate]])</f>
        <v>45854</v>
      </c>
      <c r="O605" t="s">
        <v>649</v>
      </c>
      <c r="P605" t="s">
        <v>658</v>
      </c>
      <c r="Q605" t="s">
        <v>683</v>
      </c>
      <c r="R605" t="s">
        <v>706</v>
      </c>
      <c r="S605" t="s">
        <v>708</v>
      </c>
      <c r="T605" t="s">
        <v>723</v>
      </c>
      <c r="U605" t="s">
        <v>728</v>
      </c>
      <c r="V605" t="s">
        <v>1350</v>
      </c>
      <c r="W605">
        <v>930.03</v>
      </c>
      <c r="X605">
        <f>Table1[[#This Row],[UnitCost]]*(1+'scenario modeling'!$B$3)</f>
        <v>1023.033</v>
      </c>
      <c r="Y605">
        <v>1086.68</v>
      </c>
      <c r="Z605" t="str">
        <f>IF(Table1[[#This Row],[UnitPrice]]&lt;=Quantiles!$B$2,Quantiles!$A$2,IF(Table1[[#This Row],[UnitPrice]]&lt;=Quantiles!$B$3,Quantiles!$A$3,Quantiles!$A$4))</f>
        <v>Medium</v>
      </c>
      <c r="AA605">
        <v>0.109</v>
      </c>
      <c r="AB605" s="5">
        <f>MIN(Table1[[#This Row],[DiscountPct]],'scenario modeling'!$B$2)</f>
        <v>0.1</v>
      </c>
      <c r="AC605" t="str">
        <f>IF(Table1[[#This Row],[DiscountPct]]&gt;0.3, "&gt;0.3","")</f>
        <v/>
      </c>
      <c r="AD605">
        <v>26</v>
      </c>
      <c r="AE605">
        <f>Table1[[#This Row],[Quantity]]*(1+'scenario modeling'!$B$4)</f>
        <v>31.2</v>
      </c>
      <c r="AF605">
        <f>Table1[[#This Row],[UnitCost]]*Table1[[#This Row],[Quantity]]</f>
        <v>24180.78</v>
      </c>
      <c r="AG605">
        <f>SUMIF($U:U,Table1[[#This Row],[ProductCategory]],$AM:AM)</f>
        <v>1616102.6546600002</v>
      </c>
      <c r="AH605">
        <f>SUMIFS($AM$2:AM605,$U$2:U605,U605)</f>
        <v>1156862.3582299999</v>
      </c>
      <c r="AI605" s="5">
        <f>Table1[[#This Row],[Cumulative_revenue]]/Table1[[#This Row],[Category_revenue]]</f>
        <v>0.71583469954350365</v>
      </c>
      <c r="AJ605" t="str">
        <f>IF(Table1[[#This Row],[cumulative_pct]]&lt;=0.8,"A",IF(Table1[[#This Row],[cumulative_pct]]&lt;=0.95,"B","C"))</f>
        <v>A</v>
      </c>
      <c r="AK605">
        <f>Table1[[#This Row],[adj_unit_cost]]*Table1[[#This Row],[scenario_quantity]]</f>
        <v>31918.6296</v>
      </c>
      <c r="AL605" s="5">
        <f>Table1[[#This Row],[UnitPrice]]*Table1[[#This Row],[scenario_quantity]]*(1-Table1[[#This Row],[cap_adjusted_discount]])</f>
        <v>30513.974400000006</v>
      </c>
      <c r="AM605" s="5">
        <f>Table1[[#This Row],[UnitPrice]]*Table1[[#This Row],[Quantity]]*(1-Table1[[#This Row],[DiscountPct]])</f>
        <v>25174.028880000002</v>
      </c>
      <c r="AN605" s="5">
        <f>Table1[[#This Row],[gross_revenue]]-Table1[[#This Row],[cost_of_goods]]</f>
        <v>993.24888000000283</v>
      </c>
      <c r="AO605" s="5">
        <f>Table1[[#This Row],[scenario_revenue]]-Table1[[#This Row],[Scenario_unit_cost]]</f>
        <v>-1404.6551999999938</v>
      </c>
      <c r="AP605" s="5">
        <f>IF(Table1[[#This Row],[gross_revenue]]=0,0,Table1[[#This Row],[gross_profit]]/Table1[[#This Row],[gross_revenue]])</f>
        <v>3.9455300728168656E-2</v>
      </c>
    </row>
    <row r="606" spans="1:42" x14ac:dyDescent="0.35">
      <c r="A606" t="s">
        <v>484</v>
      </c>
      <c r="B606" t="str">
        <f>_xlfn.TEXTAFTER(Table1[[#This Row],[OrderID]],"-",2)</f>
        <v>931633</v>
      </c>
      <c r="C606">
        <f>YEAR(Table1[[#This Row],[OrderDate]])</f>
        <v>2023</v>
      </c>
      <c r="D606" s="9">
        <f>_xlfn.MINIFS(F:F,P:P,Table1[[#This Row],[Country]])</f>
        <v>44946</v>
      </c>
      <c r="E606" s="7">
        <f>DATEDIF(Table1[[#This Row],[first_time_orders]],Table1[[#This Row],[OrderDate]],"m")</f>
        <v>3</v>
      </c>
      <c r="F606" s="9">
        <v>45060</v>
      </c>
      <c r="G606" s="2" t="str">
        <f>TEXT(Table1[[#This Row],[OrderDate]],"MMM-YYYY")</f>
        <v>May-2023</v>
      </c>
      <c r="H606" s="7">
        <f>MONTH(Table1[[#This Row],[OrderDate]])</f>
        <v>5</v>
      </c>
      <c r="I606" s="7" t="str">
        <f>"Q"&amp;ROUNDUP(Table1[[#This Row],[months]]/3,0)&amp;"-"&amp;Table1[[#This Row],[order_year]]</f>
        <v>Q2-2023</v>
      </c>
      <c r="J606" s="7">
        <f>Table1[[#This Row],[RequiredDate]]-Table1[[#This Row],[OrderDate]]</f>
        <v>8</v>
      </c>
      <c r="K606" s="7">
        <f>IF(Table1[[#This Row],[lead_time]]&lt;0,MEDIAN(J:J),Table1[[#This Row],[lead_time]])</f>
        <v>8</v>
      </c>
      <c r="L606" s="7">
        <f>IF(Table1[[#This Row],[adj_lead_time]]&lt;=7,1,0)</f>
        <v>0</v>
      </c>
      <c r="M606" s="9">
        <v>45068</v>
      </c>
      <c r="N606" s="9">
        <f>IF(Table1[[#This Row],[lead_time]]&lt;0,(Table1[[#This Row],[OrderDate]]+Table1[[#This Row],[adj_lead_time]]),Table1[[#This Row],[RequiredDate]])</f>
        <v>45068</v>
      </c>
      <c r="O606" t="s">
        <v>646</v>
      </c>
      <c r="P606" t="s">
        <v>650</v>
      </c>
      <c r="Q606" t="s">
        <v>675</v>
      </c>
      <c r="R606" t="s">
        <v>705</v>
      </c>
      <c r="S606" t="s">
        <v>710</v>
      </c>
      <c r="T606" t="s">
        <v>721</v>
      </c>
      <c r="U606" t="s">
        <v>728</v>
      </c>
      <c r="V606" t="s">
        <v>1203</v>
      </c>
      <c r="W606">
        <v>432.01</v>
      </c>
      <c r="X606">
        <f>Table1[[#This Row],[UnitCost]]*(1+'scenario modeling'!$B$3)</f>
        <v>475.21100000000001</v>
      </c>
      <c r="Y606">
        <v>913.78</v>
      </c>
      <c r="Z606" t="str">
        <f>IF(Table1[[#This Row],[UnitPrice]]&lt;=Quantiles!$B$2,Quantiles!$A$2,IF(Table1[[#This Row],[UnitPrice]]&lt;=Quantiles!$B$3,Quantiles!$A$3,Quantiles!$A$4))</f>
        <v>Medium</v>
      </c>
      <c r="AA606">
        <v>4.9000000000000002E-2</v>
      </c>
      <c r="AB606" s="5">
        <f>MIN(Table1[[#This Row],[DiscountPct]],'scenario modeling'!$B$2)</f>
        <v>4.9000000000000002E-2</v>
      </c>
      <c r="AC606" t="str">
        <f>IF(Table1[[#This Row],[DiscountPct]]&gt;0.3, "&gt;0.3","")</f>
        <v/>
      </c>
      <c r="AD606">
        <v>12</v>
      </c>
      <c r="AE606">
        <f>Table1[[#This Row],[Quantity]]*(1+'scenario modeling'!$B$4)</f>
        <v>14.399999999999999</v>
      </c>
      <c r="AF606">
        <f>Table1[[#This Row],[UnitCost]]*Table1[[#This Row],[Quantity]]</f>
        <v>5184.12</v>
      </c>
      <c r="AG606">
        <f>SUMIF($U:U,Table1[[#This Row],[ProductCategory]],$AM:AM)</f>
        <v>1616102.6546600002</v>
      </c>
      <c r="AH606">
        <f>SUMIFS($AM$2:AM606,$U$2:U606,U606)</f>
        <v>1167290.4155899999</v>
      </c>
      <c r="AI606" s="5">
        <f>Table1[[#This Row],[Cumulative_revenue]]/Table1[[#This Row],[Category_revenue]]</f>
        <v>0.72228729544137615</v>
      </c>
      <c r="AJ606" t="str">
        <f>IF(Table1[[#This Row],[cumulative_pct]]&lt;=0.8,"A",IF(Table1[[#This Row],[cumulative_pct]]&lt;=0.95,"B","C"))</f>
        <v>A</v>
      </c>
      <c r="AK606">
        <f>Table1[[#This Row],[adj_unit_cost]]*Table1[[#This Row],[scenario_quantity]]</f>
        <v>6843.0383999999995</v>
      </c>
      <c r="AL606" s="5">
        <f>Table1[[#This Row],[UnitPrice]]*Table1[[#This Row],[scenario_quantity]]*(1-Table1[[#This Row],[cap_adjusted_discount]])</f>
        <v>12513.668831999998</v>
      </c>
      <c r="AM606" s="5">
        <f>Table1[[#This Row],[UnitPrice]]*Table1[[#This Row],[Quantity]]*(1-Table1[[#This Row],[DiscountPct]])</f>
        <v>10428.057360000001</v>
      </c>
      <c r="AN606" s="5">
        <f>Table1[[#This Row],[gross_revenue]]-Table1[[#This Row],[cost_of_goods]]</f>
        <v>5243.9373600000008</v>
      </c>
      <c r="AO606" s="5">
        <f>Table1[[#This Row],[scenario_revenue]]-Table1[[#This Row],[Scenario_unit_cost]]</f>
        <v>5670.6304319999981</v>
      </c>
      <c r="AP606" s="5">
        <f>IF(Table1[[#This Row],[gross_revenue]]=0,0,Table1[[#This Row],[gross_profit]]/Table1[[#This Row],[gross_revenue]])</f>
        <v>0.50286809699711899</v>
      </c>
    </row>
    <row r="607" spans="1:42" x14ac:dyDescent="0.35">
      <c r="A607" t="s">
        <v>489</v>
      </c>
      <c r="B607" t="str">
        <f>_xlfn.TEXTAFTER(Table1[[#This Row],[OrderID]],"-",2)</f>
        <v>588455</v>
      </c>
      <c r="C607">
        <f>YEAR(Table1[[#This Row],[OrderDate]])</f>
        <v>2023</v>
      </c>
      <c r="D607" s="9">
        <f>_xlfn.MINIFS(F:F,P:P,Table1[[#This Row],[Country]])</f>
        <v>44955</v>
      </c>
      <c r="E607" s="7">
        <f>DATEDIF(Table1[[#This Row],[first_time_orders]],Table1[[#This Row],[OrderDate]],"m")</f>
        <v>3</v>
      </c>
      <c r="F607" s="9">
        <v>45069</v>
      </c>
      <c r="G607" s="2" t="str">
        <f>TEXT(Table1[[#This Row],[OrderDate]],"MMM-YYYY")</f>
        <v>May-2023</v>
      </c>
      <c r="H607" s="7">
        <f>MONTH(Table1[[#This Row],[OrderDate]])</f>
        <v>5</v>
      </c>
      <c r="I607" s="7" t="str">
        <f>"Q"&amp;ROUNDUP(Table1[[#This Row],[months]]/3,0)&amp;"-"&amp;Table1[[#This Row],[order_year]]</f>
        <v>Q2-2023</v>
      </c>
      <c r="J607" s="7">
        <f>Table1[[#This Row],[RequiredDate]]-Table1[[#This Row],[OrderDate]]</f>
        <v>2</v>
      </c>
      <c r="K607" s="7">
        <f>IF(Table1[[#This Row],[lead_time]]&lt;0,MEDIAN(J:J),Table1[[#This Row],[lead_time]])</f>
        <v>2</v>
      </c>
      <c r="L607" s="7">
        <f>IF(Table1[[#This Row],[adj_lead_time]]&lt;=7,1,0)</f>
        <v>1</v>
      </c>
      <c r="M607" s="9">
        <v>45071</v>
      </c>
      <c r="N607" s="9">
        <f>IF(Table1[[#This Row],[lead_time]]&lt;0,(Table1[[#This Row],[OrderDate]]+Table1[[#This Row],[adj_lead_time]]),Table1[[#This Row],[RequiredDate]])</f>
        <v>45071</v>
      </c>
      <c r="O607" t="s">
        <v>648</v>
      </c>
      <c r="P607" t="s">
        <v>655</v>
      </c>
      <c r="Q607" t="s">
        <v>692</v>
      </c>
      <c r="R607" t="s">
        <v>706</v>
      </c>
      <c r="S607" t="s">
        <v>707</v>
      </c>
      <c r="T607" t="s">
        <v>724</v>
      </c>
      <c r="U607" t="s">
        <v>728</v>
      </c>
      <c r="V607" t="s">
        <v>1208</v>
      </c>
      <c r="W607">
        <v>690.49</v>
      </c>
      <c r="X607">
        <f>Table1[[#This Row],[UnitCost]]*(1+'scenario modeling'!$B$3)</f>
        <v>759.5390000000001</v>
      </c>
      <c r="Y607">
        <v>1290.29</v>
      </c>
      <c r="Z607" t="str">
        <f>IF(Table1[[#This Row],[UnitPrice]]&lt;=Quantiles!$B$2,Quantiles!$A$2,IF(Table1[[#This Row],[UnitPrice]]&lt;=Quantiles!$B$3,Quantiles!$A$3,Quantiles!$A$4))</f>
        <v>Medium</v>
      </c>
      <c r="AA607">
        <v>4.2000000000000003E-2</v>
      </c>
      <c r="AB607" s="5">
        <f>MIN(Table1[[#This Row],[DiscountPct]],'scenario modeling'!$B$2)</f>
        <v>4.2000000000000003E-2</v>
      </c>
      <c r="AC607" t="str">
        <f>IF(Table1[[#This Row],[DiscountPct]]&gt;0.3, "&gt;0.3","")</f>
        <v/>
      </c>
      <c r="AD607">
        <v>22</v>
      </c>
      <c r="AE607">
        <f>Table1[[#This Row],[Quantity]]*(1+'scenario modeling'!$B$4)</f>
        <v>26.4</v>
      </c>
      <c r="AF607">
        <f>Table1[[#This Row],[UnitCost]]*Table1[[#This Row],[Quantity]]</f>
        <v>15190.78</v>
      </c>
      <c r="AG607">
        <f>SUMIF($U:U,Table1[[#This Row],[ProductCategory]],$AM:AM)</f>
        <v>1616102.6546600002</v>
      </c>
      <c r="AH607">
        <f>SUMIFS($AM$2:AM607,$U$2:U607,U607)</f>
        <v>1194484.5676299999</v>
      </c>
      <c r="AI607" s="5">
        <f>Table1[[#This Row],[Cumulative_revenue]]/Table1[[#This Row],[Category_revenue]]</f>
        <v>0.73911429090579561</v>
      </c>
      <c r="AJ607" t="str">
        <f>IF(Table1[[#This Row],[cumulative_pct]]&lt;=0.8,"A",IF(Table1[[#This Row],[cumulative_pct]]&lt;=0.95,"B","C"))</f>
        <v>A</v>
      </c>
      <c r="AK607">
        <f>Table1[[#This Row],[adj_unit_cost]]*Table1[[#This Row],[scenario_quantity]]</f>
        <v>20051.829600000001</v>
      </c>
      <c r="AL607" s="5">
        <f>Table1[[#This Row],[UnitPrice]]*Table1[[#This Row],[scenario_quantity]]*(1-Table1[[#This Row],[cap_adjusted_discount]])</f>
        <v>32632.982447999995</v>
      </c>
      <c r="AM607" s="5">
        <f>Table1[[#This Row],[UnitPrice]]*Table1[[#This Row],[Quantity]]*(1-Table1[[#This Row],[DiscountPct]])</f>
        <v>27194.152039999997</v>
      </c>
      <c r="AN607" s="5">
        <f>Table1[[#This Row],[gross_revenue]]-Table1[[#This Row],[cost_of_goods]]</f>
        <v>12003.372039999997</v>
      </c>
      <c r="AO607" s="5">
        <f>Table1[[#This Row],[scenario_revenue]]-Table1[[#This Row],[Scenario_unit_cost]]</f>
        <v>12581.152847999994</v>
      </c>
      <c r="AP607" s="5">
        <f>IF(Table1[[#This Row],[gross_revenue]]=0,0,Table1[[#This Row],[gross_profit]]/Table1[[#This Row],[gross_revenue]])</f>
        <v>0.44139534199647718</v>
      </c>
    </row>
    <row r="608" spans="1:42" x14ac:dyDescent="0.35">
      <c r="A608" t="s">
        <v>624</v>
      </c>
      <c r="B608" t="str">
        <f>_xlfn.TEXTAFTER(Table1[[#This Row],[OrderID]],"-",2)</f>
        <v>664790</v>
      </c>
      <c r="C608">
        <f>YEAR(Table1[[#This Row],[OrderDate]])</f>
        <v>2023</v>
      </c>
      <c r="D608" s="9">
        <f>_xlfn.MINIFS(F:F,P:P,Table1[[#This Row],[Country]])</f>
        <v>44939</v>
      </c>
      <c r="E608" s="7">
        <f>DATEDIF(Table1[[#This Row],[first_time_orders]],Table1[[#This Row],[OrderDate]],"m")</f>
        <v>3</v>
      </c>
      <c r="F608" s="9">
        <v>45032</v>
      </c>
      <c r="G608" s="2" t="str">
        <f>TEXT(Table1[[#This Row],[OrderDate]],"MMM-YYYY")</f>
        <v>Apr-2023</v>
      </c>
      <c r="H608" s="7">
        <f>MONTH(Table1[[#This Row],[OrderDate]])</f>
        <v>4</v>
      </c>
      <c r="I608" s="7" t="str">
        <f>"Q"&amp;ROUNDUP(Table1[[#This Row],[months]]/3,0)&amp;"-"&amp;Table1[[#This Row],[order_year]]</f>
        <v>Q2-2023</v>
      </c>
      <c r="J608" s="7">
        <f>Table1[[#This Row],[RequiredDate]]-Table1[[#This Row],[OrderDate]]</f>
        <v>7</v>
      </c>
      <c r="K608" s="7">
        <f>IF(Table1[[#This Row],[lead_time]]&lt;0,MEDIAN(J:J),Table1[[#This Row],[lead_time]])</f>
        <v>7</v>
      </c>
      <c r="L608" s="7">
        <f>IF(Table1[[#This Row],[adj_lead_time]]&lt;=7,1,0)</f>
        <v>1</v>
      </c>
      <c r="M608" s="9">
        <v>45039</v>
      </c>
      <c r="N608" s="9">
        <f>IF(Table1[[#This Row],[lead_time]]&lt;0,(Table1[[#This Row],[OrderDate]]+Table1[[#This Row],[adj_lead_time]]),Table1[[#This Row],[RequiredDate]])</f>
        <v>45039</v>
      </c>
      <c r="O608" t="s">
        <v>648</v>
      </c>
      <c r="P608" t="s">
        <v>660</v>
      </c>
      <c r="Q608" t="s">
        <v>697</v>
      </c>
      <c r="R608" t="s">
        <v>701</v>
      </c>
      <c r="S608" t="s">
        <v>710</v>
      </c>
      <c r="T608" t="s">
        <v>719</v>
      </c>
      <c r="U608" t="s">
        <v>728</v>
      </c>
      <c r="V608" t="s">
        <v>1342</v>
      </c>
      <c r="W608">
        <v>1099.1500000000001</v>
      </c>
      <c r="X608">
        <f>Table1[[#This Row],[UnitCost]]*(1+'scenario modeling'!$B$3)</f>
        <v>1209.0650000000003</v>
      </c>
      <c r="Y608">
        <v>1431.37</v>
      </c>
      <c r="Z608" t="str">
        <f>IF(Table1[[#This Row],[UnitPrice]]&lt;=Quantiles!$B$2,Quantiles!$A$2,IF(Table1[[#This Row],[UnitPrice]]&lt;=Quantiles!$B$3,Quantiles!$A$3,Quantiles!$A$4))</f>
        <v>Medium</v>
      </c>
      <c r="AA608">
        <v>0.104</v>
      </c>
      <c r="AB608" s="5">
        <f>MIN(Table1[[#This Row],[DiscountPct]],'scenario modeling'!$B$2)</f>
        <v>0.1</v>
      </c>
      <c r="AC608" t="str">
        <f>IF(Table1[[#This Row],[DiscountPct]]&gt;0.3, "&gt;0.3","")</f>
        <v/>
      </c>
      <c r="AD608">
        <v>8</v>
      </c>
      <c r="AE608">
        <f>Table1[[#This Row],[Quantity]]*(1+'scenario modeling'!$B$4)</f>
        <v>9.6</v>
      </c>
      <c r="AF608">
        <f>Table1[[#This Row],[UnitCost]]*Table1[[#This Row],[Quantity]]</f>
        <v>8793.2000000000007</v>
      </c>
      <c r="AG608">
        <f>SUMIF($U:U,Table1[[#This Row],[ProductCategory]],$AM:AM)</f>
        <v>1616102.6546600002</v>
      </c>
      <c r="AH608">
        <f>SUMIFS($AM$2:AM608,$U$2:U608,U608)</f>
        <v>1204744.6277900001</v>
      </c>
      <c r="AI608" s="5">
        <f>Table1[[#This Row],[Cumulative_revenue]]/Table1[[#This Row],[Category_revenue]]</f>
        <v>0.74546293474374448</v>
      </c>
      <c r="AJ608" t="str">
        <f>IF(Table1[[#This Row],[cumulative_pct]]&lt;=0.8,"A",IF(Table1[[#This Row],[cumulative_pct]]&lt;=0.95,"B","C"))</f>
        <v>A</v>
      </c>
      <c r="AK608">
        <f>Table1[[#This Row],[adj_unit_cost]]*Table1[[#This Row],[scenario_quantity]]</f>
        <v>11607.024000000003</v>
      </c>
      <c r="AL608" s="5">
        <f>Table1[[#This Row],[UnitPrice]]*Table1[[#This Row],[scenario_quantity]]*(1-Table1[[#This Row],[cap_adjusted_discount]])</f>
        <v>12367.036799999998</v>
      </c>
      <c r="AM608" s="5">
        <f>Table1[[#This Row],[UnitPrice]]*Table1[[#This Row],[Quantity]]*(1-Table1[[#This Row],[DiscountPct]])</f>
        <v>10260.060159999999</v>
      </c>
      <c r="AN608" s="5">
        <f>Table1[[#This Row],[gross_revenue]]-Table1[[#This Row],[cost_of_goods]]</f>
        <v>1466.8601599999984</v>
      </c>
      <c r="AO608" s="5">
        <f>Table1[[#This Row],[scenario_revenue]]-Table1[[#This Row],[Scenario_unit_cost]]</f>
        <v>760.01279999999497</v>
      </c>
      <c r="AP608" s="5">
        <f>IF(Table1[[#This Row],[gross_revenue]]=0,0,Table1[[#This Row],[gross_profit]]/Table1[[#This Row],[gross_revenue]])</f>
        <v>0.14296798821109433</v>
      </c>
    </row>
    <row r="609" spans="1:42" x14ac:dyDescent="0.35">
      <c r="A609" t="s">
        <v>370</v>
      </c>
      <c r="B609" t="str">
        <f>_xlfn.TEXTAFTER(Table1[[#This Row],[OrderID]],"-",2)</f>
        <v>949776</v>
      </c>
      <c r="C609">
        <f>YEAR(Table1[[#This Row],[OrderDate]])</f>
        <v>2025</v>
      </c>
      <c r="D609" s="9">
        <f>_xlfn.MINIFS(F:F,P:P,Table1[[#This Row],[Country]])</f>
        <v>44955</v>
      </c>
      <c r="E609" s="7">
        <f>DATEDIF(Table1[[#This Row],[first_time_orders]],Table1[[#This Row],[OrderDate]],"m")</f>
        <v>30</v>
      </c>
      <c r="F609" s="9">
        <v>45883</v>
      </c>
      <c r="G609" s="2" t="str">
        <f>TEXT(Table1[[#This Row],[OrderDate]],"MMM-YYYY")</f>
        <v>Aug-2025</v>
      </c>
      <c r="H609" s="7">
        <f>MONTH(Table1[[#This Row],[OrderDate]])</f>
        <v>8</v>
      </c>
      <c r="I609" s="7" t="str">
        <f>"Q"&amp;ROUNDUP(Table1[[#This Row],[months]]/3,0)&amp;"-"&amp;Table1[[#This Row],[order_year]]</f>
        <v>Q3-2025</v>
      </c>
      <c r="J609" s="7">
        <f>Table1[[#This Row],[RequiredDate]]-Table1[[#This Row],[OrderDate]]</f>
        <v>28</v>
      </c>
      <c r="K609" s="7">
        <f>IF(Table1[[#This Row],[lead_time]]&lt;0,MEDIAN(J:J),Table1[[#This Row],[lead_time]])</f>
        <v>28</v>
      </c>
      <c r="L609" s="7">
        <f>IF(Table1[[#This Row],[adj_lead_time]]&lt;=7,1,0)</f>
        <v>0</v>
      </c>
      <c r="M609" s="9">
        <v>45911</v>
      </c>
      <c r="N609" s="9">
        <f>IF(Table1[[#This Row],[lead_time]]&lt;0,(Table1[[#This Row],[OrderDate]]+Table1[[#This Row],[adj_lead_time]]),Table1[[#This Row],[RequiredDate]])</f>
        <v>45911</v>
      </c>
      <c r="O609" t="s">
        <v>648</v>
      </c>
      <c r="P609" t="s">
        <v>655</v>
      </c>
      <c r="Q609" t="s">
        <v>670</v>
      </c>
      <c r="R609" t="s">
        <v>703</v>
      </c>
      <c r="S609" t="s">
        <v>711</v>
      </c>
      <c r="T609" t="s">
        <v>721</v>
      </c>
      <c r="U609" t="s">
        <v>728</v>
      </c>
      <c r="V609" t="s">
        <v>1090</v>
      </c>
      <c r="W609">
        <v>1203.02</v>
      </c>
      <c r="X609">
        <f>Table1[[#This Row],[UnitCost]]*(1+'scenario modeling'!$B$3)</f>
        <v>1323.3220000000001</v>
      </c>
      <c r="Y609">
        <v>2439.33</v>
      </c>
      <c r="Z609" t="str">
        <f>IF(Table1[[#This Row],[UnitPrice]]&lt;=Quantiles!$B$2,Quantiles!$A$2,IF(Table1[[#This Row],[UnitPrice]]&lt;=Quantiles!$B$3,Quantiles!$A$3,Quantiles!$A$4))</f>
        <v>High</v>
      </c>
      <c r="AA609">
        <v>0</v>
      </c>
      <c r="AB609" s="5">
        <f>MIN(Table1[[#This Row],[DiscountPct]],'scenario modeling'!$B$2)</f>
        <v>0</v>
      </c>
      <c r="AC609" t="str">
        <f>IF(Table1[[#This Row],[DiscountPct]]&gt;0.3, "&gt;0.3","")</f>
        <v/>
      </c>
      <c r="AD609">
        <v>18</v>
      </c>
      <c r="AE609">
        <f>Table1[[#This Row],[Quantity]]*(1+'scenario modeling'!$B$4)</f>
        <v>21.599999999999998</v>
      </c>
      <c r="AF609">
        <f>Table1[[#This Row],[UnitCost]]*Table1[[#This Row],[Quantity]]</f>
        <v>21654.36</v>
      </c>
      <c r="AG609">
        <f>SUMIF($U:U,Table1[[#This Row],[ProductCategory]],$AM:AM)</f>
        <v>1616102.6546600002</v>
      </c>
      <c r="AH609">
        <f>SUMIFS($AM$2:AM609,$U$2:U609,U609)</f>
        <v>1248652.56779</v>
      </c>
      <c r="AI609" s="5">
        <f>Table1[[#This Row],[Cumulative_revenue]]/Table1[[#This Row],[Category_revenue]]</f>
        <v>0.77263196381092181</v>
      </c>
      <c r="AJ609" t="str">
        <f>IF(Table1[[#This Row],[cumulative_pct]]&lt;=0.8,"A",IF(Table1[[#This Row],[cumulative_pct]]&lt;=0.95,"B","C"))</f>
        <v>A</v>
      </c>
      <c r="AK609">
        <f>Table1[[#This Row],[adj_unit_cost]]*Table1[[#This Row],[scenario_quantity]]</f>
        <v>28583.7552</v>
      </c>
      <c r="AL609" s="5">
        <f>Table1[[#This Row],[UnitPrice]]*Table1[[#This Row],[scenario_quantity]]*(1-Table1[[#This Row],[cap_adjusted_discount]])</f>
        <v>52689.527999999991</v>
      </c>
      <c r="AM609" s="5">
        <f>Table1[[#This Row],[UnitPrice]]*Table1[[#This Row],[Quantity]]*(1-Table1[[#This Row],[DiscountPct]])</f>
        <v>43907.94</v>
      </c>
      <c r="AN609" s="5">
        <f>Table1[[#This Row],[gross_revenue]]-Table1[[#This Row],[cost_of_goods]]</f>
        <v>22253.58</v>
      </c>
      <c r="AO609" s="5">
        <f>Table1[[#This Row],[scenario_revenue]]-Table1[[#This Row],[Scenario_unit_cost]]</f>
        <v>24105.772799999992</v>
      </c>
      <c r="AP609" s="5">
        <f>IF(Table1[[#This Row],[gross_revenue]]=0,0,Table1[[#This Row],[gross_profit]]/Table1[[#This Row],[gross_revenue]])</f>
        <v>0.50682359500354612</v>
      </c>
    </row>
    <row r="610" spans="1:42" x14ac:dyDescent="0.35">
      <c r="A610" t="s">
        <v>242</v>
      </c>
      <c r="B610" t="str">
        <f>_xlfn.TEXTAFTER(Table1[[#This Row],[OrderID]],"-",2)</f>
        <v>289139</v>
      </c>
      <c r="C610">
        <f>YEAR(Table1[[#This Row],[OrderDate]])</f>
        <v>2025</v>
      </c>
      <c r="D610" s="9">
        <f>_xlfn.MINIFS(F:F,P:P,Table1[[#This Row],[Country]])</f>
        <v>44939</v>
      </c>
      <c r="E610" s="7">
        <f>DATEDIF(Table1[[#This Row],[first_time_orders]],Table1[[#This Row],[OrderDate]],"m")</f>
        <v>30</v>
      </c>
      <c r="F610" s="9">
        <v>45879</v>
      </c>
      <c r="G610" s="2" t="str">
        <f>TEXT(Table1[[#This Row],[OrderDate]],"MMM-YYYY")</f>
        <v>Aug-2025</v>
      </c>
      <c r="H610" s="7">
        <f>MONTH(Table1[[#This Row],[OrderDate]])</f>
        <v>8</v>
      </c>
      <c r="I610" s="7" t="str">
        <f>"Q"&amp;ROUNDUP(Table1[[#This Row],[months]]/3,0)&amp;"-"&amp;Table1[[#This Row],[order_year]]</f>
        <v>Q3-2025</v>
      </c>
      <c r="J610" s="7">
        <f>Table1[[#This Row],[RequiredDate]]-Table1[[#This Row],[OrderDate]]</f>
        <v>20</v>
      </c>
      <c r="K610" s="7">
        <f>IF(Table1[[#This Row],[lead_time]]&lt;0,MEDIAN(J:J),Table1[[#This Row],[lead_time]])</f>
        <v>20</v>
      </c>
      <c r="L610" s="7">
        <f>IF(Table1[[#This Row],[adj_lead_time]]&lt;=7,1,0)</f>
        <v>0</v>
      </c>
      <c r="M610" s="9">
        <v>45899</v>
      </c>
      <c r="N610" s="9">
        <f>IF(Table1[[#This Row],[lead_time]]&lt;0,(Table1[[#This Row],[OrderDate]]+Table1[[#This Row],[adj_lead_time]]),Table1[[#This Row],[RequiredDate]])</f>
        <v>45899</v>
      </c>
      <c r="O610" t="s">
        <v>648</v>
      </c>
      <c r="P610" t="s">
        <v>660</v>
      </c>
      <c r="Q610" t="s">
        <v>686</v>
      </c>
      <c r="R610" t="s">
        <v>701</v>
      </c>
      <c r="S610" t="s">
        <v>709</v>
      </c>
      <c r="T610" t="s">
        <v>723</v>
      </c>
      <c r="U610" t="s">
        <v>728</v>
      </c>
      <c r="V610" t="s">
        <v>962</v>
      </c>
      <c r="W610">
        <v>933.29</v>
      </c>
      <c r="X610">
        <f>Table1[[#This Row],[UnitCost]]*(1+'scenario modeling'!$B$3)</f>
        <v>1026.6190000000001</v>
      </c>
      <c r="Y610">
        <v>1456.81</v>
      </c>
      <c r="Z610" t="str">
        <f>IF(Table1[[#This Row],[UnitPrice]]&lt;=Quantiles!$B$2,Quantiles!$A$2,IF(Table1[[#This Row],[UnitPrice]]&lt;=Quantiles!$B$3,Quantiles!$A$3,Quantiles!$A$4))</f>
        <v>Medium</v>
      </c>
      <c r="AA610">
        <v>0.123</v>
      </c>
      <c r="AB610" s="5">
        <f>MIN(Table1[[#This Row],[DiscountPct]],'scenario modeling'!$B$2)</f>
        <v>0.1</v>
      </c>
      <c r="AC610" t="str">
        <f>IF(Table1[[#This Row],[DiscountPct]]&gt;0.3, "&gt;0.3","")</f>
        <v/>
      </c>
      <c r="AD610">
        <v>13</v>
      </c>
      <c r="AE610">
        <f>Table1[[#This Row],[Quantity]]*(1+'scenario modeling'!$B$4)</f>
        <v>15.6</v>
      </c>
      <c r="AF610">
        <f>Table1[[#This Row],[UnitCost]]*Table1[[#This Row],[Quantity]]</f>
        <v>12132.77</v>
      </c>
      <c r="AG610">
        <f>SUMIF($U:U,Table1[[#This Row],[ProductCategory]],$AM:AM)</f>
        <v>1616102.6546600002</v>
      </c>
      <c r="AH610">
        <f>SUMIFS($AM$2:AM610,$U$2:U610,U610)</f>
        <v>1265261.6586</v>
      </c>
      <c r="AI610" s="5">
        <f>Table1[[#This Row],[Cumulative_revenue]]/Table1[[#This Row],[Category_revenue]]</f>
        <v>0.78290921368864952</v>
      </c>
      <c r="AJ610" t="str">
        <f>IF(Table1[[#This Row],[cumulative_pct]]&lt;=0.8,"A",IF(Table1[[#This Row],[cumulative_pct]]&lt;=0.95,"B","C"))</f>
        <v>A</v>
      </c>
      <c r="AK610">
        <f>Table1[[#This Row],[adj_unit_cost]]*Table1[[#This Row],[scenario_quantity]]</f>
        <v>16015.256400000002</v>
      </c>
      <c r="AL610" s="5">
        <f>Table1[[#This Row],[UnitPrice]]*Table1[[#This Row],[scenario_quantity]]*(1-Table1[[#This Row],[cap_adjusted_discount]])</f>
        <v>20453.612399999998</v>
      </c>
      <c r="AM610" s="5">
        <f>Table1[[#This Row],[UnitPrice]]*Table1[[#This Row],[Quantity]]*(1-Table1[[#This Row],[DiscountPct]])</f>
        <v>16609.090809999998</v>
      </c>
      <c r="AN610" s="5">
        <f>Table1[[#This Row],[gross_revenue]]-Table1[[#This Row],[cost_of_goods]]</f>
        <v>4476.3208099999974</v>
      </c>
      <c r="AO610" s="5">
        <f>Table1[[#This Row],[scenario_revenue]]-Table1[[#This Row],[Scenario_unit_cost]]</f>
        <v>4438.3559999999961</v>
      </c>
      <c r="AP610" s="5">
        <f>IF(Table1[[#This Row],[gross_revenue]]=0,0,Table1[[#This Row],[gross_profit]]/Table1[[#This Row],[gross_revenue]])</f>
        <v>0.26951028573489977</v>
      </c>
    </row>
    <row r="611" spans="1:42" x14ac:dyDescent="0.35">
      <c r="A611" t="s">
        <v>396</v>
      </c>
      <c r="B611" t="str">
        <f>_xlfn.TEXTAFTER(Table1[[#This Row],[OrderID]],"-",2)</f>
        <v>789245</v>
      </c>
      <c r="C611">
        <f>YEAR(Table1[[#This Row],[OrderDate]])</f>
        <v>2025</v>
      </c>
      <c r="D611" s="9">
        <f>_xlfn.MINIFS(F:F,P:P,Table1[[#This Row],[Country]])</f>
        <v>44945</v>
      </c>
      <c r="E611" s="7">
        <f>DATEDIF(Table1[[#This Row],[first_time_orders]],Table1[[#This Row],[OrderDate]],"m")</f>
        <v>30</v>
      </c>
      <c r="F611" s="9">
        <v>45861</v>
      </c>
      <c r="G611" s="2" t="str">
        <f>TEXT(Table1[[#This Row],[OrderDate]],"MMM-YYYY")</f>
        <v>Jul-2025</v>
      </c>
      <c r="H611" s="7">
        <f>MONTH(Table1[[#This Row],[OrderDate]])</f>
        <v>7</v>
      </c>
      <c r="I611" s="7" t="str">
        <f>"Q"&amp;ROUNDUP(Table1[[#This Row],[months]]/3,0)&amp;"-"&amp;Table1[[#This Row],[order_year]]</f>
        <v>Q3-2025</v>
      </c>
      <c r="J611" s="7">
        <f>Table1[[#This Row],[RequiredDate]]-Table1[[#This Row],[OrderDate]]</f>
        <v>25</v>
      </c>
      <c r="K611" s="7">
        <f>IF(Table1[[#This Row],[lead_time]]&lt;0,MEDIAN(J:J),Table1[[#This Row],[lead_time]])</f>
        <v>25</v>
      </c>
      <c r="L611" s="7">
        <f>IF(Table1[[#This Row],[adj_lead_time]]&lt;=7,1,0)</f>
        <v>0</v>
      </c>
      <c r="M611" s="9">
        <v>45886</v>
      </c>
      <c r="N611" s="9">
        <f>IF(Table1[[#This Row],[lead_time]]&lt;0,(Table1[[#This Row],[OrderDate]]+Table1[[#This Row],[adj_lead_time]]),Table1[[#This Row],[RequiredDate]])</f>
        <v>45886</v>
      </c>
      <c r="O611" t="s">
        <v>649</v>
      </c>
      <c r="P611" t="s">
        <v>658</v>
      </c>
      <c r="Q611" t="s">
        <v>674</v>
      </c>
      <c r="R611" t="s">
        <v>702</v>
      </c>
      <c r="S611" t="s">
        <v>708</v>
      </c>
      <c r="T611" t="s">
        <v>714</v>
      </c>
      <c r="U611" t="s">
        <v>728</v>
      </c>
      <c r="V611" t="s">
        <v>1115</v>
      </c>
      <c r="W611">
        <v>1142.06</v>
      </c>
      <c r="X611">
        <f>Table1[[#This Row],[UnitCost]]*(1+'scenario modeling'!$B$3)</f>
        <v>1256.2660000000001</v>
      </c>
      <c r="Y611">
        <v>1455</v>
      </c>
      <c r="Z611" t="str">
        <f>IF(Table1[[#This Row],[UnitPrice]]&lt;=Quantiles!$B$2,Quantiles!$A$2,IF(Table1[[#This Row],[UnitPrice]]&lt;=Quantiles!$B$3,Quantiles!$A$3,Quantiles!$A$4))</f>
        <v>Medium</v>
      </c>
      <c r="AA611">
        <v>7.8E-2</v>
      </c>
      <c r="AB611" s="5">
        <f>MIN(Table1[[#This Row],[DiscountPct]],'scenario modeling'!$B$2)</f>
        <v>7.8E-2</v>
      </c>
      <c r="AC611" t="str">
        <f>IF(Table1[[#This Row],[DiscountPct]]&gt;0.3, "&gt;0.3","")</f>
        <v/>
      </c>
      <c r="AD611">
        <v>28</v>
      </c>
      <c r="AE611">
        <f>Table1[[#This Row],[Quantity]]*(1+'scenario modeling'!$B$4)</f>
        <v>33.6</v>
      </c>
      <c r="AF611">
        <f>Table1[[#This Row],[UnitCost]]*Table1[[#This Row],[Quantity]]</f>
        <v>31977.68</v>
      </c>
      <c r="AG611">
        <f>SUMIF($U:U,Table1[[#This Row],[ProductCategory]],$AM:AM)</f>
        <v>1616102.6546600002</v>
      </c>
      <c r="AH611">
        <f>SUMIFS($AM$2:AM611,$U$2:U611,U611)</f>
        <v>1302823.9386</v>
      </c>
      <c r="AI611" s="5">
        <f>Table1[[#This Row],[Cumulative_revenue]]/Table1[[#This Row],[Category_revenue]]</f>
        <v>0.80615172238182564</v>
      </c>
      <c r="AJ611" t="str">
        <f>IF(Table1[[#This Row],[cumulative_pct]]&lt;=0.8,"A",IF(Table1[[#This Row],[cumulative_pct]]&lt;=0.95,"B","C"))</f>
        <v>B</v>
      </c>
      <c r="AK611">
        <f>Table1[[#This Row],[adj_unit_cost]]*Table1[[#This Row],[scenario_quantity]]</f>
        <v>42210.537600000003</v>
      </c>
      <c r="AL611" s="5">
        <f>Table1[[#This Row],[UnitPrice]]*Table1[[#This Row],[scenario_quantity]]*(1-Table1[[#This Row],[cap_adjusted_discount]])</f>
        <v>45074.736000000004</v>
      </c>
      <c r="AM611" s="5">
        <f>Table1[[#This Row],[UnitPrice]]*Table1[[#This Row],[Quantity]]*(1-Table1[[#This Row],[DiscountPct]])</f>
        <v>37562.28</v>
      </c>
      <c r="AN611" s="5">
        <f>Table1[[#This Row],[gross_revenue]]-Table1[[#This Row],[cost_of_goods]]</f>
        <v>5584.5999999999985</v>
      </c>
      <c r="AO611" s="5">
        <f>Table1[[#This Row],[scenario_revenue]]-Table1[[#This Row],[Scenario_unit_cost]]</f>
        <v>2864.1984000000011</v>
      </c>
      <c r="AP611" s="5">
        <f>IF(Table1[[#This Row],[gross_revenue]]=0,0,Table1[[#This Row],[gross_profit]]/Table1[[#This Row],[gross_revenue]])</f>
        <v>0.1486757459877302</v>
      </c>
    </row>
    <row r="612" spans="1:42" x14ac:dyDescent="0.35">
      <c r="A612" t="s">
        <v>194</v>
      </c>
      <c r="B612" t="str">
        <f>_xlfn.TEXTAFTER(Table1[[#This Row],[OrderID]],"-",2)</f>
        <v>652467</v>
      </c>
      <c r="C612">
        <f>YEAR(Table1[[#This Row],[OrderDate]])</f>
        <v>2025</v>
      </c>
      <c r="D612" s="9">
        <f>_xlfn.MINIFS(F:F,P:P,Table1[[#This Row],[Country]])</f>
        <v>44938</v>
      </c>
      <c r="E612" s="7">
        <f>DATEDIF(Table1[[#This Row],[first_time_orders]],Table1[[#This Row],[OrderDate]],"m")</f>
        <v>31</v>
      </c>
      <c r="F612" s="9">
        <v>45890</v>
      </c>
      <c r="G612" s="2" t="str">
        <f>TEXT(Table1[[#This Row],[OrderDate]],"MMM-YYYY")</f>
        <v>Aug-2025</v>
      </c>
      <c r="H612" s="7">
        <f>MONTH(Table1[[#This Row],[OrderDate]])</f>
        <v>8</v>
      </c>
      <c r="I612" s="7" t="str">
        <f>"Q"&amp;ROUNDUP(Table1[[#This Row],[months]]/3,0)&amp;"-"&amp;Table1[[#This Row],[order_year]]</f>
        <v>Q3-2025</v>
      </c>
      <c r="J612" s="7">
        <f>Table1[[#This Row],[RequiredDate]]-Table1[[#This Row],[OrderDate]]</f>
        <v>22</v>
      </c>
      <c r="K612" s="7">
        <f>IF(Table1[[#This Row],[lead_time]]&lt;0,MEDIAN(J:J),Table1[[#This Row],[lead_time]])</f>
        <v>22</v>
      </c>
      <c r="L612" s="7">
        <f>IF(Table1[[#This Row],[adj_lead_time]]&lt;=7,1,0)</f>
        <v>0</v>
      </c>
      <c r="M612" s="9">
        <v>45912</v>
      </c>
      <c r="N612" s="9">
        <f>IF(Table1[[#This Row],[lead_time]]&lt;0,(Table1[[#This Row],[OrderDate]]+Table1[[#This Row],[adj_lead_time]]),Table1[[#This Row],[RequiredDate]])</f>
        <v>45912</v>
      </c>
      <c r="O612" t="s">
        <v>647</v>
      </c>
      <c r="P612" t="s">
        <v>659</v>
      </c>
      <c r="Q612" t="s">
        <v>676</v>
      </c>
      <c r="R612" t="s">
        <v>702</v>
      </c>
      <c r="S612" t="s">
        <v>707</v>
      </c>
      <c r="T612" t="s">
        <v>717</v>
      </c>
      <c r="U612" t="s">
        <v>728</v>
      </c>
      <c r="V612" t="s">
        <v>913</v>
      </c>
      <c r="W612">
        <v>352.66</v>
      </c>
      <c r="X612">
        <f>Table1[[#This Row],[UnitCost]]*(1+'scenario modeling'!$B$3)</f>
        <v>387.92600000000004</v>
      </c>
      <c r="Y612">
        <v>411.18</v>
      </c>
      <c r="Z612" t="str">
        <f>IF(Table1[[#This Row],[UnitPrice]]&lt;=Quantiles!$B$2,Quantiles!$A$2,IF(Table1[[#This Row],[UnitPrice]]&lt;=Quantiles!$B$3,Quantiles!$A$3,Quantiles!$A$4))</f>
        <v>Low</v>
      </c>
      <c r="AA612">
        <v>0.17299999999999999</v>
      </c>
      <c r="AB612" s="5">
        <f>MIN(Table1[[#This Row],[DiscountPct]],'scenario modeling'!$B$2)</f>
        <v>0.1</v>
      </c>
      <c r="AC612" t="str">
        <f>IF(Table1[[#This Row],[DiscountPct]]&gt;0.3, "&gt;0.3","")</f>
        <v/>
      </c>
      <c r="AD612">
        <v>13</v>
      </c>
      <c r="AE612">
        <f>Table1[[#This Row],[Quantity]]*(1+'scenario modeling'!$B$4)</f>
        <v>15.6</v>
      </c>
      <c r="AF612">
        <f>Table1[[#This Row],[UnitCost]]*Table1[[#This Row],[Quantity]]</f>
        <v>4584.58</v>
      </c>
      <c r="AG612">
        <f>SUMIF($U:U,Table1[[#This Row],[ProductCategory]],$AM:AM)</f>
        <v>1616102.6546600002</v>
      </c>
      <c r="AH612">
        <f>SUMIFS($AM$2:AM612,$U$2:U612,U612)</f>
        <v>1307244.5347800001</v>
      </c>
      <c r="AI612" s="5">
        <f>Table1[[#This Row],[Cumulative_revenue]]/Table1[[#This Row],[Category_revenue]]</f>
        <v>0.80888706606018257</v>
      </c>
      <c r="AJ612" t="str">
        <f>IF(Table1[[#This Row],[cumulative_pct]]&lt;=0.8,"A",IF(Table1[[#This Row],[cumulative_pct]]&lt;=0.95,"B","C"))</f>
        <v>B</v>
      </c>
      <c r="AK612">
        <f>Table1[[#This Row],[adj_unit_cost]]*Table1[[#This Row],[scenario_quantity]]</f>
        <v>6051.6456000000007</v>
      </c>
      <c r="AL612" s="5">
        <f>Table1[[#This Row],[UnitPrice]]*Table1[[#This Row],[scenario_quantity]]*(1-Table1[[#This Row],[cap_adjusted_discount]])</f>
        <v>5772.9672</v>
      </c>
      <c r="AM612" s="5">
        <f>Table1[[#This Row],[UnitPrice]]*Table1[[#This Row],[Quantity]]*(1-Table1[[#This Row],[DiscountPct]])</f>
        <v>4420.5961799999995</v>
      </c>
      <c r="AN612" s="5">
        <f>Table1[[#This Row],[gross_revenue]]-Table1[[#This Row],[cost_of_goods]]</f>
        <v>-163.98382000000038</v>
      </c>
      <c r="AO612" s="5">
        <f>Table1[[#This Row],[scenario_revenue]]-Table1[[#This Row],[Scenario_unit_cost]]</f>
        <v>-278.67840000000069</v>
      </c>
      <c r="AP612" s="5">
        <f>IF(Table1[[#This Row],[gross_revenue]]=0,0,Table1[[#This Row],[gross_profit]]/Table1[[#This Row],[gross_revenue]])</f>
        <v>-3.7095408248758066E-2</v>
      </c>
    </row>
    <row r="613" spans="1:42" x14ac:dyDescent="0.35">
      <c r="A613" t="s">
        <v>279</v>
      </c>
      <c r="B613" t="str">
        <f>_xlfn.TEXTAFTER(Table1[[#This Row],[OrderID]],"-",2)</f>
        <v>898022</v>
      </c>
      <c r="C613">
        <f>YEAR(Table1[[#This Row],[OrderDate]])</f>
        <v>2025</v>
      </c>
      <c r="D613" s="9">
        <f>_xlfn.MINIFS(F:F,P:P,Table1[[#This Row],[Country]])</f>
        <v>44928</v>
      </c>
      <c r="E613" s="7">
        <f>DATEDIF(Table1[[#This Row],[first_time_orders]],Table1[[#This Row],[OrderDate]],"m")</f>
        <v>32</v>
      </c>
      <c r="F613" s="9">
        <v>45902</v>
      </c>
      <c r="G613" s="2" t="str">
        <f>TEXT(Table1[[#This Row],[OrderDate]],"MMM-YYYY")</f>
        <v>Sept-2025</v>
      </c>
      <c r="H613" s="7">
        <f>MONTH(Table1[[#This Row],[OrderDate]])</f>
        <v>9</v>
      </c>
      <c r="I613" s="7" t="str">
        <f>"Q"&amp;ROUNDUP(Table1[[#This Row],[months]]/3,0)&amp;"-"&amp;Table1[[#This Row],[order_year]]</f>
        <v>Q3-2025</v>
      </c>
      <c r="J613" s="7">
        <f>Table1[[#This Row],[RequiredDate]]-Table1[[#This Row],[OrderDate]]</f>
        <v>9</v>
      </c>
      <c r="K613" s="7">
        <f>IF(Table1[[#This Row],[lead_time]]&lt;0,MEDIAN(J:J),Table1[[#This Row],[lead_time]])</f>
        <v>9</v>
      </c>
      <c r="L613" s="7">
        <f>IF(Table1[[#This Row],[adj_lead_time]]&lt;=7,1,0)</f>
        <v>0</v>
      </c>
      <c r="M613" s="9">
        <v>45911</v>
      </c>
      <c r="N613" s="9">
        <f>IF(Table1[[#This Row],[lead_time]]&lt;0,(Table1[[#This Row],[OrderDate]]+Table1[[#This Row],[adj_lead_time]]),Table1[[#This Row],[RequiredDate]])</f>
        <v>45911</v>
      </c>
      <c r="O613" t="s">
        <v>648</v>
      </c>
      <c r="P613" t="s">
        <v>653</v>
      </c>
      <c r="Q613" t="s">
        <v>667</v>
      </c>
      <c r="R613" t="s">
        <v>701</v>
      </c>
      <c r="S613" t="s">
        <v>710</v>
      </c>
      <c r="T613" t="s">
        <v>724</v>
      </c>
      <c r="U613" t="s">
        <v>728</v>
      </c>
      <c r="V613" t="s">
        <v>999</v>
      </c>
      <c r="W613">
        <v>1207.6300000000001</v>
      </c>
      <c r="X613">
        <f>Table1[[#This Row],[UnitCost]]*(1+'scenario modeling'!$B$3)</f>
        <v>1328.3930000000003</v>
      </c>
      <c r="Y613">
        <v>921.68</v>
      </c>
      <c r="Z613" t="str">
        <f>IF(Table1[[#This Row],[UnitPrice]]&lt;=Quantiles!$B$2,Quantiles!$A$2,IF(Table1[[#This Row],[UnitPrice]]&lt;=Quantiles!$B$3,Quantiles!$A$3,Quantiles!$A$4))</f>
        <v>Medium</v>
      </c>
      <c r="AA613">
        <v>0.19600000000000001</v>
      </c>
      <c r="AB613" s="5">
        <f>MIN(Table1[[#This Row],[DiscountPct]],'scenario modeling'!$B$2)</f>
        <v>0.1</v>
      </c>
      <c r="AC613" t="str">
        <f>IF(Table1[[#This Row],[DiscountPct]]&gt;0.3, "&gt;0.3","")</f>
        <v/>
      </c>
      <c r="AD613">
        <v>17</v>
      </c>
      <c r="AE613">
        <f>Table1[[#This Row],[Quantity]]*(1+'scenario modeling'!$B$4)</f>
        <v>20.399999999999999</v>
      </c>
      <c r="AF613">
        <f>Table1[[#This Row],[UnitCost]]*Table1[[#This Row],[Quantity]]</f>
        <v>20529.710000000003</v>
      </c>
      <c r="AG613">
        <f>SUMIF($U:U,Table1[[#This Row],[ProductCategory]],$AM:AM)</f>
        <v>1616102.6546600002</v>
      </c>
      <c r="AH613">
        <f>SUMIFS($AM$2:AM613,$U$2:U613,U613)</f>
        <v>1319842.0570200002</v>
      </c>
      <c r="AI613" s="5">
        <f>Table1[[#This Row],[Cumulative_revenue]]/Table1[[#This Row],[Category_revenue]]</f>
        <v>0.81668206732676385</v>
      </c>
      <c r="AJ613" t="str">
        <f>IF(Table1[[#This Row],[cumulative_pct]]&lt;=0.8,"A",IF(Table1[[#This Row],[cumulative_pct]]&lt;=0.95,"B","C"))</f>
        <v>B</v>
      </c>
      <c r="AK613">
        <f>Table1[[#This Row],[adj_unit_cost]]*Table1[[#This Row],[scenario_quantity]]</f>
        <v>27099.217200000003</v>
      </c>
      <c r="AL613" s="5">
        <f>Table1[[#This Row],[UnitPrice]]*Table1[[#This Row],[scenario_quantity]]*(1-Table1[[#This Row],[cap_adjusted_discount]])</f>
        <v>16922.0448</v>
      </c>
      <c r="AM613" s="5">
        <f>Table1[[#This Row],[UnitPrice]]*Table1[[#This Row],[Quantity]]*(1-Table1[[#This Row],[DiscountPct]])</f>
        <v>12597.52224</v>
      </c>
      <c r="AN613" s="5">
        <f>Table1[[#This Row],[gross_revenue]]-Table1[[#This Row],[cost_of_goods]]</f>
        <v>-7932.1877600000025</v>
      </c>
      <c r="AO613" s="5">
        <f>Table1[[#This Row],[scenario_revenue]]-Table1[[#This Row],[Scenario_unit_cost]]</f>
        <v>-10177.172400000003</v>
      </c>
      <c r="AP613" s="5">
        <f>IF(Table1[[#This Row],[gross_revenue]]=0,0,Table1[[#This Row],[gross_profit]]/Table1[[#This Row],[gross_revenue]])</f>
        <v>-0.62966253274897988</v>
      </c>
    </row>
    <row r="614" spans="1:42" x14ac:dyDescent="0.35">
      <c r="A614" t="s">
        <v>107</v>
      </c>
      <c r="B614" t="str">
        <f>_xlfn.TEXTAFTER(Table1[[#This Row],[OrderID]],"-",2)</f>
        <v>374486</v>
      </c>
      <c r="C614">
        <f>YEAR(Table1[[#This Row],[OrderDate]])</f>
        <v>2023</v>
      </c>
      <c r="D614" s="9">
        <f>_xlfn.MINIFS(F:F,P:P,Table1[[#This Row],[Country]])</f>
        <v>44955</v>
      </c>
      <c r="E614" s="7">
        <f>DATEDIF(Table1[[#This Row],[first_time_orders]],Table1[[#This Row],[OrderDate]],"m")</f>
        <v>4</v>
      </c>
      <c r="F614" s="9">
        <v>45101</v>
      </c>
      <c r="G614" s="2" t="str">
        <f>TEXT(Table1[[#This Row],[OrderDate]],"MMM-YYYY")</f>
        <v>Jun-2023</v>
      </c>
      <c r="H614" s="7">
        <f>MONTH(Table1[[#This Row],[OrderDate]])</f>
        <v>6</v>
      </c>
      <c r="I614" s="7" t="str">
        <f>"Q"&amp;ROUNDUP(Table1[[#This Row],[months]]/3,0)&amp;"-"&amp;Table1[[#This Row],[order_year]]</f>
        <v>Q2-2023</v>
      </c>
      <c r="J614" s="7">
        <f>Table1[[#This Row],[RequiredDate]]-Table1[[#This Row],[OrderDate]]</f>
        <v>-1</v>
      </c>
      <c r="K614" s="7">
        <f>IF(Table1[[#This Row],[lead_time]]&lt;0,MEDIAN(J:J),Table1[[#This Row],[lead_time]])</f>
        <v>15</v>
      </c>
      <c r="L614" s="7">
        <f>IF(Table1[[#This Row],[adj_lead_time]]&lt;=7,1,0)</f>
        <v>0</v>
      </c>
      <c r="M614" s="9">
        <v>45100</v>
      </c>
      <c r="N614" s="9">
        <f>IF(Table1[[#This Row],[lead_time]]&lt;0,(Table1[[#This Row],[OrderDate]]+Table1[[#This Row],[adj_lead_time]]),Table1[[#This Row],[RequiredDate]])</f>
        <v>45116</v>
      </c>
      <c r="O614" t="s">
        <v>648</v>
      </c>
      <c r="P614" t="s">
        <v>655</v>
      </c>
      <c r="Q614" t="s">
        <v>692</v>
      </c>
      <c r="R614" t="s">
        <v>703</v>
      </c>
      <c r="S614" t="s">
        <v>707</v>
      </c>
      <c r="T614" t="s">
        <v>718</v>
      </c>
      <c r="U614" t="s">
        <v>728</v>
      </c>
      <c r="V614" t="s">
        <v>826</v>
      </c>
      <c r="W614">
        <v>804.01</v>
      </c>
      <c r="X614">
        <f>Table1[[#This Row],[UnitCost]]*(1+'scenario modeling'!$B$3)</f>
        <v>884.41100000000006</v>
      </c>
      <c r="Y614">
        <v>1405.07</v>
      </c>
      <c r="Z614" t="str">
        <f>IF(Table1[[#This Row],[UnitPrice]]&lt;=Quantiles!$B$2,Quantiles!$A$2,IF(Table1[[#This Row],[UnitPrice]]&lt;=Quantiles!$B$3,Quantiles!$A$3,Quantiles!$A$4))</f>
        <v>Medium</v>
      </c>
      <c r="AA614">
        <v>9.6000000000000002E-2</v>
      </c>
      <c r="AB614" s="5">
        <f>MIN(Table1[[#This Row],[DiscountPct]],'scenario modeling'!$B$2)</f>
        <v>9.6000000000000002E-2</v>
      </c>
      <c r="AC614" t="str">
        <f>IF(Table1[[#This Row],[DiscountPct]]&gt;0.3, "&gt;0.3","")</f>
        <v/>
      </c>
      <c r="AD614">
        <v>8</v>
      </c>
      <c r="AE614">
        <f>Table1[[#This Row],[Quantity]]*(1+'scenario modeling'!$B$4)</f>
        <v>9.6</v>
      </c>
      <c r="AF614">
        <f>Table1[[#This Row],[UnitCost]]*Table1[[#This Row],[Quantity]]</f>
        <v>6432.08</v>
      </c>
      <c r="AG614">
        <f>SUMIF($U:U,Table1[[#This Row],[ProductCategory]],$AM:AM)</f>
        <v>1616102.6546600002</v>
      </c>
      <c r="AH614">
        <f>SUMIFS($AM$2:AM614,$U$2:U614,U614)</f>
        <v>1330003.5232600002</v>
      </c>
      <c r="AI614" s="5">
        <f>Table1[[#This Row],[Cumulative_revenue]]/Table1[[#This Row],[Category_revenue]]</f>
        <v>0.82296970395102143</v>
      </c>
      <c r="AJ614" t="str">
        <f>IF(Table1[[#This Row],[cumulative_pct]]&lt;=0.8,"A",IF(Table1[[#This Row],[cumulative_pct]]&lt;=0.95,"B","C"))</f>
        <v>B</v>
      </c>
      <c r="AK614">
        <f>Table1[[#This Row],[adj_unit_cost]]*Table1[[#This Row],[scenario_quantity]]</f>
        <v>8490.3456000000006</v>
      </c>
      <c r="AL614" s="5">
        <f>Table1[[#This Row],[UnitPrice]]*Table1[[#This Row],[scenario_quantity]]*(1-Table1[[#This Row],[cap_adjusted_discount]])</f>
        <v>12193.759488</v>
      </c>
      <c r="AM614" s="5">
        <f>Table1[[#This Row],[UnitPrice]]*Table1[[#This Row],[Quantity]]*(1-Table1[[#This Row],[DiscountPct]])</f>
        <v>10161.46624</v>
      </c>
      <c r="AN614" s="5">
        <f>Table1[[#This Row],[gross_revenue]]-Table1[[#This Row],[cost_of_goods]]</f>
        <v>3729.3862399999998</v>
      </c>
      <c r="AO614" s="5">
        <f>Table1[[#This Row],[scenario_revenue]]-Table1[[#This Row],[Scenario_unit_cost]]</f>
        <v>3703.4138879999991</v>
      </c>
      <c r="AP614" s="5">
        <f>IF(Table1[[#This Row],[gross_revenue]]=0,0,Table1[[#This Row],[gross_profit]]/Table1[[#This Row],[gross_revenue]])</f>
        <v>0.36701260939287439</v>
      </c>
    </row>
    <row r="615" spans="1:42" x14ac:dyDescent="0.35">
      <c r="A615" t="s">
        <v>454</v>
      </c>
      <c r="B615" t="str">
        <f>_xlfn.TEXTAFTER(Table1[[#This Row],[OrderID]],"-",2)</f>
        <v>184577</v>
      </c>
      <c r="C615">
        <f>YEAR(Table1[[#This Row],[OrderDate]])</f>
        <v>2023</v>
      </c>
      <c r="D615" s="9">
        <f>_xlfn.MINIFS(F:F,P:P,Table1[[#This Row],[Country]])</f>
        <v>44938</v>
      </c>
      <c r="E615" s="7">
        <f>DATEDIF(Table1[[#This Row],[first_time_orders]],Table1[[#This Row],[OrderDate]],"m")</f>
        <v>4</v>
      </c>
      <c r="F615" s="9">
        <v>45063</v>
      </c>
      <c r="G615" s="2" t="str">
        <f>TEXT(Table1[[#This Row],[OrderDate]],"MMM-YYYY")</f>
        <v>May-2023</v>
      </c>
      <c r="H615" s="7">
        <f>MONTH(Table1[[#This Row],[OrderDate]])</f>
        <v>5</v>
      </c>
      <c r="I615" s="7" t="str">
        <f>"Q"&amp;ROUNDUP(Table1[[#This Row],[months]]/3,0)&amp;"-"&amp;Table1[[#This Row],[order_year]]</f>
        <v>Q2-2023</v>
      </c>
      <c r="J615" s="7">
        <f>Table1[[#This Row],[RequiredDate]]-Table1[[#This Row],[OrderDate]]</f>
        <v>17</v>
      </c>
      <c r="K615" s="7">
        <f>IF(Table1[[#This Row],[lead_time]]&lt;0,MEDIAN(J:J),Table1[[#This Row],[lead_time]])</f>
        <v>17</v>
      </c>
      <c r="L615" s="7">
        <f>IF(Table1[[#This Row],[adj_lead_time]]&lt;=7,1,0)</f>
        <v>0</v>
      </c>
      <c r="M615" s="9">
        <v>45080</v>
      </c>
      <c r="N615" s="9">
        <f>IF(Table1[[#This Row],[lead_time]]&lt;0,(Table1[[#This Row],[OrderDate]]+Table1[[#This Row],[adj_lead_time]]),Table1[[#This Row],[RequiredDate]])</f>
        <v>45080</v>
      </c>
      <c r="O615" t="s">
        <v>647</v>
      </c>
      <c r="P615" t="s">
        <v>659</v>
      </c>
      <c r="Q615" t="s">
        <v>699</v>
      </c>
      <c r="R615" t="s">
        <v>703</v>
      </c>
      <c r="S615" t="s">
        <v>710</v>
      </c>
      <c r="T615" t="s">
        <v>724</v>
      </c>
      <c r="U615" t="s">
        <v>728</v>
      </c>
      <c r="V615" t="s">
        <v>1173</v>
      </c>
      <c r="W615">
        <v>979.59</v>
      </c>
      <c r="X615">
        <f>Table1[[#This Row],[UnitCost]]*(1+'scenario modeling'!$B$3)</f>
        <v>1077.5490000000002</v>
      </c>
      <c r="Y615">
        <v>2210.94</v>
      </c>
      <c r="Z615" t="str">
        <f>IF(Table1[[#This Row],[UnitPrice]]&lt;=Quantiles!$B$2,Quantiles!$A$2,IF(Table1[[#This Row],[UnitPrice]]&lt;=Quantiles!$B$3,Quantiles!$A$3,Quantiles!$A$4))</f>
        <v>High</v>
      </c>
      <c r="AA615">
        <v>0.15</v>
      </c>
      <c r="AB615" s="5">
        <f>MIN(Table1[[#This Row],[DiscountPct]],'scenario modeling'!$B$2)</f>
        <v>0.1</v>
      </c>
      <c r="AC615" t="str">
        <f>IF(Table1[[#This Row],[DiscountPct]]&gt;0.3, "&gt;0.3","")</f>
        <v/>
      </c>
      <c r="AD615">
        <v>11</v>
      </c>
      <c r="AE615">
        <f>Table1[[#This Row],[Quantity]]*(1+'scenario modeling'!$B$4)</f>
        <v>13.2</v>
      </c>
      <c r="AF615">
        <f>Table1[[#This Row],[UnitCost]]*Table1[[#This Row],[Quantity]]</f>
        <v>10775.49</v>
      </c>
      <c r="AG615">
        <f>SUMIF($U:U,Table1[[#This Row],[ProductCategory]],$AM:AM)</f>
        <v>1616102.6546600002</v>
      </c>
      <c r="AH615">
        <f>SUMIFS($AM$2:AM615,$U$2:U615,U615)</f>
        <v>1350675.8122600003</v>
      </c>
      <c r="AI615" s="5">
        <f>Table1[[#This Row],[Cumulative_revenue]]/Table1[[#This Row],[Category_revenue]]</f>
        <v>0.83576114943277469</v>
      </c>
      <c r="AJ615" t="str">
        <f>IF(Table1[[#This Row],[cumulative_pct]]&lt;=0.8,"A",IF(Table1[[#This Row],[cumulative_pct]]&lt;=0.95,"B","C"))</f>
        <v>B</v>
      </c>
      <c r="AK615">
        <f>Table1[[#This Row],[adj_unit_cost]]*Table1[[#This Row],[scenario_quantity]]</f>
        <v>14223.646800000002</v>
      </c>
      <c r="AL615" s="5">
        <f>Table1[[#This Row],[UnitPrice]]*Table1[[#This Row],[scenario_quantity]]*(1-Table1[[#This Row],[cap_adjusted_discount]])</f>
        <v>26265.967199999999</v>
      </c>
      <c r="AM615" s="5">
        <f>Table1[[#This Row],[UnitPrice]]*Table1[[#This Row],[Quantity]]*(1-Table1[[#This Row],[DiscountPct]])</f>
        <v>20672.289000000001</v>
      </c>
      <c r="AN615" s="5">
        <f>Table1[[#This Row],[gross_revenue]]-Table1[[#This Row],[cost_of_goods]]</f>
        <v>9896.7990000000009</v>
      </c>
      <c r="AO615" s="5">
        <f>Table1[[#This Row],[scenario_revenue]]-Table1[[#This Row],[Scenario_unit_cost]]</f>
        <v>12042.320399999997</v>
      </c>
      <c r="AP615" s="5">
        <f>IF(Table1[[#This Row],[gross_revenue]]=0,0,Table1[[#This Row],[gross_profit]]/Table1[[#This Row],[gross_revenue]])</f>
        <v>0.47874712858358359</v>
      </c>
    </row>
    <row r="616" spans="1:42" x14ac:dyDescent="0.35">
      <c r="A616" t="s">
        <v>378</v>
      </c>
      <c r="B616" t="str">
        <f>_xlfn.TEXTAFTER(Table1[[#This Row],[OrderID]],"-",2)</f>
        <v>386663</v>
      </c>
      <c r="C616">
        <f>YEAR(Table1[[#This Row],[OrderDate]])</f>
        <v>2023</v>
      </c>
      <c r="D616" s="9">
        <f>_xlfn.MINIFS(F:F,P:P,Table1[[#This Row],[Country]])</f>
        <v>44945</v>
      </c>
      <c r="E616" s="7">
        <f>DATEDIF(Table1[[#This Row],[first_time_orders]],Table1[[#This Row],[OrderDate]],"m")</f>
        <v>4</v>
      </c>
      <c r="F616" s="9">
        <v>45082</v>
      </c>
      <c r="G616" s="2" t="str">
        <f>TEXT(Table1[[#This Row],[OrderDate]],"MMM-YYYY")</f>
        <v>Jun-2023</v>
      </c>
      <c r="H616" s="7">
        <f>MONTH(Table1[[#This Row],[OrderDate]])</f>
        <v>6</v>
      </c>
      <c r="I616" s="7" t="str">
        <f>"Q"&amp;ROUNDUP(Table1[[#This Row],[months]]/3,0)&amp;"-"&amp;Table1[[#This Row],[order_year]]</f>
        <v>Q2-2023</v>
      </c>
      <c r="J616" s="7">
        <f>Table1[[#This Row],[RequiredDate]]-Table1[[#This Row],[OrderDate]]</f>
        <v>23</v>
      </c>
      <c r="K616" s="7">
        <f>IF(Table1[[#This Row],[lead_time]]&lt;0,MEDIAN(J:J),Table1[[#This Row],[lead_time]])</f>
        <v>23</v>
      </c>
      <c r="L616" s="7">
        <f>IF(Table1[[#This Row],[adj_lead_time]]&lt;=7,1,0)</f>
        <v>0</v>
      </c>
      <c r="M616" s="9">
        <v>45105</v>
      </c>
      <c r="N616" s="9">
        <f>IF(Table1[[#This Row],[lead_time]]&lt;0,(Table1[[#This Row],[OrderDate]]+Table1[[#This Row],[adj_lead_time]]),Table1[[#This Row],[RequiredDate]])</f>
        <v>45105</v>
      </c>
      <c r="O616" t="s">
        <v>649</v>
      </c>
      <c r="P616" t="s">
        <v>658</v>
      </c>
      <c r="Q616" t="s">
        <v>674</v>
      </c>
      <c r="R616" t="s">
        <v>701</v>
      </c>
      <c r="S616" t="s">
        <v>711</v>
      </c>
      <c r="T616" t="s">
        <v>723</v>
      </c>
      <c r="U616" t="s">
        <v>728</v>
      </c>
      <c r="V616" t="s">
        <v>1098</v>
      </c>
      <c r="W616">
        <v>605.82000000000005</v>
      </c>
      <c r="X616">
        <f>Table1[[#This Row],[UnitCost]]*(1+'scenario modeling'!$B$3)</f>
        <v>666.40200000000016</v>
      </c>
      <c r="Y616">
        <v>771.12</v>
      </c>
      <c r="Z616" t="str">
        <f>IF(Table1[[#This Row],[UnitPrice]]&lt;=Quantiles!$B$2,Quantiles!$A$2,IF(Table1[[#This Row],[UnitPrice]]&lt;=Quantiles!$B$3,Quantiles!$A$3,Quantiles!$A$4))</f>
        <v>Low</v>
      </c>
      <c r="AA616">
        <v>0.13200000000000001</v>
      </c>
      <c r="AB616" s="5">
        <f>MIN(Table1[[#This Row],[DiscountPct]],'scenario modeling'!$B$2)</f>
        <v>0.1</v>
      </c>
      <c r="AC616" t="str">
        <f>IF(Table1[[#This Row],[DiscountPct]]&gt;0.3, "&gt;0.3","")</f>
        <v/>
      </c>
      <c r="AD616">
        <v>19</v>
      </c>
      <c r="AE616">
        <f>Table1[[#This Row],[Quantity]]*(1+'scenario modeling'!$B$4)</f>
        <v>22.8</v>
      </c>
      <c r="AF616">
        <f>Table1[[#This Row],[UnitCost]]*Table1[[#This Row],[Quantity]]</f>
        <v>11510.580000000002</v>
      </c>
      <c r="AG616">
        <f>SUMIF($U:U,Table1[[#This Row],[ProductCategory]],$AM:AM)</f>
        <v>1616102.6546600002</v>
      </c>
      <c r="AH616">
        <f>SUMIFS($AM$2:AM616,$U$2:U616,U616)</f>
        <v>1363393.1233000003</v>
      </c>
      <c r="AI616" s="5">
        <f>Table1[[#This Row],[Cumulative_revenue]]/Table1[[#This Row],[Category_revenue]]</f>
        <v>0.84363027272350744</v>
      </c>
      <c r="AJ616" t="str">
        <f>IF(Table1[[#This Row],[cumulative_pct]]&lt;=0.8,"A",IF(Table1[[#This Row],[cumulative_pct]]&lt;=0.95,"B","C"))</f>
        <v>B</v>
      </c>
      <c r="AK616">
        <f>Table1[[#This Row],[adj_unit_cost]]*Table1[[#This Row],[scenario_quantity]]</f>
        <v>15193.965600000003</v>
      </c>
      <c r="AL616" s="5">
        <f>Table1[[#This Row],[UnitPrice]]*Table1[[#This Row],[scenario_quantity]]*(1-Table1[[#This Row],[cap_adjusted_discount]])</f>
        <v>15823.3824</v>
      </c>
      <c r="AM616" s="5">
        <f>Table1[[#This Row],[UnitPrice]]*Table1[[#This Row],[Quantity]]*(1-Table1[[#This Row],[DiscountPct]])</f>
        <v>12717.311040000001</v>
      </c>
      <c r="AN616" s="5">
        <f>Table1[[#This Row],[gross_revenue]]-Table1[[#This Row],[cost_of_goods]]</f>
        <v>1206.7310399999988</v>
      </c>
      <c r="AO616" s="5">
        <f>Table1[[#This Row],[scenario_revenue]]-Table1[[#This Row],[Scenario_unit_cost]]</f>
        <v>629.41679999999724</v>
      </c>
      <c r="AP616" s="5">
        <f>IF(Table1[[#This Row],[gross_revenue]]=0,0,Table1[[#This Row],[gross_profit]]/Table1[[#This Row],[gross_revenue]])</f>
        <v>9.4888851597986767E-2</v>
      </c>
    </row>
    <row r="617" spans="1:42" x14ac:dyDescent="0.35">
      <c r="A617" t="s">
        <v>61</v>
      </c>
      <c r="B617" t="str">
        <f>_xlfn.TEXTAFTER(Table1[[#This Row],[OrderID]],"-",2)</f>
        <v>128295</v>
      </c>
      <c r="C617">
        <f>YEAR(Table1[[#This Row],[OrderDate]])</f>
        <v>2023</v>
      </c>
      <c r="D617" s="9">
        <f>_xlfn.MINIFS(F:F,P:P,Table1[[#This Row],[Country]])</f>
        <v>44941</v>
      </c>
      <c r="E617" s="7">
        <f>DATEDIF(Table1[[#This Row],[first_time_orders]],Table1[[#This Row],[OrderDate]],"m")</f>
        <v>5</v>
      </c>
      <c r="F617" s="9">
        <v>45100</v>
      </c>
      <c r="G617" s="2" t="str">
        <f>TEXT(Table1[[#This Row],[OrderDate]],"MMM-YYYY")</f>
        <v>Jun-2023</v>
      </c>
      <c r="H617" s="7">
        <f>MONTH(Table1[[#This Row],[OrderDate]])</f>
        <v>6</v>
      </c>
      <c r="I617" s="7" t="str">
        <f>"Q"&amp;ROUNDUP(Table1[[#This Row],[months]]/3,0)&amp;"-"&amp;Table1[[#This Row],[order_year]]</f>
        <v>Q2-2023</v>
      </c>
      <c r="J617" s="7">
        <f>Table1[[#This Row],[RequiredDate]]-Table1[[#This Row],[OrderDate]]</f>
        <v>10</v>
      </c>
      <c r="K617" s="7">
        <f>IF(Table1[[#This Row],[lead_time]]&lt;0,MEDIAN(J:J),Table1[[#This Row],[lead_time]])</f>
        <v>10</v>
      </c>
      <c r="L617" s="7">
        <f>IF(Table1[[#This Row],[adj_lead_time]]&lt;=7,1,0)</f>
        <v>0</v>
      </c>
      <c r="M617" s="9">
        <v>45110</v>
      </c>
      <c r="N617" s="9">
        <f>IF(Table1[[#This Row],[lead_time]]&lt;0,(Table1[[#This Row],[OrderDate]]+Table1[[#This Row],[adj_lead_time]]),Table1[[#This Row],[RequiredDate]])</f>
        <v>45110</v>
      </c>
      <c r="O617" t="s">
        <v>646</v>
      </c>
      <c r="P617" t="s">
        <v>651</v>
      </c>
      <c r="Q617" t="s">
        <v>669</v>
      </c>
      <c r="R617" t="s">
        <v>704</v>
      </c>
      <c r="S617" t="s">
        <v>708</v>
      </c>
      <c r="T617" t="s">
        <v>713</v>
      </c>
      <c r="U617" t="s">
        <v>728</v>
      </c>
      <c r="V617" t="s">
        <v>780</v>
      </c>
      <c r="W617">
        <v>337.75</v>
      </c>
      <c r="X617">
        <f>Table1[[#This Row],[UnitCost]]*(1+'scenario modeling'!$B$3)</f>
        <v>371.52500000000003</v>
      </c>
      <c r="Y617">
        <v>548.89</v>
      </c>
      <c r="Z617" t="str">
        <f>IF(Table1[[#This Row],[UnitPrice]]&lt;=Quantiles!$B$2,Quantiles!$A$2,IF(Table1[[#This Row],[UnitPrice]]&lt;=Quantiles!$B$3,Quantiles!$A$3,Quantiles!$A$4))</f>
        <v>Low</v>
      </c>
      <c r="AA617">
        <v>0</v>
      </c>
      <c r="AB617" s="5">
        <f>MIN(Table1[[#This Row],[DiscountPct]],'scenario modeling'!$B$2)</f>
        <v>0</v>
      </c>
      <c r="AC617" t="str">
        <f>IF(Table1[[#This Row],[DiscountPct]]&gt;0.3, "&gt;0.3","")</f>
        <v/>
      </c>
      <c r="AD617">
        <v>13</v>
      </c>
      <c r="AE617">
        <f>Table1[[#This Row],[Quantity]]*(1+'scenario modeling'!$B$4)</f>
        <v>15.6</v>
      </c>
      <c r="AF617">
        <f>Table1[[#This Row],[UnitCost]]*Table1[[#This Row],[Quantity]]</f>
        <v>4390.75</v>
      </c>
      <c r="AG617">
        <f>SUMIF($U:U,Table1[[#This Row],[ProductCategory]],$AM:AM)</f>
        <v>1616102.6546600002</v>
      </c>
      <c r="AH617">
        <f>SUMIFS($AM$2:AM617,$U$2:U617,U617)</f>
        <v>1370528.6933000004</v>
      </c>
      <c r="AI617" s="5">
        <f>Table1[[#This Row],[Cumulative_revenue]]/Table1[[#This Row],[Category_revenue]]</f>
        <v>0.84804556774169504</v>
      </c>
      <c r="AJ617" t="str">
        <f>IF(Table1[[#This Row],[cumulative_pct]]&lt;=0.8,"A",IF(Table1[[#This Row],[cumulative_pct]]&lt;=0.95,"B","C"))</f>
        <v>B</v>
      </c>
      <c r="AK617">
        <f>Table1[[#This Row],[adj_unit_cost]]*Table1[[#This Row],[scenario_quantity]]</f>
        <v>5795.79</v>
      </c>
      <c r="AL617" s="5">
        <f>Table1[[#This Row],[UnitPrice]]*Table1[[#This Row],[scenario_quantity]]*(1-Table1[[#This Row],[cap_adjusted_discount]])</f>
        <v>8562.6839999999993</v>
      </c>
      <c r="AM617" s="5">
        <f>Table1[[#This Row],[UnitPrice]]*Table1[[#This Row],[Quantity]]*(1-Table1[[#This Row],[DiscountPct]])</f>
        <v>7135.57</v>
      </c>
      <c r="AN617" s="5">
        <f>Table1[[#This Row],[gross_revenue]]-Table1[[#This Row],[cost_of_goods]]</f>
        <v>2744.8199999999997</v>
      </c>
      <c r="AO617" s="5">
        <f>Table1[[#This Row],[scenario_revenue]]-Table1[[#This Row],[Scenario_unit_cost]]</f>
        <v>2766.8939999999993</v>
      </c>
      <c r="AP617" s="5">
        <f>IF(Table1[[#This Row],[gross_revenue]]=0,0,Table1[[#This Row],[gross_profit]]/Table1[[#This Row],[gross_revenue]])</f>
        <v>0.38466723751571352</v>
      </c>
    </row>
    <row r="618" spans="1:42" x14ac:dyDescent="0.35">
      <c r="A618" t="s">
        <v>459</v>
      </c>
      <c r="B618" t="str">
        <f>_xlfn.TEXTAFTER(Table1[[#This Row],[OrderID]],"-",2)</f>
        <v>769774</v>
      </c>
      <c r="C618">
        <f>YEAR(Table1[[#This Row],[OrderDate]])</f>
        <v>2023</v>
      </c>
      <c r="D618" s="9">
        <f>_xlfn.MINIFS(F:F,P:P,Table1[[#This Row],[Country]])</f>
        <v>44928</v>
      </c>
      <c r="E618" s="7">
        <f>DATEDIF(Table1[[#This Row],[first_time_orders]],Table1[[#This Row],[OrderDate]],"m")</f>
        <v>5</v>
      </c>
      <c r="F618" s="9">
        <v>45090</v>
      </c>
      <c r="G618" s="2" t="str">
        <f>TEXT(Table1[[#This Row],[OrderDate]],"MMM-YYYY")</f>
        <v>Jun-2023</v>
      </c>
      <c r="H618" s="7">
        <f>MONTH(Table1[[#This Row],[OrderDate]])</f>
        <v>6</v>
      </c>
      <c r="I618" s="7" t="str">
        <f>"Q"&amp;ROUNDUP(Table1[[#This Row],[months]]/3,0)&amp;"-"&amp;Table1[[#This Row],[order_year]]</f>
        <v>Q2-2023</v>
      </c>
      <c r="J618" s="7">
        <f>Table1[[#This Row],[RequiredDate]]-Table1[[#This Row],[OrderDate]]</f>
        <v>11</v>
      </c>
      <c r="K618" s="7">
        <f>IF(Table1[[#This Row],[lead_time]]&lt;0,MEDIAN(J:J),Table1[[#This Row],[lead_time]])</f>
        <v>11</v>
      </c>
      <c r="L618" s="7">
        <f>IF(Table1[[#This Row],[adj_lead_time]]&lt;=7,1,0)</f>
        <v>0</v>
      </c>
      <c r="M618" s="9">
        <v>45101</v>
      </c>
      <c r="N618" s="9">
        <f>IF(Table1[[#This Row],[lead_time]]&lt;0,(Table1[[#This Row],[OrderDate]]+Table1[[#This Row],[adj_lead_time]]),Table1[[#This Row],[RequiredDate]])</f>
        <v>45101</v>
      </c>
      <c r="O618" t="s">
        <v>648</v>
      </c>
      <c r="P618" t="s">
        <v>653</v>
      </c>
      <c r="Q618" t="s">
        <v>667</v>
      </c>
      <c r="R618" t="s">
        <v>701</v>
      </c>
      <c r="S618" t="s">
        <v>708</v>
      </c>
      <c r="T618" t="s">
        <v>712</v>
      </c>
      <c r="U618" t="s">
        <v>728</v>
      </c>
      <c r="V618" t="s">
        <v>1178</v>
      </c>
      <c r="W618">
        <v>247.07</v>
      </c>
      <c r="X618">
        <f>Table1[[#This Row],[UnitCost]]*(1+'scenario modeling'!$B$3)</f>
        <v>271.77699999999999</v>
      </c>
      <c r="Y618">
        <v>495.19</v>
      </c>
      <c r="Z618" t="str">
        <f>IF(Table1[[#This Row],[UnitPrice]]&lt;=Quantiles!$B$2,Quantiles!$A$2,IF(Table1[[#This Row],[UnitPrice]]&lt;=Quantiles!$B$3,Quantiles!$A$3,Quantiles!$A$4))</f>
        <v>Low</v>
      </c>
      <c r="AA618">
        <v>2.8000000000000001E-2</v>
      </c>
      <c r="AB618" s="5">
        <f>MIN(Table1[[#This Row],[DiscountPct]],'scenario modeling'!$B$2)</f>
        <v>2.8000000000000001E-2</v>
      </c>
      <c r="AC618" t="str">
        <f>IF(Table1[[#This Row],[DiscountPct]]&gt;0.3, "&gt;0.3","")</f>
        <v/>
      </c>
      <c r="AD618">
        <v>4</v>
      </c>
      <c r="AE618">
        <f>Table1[[#This Row],[Quantity]]*(1+'scenario modeling'!$B$4)</f>
        <v>4.8</v>
      </c>
      <c r="AF618">
        <f>Table1[[#This Row],[UnitCost]]*Table1[[#This Row],[Quantity]]</f>
        <v>988.28</v>
      </c>
      <c r="AG618">
        <f>SUMIF($U:U,Table1[[#This Row],[ProductCategory]],$AM:AM)</f>
        <v>1616102.6546600002</v>
      </c>
      <c r="AH618">
        <f>SUMIFS($AM$2:AM618,$U$2:U618,U618)</f>
        <v>1372453.9920200005</v>
      </c>
      <c r="AI618" s="5">
        <f>Table1[[#This Row],[Cumulative_revenue]]/Table1[[#This Row],[Category_revenue]]</f>
        <v>0.84923688978701717</v>
      </c>
      <c r="AJ618" t="str">
        <f>IF(Table1[[#This Row],[cumulative_pct]]&lt;=0.8,"A",IF(Table1[[#This Row],[cumulative_pct]]&lt;=0.95,"B","C"))</f>
        <v>B</v>
      </c>
      <c r="AK618">
        <f>Table1[[#This Row],[adj_unit_cost]]*Table1[[#This Row],[scenario_quantity]]</f>
        <v>1304.5295999999998</v>
      </c>
      <c r="AL618" s="5">
        <f>Table1[[#This Row],[UnitPrice]]*Table1[[#This Row],[scenario_quantity]]*(1-Table1[[#This Row],[cap_adjusted_discount]])</f>
        <v>2310.3584639999999</v>
      </c>
      <c r="AM618" s="5">
        <f>Table1[[#This Row],[UnitPrice]]*Table1[[#This Row],[Quantity]]*(1-Table1[[#This Row],[DiscountPct]])</f>
        <v>1925.29872</v>
      </c>
      <c r="AN618" s="5">
        <f>Table1[[#This Row],[gross_revenue]]-Table1[[#This Row],[cost_of_goods]]</f>
        <v>937.01872000000003</v>
      </c>
      <c r="AO618" s="5">
        <f>Table1[[#This Row],[scenario_revenue]]-Table1[[#This Row],[Scenario_unit_cost]]</f>
        <v>1005.8288640000001</v>
      </c>
      <c r="AP618" s="5">
        <f>IF(Table1[[#This Row],[gross_revenue]]=0,0,Table1[[#This Row],[gross_profit]]/Table1[[#This Row],[gross_revenue]])</f>
        <v>0.48668744764968214</v>
      </c>
    </row>
    <row r="619" spans="1:42" x14ac:dyDescent="0.35">
      <c r="A619" t="s">
        <v>54</v>
      </c>
      <c r="B619" t="str">
        <f>_xlfn.TEXTAFTER(Table1[[#This Row],[OrderID]],"-",2)</f>
        <v>651638</v>
      </c>
      <c r="C619">
        <f>YEAR(Table1[[#This Row],[OrderDate]])</f>
        <v>2023</v>
      </c>
      <c r="D619" s="9">
        <f>_xlfn.MINIFS(F:F,P:P,Table1[[#This Row],[Country]])</f>
        <v>44939</v>
      </c>
      <c r="E619" s="7">
        <f>DATEDIF(Table1[[#This Row],[first_time_orders]],Table1[[#This Row],[OrderDate]],"m")</f>
        <v>5</v>
      </c>
      <c r="F619" s="9">
        <v>45094</v>
      </c>
      <c r="G619" s="2" t="str">
        <f>TEXT(Table1[[#This Row],[OrderDate]],"MMM-YYYY")</f>
        <v>Jun-2023</v>
      </c>
      <c r="H619" s="7">
        <f>MONTH(Table1[[#This Row],[OrderDate]])</f>
        <v>6</v>
      </c>
      <c r="I619" s="7" t="str">
        <f>"Q"&amp;ROUNDUP(Table1[[#This Row],[months]]/3,0)&amp;"-"&amp;Table1[[#This Row],[order_year]]</f>
        <v>Q2-2023</v>
      </c>
      <c r="J619" s="7">
        <f>Table1[[#This Row],[RequiredDate]]-Table1[[#This Row],[OrderDate]]</f>
        <v>7</v>
      </c>
      <c r="K619" s="7">
        <f>IF(Table1[[#This Row],[lead_time]]&lt;0,MEDIAN(J:J),Table1[[#This Row],[lead_time]])</f>
        <v>7</v>
      </c>
      <c r="L619" s="7">
        <f>IF(Table1[[#This Row],[adj_lead_time]]&lt;=7,1,0)</f>
        <v>1</v>
      </c>
      <c r="M619" s="9">
        <v>45101</v>
      </c>
      <c r="N619" s="9">
        <f>IF(Table1[[#This Row],[lead_time]]&lt;0,(Table1[[#This Row],[OrderDate]]+Table1[[#This Row],[adj_lead_time]]),Table1[[#This Row],[RequiredDate]])</f>
        <v>45101</v>
      </c>
      <c r="O619" t="s">
        <v>648</v>
      </c>
      <c r="P619" t="s">
        <v>660</v>
      </c>
      <c r="Q619" t="s">
        <v>686</v>
      </c>
      <c r="R619" t="s">
        <v>701</v>
      </c>
      <c r="S619" t="s">
        <v>707</v>
      </c>
      <c r="T619" t="s">
        <v>714</v>
      </c>
      <c r="U619" t="s">
        <v>728</v>
      </c>
      <c r="V619" t="s">
        <v>773</v>
      </c>
      <c r="W619">
        <v>313.99</v>
      </c>
      <c r="X619">
        <f>Table1[[#This Row],[UnitCost]]*(1+'scenario modeling'!$B$3)</f>
        <v>345.38900000000001</v>
      </c>
      <c r="Y619">
        <v>454.42</v>
      </c>
      <c r="Z619" t="str">
        <f>IF(Table1[[#This Row],[UnitPrice]]&lt;=Quantiles!$B$2,Quantiles!$A$2,IF(Table1[[#This Row],[UnitPrice]]&lt;=Quantiles!$B$3,Quantiles!$A$3,Quantiles!$A$4))</f>
        <v>Low</v>
      </c>
      <c r="AA619">
        <v>0.129</v>
      </c>
      <c r="AB619" s="5">
        <f>MIN(Table1[[#This Row],[DiscountPct]],'scenario modeling'!$B$2)</f>
        <v>0.1</v>
      </c>
      <c r="AC619" t="str">
        <f>IF(Table1[[#This Row],[DiscountPct]]&gt;0.3, "&gt;0.3","")</f>
        <v/>
      </c>
      <c r="AD619">
        <v>9</v>
      </c>
      <c r="AE619">
        <f>Table1[[#This Row],[Quantity]]*(1+'scenario modeling'!$B$4)</f>
        <v>10.799999999999999</v>
      </c>
      <c r="AF619">
        <f>Table1[[#This Row],[UnitCost]]*Table1[[#This Row],[Quantity]]</f>
        <v>2825.91</v>
      </c>
      <c r="AG619">
        <f>SUMIF($U:U,Table1[[#This Row],[ProductCategory]],$AM:AM)</f>
        <v>1616102.6546600002</v>
      </c>
      <c r="AH619">
        <f>SUMIFS($AM$2:AM619,$U$2:U619,U619)</f>
        <v>1376016.1904000004</v>
      </c>
      <c r="AI619" s="5">
        <f>Table1[[#This Row],[Cumulative_revenue]]/Table1[[#This Row],[Category_revenue]]</f>
        <v>0.85144108044887168</v>
      </c>
      <c r="AJ619" t="str">
        <f>IF(Table1[[#This Row],[cumulative_pct]]&lt;=0.8,"A",IF(Table1[[#This Row],[cumulative_pct]]&lt;=0.95,"B","C"))</f>
        <v>B</v>
      </c>
      <c r="AK619">
        <f>Table1[[#This Row],[adj_unit_cost]]*Table1[[#This Row],[scenario_quantity]]</f>
        <v>3730.2011999999995</v>
      </c>
      <c r="AL619" s="5">
        <f>Table1[[#This Row],[UnitPrice]]*Table1[[#This Row],[scenario_quantity]]*(1-Table1[[#This Row],[cap_adjusted_discount]])</f>
        <v>4416.9624000000003</v>
      </c>
      <c r="AM619" s="5">
        <f>Table1[[#This Row],[UnitPrice]]*Table1[[#This Row],[Quantity]]*(1-Table1[[#This Row],[DiscountPct]])</f>
        <v>3562.1983800000003</v>
      </c>
      <c r="AN619" s="5">
        <f>Table1[[#This Row],[gross_revenue]]-Table1[[#This Row],[cost_of_goods]]</f>
        <v>736.28838000000042</v>
      </c>
      <c r="AO619" s="5">
        <f>Table1[[#This Row],[scenario_revenue]]-Table1[[#This Row],[Scenario_unit_cost]]</f>
        <v>686.76120000000083</v>
      </c>
      <c r="AP619" s="5">
        <f>IF(Table1[[#This Row],[gross_revenue]]=0,0,Table1[[#This Row],[gross_profit]]/Table1[[#This Row],[gross_revenue]])</f>
        <v>0.20669493988147858</v>
      </c>
    </row>
    <row r="620" spans="1:42" x14ac:dyDescent="0.35">
      <c r="A620" t="s">
        <v>464</v>
      </c>
      <c r="B620" t="str">
        <f>_xlfn.TEXTAFTER(Table1[[#This Row],[OrderID]],"-",2)</f>
        <v>109927</v>
      </c>
      <c r="C620">
        <f>YEAR(Table1[[#This Row],[OrderDate]])</f>
        <v>2023</v>
      </c>
      <c r="D620" s="9">
        <f>_xlfn.MINIFS(F:F,P:P,Table1[[#This Row],[Country]])</f>
        <v>44955</v>
      </c>
      <c r="E620" s="7">
        <f>DATEDIF(Table1[[#This Row],[first_time_orders]],Table1[[#This Row],[OrderDate]],"m")</f>
        <v>5</v>
      </c>
      <c r="F620" s="9">
        <v>45129</v>
      </c>
      <c r="G620" s="2" t="str">
        <f>TEXT(Table1[[#This Row],[OrderDate]],"MMM-YYYY")</f>
        <v>Jul-2023</v>
      </c>
      <c r="H620" s="7">
        <f>MONTH(Table1[[#This Row],[OrderDate]])</f>
        <v>7</v>
      </c>
      <c r="I620" s="7" t="str">
        <f>"Q"&amp;ROUNDUP(Table1[[#This Row],[months]]/3,0)&amp;"-"&amp;Table1[[#This Row],[order_year]]</f>
        <v>Q3-2023</v>
      </c>
      <c r="J620" s="7">
        <f>Table1[[#This Row],[RequiredDate]]-Table1[[#This Row],[OrderDate]]</f>
        <v>-1</v>
      </c>
      <c r="K620" s="7">
        <f>IF(Table1[[#This Row],[lead_time]]&lt;0,MEDIAN(J:J),Table1[[#This Row],[lead_time]])</f>
        <v>15</v>
      </c>
      <c r="L620" s="7">
        <f>IF(Table1[[#This Row],[adj_lead_time]]&lt;=7,1,0)</f>
        <v>0</v>
      </c>
      <c r="M620" s="9">
        <v>45128</v>
      </c>
      <c r="N620" s="9">
        <f>IF(Table1[[#This Row],[lead_time]]&lt;0,(Table1[[#This Row],[OrderDate]]+Table1[[#This Row],[adj_lead_time]]),Table1[[#This Row],[RequiredDate]])</f>
        <v>45144</v>
      </c>
      <c r="O620" t="s">
        <v>647</v>
      </c>
      <c r="P620" t="s">
        <v>654</v>
      </c>
      <c r="Q620" t="s">
        <v>680</v>
      </c>
      <c r="R620" t="s">
        <v>705</v>
      </c>
      <c r="S620" t="s">
        <v>710</v>
      </c>
      <c r="T620" t="s">
        <v>718</v>
      </c>
      <c r="U620" t="s">
        <v>728</v>
      </c>
      <c r="V620" t="s">
        <v>1183</v>
      </c>
      <c r="W620">
        <v>946.99</v>
      </c>
      <c r="X620">
        <f>Table1[[#This Row],[UnitCost]]*(1+'scenario modeling'!$B$3)</f>
        <v>1041.6890000000001</v>
      </c>
      <c r="Y620">
        <v>2132.19</v>
      </c>
      <c r="Z620" t="str">
        <f>IF(Table1[[#This Row],[UnitPrice]]&lt;=Quantiles!$B$2,Quantiles!$A$2,IF(Table1[[#This Row],[UnitPrice]]&lt;=Quantiles!$B$3,Quantiles!$A$3,Quantiles!$A$4))</f>
        <v>High</v>
      </c>
      <c r="AA620">
        <v>0.16500000000000001</v>
      </c>
      <c r="AB620" s="5">
        <f>MIN(Table1[[#This Row],[DiscountPct]],'scenario modeling'!$B$2)</f>
        <v>0.1</v>
      </c>
      <c r="AC620" t="str">
        <f>IF(Table1[[#This Row],[DiscountPct]]&gt;0.3, "&gt;0.3","")</f>
        <v/>
      </c>
      <c r="AD620">
        <v>7</v>
      </c>
      <c r="AE620">
        <f>Table1[[#This Row],[Quantity]]*(1+'scenario modeling'!$B$4)</f>
        <v>8.4</v>
      </c>
      <c r="AF620">
        <f>Table1[[#This Row],[UnitCost]]*Table1[[#This Row],[Quantity]]</f>
        <v>6628.93</v>
      </c>
      <c r="AG620">
        <f>SUMIF($U:U,Table1[[#This Row],[ProductCategory]],$AM:AM)</f>
        <v>1616102.6546600002</v>
      </c>
      <c r="AH620">
        <f>SUMIFS($AM$2:AM620,$U$2:U620,U620)</f>
        <v>1388478.8409500003</v>
      </c>
      <c r="AI620" s="5">
        <f>Table1[[#This Row],[Cumulative_revenue]]/Table1[[#This Row],[Category_revenue]]</f>
        <v>0.85915262681262783</v>
      </c>
      <c r="AJ620" t="str">
        <f>IF(Table1[[#This Row],[cumulative_pct]]&lt;=0.8,"A",IF(Table1[[#This Row],[cumulative_pct]]&lt;=0.95,"B","C"))</f>
        <v>B</v>
      </c>
      <c r="AK620">
        <f>Table1[[#This Row],[adj_unit_cost]]*Table1[[#This Row],[scenario_quantity]]</f>
        <v>8750.1876000000011</v>
      </c>
      <c r="AL620" s="5">
        <f>Table1[[#This Row],[UnitPrice]]*Table1[[#This Row],[scenario_quantity]]*(1-Table1[[#This Row],[cap_adjusted_discount]])</f>
        <v>16119.356400000001</v>
      </c>
      <c r="AM620" s="5">
        <f>Table1[[#This Row],[UnitPrice]]*Table1[[#This Row],[Quantity]]*(1-Table1[[#This Row],[DiscountPct]])</f>
        <v>12462.65055</v>
      </c>
      <c r="AN620" s="5">
        <f>Table1[[#This Row],[gross_revenue]]-Table1[[#This Row],[cost_of_goods]]</f>
        <v>5833.72055</v>
      </c>
      <c r="AO620" s="5">
        <f>Table1[[#This Row],[scenario_revenue]]-Table1[[#This Row],[Scenario_unit_cost]]</f>
        <v>7369.1687999999995</v>
      </c>
      <c r="AP620" s="5">
        <f>IF(Table1[[#This Row],[gross_revenue]]=0,0,Table1[[#This Row],[gross_profit]]/Table1[[#This Row],[gross_revenue]])</f>
        <v>0.46809629513362228</v>
      </c>
    </row>
    <row r="621" spans="1:42" x14ac:dyDescent="0.35">
      <c r="A621" t="s">
        <v>530</v>
      </c>
      <c r="B621" t="str">
        <f>_xlfn.TEXTAFTER(Table1[[#This Row],[OrderID]],"-",2)</f>
        <v>568013</v>
      </c>
      <c r="C621">
        <f>YEAR(Table1[[#This Row],[OrderDate]])</f>
        <v>2023</v>
      </c>
      <c r="D621" s="9">
        <f>_xlfn.MINIFS(F:F,P:P,Table1[[#This Row],[Country]])</f>
        <v>44988</v>
      </c>
      <c r="E621" s="7">
        <f>DATEDIF(Table1[[#This Row],[first_time_orders]],Table1[[#This Row],[OrderDate]],"m")</f>
        <v>6</v>
      </c>
      <c r="F621" s="9">
        <v>45199</v>
      </c>
      <c r="G621" s="2" t="str">
        <f>TEXT(Table1[[#This Row],[OrderDate]],"MMM-YYYY")</f>
        <v>Sept-2023</v>
      </c>
      <c r="H621" s="7">
        <f>MONTH(Table1[[#This Row],[OrderDate]])</f>
        <v>9</v>
      </c>
      <c r="I621" s="7" t="str">
        <f>"Q"&amp;ROUNDUP(Table1[[#This Row],[months]]/3,0)&amp;"-"&amp;Table1[[#This Row],[order_year]]</f>
        <v>Q3-2023</v>
      </c>
      <c r="J621" s="7">
        <f>Table1[[#This Row],[RequiredDate]]-Table1[[#This Row],[OrderDate]]</f>
        <v>30</v>
      </c>
      <c r="K621" s="7">
        <f>IF(Table1[[#This Row],[lead_time]]&lt;0,MEDIAN(J:J),Table1[[#This Row],[lead_time]])</f>
        <v>30</v>
      </c>
      <c r="L621" s="7">
        <f>IF(Table1[[#This Row],[adj_lead_time]]&lt;=7,1,0)</f>
        <v>0</v>
      </c>
      <c r="M621" s="9">
        <v>45229</v>
      </c>
      <c r="N621" s="9">
        <f>IF(Table1[[#This Row],[lead_time]]&lt;0,(Table1[[#This Row],[OrderDate]]+Table1[[#This Row],[adj_lead_time]]),Table1[[#This Row],[RequiredDate]])</f>
        <v>45229</v>
      </c>
      <c r="O621" t="s">
        <v>647</v>
      </c>
      <c r="P621" t="s">
        <v>652</v>
      </c>
      <c r="Q621" t="s">
        <v>689</v>
      </c>
      <c r="R621" t="s">
        <v>706</v>
      </c>
      <c r="S621" t="s">
        <v>708</v>
      </c>
      <c r="T621" t="s">
        <v>726</v>
      </c>
      <c r="U621" t="s">
        <v>728</v>
      </c>
      <c r="V621" t="s">
        <v>1249</v>
      </c>
      <c r="W621">
        <v>649.13</v>
      </c>
      <c r="X621">
        <f>Table1[[#This Row],[UnitCost]]*(1+'scenario modeling'!$B$3)</f>
        <v>714.04300000000001</v>
      </c>
      <c r="Y621">
        <v>975.43</v>
      </c>
      <c r="Z621" t="str">
        <f>IF(Table1[[#This Row],[UnitPrice]]&lt;=Quantiles!$B$2,Quantiles!$A$2,IF(Table1[[#This Row],[UnitPrice]]&lt;=Quantiles!$B$3,Quantiles!$A$3,Quantiles!$A$4))</f>
        <v>Medium</v>
      </c>
      <c r="AA621">
        <v>0.157</v>
      </c>
      <c r="AB621" s="5">
        <f>MIN(Table1[[#This Row],[DiscountPct]],'scenario modeling'!$B$2)</f>
        <v>0.1</v>
      </c>
      <c r="AC621" t="str">
        <f>IF(Table1[[#This Row],[DiscountPct]]&gt;0.3, "&gt;0.3","")</f>
        <v/>
      </c>
      <c r="AD621">
        <v>27</v>
      </c>
      <c r="AE621">
        <f>Table1[[#This Row],[Quantity]]*(1+'scenario modeling'!$B$4)</f>
        <v>32.4</v>
      </c>
      <c r="AF621">
        <f>Table1[[#This Row],[UnitCost]]*Table1[[#This Row],[Quantity]]</f>
        <v>17526.509999999998</v>
      </c>
      <c r="AG621">
        <f>SUMIF($U:U,Table1[[#This Row],[ProductCategory]],$AM:AM)</f>
        <v>1616102.6546600002</v>
      </c>
      <c r="AH621">
        <f>SUMIFS($AM$2:AM621,$U$2:U621,U621)</f>
        <v>1410680.6031800003</v>
      </c>
      <c r="AI621" s="5">
        <f>Table1[[#This Row],[Cumulative_revenue]]/Table1[[#This Row],[Category_revenue]]</f>
        <v>0.87289046838227169</v>
      </c>
      <c r="AJ621" t="str">
        <f>IF(Table1[[#This Row],[cumulative_pct]]&lt;=0.8,"A",IF(Table1[[#This Row],[cumulative_pct]]&lt;=0.95,"B","C"))</f>
        <v>B</v>
      </c>
      <c r="AK621">
        <f>Table1[[#This Row],[adj_unit_cost]]*Table1[[#This Row],[scenario_quantity]]</f>
        <v>23134.993200000001</v>
      </c>
      <c r="AL621" s="5">
        <f>Table1[[#This Row],[UnitPrice]]*Table1[[#This Row],[scenario_quantity]]*(1-Table1[[#This Row],[cap_adjusted_discount]])</f>
        <v>28443.538799999998</v>
      </c>
      <c r="AM621" s="5">
        <f>Table1[[#This Row],[UnitPrice]]*Table1[[#This Row],[Quantity]]*(1-Table1[[#This Row],[DiscountPct]])</f>
        <v>22201.762229999997</v>
      </c>
      <c r="AN621" s="5">
        <f>Table1[[#This Row],[gross_revenue]]-Table1[[#This Row],[cost_of_goods]]</f>
        <v>4675.2522299999982</v>
      </c>
      <c r="AO621" s="5">
        <f>Table1[[#This Row],[scenario_revenue]]-Table1[[#This Row],[Scenario_unit_cost]]</f>
        <v>5308.5455999999976</v>
      </c>
      <c r="AP621" s="5">
        <f>IF(Table1[[#This Row],[gross_revenue]]=0,0,Table1[[#This Row],[gross_profit]]/Table1[[#This Row],[gross_revenue]])</f>
        <v>0.21058023149543473</v>
      </c>
    </row>
    <row r="622" spans="1:42" x14ac:dyDescent="0.35">
      <c r="A622" t="s">
        <v>64</v>
      </c>
      <c r="B622" t="str">
        <f>_xlfn.TEXTAFTER(Table1[[#This Row],[OrderID]],"-",2)</f>
        <v>292714</v>
      </c>
      <c r="C622">
        <f>YEAR(Table1[[#This Row],[OrderDate]])</f>
        <v>2023</v>
      </c>
      <c r="D622" s="9">
        <f>_xlfn.MINIFS(F:F,P:P,Table1[[#This Row],[Country]])</f>
        <v>44936</v>
      </c>
      <c r="E622" s="7">
        <f>DATEDIF(Table1[[#This Row],[first_time_orders]],Table1[[#This Row],[OrderDate]],"m")</f>
        <v>6</v>
      </c>
      <c r="F622" s="9">
        <v>45117</v>
      </c>
      <c r="G622" s="2" t="str">
        <f>TEXT(Table1[[#This Row],[OrderDate]],"MMM-YYYY")</f>
        <v>Jul-2023</v>
      </c>
      <c r="H622" s="7">
        <f>MONTH(Table1[[#This Row],[OrderDate]])</f>
        <v>7</v>
      </c>
      <c r="I622" s="7" t="str">
        <f>"Q"&amp;ROUNDUP(Table1[[#This Row],[months]]/3,0)&amp;"-"&amp;Table1[[#This Row],[order_year]]</f>
        <v>Q3-2023</v>
      </c>
      <c r="J622" s="7">
        <f>Table1[[#This Row],[RequiredDate]]-Table1[[#This Row],[OrderDate]]</f>
        <v>22</v>
      </c>
      <c r="K622" s="7">
        <f>IF(Table1[[#This Row],[lead_time]]&lt;0,MEDIAN(J:J),Table1[[#This Row],[lead_time]])</f>
        <v>22</v>
      </c>
      <c r="L622" s="7">
        <f>IF(Table1[[#This Row],[adj_lead_time]]&lt;=7,1,0)</f>
        <v>0</v>
      </c>
      <c r="M622" s="9">
        <v>45139</v>
      </c>
      <c r="N622" s="9">
        <f>IF(Table1[[#This Row],[lead_time]]&lt;0,(Table1[[#This Row],[OrderDate]]+Table1[[#This Row],[adj_lead_time]]),Table1[[#This Row],[RequiredDate]])</f>
        <v>45139</v>
      </c>
      <c r="O622" t="s">
        <v>649</v>
      </c>
      <c r="P622" t="s">
        <v>657</v>
      </c>
      <c r="Q622" t="s">
        <v>673</v>
      </c>
      <c r="R622" t="s">
        <v>704</v>
      </c>
      <c r="S622" t="s">
        <v>709</v>
      </c>
      <c r="T622" t="s">
        <v>717</v>
      </c>
      <c r="U622" t="s">
        <v>728</v>
      </c>
      <c r="V622" t="s">
        <v>783</v>
      </c>
      <c r="W622">
        <v>1303.56</v>
      </c>
      <c r="X622">
        <f>Table1[[#This Row],[UnitCost]]*(1+'scenario modeling'!$B$3)</f>
        <v>1433.9160000000002</v>
      </c>
      <c r="Y622">
        <v>1791.37</v>
      </c>
      <c r="Z622" t="str">
        <f>IF(Table1[[#This Row],[UnitPrice]]&lt;=Quantiles!$B$2,Quantiles!$A$2,IF(Table1[[#This Row],[UnitPrice]]&lt;=Quantiles!$B$3,Quantiles!$A$3,Quantiles!$A$4))</f>
        <v>High</v>
      </c>
      <c r="AA622">
        <v>0.126</v>
      </c>
      <c r="AB622" s="5">
        <f>MIN(Table1[[#This Row],[DiscountPct]],'scenario modeling'!$B$2)</f>
        <v>0.1</v>
      </c>
      <c r="AC622" t="str">
        <f>IF(Table1[[#This Row],[DiscountPct]]&gt;0.3, "&gt;0.3","")</f>
        <v/>
      </c>
      <c r="AD622">
        <v>22</v>
      </c>
      <c r="AE622">
        <f>Table1[[#This Row],[Quantity]]*(1+'scenario modeling'!$B$4)</f>
        <v>26.4</v>
      </c>
      <c r="AF622">
        <f>Table1[[#This Row],[UnitCost]]*Table1[[#This Row],[Quantity]]</f>
        <v>28678.32</v>
      </c>
      <c r="AG622">
        <f>SUMIF($U:U,Table1[[#This Row],[ProductCategory]],$AM:AM)</f>
        <v>1616102.6546600002</v>
      </c>
      <c r="AH622">
        <f>SUMIFS($AM$2:AM622,$U$2:U622,U622)</f>
        <v>1445125.0655400003</v>
      </c>
      <c r="AI622" s="5">
        <f>Table1[[#This Row],[Cumulative_revenue]]/Table1[[#This Row],[Category_revenue]]</f>
        <v>0.89420375702806421</v>
      </c>
      <c r="AJ622" t="str">
        <f>IF(Table1[[#This Row],[cumulative_pct]]&lt;=0.8,"A",IF(Table1[[#This Row],[cumulative_pct]]&lt;=0.95,"B","C"))</f>
        <v>B</v>
      </c>
      <c r="AK622">
        <f>Table1[[#This Row],[adj_unit_cost]]*Table1[[#This Row],[scenario_quantity]]</f>
        <v>37855.382400000002</v>
      </c>
      <c r="AL622" s="5">
        <f>Table1[[#This Row],[UnitPrice]]*Table1[[#This Row],[scenario_quantity]]*(1-Table1[[#This Row],[cap_adjusted_discount]])</f>
        <v>42562.951199999996</v>
      </c>
      <c r="AM622" s="5">
        <f>Table1[[#This Row],[UnitPrice]]*Table1[[#This Row],[Quantity]]*(1-Table1[[#This Row],[DiscountPct]])</f>
        <v>34444.462359999998</v>
      </c>
      <c r="AN622" s="5">
        <f>Table1[[#This Row],[gross_revenue]]-Table1[[#This Row],[cost_of_goods]]</f>
        <v>5766.142359999998</v>
      </c>
      <c r="AO622" s="5">
        <f>Table1[[#This Row],[scenario_revenue]]-Table1[[#This Row],[Scenario_unit_cost]]</f>
        <v>4707.5687999999936</v>
      </c>
      <c r="AP622" s="5">
        <f>IF(Table1[[#This Row],[gross_revenue]]=0,0,Table1[[#This Row],[gross_profit]]/Table1[[#This Row],[gross_revenue]])</f>
        <v>0.16740404596055358</v>
      </c>
    </row>
    <row r="623" spans="1:42" x14ac:dyDescent="0.35">
      <c r="A623" t="s">
        <v>543</v>
      </c>
      <c r="B623" t="str">
        <f>_xlfn.TEXTAFTER(Table1[[#This Row],[OrderID]],"-",2)</f>
        <v>640022</v>
      </c>
      <c r="C623">
        <f>YEAR(Table1[[#This Row],[OrderDate]])</f>
        <v>2023</v>
      </c>
      <c r="D623" s="9">
        <f>_xlfn.MINIFS(F:F,P:P,Table1[[#This Row],[Country]])</f>
        <v>44933</v>
      </c>
      <c r="E623" s="7">
        <f>DATEDIF(Table1[[#This Row],[first_time_orders]],Table1[[#This Row],[OrderDate]],"m")</f>
        <v>7</v>
      </c>
      <c r="F623" s="9">
        <v>45162</v>
      </c>
      <c r="G623" s="2" t="str">
        <f>TEXT(Table1[[#This Row],[OrderDate]],"MMM-YYYY")</f>
        <v>Aug-2023</v>
      </c>
      <c r="H623" s="7">
        <f>MONTH(Table1[[#This Row],[OrderDate]])</f>
        <v>8</v>
      </c>
      <c r="I623" s="7" t="str">
        <f>"Q"&amp;ROUNDUP(Table1[[#This Row],[months]]/3,0)&amp;"-"&amp;Table1[[#This Row],[order_year]]</f>
        <v>Q3-2023</v>
      </c>
      <c r="J623" s="7">
        <f>Table1[[#This Row],[RequiredDate]]-Table1[[#This Row],[OrderDate]]</f>
        <v>27</v>
      </c>
      <c r="K623" s="7">
        <f>IF(Table1[[#This Row],[lead_time]]&lt;0,MEDIAN(J:J),Table1[[#This Row],[lead_time]])</f>
        <v>27</v>
      </c>
      <c r="L623" s="7">
        <f>IF(Table1[[#This Row],[adj_lead_time]]&lt;=7,1,0)</f>
        <v>0</v>
      </c>
      <c r="M623" s="9">
        <v>45189</v>
      </c>
      <c r="N623" s="9">
        <f>IF(Table1[[#This Row],[lead_time]]&lt;0,(Table1[[#This Row],[OrderDate]]+Table1[[#This Row],[adj_lead_time]]),Table1[[#This Row],[RequiredDate]])</f>
        <v>45189</v>
      </c>
      <c r="O623" t="s">
        <v>646</v>
      </c>
      <c r="P623" t="s">
        <v>661</v>
      </c>
      <c r="Q623" t="s">
        <v>687</v>
      </c>
      <c r="R623" t="s">
        <v>705</v>
      </c>
      <c r="S623" t="s">
        <v>709</v>
      </c>
      <c r="T623" t="s">
        <v>724</v>
      </c>
      <c r="U623" t="s">
        <v>728</v>
      </c>
      <c r="V623" t="s">
        <v>1262</v>
      </c>
      <c r="W623">
        <v>1399.64</v>
      </c>
      <c r="X623">
        <f>Table1[[#This Row],[UnitCost]]*(1+'scenario modeling'!$B$3)</f>
        <v>1539.6040000000003</v>
      </c>
      <c r="Y623">
        <v>3342.11</v>
      </c>
      <c r="Z623" t="str">
        <f>IF(Table1[[#This Row],[UnitPrice]]&lt;=Quantiles!$B$2,Quantiles!$A$2,IF(Table1[[#This Row],[UnitPrice]]&lt;=Quantiles!$B$3,Quantiles!$A$3,Quantiles!$A$4))</f>
        <v>High</v>
      </c>
      <c r="AA623">
        <v>0</v>
      </c>
      <c r="AB623" s="5">
        <f>MIN(Table1[[#This Row],[DiscountPct]],'scenario modeling'!$B$2)</f>
        <v>0</v>
      </c>
      <c r="AC623" t="str">
        <f>IF(Table1[[#This Row],[DiscountPct]]&gt;0.3, "&gt;0.3","")</f>
        <v/>
      </c>
      <c r="AD623">
        <v>10</v>
      </c>
      <c r="AE623">
        <f>Table1[[#This Row],[Quantity]]*(1+'scenario modeling'!$B$4)</f>
        <v>12</v>
      </c>
      <c r="AF623">
        <f>Table1[[#This Row],[UnitCost]]*Table1[[#This Row],[Quantity]]</f>
        <v>13996.400000000001</v>
      </c>
      <c r="AG623">
        <f>SUMIF($U:U,Table1[[#This Row],[ProductCategory]],$AM:AM)</f>
        <v>1616102.6546600002</v>
      </c>
      <c r="AH623">
        <f>SUMIFS($AM$2:AM623,$U$2:U623,U623)</f>
        <v>1478546.1655400004</v>
      </c>
      <c r="AI623" s="5">
        <f>Table1[[#This Row],[Cumulative_revenue]]/Table1[[#This Row],[Category_revenue]]</f>
        <v>0.91488381711189048</v>
      </c>
      <c r="AJ623" t="str">
        <f>IF(Table1[[#This Row],[cumulative_pct]]&lt;=0.8,"A",IF(Table1[[#This Row],[cumulative_pct]]&lt;=0.95,"B","C"))</f>
        <v>B</v>
      </c>
      <c r="AK623">
        <f>Table1[[#This Row],[adj_unit_cost]]*Table1[[#This Row],[scenario_quantity]]</f>
        <v>18475.248000000003</v>
      </c>
      <c r="AL623" s="5">
        <f>Table1[[#This Row],[UnitPrice]]*Table1[[#This Row],[scenario_quantity]]*(1-Table1[[#This Row],[cap_adjusted_discount]])</f>
        <v>40105.32</v>
      </c>
      <c r="AM623" s="5">
        <f>Table1[[#This Row],[UnitPrice]]*Table1[[#This Row],[Quantity]]*(1-Table1[[#This Row],[DiscountPct]])</f>
        <v>33421.1</v>
      </c>
      <c r="AN623" s="5">
        <f>Table1[[#This Row],[gross_revenue]]-Table1[[#This Row],[cost_of_goods]]</f>
        <v>19424.699999999997</v>
      </c>
      <c r="AO623" s="5">
        <f>Table1[[#This Row],[scenario_revenue]]-Table1[[#This Row],[Scenario_unit_cost]]</f>
        <v>21630.071999999996</v>
      </c>
      <c r="AP623" s="5">
        <f>IF(Table1[[#This Row],[gross_revenue]]=0,0,Table1[[#This Row],[gross_profit]]/Table1[[#This Row],[gross_revenue]])</f>
        <v>0.58121067229983447</v>
      </c>
    </row>
    <row r="624" spans="1:42" x14ac:dyDescent="0.35">
      <c r="A624" t="s">
        <v>96</v>
      </c>
      <c r="B624" t="str">
        <f>_xlfn.TEXTAFTER(Table1[[#This Row],[OrderID]],"-",2)</f>
        <v>343322</v>
      </c>
      <c r="C624">
        <f>YEAR(Table1[[#This Row],[OrderDate]])</f>
        <v>2023</v>
      </c>
      <c r="D624" s="9">
        <f>_xlfn.MINIFS(F:F,P:P,Table1[[#This Row],[Country]])</f>
        <v>44928</v>
      </c>
      <c r="E624" s="7">
        <f>DATEDIF(Table1[[#This Row],[first_time_orders]],Table1[[#This Row],[OrderDate]],"m")</f>
        <v>7</v>
      </c>
      <c r="F624" s="9">
        <v>45157</v>
      </c>
      <c r="G624" s="2" t="str">
        <f>TEXT(Table1[[#This Row],[OrderDate]],"MMM-YYYY")</f>
        <v>Aug-2023</v>
      </c>
      <c r="H624" s="7">
        <f>MONTH(Table1[[#This Row],[OrderDate]])</f>
        <v>8</v>
      </c>
      <c r="I624" s="7" t="str">
        <f>"Q"&amp;ROUNDUP(Table1[[#This Row],[months]]/3,0)&amp;"-"&amp;Table1[[#This Row],[order_year]]</f>
        <v>Q3-2023</v>
      </c>
      <c r="J624" s="7">
        <f>Table1[[#This Row],[RequiredDate]]-Table1[[#This Row],[OrderDate]]</f>
        <v>24</v>
      </c>
      <c r="K624" s="7">
        <f>IF(Table1[[#This Row],[lead_time]]&lt;0,MEDIAN(J:J),Table1[[#This Row],[lead_time]])</f>
        <v>24</v>
      </c>
      <c r="L624" s="7">
        <f>IF(Table1[[#This Row],[adj_lead_time]]&lt;=7,1,0)</f>
        <v>0</v>
      </c>
      <c r="M624" s="9">
        <v>45181</v>
      </c>
      <c r="N624" s="9">
        <f>IF(Table1[[#This Row],[lead_time]]&lt;0,(Table1[[#This Row],[OrderDate]]+Table1[[#This Row],[adj_lead_time]]),Table1[[#This Row],[RequiredDate]])</f>
        <v>45181</v>
      </c>
      <c r="O624" t="s">
        <v>648</v>
      </c>
      <c r="P624" t="s">
        <v>653</v>
      </c>
      <c r="Q624" t="s">
        <v>688</v>
      </c>
      <c r="R624" t="s">
        <v>706</v>
      </c>
      <c r="S624" t="s">
        <v>707</v>
      </c>
      <c r="T624" t="s">
        <v>714</v>
      </c>
      <c r="U624" t="s">
        <v>728</v>
      </c>
      <c r="V624" t="s">
        <v>815</v>
      </c>
      <c r="W624">
        <v>1183.95</v>
      </c>
      <c r="X624">
        <f>Table1[[#This Row],[UnitCost]]*(1+'scenario modeling'!$B$3)</f>
        <v>1302.3450000000003</v>
      </c>
      <c r="Y624">
        <v>1503.53</v>
      </c>
      <c r="Z624" t="str">
        <f>IF(Table1[[#This Row],[UnitPrice]]&lt;=Quantiles!$B$2,Quantiles!$A$2,IF(Table1[[#This Row],[UnitPrice]]&lt;=Quantiles!$B$3,Quantiles!$A$3,Quantiles!$A$4))</f>
        <v>Medium</v>
      </c>
      <c r="AA624">
        <v>0.24099999999999999</v>
      </c>
      <c r="AB624" s="5">
        <f>MIN(Table1[[#This Row],[DiscountPct]],'scenario modeling'!$B$2)</f>
        <v>0.1</v>
      </c>
      <c r="AC624" t="str">
        <f>IF(Table1[[#This Row],[DiscountPct]]&gt;0.3, "&gt;0.3","")</f>
        <v/>
      </c>
      <c r="AD624">
        <v>16</v>
      </c>
      <c r="AE624">
        <f>Table1[[#This Row],[Quantity]]*(1+'scenario modeling'!$B$4)</f>
        <v>19.2</v>
      </c>
      <c r="AF624">
        <f>Table1[[#This Row],[UnitCost]]*Table1[[#This Row],[Quantity]]</f>
        <v>18943.2</v>
      </c>
      <c r="AG624">
        <f>SUMIF($U:U,Table1[[#This Row],[ProductCategory]],$AM:AM)</f>
        <v>1616102.6546600002</v>
      </c>
      <c r="AH624">
        <f>SUMIFS($AM$2:AM624,$U$2:U624,U624)</f>
        <v>1496805.0338600003</v>
      </c>
      <c r="AI624" s="5">
        <f>Table1[[#This Row],[Cumulative_revenue]]/Table1[[#This Row],[Category_revenue]]</f>
        <v>0.92618190406654699</v>
      </c>
      <c r="AJ624" t="str">
        <f>IF(Table1[[#This Row],[cumulative_pct]]&lt;=0.8,"A",IF(Table1[[#This Row],[cumulative_pct]]&lt;=0.95,"B","C"))</f>
        <v>B</v>
      </c>
      <c r="AK624">
        <f>Table1[[#This Row],[adj_unit_cost]]*Table1[[#This Row],[scenario_quantity]]</f>
        <v>25005.024000000005</v>
      </c>
      <c r="AL624" s="5">
        <f>Table1[[#This Row],[UnitPrice]]*Table1[[#This Row],[scenario_quantity]]*(1-Table1[[#This Row],[cap_adjusted_discount]])</f>
        <v>25980.9984</v>
      </c>
      <c r="AM624" s="5">
        <f>Table1[[#This Row],[UnitPrice]]*Table1[[#This Row],[Quantity]]*(1-Table1[[#This Row],[DiscountPct]])</f>
        <v>18258.868320000001</v>
      </c>
      <c r="AN624" s="5">
        <f>Table1[[#This Row],[gross_revenue]]-Table1[[#This Row],[cost_of_goods]]</f>
        <v>-684.33167999999932</v>
      </c>
      <c r="AO624" s="5">
        <f>Table1[[#This Row],[scenario_revenue]]-Table1[[#This Row],[Scenario_unit_cost]]</f>
        <v>975.97439999999551</v>
      </c>
      <c r="AP624" s="5">
        <f>IF(Table1[[#This Row],[gross_revenue]]=0,0,Table1[[#This Row],[gross_profit]]/Table1[[#This Row],[gross_revenue]])</f>
        <v>-3.7479413729623705E-2</v>
      </c>
    </row>
    <row r="625" spans="1:42" x14ac:dyDescent="0.35">
      <c r="A625" t="s">
        <v>429</v>
      </c>
      <c r="B625" t="str">
        <f>_xlfn.TEXTAFTER(Table1[[#This Row],[OrderID]],"-",2)</f>
        <v>987081</v>
      </c>
      <c r="C625">
        <f>YEAR(Table1[[#This Row],[OrderDate]])</f>
        <v>2023</v>
      </c>
      <c r="D625" s="9">
        <f>_xlfn.MINIFS(F:F,P:P,Table1[[#This Row],[Country]])</f>
        <v>44928</v>
      </c>
      <c r="E625" s="7">
        <f>DATEDIF(Table1[[#This Row],[first_time_orders]],Table1[[#This Row],[OrderDate]],"m")</f>
        <v>7</v>
      </c>
      <c r="F625" s="9">
        <v>45167</v>
      </c>
      <c r="G625" s="2" t="str">
        <f>TEXT(Table1[[#This Row],[OrderDate]],"MMM-YYYY")</f>
        <v>Aug-2023</v>
      </c>
      <c r="H625" s="7">
        <f>MONTH(Table1[[#This Row],[OrderDate]])</f>
        <v>8</v>
      </c>
      <c r="I625" s="7" t="str">
        <f>"Q"&amp;ROUNDUP(Table1[[#This Row],[months]]/3,0)&amp;"-"&amp;Table1[[#This Row],[order_year]]</f>
        <v>Q3-2023</v>
      </c>
      <c r="J625" s="7">
        <f>Table1[[#This Row],[RequiredDate]]-Table1[[#This Row],[OrderDate]]</f>
        <v>15</v>
      </c>
      <c r="K625" s="7">
        <f>IF(Table1[[#This Row],[lead_time]]&lt;0,MEDIAN(J:J),Table1[[#This Row],[lead_time]])</f>
        <v>15</v>
      </c>
      <c r="L625" s="7">
        <f>IF(Table1[[#This Row],[adj_lead_time]]&lt;=7,1,0)</f>
        <v>0</v>
      </c>
      <c r="M625" s="9">
        <v>45182</v>
      </c>
      <c r="N625" s="9">
        <f>IF(Table1[[#This Row],[lead_time]]&lt;0,(Table1[[#This Row],[OrderDate]]+Table1[[#This Row],[adj_lead_time]]),Table1[[#This Row],[RequiredDate]])</f>
        <v>45182</v>
      </c>
      <c r="O625" t="s">
        <v>648</v>
      </c>
      <c r="P625" t="s">
        <v>653</v>
      </c>
      <c r="Q625" t="s">
        <v>688</v>
      </c>
      <c r="R625" t="s">
        <v>705</v>
      </c>
      <c r="S625" t="s">
        <v>709</v>
      </c>
      <c r="T625" t="s">
        <v>719</v>
      </c>
      <c r="U625" t="s">
        <v>728</v>
      </c>
      <c r="V625" t="s">
        <v>1148</v>
      </c>
      <c r="W625">
        <v>1287.6400000000001</v>
      </c>
      <c r="X625">
        <f>Table1[[#This Row],[UnitCost]]*(1+'scenario modeling'!$B$3)</f>
        <v>1416.4040000000002</v>
      </c>
      <c r="Y625">
        <v>2717.15</v>
      </c>
      <c r="Z625" t="str">
        <f>IF(Table1[[#This Row],[UnitPrice]]&lt;=Quantiles!$B$2,Quantiles!$A$2,IF(Table1[[#This Row],[UnitPrice]]&lt;=Quantiles!$B$3,Quantiles!$A$3,Quantiles!$A$4))</f>
        <v>High</v>
      </c>
      <c r="AA625">
        <v>3.2000000000000001E-2</v>
      </c>
      <c r="AB625" s="5">
        <f>MIN(Table1[[#This Row],[DiscountPct]],'scenario modeling'!$B$2)</f>
        <v>3.2000000000000001E-2</v>
      </c>
      <c r="AC625" t="str">
        <f>IF(Table1[[#This Row],[DiscountPct]]&gt;0.3, "&gt;0.3","")</f>
        <v/>
      </c>
      <c r="AD625">
        <v>7</v>
      </c>
      <c r="AE625">
        <f>Table1[[#This Row],[Quantity]]*(1+'scenario modeling'!$B$4)</f>
        <v>8.4</v>
      </c>
      <c r="AF625">
        <f>Table1[[#This Row],[UnitCost]]*Table1[[#This Row],[Quantity]]</f>
        <v>9013.4800000000014</v>
      </c>
      <c r="AG625">
        <f>SUMIF($U:U,Table1[[#This Row],[ProductCategory]],$AM:AM)</f>
        <v>1616102.6546600002</v>
      </c>
      <c r="AH625">
        <f>SUMIFS($AM$2:AM625,$U$2:U625,U625)</f>
        <v>1515216.4422600004</v>
      </c>
      <c r="AI625" s="5">
        <f>Table1[[#This Row],[Cumulative_revenue]]/Table1[[#This Row],[Category_revenue]]</f>
        <v>0.93757437863919324</v>
      </c>
      <c r="AJ625" t="str">
        <f>IF(Table1[[#This Row],[cumulative_pct]]&lt;=0.8,"A",IF(Table1[[#This Row],[cumulative_pct]]&lt;=0.95,"B","C"))</f>
        <v>B</v>
      </c>
      <c r="AK625">
        <f>Table1[[#This Row],[adj_unit_cost]]*Table1[[#This Row],[scenario_quantity]]</f>
        <v>11897.793600000003</v>
      </c>
      <c r="AL625" s="5">
        <f>Table1[[#This Row],[UnitPrice]]*Table1[[#This Row],[scenario_quantity]]*(1-Table1[[#This Row],[cap_adjusted_discount]])</f>
        <v>22093.69008</v>
      </c>
      <c r="AM625" s="5">
        <f>Table1[[#This Row],[UnitPrice]]*Table1[[#This Row],[Quantity]]*(1-Table1[[#This Row],[DiscountPct]])</f>
        <v>18411.4084</v>
      </c>
      <c r="AN625" s="5">
        <f>Table1[[#This Row],[gross_revenue]]-Table1[[#This Row],[cost_of_goods]]</f>
        <v>9397.9283999999989</v>
      </c>
      <c r="AO625" s="5">
        <f>Table1[[#This Row],[scenario_revenue]]-Table1[[#This Row],[Scenario_unit_cost]]</f>
        <v>10195.896479999998</v>
      </c>
      <c r="AP625" s="5">
        <f>IF(Table1[[#This Row],[gross_revenue]]=0,0,Table1[[#This Row],[gross_profit]]/Table1[[#This Row],[gross_revenue]])</f>
        <v>0.51044049405802105</v>
      </c>
    </row>
    <row r="626" spans="1:42" x14ac:dyDescent="0.35">
      <c r="A626" t="s">
        <v>254</v>
      </c>
      <c r="B626" t="str">
        <f>_xlfn.TEXTAFTER(Table1[[#This Row],[OrderID]],"-",2)</f>
        <v>517216</v>
      </c>
      <c r="C626">
        <f>YEAR(Table1[[#This Row],[OrderDate]])</f>
        <v>2023</v>
      </c>
      <c r="D626" s="9">
        <f>_xlfn.MINIFS(F:F,P:P,Table1[[#This Row],[Country]])</f>
        <v>44955</v>
      </c>
      <c r="E626" s="7">
        <f>DATEDIF(Table1[[#This Row],[first_time_orders]],Table1[[#This Row],[OrderDate]],"m")</f>
        <v>7</v>
      </c>
      <c r="F626" s="9">
        <v>45188</v>
      </c>
      <c r="G626" s="2" t="str">
        <f>TEXT(Table1[[#This Row],[OrderDate]],"MMM-YYYY")</f>
        <v>Sept-2023</v>
      </c>
      <c r="H626" s="7">
        <f>MONTH(Table1[[#This Row],[OrderDate]])</f>
        <v>9</v>
      </c>
      <c r="I626" s="7" t="str">
        <f>"Q"&amp;ROUNDUP(Table1[[#This Row],[months]]/3,0)&amp;"-"&amp;Table1[[#This Row],[order_year]]</f>
        <v>Q3-2023</v>
      </c>
      <c r="J626" s="7">
        <f>Table1[[#This Row],[RequiredDate]]-Table1[[#This Row],[OrderDate]]</f>
        <v>19</v>
      </c>
      <c r="K626" s="7">
        <f>IF(Table1[[#This Row],[lead_time]]&lt;0,MEDIAN(J:J),Table1[[#This Row],[lead_time]])</f>
        <v>19</v>
      </c>
      <c r="L626" s="7">
        <f>IF(Table1[[#This Row],[adj_lead_time]]&lt;=7,1,0)</f>
        <v>0</v>
      </c>
      <c r="M626" s="9">
        <v>45207</v>
      </c>
      <c r="N626" s="9">
        <f>IF(Table1[[#This Row],[lead_time]]&lt;0,(Table1[[#This Row],[OrderDate]]+Table1[[#This Row],[adj_lead_time]]),Table1[[#This Row],[RequiredDate]])</f>
        <v>45207</v>
      </c>
      <c r="O626" t="s">
        <v>647</v>
      </c>
      <c r="P626" t="s">
        <v>654</v>
      </c>
      <c r="Q626" t="s">
        <v>668</v>
      </c>
      <c r="R626" t="s">
        <v>702</v>
      </c>
      <c r="S626" t="s">
        <v>711</v>
      </c>
      <c r="T626" t="s">
        <v>713</v>
      </c>
      <c r="U626" t="s">
        <v>728</v>
      </c>
      <c r="V626" t="s">
        <v>974</v>
      </c>
      <c r="W626">
        <v>385.32</v>
      </c>
      <c r="X626">
        <f>Table1[[#This Row],[UnitCost]]*(1+'scenario modeling'!$B$3)</f>
        <v>423.85200000000003</v>
      </c>
      <c r="Y626">
        <v>606.76</v>
      </c>
      <c r="Z626" t="str">
        <f>IF(Table1[[#This Row],[UnitPrice]]&lt;=Quantiles!$B$2,Quantiles!$A$2,IF(Table1[[#This Row],[UnitPrice]]&lt;=Quantiles!$B$3,Quantiles!$A$3,Quantiles!$A$4))</f>
        <v>Low</v>
      </c>
      <c r="AA626">
        <v>8.5999999999999993E-2</v>
      </c>
      <c r="AB626" s="5">
        <f>MIN(Table1[[#This Row],[DiscountPct]],'scenario modeling'!$B$2)</f>
        <v>8.5999999999999993E-2</v>
      </c>
      <c r="AC626" t="str">
        <f>IF(Table1[[#This Row],[DiscountPct]]&gt;0.3, "&gt;0.3","")</f>
        <v/>
      </c>
      <c r="AD626">
        <v>8</v>
      </c>
      <c r="AE626">
        <f>Table1[[#This Row],[Quantity]]*(1+'scenario modeling'!$B$4)</f>
        <v>9.6</v>
      </c>
      <c r="AF626">
        <f>Table1[[#This Row],[UnitCost]]*Table1[[#This Row],[Quantity]]</f>
        <v>3082.56</v>
      </c>
      <c r="AG626">
        <f>SUMIF($U:U,Table1[[#This Row],[ProductCategory]],$AM:AM)</f>
        <v>1616102.6546600002</v>
      </c>
      <c r="AH626">
        <f>SUMIFS($AM$2:AM626,$U$2:U626,U626)</f>
        <v>1519653.0713800003</v>
      </c>
      <c r="AI626" s="5">
        <f>Table1[[#This Row],[Cumulative_revenue]]/Table1[[#This Row],[Category_revenue]]</f>
        <v>0.94031964306110793</v>
      </c>
      <c r="AJ626" t="str">
        <f>IF(Table1[[#This Row],[cumulative_pct]]&lt;=0.8,"A",IF(Table1[[#This Row],[cumulative_pct]]&lt;=0.95,"B","C"))</f>
        <v>B</v>
      </c>
      <c r="AK626">
        <f>Table1[[#This Row],[adj_unit_cost]]*Table1[[#This Row],[scenario_quantity]]</f>
        <v>4068.9792000000002</v>
      </c>
      <c r="AL626" s="5">
        <f>Table1[[#This Row],[UnitPrice]]*Table1[[#This Row],[scenario_quantity]]*(1-Table1[[#This Row],[cap_adjusted_discount]])</f>
        <v>5323.9549440000001</v>
      </c>
      <c r="AM626" s="5">
        <f>Table1[[#This Row],[UnitPrice]]*Table1[[#This Row],[Quantity]]*(1-Table1[[#This Row],[DiscountPct]])</f>
        <v>4436.6291200000005</v>
      </c>
      <c r="AN626" s="5">
        <f>Table1[[#This Row],[gross_revenue]]-Table1[[#This Row],[cost_of_goods]]</f>
        <v>1354.0691200000006</v>
      </c>
      <c r="AO626" s="5">
        <f>Table1[[#This Row],[scenario_revenue]]-Table1[[#This Row],[Scenario_unit_cost]]</f>
        <v>1254.9757439999998</v>
      </c>
      <c r="AP626" s="5">
        <f>IF(Table1[[#This Row],[gross_revenue]]=0,0,Table1[[#This Row],[gross_profit]]/Table1[[#This Row],[gross_revenue]])</f>
        <v>0.30520223425842735</v>
      </c>
    </row>
    <row r="627" spans="1:42" x14ac:dyDescent="0.35">
      <c r="A627" t="s">
        <v>485</v>
      </c>
      <c r="B627" t="str">
        <f>_xlfn.TEXTAFTER(Table1[[#This Row],[OrderID]],"-",2)</f>
        <v>243704</v>
      </c>
      <c r="C627">
        <f>YEAR(Table1[[#This Row],[OrderDate]])</f>
        <v>2023</v>
      </c>
      <c r="D627" s="9">
        <f>_xlfn.MINIFS(F:F,P:P,Table1[[#This Row],[Country]])</f>
        <v>44936</v>
      </c>
      <c r="E627" s="7">
        <f>DATEDIF(Table1[[#This Row],[first_time_orders]],Table1[[#This Row],[OrderDate]],"m")</f>
        <v>7</v>
      </c>
      <c r="F627" s="9">
        <v>45167</v>
      </c>
      <c r="G627" s="2" t="str">
        <f>TEXT(Table1[[#This Row],[OrderDate]],"MMM-YYYY")</f>
        <v>Aug-2023</v>
      </c>
      <c r="H627" s="7">
        <f>MONTH(Table1[[#This Row],[OrderDate]])</f>
        <v>8</v>
      </c>
      <c r="I627" s="7" t="str">
        <f>"Q"&amp;ROUNDUP(Table1[[#This Row],[months]]/3,0)&amp;"-"&amp;Table1[[#This Row],[order_year]]</f>
        <v>Q3-2023</v>
      </c>
      <c r="J627" s="7">
        <f>Table1[[#This Row],[RequiredDate]]-Table1[[#This Row],[OrderDate]]</f>
        <v>21</v>
      </c>
      <c r="K627" s="7">
        <f>IF(Table1[[#This Row],[lead_time]]&lt;0,MEDIAN(J:J),Table1[[#This Row],[lead_time]])</f>
        <v>21</v>
      </c>
      <c r="L627" s="7">
        <f>IF(Table1[[#This Row],[adj_lead_time]]&lt;=7,1,0)</f>
        <v>0</v>
      </c>
      <c r="M627" s="9">
        <v>45188</v>
      </c>
      <c r="N627" s="9">
        <f>IF(Table1[[#This Row],[lead_time]]&lt;0,(Table1[[#This Row],[OrderDate]]+Table1[[#This Row],[adj_lead_time]]),Table1[[#This Row],[RequiredDate]])</f>
        <v>45188</v>
      </c>
      <c r="O627" t="s">
        <v>649</v>
      </c>
      <c r="P627" t="s">
        <v>657</v>
      </c>
      <c r="Q627" t="s">
        <v>679</v>
      </c>
      <c r="R627" t="s">
        <v>705</v>
      </c>
      <c r="S627" t="s">
        <v>711</v>
      </c>
      <c r="T627" t="s">
        <v>717</v>
      </c>
      <c r="U627" t="s">
        <v>728</v>
      </c>
      <c r="V627" t="s">
        <v>1204</v>
      </c>
      <c r="W627">
        <v>784.46</v>
      </c>
      <c r="X627">
        <f>Table1[[#This Row],[UnitCost]]*(1+'scenario modeling'!$B$3)</f>
        <v>862.90600000000006</v>
      </c>
      <c r="Y627">
        <v>1843.51</v>
      </c>
      <c r="Z627" t="str">
        <f>IF(Table1[[#This Row],[UnitPrice]]&lt;=Quantiles!$B$2,Quantiles!$A$2,IF(Table1[[#This Row],[UnitPrice]]&lt;=Quantiles!$B$3,Quantiles!$A$3,Quantiles!$A$4))</f>
        <v>High</v>
      </c>
      <c r="AA627">
        <v>0.13800000000000001</v>
      </c>
      <c r="AB627" s="5">
        <f>MIN(Table1[[#This Row],[DiscountPct]],'scenario modeling'!$B$2)</f>
        <v>0.1</v>
      </c>
      <c r="AC627" t="str">
        <f>IF(Table1[[#This Row],[DiscountPct]]&gt;0.3, "&gt;0.3","")</f>
        <v/>
      </c>
      <c r="AD627">
        <v>23</v>
      </c>
      <c r="AE627">
        <f>Table1[[#This Row],[Quantity]]*(1+'scenario modeling'!$B$4)</f>
        <v>27.599999999999998</v>
      </c>
      <c r="AF627">
        <f>Table1[[#This Row],[UnitCost]]*Table1[[#This Row],[Quantity]]</f>
        <v>18042.580000000002</v>
      </c>
      <c r="AG627">
        <f>SUMIF($U:U,Table1[[#This Row],[ProductCategory]],$AM:AM)</f>
        <v>1616102.6546600002</v>
      </c>
      <c r="AH627">
        <f>SUMIFS($AM$2:AM627,$U$2:U627,U627)</f>
        <v>1556202.5006400002</v>
      </c>
      <c r="AI627" s="5">
        <f>Table1[[#This Row],[Cumulative_revenue]]/Table1[[#This Row],[Category_revenue]]</f>
        <v>0.96293542749448546</v>
      </c>
      <c r="AJ627" t="str">
        <f>IF(Table1[[#This Row],[cumulative_pct]]&lt;=0.8,"A",IF(Table1[[#This Row],[cumulative_pct]]&lt;=0.95,"B","C"))</f>
        <v>C</v>
      </c>
      <c r="AK627">
        <f>Table1[[#This Row],[adj_unit_cost]]*Table1[[#This Row],[scenario_quantity]]</f>
        <v>23816.205600000001</v>
      </c>
      <c r="AL627" s="5">
        <f>Table1[[#This Row],[UnitPrice]]*Table1[[#This Row],[scenario_quantity]]*(1-Table1[[#This Row],[cap_adjusted_discount]])</f>
        <v>45792.788399999998</v>
      </c>
      <c r="AM627" s="5">
        <f>Table1[[#This Row],[UnitPrice]]*Table1[[#This Row],[Quantity]]*(1-Table1[[#This Row],[DiscountPct]])</f>
        <v>36549.429260000004</v>
      </c>
      <c r="AN627" s="5">
        <f>Table1[[#This Row],[gross_revenue]]-Table1[[#This Row],[cost_of_goods]]</f>
        <v>18506.849260000003</v>
      </c>
      <c r="AO627" s="5">
        <f>Table1[[#This Row],[scenario_revenue]]-Table1[[#This Row],[Scenario_unit_cost]]</f>
        <v>21976.582799999996</v>
      </c>
      <c r="AP627" s="5">
        <f>IF(Table1[[#This Row],[gross_revenue]]=0,0,Table1[[#This Row],[gross_profit]]/Table1[[#This Row],[gross_revenue]])</f>
        <v>0.50635125184441798</v>
      </c>
    </row>
    <row r="628" spans="1:42" x14ac:dyDescent="0.35">
      <c r="A628" t="s">
        <v>191</v>
      </c>
      <c r="B628" t="str">
        <f>_xlfn.TEXTAFTER(Table1[[#This Row],[OrderID]],"-",2)</f>
        <v>664749</v>
      </c>
      <c r="C628">
        <f>YEAR(Table1[[#This Row],[OrderDate]])</f>
        <v>2023</v>
      </c>
      <c r="D628" s="9">
        <f>_xlfn.MINIFS(F:F,P:P,Table1[[#This Row],[Country]])</f>
        <v>44945</v>
      </c>
      <c r="E628" s="7">
        <f>DATEDIF(Table1[[#This Row],[first_time_orders]],Table1[[#This Row],[OrderDate]],"m")</f>
        <v>7</v>
      </c>
      <c r="F628" s="9">
        <v>45165</v>
      </c>
      <c r="G628" s="2" t="str">
        <f>TEXT(Table1[[#This Row],[OrderDate]],"MMM-YYYY")</f>
        <v>Aug-2023</v>
      </c>
      <c r="H628" s="7">
        <f>MONTH(Table1[[#This Row],[OrderDate]])</f>
        <v>8</v>
      </c>
      <c r="I628" s="7" t="str">
        <f>"Q"&amp;ROUNDUP(Table1[[#This Row],[months]]/3,0)&amp;"-"&amp;Table1[[#This Row],[order_year]]</f>
        <v>Q3-2023</v>
      </c>
      <c r="J628" s="7">
        <f>Table1[[#This Row],[RequiredDate]]-Table1[[#This Row],[OrderDate]]</f>
        <v>15</v>
      </c>
      <c r="K628" s="7">
        <f>IF(Table1[[#This Row],[lead_time]]&lt;0,MEDIAN(J:J),Table1[[#This Row],[lead_time]])</f>
        <v>15</v>
      </c>
      <c r="L628" s="7">
        <f>IF(Table1[[#This Row],[adj_lead_time]]&lt;=7,1,0)</f>
        <v>0</v>
      </c>
      <c r="M628" s="9">
        <v>45180</v>
      </c>
      <c r="N628" s="9">
        <f>IF(Table1[[#This Row],[lead_time]]&lt;0,(Table1[[#This Row],[OrderDate]]+Table1[[#This Row],[adj_lead_time]]),Table1[[#This Row],[RequiredDate]])</f>
        <v>45180</v>
      </c>
      <c r="O628" t="s">
        <v>649</v>
      </c>
      <c r="P628" t="s">
        <v>658</v>
      </c>
      <c r="Q628" t="s">
        <v>683</v>
      </c>
      <c r="R628" t="s">
        <v>704</v>
      </c>
      <c r="S628" t="s">
        <v>709</v>
      </c>
      <c r="T628" t="s">
        <v>725</v>
      </c>
      <c r="U628" t="s">
        <v>728</v>
      </c>
      <c r="V628" t="s">
        <v>910</v>
      </c>
      <c r="W628">
        <v>943.79</v>
      </c>
      <c r="X628">
        <f>Table1[[#This Row],[UnitCost]]*(1+'scenario modeling'!$B$3)</f>
        <v>1038.1690000000001</v>
      </c>
      <c r="Y628">
        <v>1913.76</v>
      </c>
      <c r="Z628" t="str">
        <f>IF(Table1[[#This Row],[UnitPrice]]&lt;=Quantiles!$B$2,Quantiles!$A$2,IF(Table1[[#This Row],[UnitPrice]]&lt;=Quantiles!$B$3,Quantiles!$A$3,Quantiles!$A$4))</f>
        <v>High</v>
      </c>
      <c r="AA628">
        <v>9.0999999999999998E-2</v>
      </c>
      <c r="AB628" s="5">
        <f>MIN(Table1[[#This Row],[DiscountPct]],'scenario modeling'!$B$2)</f>
        <v>9.0999999999999998E-2</v>
      </c>
      <c r="AC628" t="str">
        <f>IF(Table1[[#This Row],[DiscountPct]]&gt;0.3, "&gt;0.3","")</f>
        <v/>
      </c>
      <c r="AD628">
        <v>9</v>
      </c>
      <c r="AE628">
        <f>Table1[[#This Row],[Quantity]]*(1+'scenario modeling'!$B$4)</f>
        <v>10.799999999999999</v>
      </c>
      <c r="AF628">
        <f>Table1[[#This Row],[UnitCost]]*Table1[[#This Row],[Quantity]]</f>
        <v>8494.11</v>
      </c>
      <c r="AG628">
        <f>SUMIF($U:U,Table1[[#This Row],[ProductCategory]],$AM:AM)</f>
        <v>1616102.6546600002</v>
      </c>
      <c r="AH628">
        <f>SUMIFS($AM$2:AM628,$U$2:U628,U628)</f>
        <v>1571858.9712000003</v>
      </c>
      <c r="AI628" s="5">
        <f>Table1[[#This Row],[Cumulative_revenue]]/Table1[[#This Row],[Category_revenue]]</f>
        <v>0.97262322208776519</v>
      </c>
      <c r="AJ628" t="str">
        <f>IF(Table1[[#This Row],[cumulative_pct]]&lt;=0.8,"A",IF(Table1[[#This Row],[cumulative_pct]]&lt;=0.95,"B","C"))</f>
        <v>C</v>
      </c>
      <c r="AK628">
        <f>Table1[[#This Row],[adj_unit_cost]]*Table1[[#This Row],[scenario_quantity]]</f>
        <v>11212.225200000001</v>
      </c>
      <c r="AL628" s="5">
        <f>Table1[[#This Row],[UnitPrice]]*Table1[[#This Row],[scenario_quantity]]*(1-Table1[[#This Row],[cap_adjusted_discount]])</f>
        <v>18787.764671999998</v>
      </c>
      <c r="AM628" s="5">
        <f>Table1[[#This Row],[UnitPrice]]*Table1[[#This Row],[Quantity]]*(1-Table1[[#This Row],[DiscountPct]])</f>
        <v>15656.47056</v>
      </c>
      <c r="AN628" s="5">
        <f>Table1[[#This Row],[gross_revenue]]-Table1[[#This Row],[cost_of_goods]]</f>
        <v>7162.3605599999992</v>
      </c>
      <c r="AO628" s="5">
        <f>Table1[[#This Row],[scenario_revenue]]-Table1[[#This Row],[Scenario_unit_cost]]</f>
        <v>7575.5394719999967</v>
      </c>
      <c r="AP628" s="5">
        <f>IF(Table1[[#This Row],[gross_revenue]]=0,0,Table1[[#This Row],[gross_profit]]/Table1[[#This Row],[gross_revenue]])</f>
        <v>0.45746967891338081</v>
      </c>
    </row>
    <row r="629" spans="1:42" x14ac:dyDescent="0.35">
      <c r="A629" t="s">
        <v>315</v>
      </c>
      <c r="B629" t="str">
        <f>_xlfn.TEXTAFTER(Table1[[#This Row],[OrderID]],"-",2)</f>
        <v>166668</v>
      </c>
      <c r="C629">
        <f>YEAR(Table1[[#This Row],[OrderDate]])</f>
        <v>2023</v>
      </c>
      <c r="D629" s="9">
        <f>_xlfn.MINIFS(F:F,P:P,Table1[[#This Row],[Country]])</f>
        <v>44938</v>
      </c>
      <c r="E629" s="7">
        <f>DATEDIF(Table1[[#This Row],[first_time_orders]],Table1[[#This Row],[OrderDate]],"m")</f>
        <v>8</v>
      </c>
      <c r="F629" s="9">
        <v>45204</v>
      </c>
      <c r="G629" s="2" t="str">
        <f>TEXT(Table1[[#This Row],[OrderDate]],"MMM-YYYY")</f>
        <v>Oct-2023</v>
      </c>
      <c r="H629" s="7">
        <f>MONTH(Table1[[#This Row],[OrderDate]])</f>
        <v>10</v>
      </c>
      <c r="I629" s="7" t="str">
        <f>"Q"&amp;ROUNDUP(Table1[[#This Row],[months]]/3,0)&amp;"-"&amp;Table1[[#This Row],[order_year]]</f>
        <v>Q4-2023</v>
      </c>
      <c r="J629" s="7">
        <f>Table1[[#This Row],[RequiredDate]]-Table1[[#This Row],[OrderDate]]</f>
        <v>26</v>
      </c>
      <c r="K629" s="7">
        <f>IF(Table1[[#This Row],[lead_time]]&lt;0,MEDIAN(J:J),Table1[[#This Row],[lead_time]])</f>
        <v>26</v>
      </c>
      <c r="L629" s="7">
        <f>IF(Table1[[#This Row],[adj_lead_time]]&lt;=7,1,0)</f>
        <v>0</v>
      </c>
      <c r="M629" s="9">
        <v>45230</v>
      </c>
      <c r="N629" s="9">
        <f>IF(Table1[[#This Row],[lead_time]]&lt;0,(Table1[[#This Row],[OrderDate]]+Table1[[#This Row],[adj_lead_time]]),Table1[[#This Row],[RequiredDate]])</f>
        <v>45230</v>
      </c>
      <c r="O629" t="s">
        <v>647</v>
      </c>
      <c r="P629" t="s">
        <v>659</v>
      </c>
      <c r="Q629" t="s">
        <v>685</v>
      </c>
      <c r="R629" t="s">
        <v>704</v>
      </c>
      <c r="S629" t="s">
        <v>708</v>
      </c>
      <c r="T629" t="s">
        <v>713</v>
      </c>
      <c r="U629" t="s">
        <v>728</v>
      </c>
      <c r="V629" t="s">
        <v>1035</v>
      </c>
      <c r="W629">
        <v>649.91</v>
      </c>
      <c r="X629">
        <f>Table1[[#This Row],[UnitCost]]*(1+'scenario modeling'!$B$3)</f>
        <v>714.90100000000007</v>
      </c>
      <c r="Y629">
        <v>1360.12</v>
      </c>
      <c r="Z629" t="str">
        <f>IF(Table1[[#This Row],[UnitPrice]]&lt;=Quantiles!$B$2,Quantiles!$A$2,IF(Table1[[#This Row],[UnitPrice]]&lt;=Quantiles!$B$3,Quantiles!$A$3,Quantiles!$A$4))</f>
        <v>Medium</v>
      </c>
      <c r="AA629">
        <v>0.19400000000000001</v>
      </c>
      <c r="AB629" s="5">
        <f>MIN(Table1[[#This Row],[DiscountPct]],'scenario modeling'!$B$2)</f>
        <v>0.1</v>
      </c>
      <c r="AC629" t="str">
        <f>IF(Table1[[#This Row],[DiscountPct]]&gt;0.3, "&gt;0.3","")</f>
        <v/>
      </c>
      <c r="AD629">
        <v>9</v>
      </c>
      <c r="AE629">
        <f>Table1[[#This Row],[Quantity]]*(1+'scenario modeling'!$B$4)</f>
        <v>10.799999999999999</v>
      </c>
      <c r="AF629">
        <f>Table1[[#This Row],[UnitCost]]*Table1[[#This Row],[Quantity]]</f>
        <v>5849.19</v>
      </c>
      <c r="AG629">
        <f>SUMIF($U:U,Table1[[#This Row],[ProductCategory]],$AM:AM)</f>
        <v>1616102.6546600002</v>
      </c>
      <c r="AH629">
        <f>SUMIFS($AM$2:AM629,$U$2:U629,U629)</f>
        <v>1581725.2816800002</v>
      </c>
      <c r="AI629" s="5">
        <f>Table1[[#This Row],[Cumulative_revenue]]/Table1[[#This Row],[Category_revenue]]</f>
        <v>0.97872822442258012</v>
      </c>
      <c r="AJ629" t="str">
        <f>IF(Table1[[#This Row],[cumulative_pct]]&lt;=0.8,"A",IF(Table1[[#This Row],[cumulative_pct]]&lt;=0.95,"B","C"))</f>
        <v>C</v>
      </c>
      <c r="AK629">
        <f>Table1[[#This Row],[adj_unit_cost]]*Table1[[#This Row],[scenario_quantity]]</f>
        <v>7720.9308000000001</v>
      </c>
      <c r="AL629" s="5">
        <f>Table1[[#This Row],[UnitPrice]]*Table1[[#This Row],[scenario_quantity]]*(1-Table1[[#This Row],[cap_adjusted_discount]])</f>
        <v>13220.366399999997</v>
      </c>
      <c r="AM629" s="5">
        <f>Table1[[#This Row],[UnitPrice]]*Table1[[#This Row],[Quantity]]*(1-Table1[[#This Row],[DiscountPct]])</f>
        <v>9866.3104799999983</v>
      </c>
      <c r="AN629" s="5">
        <f>Table1[[#This Row],[gross_revenue]]-Table1[[#This Row],[cost_of_goods]]</f>
        <v>4017.1204799999987</v>
      </c>
      <c r="AO629" s="5">
        <f>Table1[[#This Row],[scenario_revenue]]-Table1[[#This Row],[Scenario_unit_cost]]</f>
        <v>5499.4355999999971</v>
      </c>
      <c r="AP629" s="5">
        <f>IF(Table1[[#This Row],[gross_revenue]]=0,0,Table1[[#This Row],[gross_profit]]/Table1[[#This Row],[gross_revenue]])</f>
        <v>0.40715528749506769</v>
      </c>
    </row>
    <row r="630" spans="1:42" x14ac:dyDescent="0.35">
      <c r="A630" t="s">
        <v>163</v>
      </c>
      <c r="B630" t="str">
        <f>_xlfn.TEXTAFTER(Table1[[#This Row],[OrderID]],"-",2)</f>
        <v>192324</v>
      </c>
      <c r="C630">
        <f>YEAR(Table1[[#This Row],[OrderDate]])</f>
        <v>2023</v>
      </c>
      <c r="D630" s="9">
        <f>_xlfn.MINIFS(F:F,P:P,Table1[[#This Row],[Country]])</f>
        <v>44936</v>
      </c>
      <c r="E630" s="7">
        <f>DATEDIF(Table1[[#This Row],[first_time_orders]],Table1[[#This Row],[OrderDate]],"m")</f>
        <v>8</v>
      </c>
      <c r="F630" s="9">
        <v>45183</v>
      </c>
      <c r="G630" s="2" t="str">
        <f>TEXT(Table1[[#This Row],[OrderDate]],"MMM-YYYY")</f>
        <v>Sept-2023</v>
      </c>
      <c r="H630" s="7">
        <f>MONTH(Table1[[#This Row],[OrderDate]])</f>
        <v>9</v>
      </c>
      <c r="I630" s="7" t="str">
        <f>"Q"&amp;ROUNDUP(Table1[[#This Row],[months]]/3,0)&amp;"-"&amp;Table1[[#This Row],[order_year]]</f>
        <v>Q3-2023</v>
      </c>
      <c r="J630" s="7">
        <f>Table1[[#This Row],[RequiredDate]]-Table1[[#This Row],[OrderDate]]</f>
        <v>2</v>
      </c>
      <c r="K630" s="7">
        <f>IF(Table1[[#This Row],[lead_time]]&lt;0,MEDIAN(J:J),Table1[[#This Row],[lead_time]])</f>
        <v>2</v>
      </c>
      <c r="L630" s="7">
        <f>IF(Table1[[#This Row],[adj_lead_time]]&lt;=7,1,0)</f>
        <v>1</v>
      </c>
      <c r="M630" s="9">
        <v>45185</v>
      </c>
      <c r="N630" s="9">
        <f>IF(Table1[[#This Row],[lead_time]]&lt;0,(Table1[[#This Row],[OrderDate]]+Table1[[#This Row],[adj_lead_time]]),Table1[[#This Row],[RequiredDate]])</f>
        <v>45185</v>
      </c>
      <c r="O630" t="s">
        <v>649</v>
      </c>
      <c r="P630" t="s">
        <v>657</v>
      </c>
      <c r="Q630" t="s">
        <v>679</v>
      </c>
      <c r="R630" t="s">
        <v>703</v>
      </c>
      <c r="S630" t="s">
        <v>711</v>
      </c>
      <c r="T630" t="s">
        <v>717</v>
      </c>
      <c r="U630" t="s">
        <v>728</v>
      </c>
      <c r="V630" t="s">
        <v>882</v>
      </c>
      <c r="W630">
        <v>376.83</v>
      </c>
      <c r="X630">
        <f>Table1[[#This Row],[UnitCost]]*(1+'scenario modeling'!$B$3)</f>
        <v>414.51300000000003</v>
      </c>
      <c r="Y630">
        <v>732.88</v>
      </c>
      <c r="Z630" t="str">
        <f>IF(Table1[[#This Row],[UnitPrice]]&lt;=Quantiles!$B$2,Quantiles!$A$2,IF(Table1[[#This Row],[UnitPrice]]&lt;=Quantiles!$B$3,Quantiles!$A$3,Quantiles!$A$4))</f>
        <v>Low</v>
      </c>
      <c r="AA630">
        <v>0.188</v>
      </c>
      <c r="AB630" s="5">
        <f>MIN(Table1[[#This Row],[DiscountPct]],'scenario modeling'!$B$2)</f>
        <v>0.1</v>
      </c>
      <c r="AC630" t="str">
        <f>IF(Table1[[#This Row],[DiscountPct]]&gt;0.3, "&gt;0.3","")</f>
        <v/>
      </c>
      <c r="AD630">
        <v>25</v>
      </c>
      <c r="AE630">
        <f>Table1[[#This Row],[Quantity]]*(1+'scenario modeling'!$B$4)</f>
        <v>30</v>
      </c>
      <c r="AF630">
        <f>Table1[[#This Row],[UnitCost]]*Table1[[#This Row],[Quantity]]</f>
        <v>9420.75</v>
      </c>
      <c r="AG630">
        <f>SUMIF($U:U,Table1[[#This Row],[ProductCategory]],$AM:AM)</f>
        <v>1616102.6546600002</v>
      </c>
      <c r="AH630">
        <f>SUMIFS($AM$2:AM630,$U$2:U630,U630)</f>
        <v>1596602.7456800002</v>
      </c>
      <c r="AI630" s="5">
        <f>Table1[[#This Row],[Cumulative_revenue]]/Table1[[#This Row],[Category_revenue]]</f>
        <v>0.98793399112131119</v>
      </c>
      <c r="AJ630" t="str">
        <f>IF(Table1[[#This Row],[cumulative_pct]]&lt;=0.8,"A",IF(Table1[[#This Row],[cumulative_pct]]&lt;=0.95,"B","C"))</f>
        <v>C</v>
      </c>
      <c r="AK630">
        <f>Table1[[#This Row],[adj_unit_cost]]*Table1[[#This Row],[scenario_quantity]]</f>
        <v>12435.390000000001</v>
      </c>
      <c r="AL630" s="5">
        <f>Table1[[#This Row],[UnitPrice]]*Table1[[#This Row],[scenario_quantity]]*(1-Table1[[#This Row],[cap_adjusted_discount]])</f>
        <v>19787.760000000002</v>
      </c>
      <c r="AM630" s="5">
        <f>Table1[[#This Row],[UnitPrice]]*Table1[[#This Row],[Quantity]]*(1-Table1[[#This Row],[DiscountPct]])</f>
        <v>14877.464000000002</v>
      </c>
      <c r="AN630" s="5">
        <f>Table1[[#This Row],[gross_revenue]]-Table1[[#This Row],[cost_of_goods]]</f>
        <v>5456.7140000000018</v>
      </c>
      <c r="AO630" s="5">
        <f>Table1[[#This Row],[scenario_revenue]]-Table1[[#This Row],[Scenario_unit_cost]]</f>
        <v>7352.3700000000008</v>
      </c>
      <c r="AP630" s="5">
        <f>IF(Table1[[#This Row],[gross_revenue]]=0,0,Table1[[#This Row],[gross_profit]]/Table1[[#This Row],[gross_revenue]])</f>
        <v>0.36677716040852132</v>
      </c>
    </row>
    <row r="631" spans="1:42" x14ac:dyDescent="0.35">
      <c r="A631" t="s">
        <v>207</v>
      </c>
      <c r="B631" t="str">
        <f>_xlfn.TEXTAFTER(Table1[[#This Row],[OrderID]],"-",2)</f>
        <v>925146</v>
      </c>
      <c r="C631">
        <f>YEAR(Table1[[#This Row],[OrderDate]])</f>
        <v>2023</v>
      </c>
      <c r="D631" s="9">
        <f>_xlfn.MINIFS(F:F,P:P,Table1[[#This Row],[Country]])</f>
        <v>44938</v>
      </c>
      <c r="E631" s="7">
        <f>DATEDIF(Table1[[#This Row],[first_time_orders]],Table1[[#This Row],[OrderDate]],"m")</f>
        <v>9</v>
      </c>
      <c r="F631" s="9">
        <v>45214</v>
      </c>
      <c r="G631" s="2" t="str">
        <f>TEXT(Table1[[#This Row],[OrderDate]],"MMM-YYYY")</f>
        <v>Oct-2023</v>
      </c>
      <c r="H631" s="7">
        <f>MONTH(Table1[[#This Row],[OrderDate]])</f>
        <v>10</v>
      </c>
      <c r="I631" s="7" t="str">
        <f>"Q"&amp;ROUNDUP(Table1[[#This Row],[months]]/3,0)&amp;"-"&amp;Table1[[#This Row],[order_year]]</f>
        <v>Q4-2023</v>
      </c>
      <c r="J631" s="7">
        <f>Table1[[#This Row],[RequiredDate]]-Table1[[#This Row],[OrderDate]]</f>
        <v>29</v>
      </c>
      <c r="K631" s="7">
        <f>IF(Table1[[#This Row],[lead_time]]&lt;0,MEDIAN(J:J),Table1[[#This Row],[lead_time]])</f>
        <v>29</v>
      </c>
      <c r="L631" s="7">
        <f>IF(Table1[[#This Row],[adj_lead_time]]&lt;=7,1,0)</f>
        <v>0</v>
      </c>
      <c r="M631" s="9">
        <v>45243</v>
      </c>
      <c r="N631" s="9">
        <f>IF(Table1[[#This Row],[lead_time]]&lt;0,(Table1[[#This Row],[OrderDate]]+Table1[[#This Row],[adj_lead_time]]),Table1[[#This Row],[RequiredDate]])</f>
        <v>45243</v>
      </c>
      <c r="O631" t="s">
        <v>647</v>
      </c>
      <c r="P631" t="s">
        <v>659</v>
      </c>
      <c r="Q631" t="s">
        <v>676</v>
      </c>
      <c r="R631" t="s">
        <v>703</v>
      </c>
      <c r="S631" t="s">
        <v>710</v>
      </c>
      <c r="T631" t="s">
        <v>713</v>
      </c>
      <c r="U631" t="s">
        <v>728</v>
      </c>
      <c r="V631" t="s">
        <v>927</v>
      </c>
      <c r="W631">
        <v>986.44</v>
      </c>
      <c r="X631">
        <f>Table1[[#This Row],[UnitCost]]*(1+'scenario modeling'!$B$3)</f>
        <v>1085.0840000000001</v>
      </c>
      <c r="Y631">
        <v>790.61</v>
      </c>
      <c r="Z631" t="str">
        <f>IF(Table1[[#This Row],[UnitPrice]]&lt;=Quantiles!$B$2,Quantiles!$A$2,IF(Table1[[#This Row],[UnitPrice]]&lt;=Quantiles!$B$3,Quantiles!$A$3,Quantiles!$A$4))</f>
        <v>Low</v>
      </c>
      <c r="AA631">
        <v>7.1999999999999995E-2</v>
      </c>
      <c r="AB631" s="5">
        <f>MIN(Table1[[#This Row],[DiscountPct]],'scenario modeling'!$B$2)</f>
        <v>7.1999999999999995E-2</v>
      </c>
      <c r="AC631" t="str">
        <f>IF(Table1[[#This Row],[DiscountPct]]&gt;0.3, "&gt;0.3","")</f>
        <v/>
      </c>
      <c r="AD631">
        <v>6</v>
      </c>
      <c r="AE631">
        <f>Table1[[#This Row],[Quantity]]*(1+'scenario modeling'!$B$4)</f>
        <v>7.1999999999999993</v>
      </c>
      <c r="AF631">
        <f>Table1[[#This Row],[UnitCost]]*Table1[[#This Row],[Quantity]]</f>
        <v>5918.64</v>
      </c>
      <c r="AG631">
        <f>SUMIF($U:U,Table1[[#This Row],[ProductCategory]],$AM:AM)</f>
        <v>1616102.6546600002</v>
      </c>
      <c r="AH631">
        <f>SUMIFS($AM$2:AM631,$U$2:U631,U631)</f>
        <v>1601004.8621600003</v>
      </c>
      <c r="AI631" s="5">
        <f>Table1[[#This Row],[Cumulative_revenue]]/Table1[[#This Row],[Category_revenue]]</f>
        <v>0.99065790006812637</v>
      </c>
      <c r="AJ631" t="str">
        <f>IF(Table1[[#This Row],[cumulative_pct]]&lt;=0.8,"A",IF(Table1[[#This Row],[cumulative_pct]]&lt;=0.95,"B","C"))</f>
        <v>C</v>
      </c>
      <c r="AK631">
        <f>Table1[[#This Row],[adj_unit_cost]]*Table1[[#This Row],[scenario_quantity]]</f>
        <v>7812.6048000000001</v>
      </c>
      <c r="AL631" s="5">
        <f>Table1[[#This Row],[UnitPrice]]*Table1[[#This Row],[scenario_quantity]]*(1-Table1[[#This Row],[cap_adjusted_discount]])</f>
        <v>5282.5397760000005</v>
      </c>
      <c r="AM631" s="5">
        <f>Table1[[#This Row],[UnitPrice]]*Table1[[#This Row],[Quantity]]*(1-Table1[[#This Row],[DiscountPct]])</f>
        <v>4402.1164799999997</v>
      </c>
      <c r="AN631" s="5">
        <f>Table1[[#This Row],[gross_revenue]]-Table1[[#This Row],[cost_of_goods]]</f>
        <v>-1516.5235200000006</v>
      </c>
      <c r="AO631" s="5">
        <f>Table1[[#This Row],[scenario_revenue]]-Table1[[#This Row],[Scenario_unit_cost]]</f>
        <v>-2530.0650239999995</v>
      </c>
      <c r="AP631" s="5">
        <f>IF(Table1[[#This Row],[gross_revenue]]=0,0,Table1[[#This Row],[gross_profit]]/Table1[[#This Row],[gross_revenue]])</f>
        <v>-0.34449872621271499</v>
      </c>
    </row>
    <row r="632" spans="1:42" x14ac:dyDescent="0.35">
      <c r="A632" t="s">
        <v>19</v>
      </c>
      <c r="B632" t="str">
        <f>_xlfn.TEXTAFTER(Table1[[#This Row],[OrderID]],"-",2)</f>
        <v>824839</v>
      </c>
      <c r="C632">
        <f>YEAR(Table1[[#This Row],[OrderDate]])</f>
        <v>2023</v>
      </c>
      <c r="D632" s="9">
        <f>_xlfn.MINIFS(F:F,P:P,Table1[[#This Row],[Country]])</f>
        <v>44988</v>
      </c>
      <c r="E632" s="7">
        <f>DATEDIF(Table1[[#This Row],[first_time_orders]],Table1[[#This Row],[OrderDate]],"m")</f>
        <v>9</v>
      </c>
      <c r="F632" s="9">
        <v>45266</v>
      </c>
      <c r="G632" s="2" t="str">
        <f>TEXT(Table1[[#This Row],[OrderDate]],"MMM-YYYY")</f>
        <v>Dec-2023</v>
      </c>
      <c r="H632" s="7">
        <f>MONTH(Table1[[#This Row],[OrderDate]])</f>
        <v>12</v>
      </c>
      <c r="I632" s="7" t="str">
        <f>"Q"&amp;ROUNDUP(Table1[[#This Row],[months]]/3,0)&amp;"-"&amp;Table1[[#This Row],[order_year]]</f>
        <v>Q4-2023</v>
      </c>
      <c r="J632" s="7">
        <f>Table1[[#This Row],[RequiredDate]]-Table1[[#This Row],[OrderDate]]</f>
        <v>25</v>
      </c>
      <c r="K632" s="7">
        <f>IF(Table1[[#This Row],[lead_time]]&lt;0,MEDIAN(J:J),Table1[[#This Row],[lead_time]])</f>
        <v>25</v>
      </c>
      <c r="L632" s="7">
        <f>IF(Table1[[#This Row],[adj_lead_time]]&lt;=7,1,0)</f>
        <v>0</v>
      </c>
      <c r="M632" s="9">
        <v>45291</v>
      </c>
      <c r="N632" s="9">
        <f>IF(Table1[[#This Row],[lead_time]]&lt;0,(Table1[[#This Row],[OrderDate]]+Table1[[#This Row],[adj_lead_time]]),Table1[[#This Row],[RequiredDate]])</f>
        <v>45291</v>
      </c>
      <c r="O632" t="s">
        <v>647</v>
      </c>
      <c r="P632" t="s">
        <v>652</v>
      </c>
      <c r="Q632" t="s">
        <v>666</v>
      </c>
      <c r="R632" t="s">
        <v>704</v>
      </c>
      <c r="S632" t="s">
        <v>707</v>
      </c>
      <c r="T632" t="s">
        <v>716</v>
      </c>
      <c r="U632" t="s">
        <v>728</v>
      </c>
      <c r="V632" t="s">
        <v>738</v>
      </c>
      <c r="W632">
        <v>663.03</v>
      </c>
      <c r="X632">
        <f>Table1[[#This Row],[UnitCost]]*(1+'scenario modeling'!$B$3)</f>
        <v>729.33300000000008</v>
      </c>
      <c r="Y632">
        <v>813.51</v>
      </c>
      <c r="Z632" t="str">
        <f>IF(Table1[[#This Row],[UnitPrice]]&lt;=Quantiles!$B$2,Quantiles!$A$2,IF(Table1[[#This Row],[UnitPrice]]&lt;=Quantiles!$B$3,Quantiles!$A$3,Quantiles!$A$4))</f>
        <v>Low</v>
      </c>
      <c r="AA632">
        <v>0.10199999999999999</v>
      </c>
      <c r="AB632" s="5">
        <f>MIN(Table1[[#This Row],[DiscountPct]],'scenario modeling'!$B$2)</f>
        <v>0.1</v>
      </c>
      <c r="AC632" t="str">
        <f>IF(Table1[[#This Row],[DiscountPct]]&gt;0.3, "&gt;0.3","")</f>
        <v/>
      </c>
      <c r="AD632">
        <v>15</v>
      </c>
      <c r="AE632">
        <f>Table1[[#This Row],[Quantity]]*(1+'scenario modeling'!$B$4)</f>
        <v>18</v>
      </c>
      <c r="AF632">
        <f>Table1[[#This Row],[UnitCost]]*Table1[[#This Row],[Quantity]]</f>
        <v>9945.4499999999989</v>
      </c>
      <c r="AG632">
        <f>SUMIF($U:U,Table1[[#This Row],[ProductCategory]],$AM:AM)</f>
        <v>1616102.6546600002</v>
      </c>
      <c r="AH632">
        <f>SUMIFS($AM$2:AM632,$U$2:U632,U632)</f>
        <v>1611962.8418600003</v>
      </c>
      <c r="AI632" s="5">
        <f>Table1[[#This Row],[Cumulative_revenue]]/Table1[[#This Row],[Category_revenue]]</f>
        <v>0.99743839737651385</v>
      </c>
      <c r="AJ632" t="str">
        <f>IF(Table1[[#This Row],[cumulative_pct]]&lt;=0.8,"A",IF(Table1[[#This Row],[cumulative_pct]]&lt;=0.95,"B","C"))</f>
        <v>C</v>
      </c>
      <c r="AK632">
        <f>Table1[[#This Row],[adj_unit_cost]]*Table1[[#This Row],[scenario_quantity]]</f>
        <v>13127.994000000002</v>
      </c>
      <c r="AL632" s="5">
        <f>Table1[[#This Row],[UnitPrice]]*Table1[[#This Row],[scenario_quantity]]*(1-Table1[[#This Row],[cap_adjusted_discount]])</f>
        <v>13178.862000000001</v>
      </c>
      <c r="AM632" s="5">
        <f>Table1[[#This Row],[UnitPrice]]*Table1[[#This Row],[Quantity]]*(1-Table1[[#This Row],[DiscountPct]])</f>
        <v>10957.9797</v>
      </c>
      <c r="AN632" s="5">
        <f>Table1[[#This Row],[gross_revenue]]-Table1[[#This Row],[cost_of_goods]]</f>
        <v>1012.529700000001</v>
      </c>
      <c r="AO632" s="5">
        <f>Table1[[#This Row],[scenario_revenue]]-Table1[[#This Row],[Scenario_unit_cost]]</f>
        <v>50.867999999998574</v>
      </c>
      <c r="AP632" s="5">
        <f>IF(Table1[[#This Row],[gross_revenue]]=0,0,Table1[[#This Row],[gross_profit]]/Table1[[#This Row],[gross_revenue]])</f>
        <v>9.2401129379715952E-2</v>
      </c>
    </row>
    <row r="633" spans="1:42" x14ac:dyDescent="0.35">
      <c r="A633" t="s">
        <v>167</v>
      </c>
      <c r="B633" t="str">
        <f>_xlfn.TEXTAFTER(Table1[[#This Row],[OrderID]],"-",2)</f>
        <v>596758</v>
      </c>
      <c r="C633">
        <f>YEAR(Table1[[#This Row],[OrderDate]])</f>
        <v>2023</v>
      </c>
      <c r="D633" s="9">
        <f>_xlfn.MINIFS(F:F,P:P,Table1[[#This Row],[Country]])</f>
        <v>44988</v>
      </c>
      <c r="E633" s="7">
        <f>DATEDIF(Table1[[#This Row],[first_time_orders]],Table1[[#This Row],[OrderDate]],"m")</f>
        <v>9</v>
      </c>
      <c r="F633" s="9">
        <v>45267</v>
      </c>
      <c r="G633" s="2" t="str">
        <f>TEXT(Table1[[#This Row],[OrderDate]],"MMM-YYYY")</f>
        <v>Dec-2023</v>
      </c>
      <c r="H633" s="7">
        <f>MONTH(Table1[[#This Row],[OrderDate]])</f>
        <v>12</v>
      </c>
      <c r="I633" s="7" t="str">
        <f>"Q"&amp;ROUNDUP(Table1[[#This Row],[months]]/3,0)&amp;"-"&amp;Table1[[#This Row],[order_year]]</f>
        <v>Q4-2023</v>
      </c>
      <c r="J633" s="7">
        <f>Table1[[#This Row],[RequiredDate]]-Table1[[#This Row],[OrderDate]]</f>
        <v>-2</v>
      </c>
      <c r="K633" s="7">
        <f>IF(Table1[[#This Row],[lead_time]]&lt;0,MEDIAN(J:J),Table1[[#This Row],[lead_time]])</f>
        <v>15</v>
      </c>
      <c r="L633" s="7">
        <f>IF(Table1[[#This Row],[adj_lead_time]]&lt;=7,1,0)</f>
        <v>0</v>
      </c>
      <c r="M633" s="9">
        <v>45265</v>
      </c>
      <c r="N633" s="9">
        <f>IF(Table1[[#This Row],[lead_time]]&lt;0,(Table1[[#This Row],[OrderDate]]+Table1[[#This Row],[adj_lead_time]]),Table1[[#This Row],[RequiredDate]])</f>
        <v>45282</v>
      </c>
      <c r="O633" t="s">
        <v>647</v>
      </c>
      <c r="P633" t="s">
        <v>652</v>
      </c>
      <c r="Q633" t="s">
        <v>689</v>
      </c>
      <c r="R633" t="s">
        <v>703</v>
      </c>
      <c r="S633" t="s">
        <v>709</v>
      </c>
      <c r="T633" t="s">
        <v>722</v>
      </c>
      <c r="U633" t="s">
        <v>728</v>
      </c>
      <c r="V633" t="s">
        <v>886</v>
      </c>
      <c r="W633">
        <v>1097.5899999999999</v>
      </c>
      <c r="X633">
        <f>Table1[[#This Row],[UnitCost]]*(1+'scenario modeling'!$B$3)</f>
        <v>1207.3489999999999</v>
      </c>
      <c r="Y633">
        <v>845.55</v>
      </c>
      <c r="Z633" t="str">
        <f>IF(Table1[[#This Row],[UnitPrice]]&lt;=Quantiles!$B$2,Quantiles!$A$2,IF(Table1[[#This Row],[UnitPrice]]&lt;=Quantiles!$B$3,Quantiles!$A$3,Quantiles!$A$4))</f>
        <v>Medium</v>
      </c>
      <c r="AA633">
        <v>0.184</v>
      </c>
      <c r="AB633" s="5">
        <f>MIN(Table1[[#This Row],[DiscountPct]],'scenario modeling'!$B$2)</f>
        <v>0.1</v>
      </c>
      <c r="AC633" t="str">
        <f>IF(Table1[[#This Row],[DiscountPct]]&gt;0.3, "&gt;0.3","")</f>
        <v/>
      </c>
      <c r="AD633">
        <v>6</v>
      </c>
      <c r="AE633">
        <f>Table1[[#This Row],[Quantity]]*(1+'scenario modeling'!$B$4)</f>
        <v>7.1999999999999993</v>
      </c>
      <c r="AF633">
        <f>Table1[[#This Row],[UnitCost]]*Table1[[#This Row],[Quantity]]</f>
        <v>6585.5399999999991</v>
      </c>
      <c r="AG633">
        <f>SUMIF($U:U,Table1[[#This Row],[ProductCategory]],$AM:AM)</f>
        <v>1616102.6546600002</v>
      </c>
      <c r="AH633">
        <f>SUMIFS($AM$2:AM633,$U$2:U633,U633)</f>
        <v>1616102.6546600002</v>
      </c>
      <c r="AI633" s="5">
        <f>Table1[[#This Row],[Cumulative_revenue]]/Table1[[#This Row],[Category_revenue]]</f>
        <v>1</v>
      </c>
      <c r="AJ633" t="str">
        <f>IF(Table1[[#This Row],[cumulative_pct]]&lt;=0.8,"A",IF(Table1[[#This Row],[cumulative_pct]]&lt;=0.95,"B","C"))</f>
        <v>C</v>
      </c>
      <c r="AK633">
        <f>Table1[[#This Row],[adj_unit_cost]]*Table1[[#This Row],[scenario_quantity]]</f>
        <v>8692.9127999999982</v>
      </c>
      <c r="AL633" s="5">
        <f>Table1[[#This Row],[UnitPrice]]*Table1[[#This Row],[scenario_quantity]]*(1-Table1[[#This Row],[cap_adjusted_discount]])</f>
        <v>5479.1639999999998</v>
      </c>
      <c r="AM633" s="5">
        <f>Table1[[#This Row],[UnitPrice]]*Table1[[#This Row],[Quantity]]*(1-Table1[[#This Row],[DiscountPct]])</f>
        <v>4139.8127999999997</v>
      </c>
      <c r="AN633" s="5">
        <f>Table1[[#This Row],[gross_revenue]]-Table1[[#This Row],[cost_of_goods]]</f>
        <v>-2445.7271999999994</v>
      </c>
      <c r="AO633" s="5">
        <f>Table1[[#This Row],[scenario_revenue]]-Table1[[#This Row],[Scenario_unit_cost]]</f>
        <v>-3213.7487999999985</v>
      </c>
      <c r="AP633" s="5">
        <f>IF(Table1[[#This Row],[gross_revenue]]=0,0,Table1[[#This Row],[gross_profit]]/Table1[[#This Row],[gross_revenue]])</f>
        <v>-0.59078207594314402</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586E6-7962-43C4-8D39-51DA2C313E21}">
  <dimension ref="A1:G5"/>
  <sheetViews>
    <sheetView workbookViewId="0">
      <selection activeCell="G5" sqref="G5"/>
    </sheetView>
  </sheetViews>
  <sheetFormatPr defaultRowHeight="14.5" x14ac:dyDescent="0.35"/>
  <cols>
    <col min="1" max="1" width="17.7265625" bestFit="1" customWidth="1"/>
    <col min="2" max="2" width="13.453125" customWidth="1"/>
    <col min="6" max="6" width="18.26953125" bestFit="1" customWidth="1"/>
    <col min="7" max="7" width="11.36328125" bestFit="1" customWidth="1"/>
  </cols>
  <sheetData>
    <row r="1" spans="1:7" s="12" customFormat="1" x14ac:dyDescent="0.35">
      <c r="A1" s="12" t="s">
        <v>1465</v>
      </c>
      <c r="B1" s="12" t="s">
        <v>1464</v>
      </c>
      <c r="F1" s="12" t="s">
        <v>1473</v>
      </c>
      <c r="G1" s="5">
        <f>SUM(clean_data!AM:AM)</f>
        <v>10925967.605459997</v>
      </c>
    </row>
    <row r="2" spans="1:7" x14ac:dyDescent="0.35">
      <c r="A2" t="s">
        <v>1466</v>
      </c>
      <c r="B2" s="34">
        <v>0.1</v>
      </c>
      <c r="F2" s="12" t="s">
        <v>1474</v>
      </c>
      <c r="G2" s="5">
        <f>SUM(clean_data!AN:AN)</f>
        <v>3398219.8954600007</v>
      </c>
    </row>
    <row r="3" spans="1:7" x14ac:dyDescent="0.35">
      <c r="A3" t="s">
        <v>1467</v>
      </c>
      <c r="B3" s="33">
        <v>0.1</v>
      </c>
      <c r="F3" s="12" t="s">
        <v>1475</v>
      </c>
      <c r="G3" s="5">
        <f>SUM(clean_data!AL:AL)</f>
        <v>13790152.735824008</v>
      </c>
    </row>
    <row r="4" spans="1:7" x14ac:dyDescent="0.35">
      <c r="A4" t="s">
        <v>1468</v>
      </c>
      <c r="B4" s="33">
        <v>0.2</v>
      </c>
      <c r="F4" s="12" t="s">
        <v>1476</v>
      </c>
      <c r="G4">
        <f>SUM(clean_data!AO:AO)</f>
        <v>3853525.7586240023</v>
      </c>
    </row>
    <row r="5" spans="1:7" x14ac:dyDescent="0.35">
      <c r="F5" s="12"/>
    </row>
  </sheetData>
  <dataValidations count="3">
    <dataValidation type="decimal" allowBlank="1" showInputMessage="1" showErrorMessage="1" error="check if value is decimal and less than or equal to 0.25" promptTitle="Discount cap" prompt="input the discount cap should be in decimal less than or equal to 0.25" sqref="B2" xr:uid="{B8327214-FBFB-4224-A303-09C67AB73753}">
      <formula1>0</formula1>
      <formula2>0.25</formula2>
    </dataValidation>
    <dataValidation type="decimal" allowBlank="1" showInputMessage="1" showErrorMessage="1" sqref="B3" xr:uid="{B1C0B8D1-BE5A-402D-B22C-73A92B75D07D}">
      <formula1>0</formula1>
      <formula2>0.15</formula2>
    </dataValidation>
    <dataValidation type="decimal" allowBlank="1" showInputMessage="1" showErrorMessage="1" sqref="B4" xr:uid="{DB84511E-D873-4E4C-A7ED-2EA49512ACFC}">
      <formula1>0</formula1>
      <formula2>0.2</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03756-7708-4FE3-AE20-3CBC04293ACC}">
  <dimension ref="A1:D25"/>
  <sheetViews>
    <sheetView workbookViewId="0">
      <selection activeCell="D2" sqref="D2"/>
    </sheetView>
  </sheetViews>
  <sheetFormatPr defaultRowHeight="14.5" x14ac:dyDescent="0.35"/>
  <cols>
    <col min="1" max="1" width="16.1796875" bestFit="1" customWidth="1"/>
    <col min="2" max="2" width="15.36328125" bestFit="1" customWidth="1"/>
    <col min="3" max="3" width="16.453125" bestFit="1" customWidth="1"/>
    <col min="4" max="4" width="17.54296875" bestFit="1" customWidth="1"/>
  </cols>
  <sheetData>
    <row r="1" spans="1:4" s="12" customFormat="1" x14ac:dyDescent="0.35">
      <c r="A1" s="12" t="str" cm="1">
        <f t="array" ref="A1:A14">_xlfn.UNIQUE(clean_data!P:P)</f>
        <v>Country</v>
      </c>
      <c r="B1" s="12" t="s">
        <v>1463</v>
      </c>
      <c r="C1" s="12" t="s">
        <v>1513</v>
      </c>
      <c r="D1" s="12" t="s">
        <v>1514</v>
      </c>
    </row>
    <row r="2" spans="1:4" x14ac:dyDescent="0.35">
      <c r="A2" t="str">
        <v>Nigeria</v>
      </c>
      <c r="B2">
        <f>COUNTIF(clean_data!P:P,lead_proxy!A2)</f>
        <v>44</v>
      </c>
      <c r="C2">
        <f>SUMIF(clean_data!P:P,lead_proxy!A2,clean_data!L:L)</f>
        <v>14</v>
      </c>
      <c r="D2" s="5">
        <f>C2/B2</f>
        <v>0.31818181818181818</v>
      </c>
    </row>
    <row r="3" spans="1:4" x14ac:dyDescent="0.35">
      <c r="A3" t="str">
        <v>India</v>
      </c>
      <c r="B3">
        <f>COUNTIF(clean_data!P:P,lead_proxy!A3)</f>
        <v>61</v>
      </c>
      <c r="C3">
        <f>SUMIF(clean_data!P:P,lead_proxy!A3,clean_data!L:L)</f>
        <v>11</v>
      </c>
      <c r="D3" s="5">
        <f t="shared" ref="D3:D13" si="0">C3/B3</f>
        <v>0.18032786885245902</v>
      </c>
    </row>
    <row r="4" spans="1:4" x14ac:dyDescent="0.35">
      <c r="A4" t="str">
        <v>United Kingdom</v>
      </c>
      <c r="B4">
        <f>COUNTIF(clean_data!P:P,lead_proxy!A4)</f>
        <v>54</v>
      </c>
      <c r="C4">
        <f>SUMIF(clean_data!P:P,lead_proxy!A4,clean_data!L:L)</f>
        <v>13</v>
      </c>
      <c r="D4" s="5">
        <f t="shared" si="0"/>
        <v>0.24074074074074073</v>
      </c>
    </row>
    <row r="5" spans="1:4" x14ac:dyDescent="0.35">
      <c r="A5" t="str">
        <v>Japan</v>
      </c>
      <c r="B5">
        <f>COUNTIF(clean_data!P:P,lead_proxy!A5)</f>
        <v>59</v>
      </c>
      <c r="C5">
        <f>SUMIF(clean_data!P:P,lead_proxy!A5,clean_data!L:L)</f>
        <v>10</v>
      </c>
      <c r="D5" s="5">
        <f t="shared" si="0"/>
        <v>0.16949152542372881</v>
      </c>
    </row>
    <row r="6" spans="1:4" x14ac:dyDescent="0.35">
      <c r="A6" t="str">
        <v>China</v>
      </c>
      <c r="B6">
        <f>COUNTIF(clean_data!P:P,lead_proxy!A6)</f>
        <v>51</v>
      </c>
      <c r="C6">
        <f>SUMIF(clean_data!P:P,lead_proxy!A6,clean_data!L:L)</f>
        <v>9</v>
      </c>
      <c r="D6" s="5">
        <f t="shared" si="0"/>
        <v>0.17647058823529413</v>
      </c>
    </row>
    <row r="7" spans="1:4" x14ac:dyDescent="0.35">
      <c r="A7" t="str">
        <v>France</v>
      </c>
      <c r="B7">
        <f>COUNTIF(clean_data!P:P,lead_proxy!A7)</f>
        <v>54</v>
      </c>
      <c r="C7">
        <f>SUMIF(clean_data!P:P,lead_proxy!A7,clean_data!L:L)</f>
        <v>12</v>
      </c>
      <c r="D7" s="5">
        <f t="shared" si="0"/>
        <v>0.22222222222222221</v>
      </c>
    </row>
    <row r="8" spans="1:4" x14ac:dyDescent="0.35">
      <c r="A8" t="str">
        <v>South Africa</v>
      </c>
      <c r="B8">
        <f>COUNTIF(clean_data!P:P,lead_proxy!A8)</f>
        <v>45</v>
      </c>
      <c r="C8">
        <f>SUMIF(clean_data!P:P,lead_proxy!A8,clean_data!L:L)</f>
        <v>10</v>
      </c>
      <c r="D8" s="5">
        <f t="shared" si="0"/>
        <v>0.22222222222222221</v>
      </c>
    </row>
    <row r="9" spans="1:4" x14ac:dyDescent="0.35">
      <c r="A9" t="str">
        <v>Germany</v>
      </c>
      <c r="B9">
        <f>COUNTIF(clean_data!P:P,lead_proxy!A9)</f>
        <v>51</v>
      </c>
      <c r="C9">
        <f>SUMIF(clean_data!P:P,lead_proxy!A9,clean_data!L:L)</f>
        <v>11</v>
      </c>
      <c r="D9" s="5">
        <f t="shared" si="0"/>
        <v>0.21568627450980393</v>
      </c>
    </row>
    <row r="10" spans="1:4" x14ac:dyDescent="0.35">
      <c r="A10" t="str">
        <v>Kenya</v>
      </c>
      <c r="B10">
        <f>COUNTIF(clean_data!P:P,lead_proxy!A10)</f>
        <v>56</v>
      </c>
      <c r="C10">
        <f>SUMIF(clean_data!P:P,lead_proxy!A10,clean_data!L:L)</f>
        <v>15</v>
      </c>
      <c r="D10" s="5">
        <f t="shared" si="0"/>
        <v>0.26785714285714285</v>
      </c>
    </row>
    <row r="11" spans="1:4" x14ac:dyDescent="0.35">
      <c r="A11" t="str">
        <v>Brazil</v>
      </c>
      <c r="B11">
        <f>COUNTIF(clean_data!P:P,lead_proxy!A11)</f>
        <v>62</v>
      </c>
      <c r="C11">
        <f>SUMIF(clean_data!P:P,lead_proxy!A11,clean_data!L:L)</f>
        <v>13</v>
      </c>
      <c r="D11" s="5">
        <f t="shared" si="0"/>
        <v>0.20967741935483872</v>
      </c>
    </row>
    <row r="12" spans="1:4" x14ac:dyDescent="0.35">
      <c r="A12" t="str">
        <v>Canada</v>
      </c>
      <c r="B12">
        <f>COUNTIF(clean_data!P:P,lead_proxy!A12)</f>
        <v>44</v>
      </c>
      <c r="C12">
        <f>SUMIF(clean_data!P:P,lead_proxy!A12,clean_data!L:L)</f>
        <v>6</v>
      </c>
      <c r="D12" s="5">
        <f t="shared" si="0"/>
        <v>0.13636363636363635</v>
      </c>
    </row>
    <row r="13" spans="1:4" x14ac:dyDescent="0.35">
      <c r="A13" t="str">
        <v>USA</v>
      </c>
      <c r="B13">
        <f>COUNTIF(clean_data!P:P,lead_proxy!A13)</f>
        <v>51</v>
      </c>
      <c r="C13">
        <f>SUMIF(clean_data!P:P,lead_proxy!A13,clean_data!L:L)</f>
        <v>14</v>
      </c>
      <c r="D13" s="5">
        <f t="shared" si="0"/>
        <v>0.27450980392156865</v>
      </c>
    </row>
    <row r="14" spans="1:4" x14ac:dyDescent="0.35">
      <c r="A14">
        <v>0</v>
      </c>
      <c r="D14" s="5"/>
    </row>
    <row r="17" spans="1:4" s="12" customFormat="1" x14ac:dyDescent="0.35">
      <c r="A17" s="12" t="str" cm="1">
        <f t="array" ref="A17:A25">_xlfn.UNIQUE(clean_data!U:U)</f>
        <v>ProductCategory</v>
      </c>
      <c r="B17" s="12" t="s">
        <v>1463</v>
      </c>
      <c r="C17" s="12" t="s">
        <v>1513</v>
      </c>
      <c r="D17" s="12" t="s">
        <v>1514</v>
      </c>
    </row>
    <row r="18" spans="1:4" x14ac:dyDescent="0.35">
      <c r="A18" t="str">
        <v>Accessories</v>
      </c>
      <c r="B18">
        <f>COUNTIF(clean_data!U:U,lead_proxy!A18)</f>
        <v>88</v>
      </c>
      <c r="C18">
        <f>SUMIF(Table1[ProductCategory],lead_proxy!A18,clean_data!L:L)</f>
        <v>28</v>
      </c>
      <c r="D18" s="5">
        <f>C18/B18</f>
        <v>0.31818181818181818</v>
      </c>
    </row>
    <row r="19" spans="1:4" x14ac:dyDescent="0.35">
      <c r="A19" t="str">
        <v>Components</v>
      </c>
      <c r="B19">
        <f>COUNTIF(clean_data!U:U,lead_proxy!A19)</f>
        <v>91</v>
      </c>
      <c r="C19">
        <f>SUMIF(Table1[ProductCategory],lead_proxy!A19,clean_data!L:L)</f>
        <v>19</v>
      </c>
      <c r="D19" s="5">
        <f t="shared" ref="D19:D24" si="1">C19/B19</f>
        <v>0.2087912087912088</v>
      </c>
    </row>
    <row r="20" spans="1:4" x14ac:dyDescent="0.35">
      <c r="A20" t="str">
        <v>Laptops</v>
      </c>
      <c r="B20">
        <f>COUNTIF(clean_data!U:U,lead_proxy!A20)</f>
        <v>82</v>
      </c>
      <c r="C20">
        <f>SUMIF(Table1[ProductCategory],lead_proxy!A20,clean_data!L:L)</f>
        <v>24</v>
      </c>
      <c r="D20" s="5">
        <f t="shared" si="1"/>
        <v>0.29268292682926828</v>
      </c>
    </row>
    <row r="21" spans="1:4" x14ac:dyDescent="0.35">
      <c r="A21" t="str">
        <v>Monitors</v>
      </c>
      <c r="B21">
        <f>COUNTIF(clean_data!U:U,lead_proxy!A21)</f>
        <v>94</v>
      </c>
      <c r="C21">
        <f>SUMIF(Table1[ProductCategory],lead_proxy!A21,clean_data!L:L)</f>
        <v>14</v>
      </c>
      <c r="D21" s="5">
        <f t="shared" si="1"/>
        <v>0.14893617021276595</v>
      </c>
    </row>
    <row r="22" spans="1:4" x14ac:dyDescent="0.35">
      <c r="A22" t="str">
        <v>Networking</v>
      </c>
      <c r="B22">
        <f>COUNTIF(clean_data!U:U,lead_proxy!A22)</f>
        <v>86</v>
      </c>
      <c r="C22">
        <f>SUMIF(Table1[ProductCategory],lead_proxy!A22,clean_data!L:L)</f>
        <v>18</v>
      </c>
      <c r="D22" s="5">
        <f t="shared" si="1"/>
        <v>0.20930232558139536</v>
      </c>
    </row>
    <row r="23" spans="1:4" x14ac:dyDescent="0.35">
      <c r="A23" t="str">
        <v>Phones</v>
      </c>
      <c r="B23">
        <f>COUNTIF(clean_data!U:U,lead_proxy!A23)</f>
        <v>88</v>
      </c>
      <c r="C23">
        <f>SUMIF(Table1[ProductCategory],lead_proxy!A23,clean_data!L:L)</f>
        <v>15</v>
      </c>
      <c r="D23" s="5">
        <f t="shared" si="1"/>
        <v>0.17045454545454544</v>
      </c>
    </row>
    <row r="24" spans="1:4" x14ac:dyDescent="0.35">
      <c r="A24" t="str">
        <v>Printers</v>
      </c>
      <c r="B24">
        <f>COUNTIF(clean_data!U:U,lead_proxy!A24)</f>
        <v>103</v>
      </c>
      <c r="C24">
        <f>SUMIF(Table1[ProductCategory],lead_proxy!A24,clean_data!L:L)</f>
        <v>20</v>
      </c>
      <c r="D24" s="5">
        <f t="shared" si="1"/>
        <v>0.1941747572815534</v>
      </c>
    </row>
    <row r="25" spans="1:4" x14ac:dyDescent="0.35">
      <c r="A25">
        <v>0</v>
      </c>
      <c r="D25" s="5"/>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8323977-7414-4A6B-B6FB-2A11F406FC67}">
          <x14:formula1>
            <xm:f>clean_data!$P:$P</xm:f>
          </x14:formula1>
          <xm:sqref>A1:XFD1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CF732-84B7-4115-8178-93F43EC90606}">
  <sheetPr filterMode="1"/>
  <dimension ref="A1:K32"/>
  <sheetViews>
    <sheetView topLeftCell="A10" workbookViewId="0">
      <selection activeCell="B26" sqref="B26"/>
    </sheetView>
  </sheetViews>
  <sheetFormatPr defaultRowHeight="14.5" x14ac:dyDescent="0.35"/>
  <cols>
    <col min="1" max="1" width="12.36328125" bestFit="1" customWidth="1"/>
    <col min="2" max="2" width="11.36328125" bestFit="1" customWidth="1"/>
    <col min="3" max="3" width="15" bestFit="1" customWidth="1"/>
    <col min="4" max="4" width="14.36328125" bestFit="1" customWidth="1"/>
    <col min="5" max="5" width="18.36328125" bestFit="1" customWidth="1"/>
    <col min="6" max="6" width="11.81640625" bestFit="1" customWidth="1"/>
    <col min="7" max="7" width="9.36328125" bestFit="1" customWidth="1"/>
    <col min="8" max="8" width="15.6328125" bestFit="1" customWidth="1"/>
    <col min="9" max="9" width="13.08984375" bestFit="1" customWidth="1"/>
    <col min="10" max="10" width="19.453125" bestFit="1" customWidth="1"/>
    <col min="11" max="11" width="15.26953125" bestFit="1" customWidth="1"/>
    <col min="12" max="18" width="11.81640625" bestFit="1" customWidth="1"/>
    <col min="19" max="19" width="9.81640625" bestFit="1" customWidth="1"/>
  </cols>
  <sheetData>
    <row r="1" spans="1:11" s="12" customFormat="1" x14ac:dyDescent="0.35">
      <c r="A1" s="16" t="str" cm="1">
        <f t="array" ref="A1:A16">_xlfn.UNIQUE(clean_data!T1:T633)</f>
        <v>Salesperson</v>
      </c>
      <c r="B1" s="17" t="s">
        <v>1451</v>
      </c>
      <c r="C1" s="17" t="s">
        <v>1452</v>
      </c>
      <c r="D1" s="17" t="s">
        <v>1453</v>
      </c>
      <c r="E1" s="17" t="s">
        <v>1454</v>
      </c>
      <c r="F1" s="17" t="s">
        <v>1455</v>
      </c>
      <c r="G1" s="17" t="s">
        <v>1456</v>
      </c>
      <c r="H1" s="17" t="s">
        <v>1457</v>
      </c>
      <c r="I1" s="17" t="s">
        <v>1458</v>
      </c>
      <c r="J1" s="17" t="s">
        <v>1459</v>
      </c>
      <c r="K1" s="18" t="s">
        <v>1460</v>
      </c>
    </row>
    <row r="2" spans="1:11" x14ac:dyDescent="0.35">
      <c r="A2" s="19" t="str">
        <v>D. Smith</v>
      </c>
      <c r="B2" s="13">
        <f>COUNTIF(clean_data!T:T,sales!A2)</f>
        <v>39</v>
      </c>
      <c r="C2" s="14">
        <f>_xlfn.MINIFS(clean_data!F:F,clean_data!T:T,sales!A2)</f>
        <v>44936</v>
      </c>
      <c r="D2" s="14">
        <f>_xlfn.MAXIFS(clean_data!F:F,clean_data!T:T,sales!A2)</f>
        <v>45914</v>
      </c>
      <c r="E2" s="13">
        <f>DATEDIF(C2,D2,"m")</f>
        <v>32</v>
      </c>
      <c r="F2" s="15">
        <f>SUMIF(clean_data!T:T,sales!A2,clean_data!AM:AM)</f>
        <v>614644.30122000002</v>
      </c>
      <c r="G2" s="15">
        <f>SUMIF(clean_data!T:T,sales!A2,clean_data!AN:AN)</f>
        <v>170472.52122</v>
      </c>
      <c r="H2" s="15">
        <f>AVERAGEIF(Table1[Salesperson],sales!A2,clean_data!AA:AA)</f>
        <v>0.11978947368421054</v>
      </c>
      <c r="I2" s="15">
        <f>B2/E2</f>
        <v>1.21875</v>
      </c>
      <c r="J2" s="15">
        <f>F2/B2</f>
        <v>15760.110287692309</v>
      </c>
      <c r="K2" s="20">
        <f>G2/B2</f>
        <v>4371.0902876923074</v>
      </c>
    </row>
    <row r="3" spans="1:11" x14ac:dyDescent="0.35">
      <c r="A3" s="19" t="str">
        <v>B. Chen</v>
      </c>
      <c r="B3" s="13">
        <f>COUNTIF(clean_data!T:T,sales!A3)</f>
        <v>48</v>
      </c>
      <c r="C3" s="14">
        <f>_xlfn.MINIFS(clean_data!F:F,clean_data!T:T,sales!A3)</f>
        <v>44928</v>
      </c>
      <c r="D3" s="14">
        <f>_xlfn.MAXIFS(clean_data!F:F,clean_data!T:T,sales!A3)</f>
        <v>45894</v>
      </c>
      <c r="E3" s="13">
        <f t="shared" ref="E3:E11" si="0">DATEDIF(C3,D3,"m")</f>
        <v>31</v>
      </c>
      <c r="F3" s="15">
        <f>SUMIF(clean_data!T:T,sales!A3,clean_data!AM:AM)</f>
        <v>893735.66085000022</v>
      </c>
      <c r="G3" s="15">
        <f>SUMIF(clean_data!T:T,sales!A3,clean_data!AN:AN)</f>
        <v>315969.97084999987</v>
      </c>
      <c r="H3" s="15">
        <f>AVERAGEIF(Table1[Salesperson],sales!A3,clean_data!AA:AA)</f>
        <v>0.12918750000000004</v>
      </c>
      <c r="I3" s="15">
        <f t="shared" ref="I3:I11" si="1">B3/E3</f>
        <v>1.5483870967741935</v>
      </c>
      <c r="J3" s="15">
        <f t="shared" ref="J3:J11" si="2">F3/B3</f>
        <v>18619.492934375005</v>
      </c>
      <c r="K3" s="20">
        <f t="shared" ref="K3:K11" si="3">G3/B3</f>
        <v>6582.7077260416636</v>
      </c>
    </row>
    <row r="4" spans="1:11" x14ac:dyDescent="0.35">
      <c r="A4" s="19" t="str">
        <v>G. Dubois</v>
      </c>
      <c r="B4" s="13">
        <f>COUNTIF(clean_data!T:T,sales!A4)</f>
        <v>30</v>
      </c>
      <c r="C4" s="14">
        <f>_xlfn.MINIFS(clean_data!F:F,clean_data!T:T,sales!A4)</f>
        <v>44945</v>
      </c>
      <c r="D4" s="14">
        <f>_xlfn.MAXIFS(clean_data!F:F,clean_data!T:T,sales!A4)</f>
        <v>45858</v>
      </c>
      <c r="E4" s="13">
        <f t="shared" si="0"/>
        <v>30</v>
      </c>
      <c r="F4" s="15">
        <f>SUMIF(clean_data!T:T,sales!A4,clean_data!AM:AM)</f>
        <v>510653.71305000002</v>
      </c>
      <c r="G4" s="15">
        <f>SUMIF(clean_data!T:T,sales!A4,clean_data!AN:AN)</f>
        <v>172441.87305000005</v>
      </c>
      <c r="H4" s="15">
        <f>AVERAGEIF(Table1[Salesperson],sales!A4,clean_data!AA:AA)</f>
        <v>0.12106666666666666</v>
      </c>
      <c r="I4" s="15">
        <f t="shared" si="1"/>
        <v>1</v>
      </c>
      <c r="J4" s="15">
        <f t="shared" si="2"/>
        <v>17021.790434999999</v>
      </c>
      <c r="K4" s="20">
        <f t="shared" si="3"/>
        <v>5748.0624350000016</v>
      </c>
    </row>
    <row r="5" spans="1:11" x14ac:dyDescent="0.35">
      <c r="A5" s="19" t="str">
        <v>A. Patel</v>
      </c>
      <c r="B5" s="13">
        <f>COUNTIF(clean_data!T:T,sales!A5)</f>
        <v>48</v>
      </c>
      <c r="C5" s="14">
        <f>_xlfn.MINIFS(clean_data!F:F,clean_data!T:T,sales!A5)</f>
        <v>44933</v>
      </c>
      <c r="D5" s="14">
        <f>_xlfn.MAXIFS(clean_data!F:F,clean_data!T:T,sales!A5)</f>
        <v>45915</v>
      </c>
      <c r="E5" s="13">
        <f t="shared" si="0"/>
        <v>32</v>
      </c>
      <c r="F5" s="15">
        <f>SUMIF(clean_data!T:T,sales!A5,clean_data!AM:AM)</f>
        <v>1005389.0769300001</v>
      </c>
      <c r="G5" s="15">
        <f>SUMIF(clean_data!T:T,sales!A5,clean_data!AN:AN)</f>
        <v>337634.70692999993</v>
      </c>
      <c r="H5" s="15">
        <f>AVERAGEIF(Table1[Salesperson],sales!A5,clean_data!AA:AA)</f>
        <v>0.11516666666666665</v>
      </c>
      <c r="I5" s="15">
        <f t="shared" si="1"/>
        <v>1.5</v>
      </c>
      <c r="J5" s="15">
        <f t="shared" si="2"/>
        <v>20945.605769375001</v>
      </c>
      <c r="K5" s="20">
        <f t="shared" si="3"/>
        <v>7034.0563943749985</v>
      </c>
    </row>
    <row r="6" spans="1:11" x14ac:dyDescent="0.35">
      <c r="A6" s="19" t="str">
        <v>L. Okafor</v>
      </c>
      <c r="B6" s="13">
        <f>COUNTIF(clean_data!T:T,sales!A6)</f>
        <v>49</v>
      </c>
      <c r="C6" s="14">
        <f>_xlfn.MINIFS(clean_data!F:F,clean_data!T:T,sales!A6)</f>
        <v>44962</v>
      </c>
      <c r="D6" s="14">
        <f>_xlfn.MAXIFS(clean_data!F:F,clean_data!T:T,sales!A6)</f>
        <v>45915</v>
      </c>
      <c r="E6" s="13">
        <f t="shared" si="0"/>
        <v>31</v>
      </c>
      <c r="F6" s="15">
        <f>SUMIF(clean_data!T:T,sales!A6,clean_data!AM:AM)</f>
        <v>904189.82204999973</v>
      </c>
      <c r="G6" s="15">
        <f>SUMIF(clean_data!T:T,sales!A6,clean_data!AN:AN)</f>
        <v>285453.56205000007</v>
      </c>
      <c r="H6" s="15">
        <f>AVERAGEIF(Table1[Salesperson],sales!A6,clean_data!AA:AA)</f>
        <v>0.10359183673469391</v>
      </c>
      <c r="I6" s="15">
        <f t="shared" si="1"/>
        <v>1.5806451612903225</v>
      </c>
      <c r="J6" s="15">
        <f t="shared" si="2"/>
        <v>18452.853511224483</v>
      </c>
      <c r="K6" s="20">
        <f t="shared" si="3"/>
        <v>5825.5828989795928</v>
      </c>
    </row>
    <row r="7" spans="1:11" x14ac:dyDescent="0.35">
      <c r="A7" s="19" t="str">
        <v>F. Müller</v>
      </c>
      <c r="B7" s="13">
        <f>COUNTIF(clean_data!T:T,sales!A7)</f>
        <v>51</v>
      </c>
      <c r="C7" s="14">
        <f>_xlfn.MINIFS(clean_data!F:F,clean_data!T:T,sales!A7)</f>
        <v>44948</v>
      </c>
      <c r="D7" s="14">
        <f>_xlfn.MAXIFS(clean_data!F:F,clean_data!T:T,sales!A7)</f>
        <v>45912</v>
      </c>
      <c r="E7" s="13">
        <f t="shared" si="0"/>
        <v>31</v>
      </c>
      <c r="F7" s="15">
        <f>SUMIF(clean_data!T:T,sales!A7,clean_data!AM:AM)</f>
        <v>812637.17232000013</v>
      </c>
      <c r="G7" s="15">
        <f>SUMIF(clean_data!T:T,sales!A7,clean_data!AN:AN)</f>
        <v>251733.01232000004</v>
      </c>
      <c r="H7" s="15">
        <f>AVERAGEIF(Table1[Salesperson],sales!A7,clean_data!AA:AA)</f>
        <v>0.11254901960784312</v>
      </c>
      <c r="I7" s="15">
        <f t="shared" si="1"/>
        <v>1.6451612903225807</v>
      </c>
      <c r="J7" s="15">
        <f t="shared" si="2"/>
        <v>15934.062202352943</v>
      </c>
      <c r="K7" s="20">
        <f t="shared" si="3"/>
        <v>4935.9414180392168</v>
      </c>
    </row>
    <row r="8" spans="1:11" x14ac:dyDescent="0.35">
      <c r="A8" s="19" t="str">
        <v>M. Rossi</v>
      </c>
      <c r="B8" s="13">
        <f>COUNTIF(clean_data!T:T,sales!A8)</f>
        <v>48</v>
      </c>
      <c r="C8" s="14">
        <f>_xlfn.MINIFS(clean_data!F:F,clean_data!T:T,sales!A8)</f>
        <v>44938</v>
      </c>
      <c r="D8" s="14">
        <f>_xlfn.MAXIFS(clean_data!F:F,clean_data!T:T,sales!A8)</f>
        <v>45902</v>
      </c>
      <c r="E8" s="13">
        <f t="shared" si="0"/>
        <v>31</v>
      </c>
      <c r="F8" s="15">
        <f>SUMIF(clean_data!T:T,sales!A8,clean_data!AM:AM)</f>
        <v>966298.9875499995</v>
      </c>
      <c r="G8" s="15">
        <f>SUMIF(clean_data!T:T,sales!A8,clean_data!AN:AN)</f>
        <v>302657.05755000003</v>
      </c>
      <c r="H8" s="15">
        <f>AVERAGEIF(Table1[Salesperson],sales!A8,clean_data!AA:AA)</f>
        <v>0.11735416666666669</v>
      </c>
      <c r="I8" s="15">
        <f t="shared" si="1"/>
        <v>1.5483870967741935</v>
      </c>
      <c r="J8" s="15">
        <f t="shared" si="2"/>
        <v>20131.228907291657</v>
      </c>
      <c r="K8" s="20">
        <f t="shared" si="3"/>
        <v>6305.3553656250006</v>
      </c>
    </row>
    <row r="9" spans="1:11" x14ac:dyDescent="0.35">
      <c r="A9" s="19" t="str">
        <v>O. Wang</v>
      </c>
      <c r="B9" s="13">
        <f>COUNTIF(clean_data!T:T,sales!A9)</f>
        <v>37</v>
      </c>
      <c r="C9" s="14">
        <f>_xlfn.MINIFS(clean_data!F:F,clean_data!T:T,sales!A9)</f>
        <v>44941</v>
      </c>
      <c r="D9" s="14">
        <f>_xlfn.MAXIFS(clean_data!F:F,clean_data!T:T,sales!A9)</f>
        <v>45910</v>
      </c>
      <c r="E9" s="13">
        <f t="shared" si="0"/>
        <v>31</v>
      </c>
      <c r="F9" s="15">
        <f>SUMIF(clean_data!T:T,sales!A9,clean_data!AM:AM)</f>
        <v>647724.89694000024</v>
      </c>
      <c r="G9" s="15">
        <f>SUMIF(clean_data!T:T,sales!A9,clean_data!AN:AN)</f>
        <v>185219.43694000004</v>
      </c>
      <c r="H9" s="15">
        <f>AVERAGEIF(Table1[Salesperson],sales!A9,clean_data!AA:AA)</f>
        <v>0.12578378378378377</v>
      </c>
      <c r="I9" s="15">
        <f t="shared" si="1"/>
        <v>1.1935483870967742</v>
      </c>
      <c r="J9" s="15">
        <f t="shared" si="2"/>
        <v>17506.078295675681</v>
      </c>
      <c r="K9" s="20">
        <f t="shared" si="3"/>
        <v>5005.9307281081092</v>
      </c>
    </row>
    <row r="10" spans="1:11" x14ac:dyDescent="0.35">
      <c r="A10" s="19" t="str">
        <v>H. Kim</v>
      </c>
      <c r="B10" s="13">
        <f>COUNTIF(clean_data!T:T,sales!A10)</f>
        <v>47</v>
      </c>
      <c r="C10" s="14">
        <f>_xlfn.MINIFS(clean_data!F:F,clean_data!T:T,sales!A10)</f>
        <v>44939</v>
      </c>
      <c r="D10" s="14">
        <f>_xlfn.MAXIFS(clean_data!F:F,clean_data!T:T,sales!A10)</f>
        <v>45855</v>
      </c>
      <c r="E10" s="13">
        <f t="shared" si="0"/>
        <v>30</v>
      </c>
      <c r="F10" s="15">
        <f>SUMIF(clean_data!T:T,sales!A10,clean_data!AM:AM)</f>
        <v>727151.51900999993</v>
      </c>
      <c r="G10" s="15">
        <f>SUMIF(clean_data!T:T,sales!A10,clean_data!AN:AN)</f>
        <v>144057.30900999997</v>
      </c>
      <c r="H10" s="15">
        <f>AVERAGEIF(Table1[Salesperson],sales!A10,clean_data!AA:AA)</f>
        <v>0.112468085106383</v>
      </c>
      <c r="I10" s="15">
        <f t="shared" si="1"/>
        <v>1.5666666666666667</v>
      </c>
      <c r="J10" s="15">
        <f t="shared" si="2"/>
        <v>15471.308915106381</v>
      </c>
      <c r="K10" s="20">
        <f t="shared" si="3"/>
        <v>3065.0491278723398</v>
      </c>
    </row>
    <row r="11" spans="1:11" ht="15" thickBot="1" x14ac:dyDescent="0.4">
      <c r="A11" s="21" t="str">
        <v>C. Otieno</v>
      </c>
      <c r="B11" s="22">
        <f>COUNTIF(clean_data!T:T,sales!A11)</f>
        <v>37</v>
      </c>
      <c r="C11" s="23">
        <f>_xlfn.MINIFS(clean_data!F:F,clean_data!T:T,sales!A11)</f>
        <v>44980</v>
      </c>
      <c r="D11" s="23">
        <f>_xlfn.MAXIFS(clean_data!F:F,clean_data!T:T,sales!A11)</f>
        <v>45908</v>
      </c>
      <c r="E11" s="22">
        <f t="shared" si="0"/>
        <v>30</v>
      </c>
      <c r="F11" s="24">
        <f>SUMIF(clean_data!T:T,sales!A11,clean_data!AM:AM)</f>
        <v>685111.85991999996</v>
      </c>
      <c r="G11" s="24">
        <f>SUMIF(clean_data!T:T,sales!A11,clean_data!AN:AN)</f>
        <v>225695.01991999996</v>
      </c>
      <c r="H11" s="24">
        <f>AVERAGEIF(Table1[Salesperson],sales!A11,clean_data!AA:AA)</f>
        <v>0.13578378378378381</v>
      </c>
      <c r="I11" s="24">
        <f t="shared" si="1"/>
        <v>1.2333333333333334</v>
      </c>
      <c r="J11" s="24">
        <f t="shared" si="2"/>
        <v>18516.536754594592</v>
      </c>
      <c r="K11" s="25">
        <f t="shared" si="3"/>
        <v>6099.8654032432423</v>
      </c>
    </row>
    <row r="12" spans="1:11" ht="15" hidden="1" thickBot="1" x14ac:dyDescent="0.4">
      <c r="A12" t="str">
        <v>J. Njeri</v>
      </c>
      <c r="B12" s="27">
        <f>COUNTIF(clean_data!T:T,sales!A12)</f>
        <v>50</v>
      </c>
      <c r="C12" s="28">
        <f>_xlfn.MINIFS(clean_data!F:F,clean_data!T:T,sales!A12)</f>
        <v>45012</v>
      </c>
      <c r="D12" s="28">
        <f>_xlfn.MAXIFS(clean_data!F:F,clean_data!T:T,sales!A12)</f>
        <v>45911</v>
      </c>
      <c r="E12" s="27">
        <f>DATEDIF(C12,D12,"m")</f>
        <v>29</v>
      </c>
      <c r="F12" s="29">
        <f>SUMIF(clean_data!T:T,sales!A12,clean_data!AM:AM)</f>
        <v>802384.66228000005</v>
      </c>
      <c r="G12" s="29">
        <f>SUMIF(clean_data!T:T,sales!A12,clean_data!AN:AN)</f>
        <v>273113.11228</v>
      </c>
      <c r="H12" s="29">
        <f>AVERAGEIF(Table1[Salesperson],sales!A12,clean_data!AA:AA)</f>
        <v>0.11814000000000002</v>
      </c>
      <c r="I12" s="29">
        <f>B12/E12</f>
        <v>1.7241379310344827</v>
      </c>
      <c r="J12" s="29">
        <f>F12/B12</f>
        <v>16047.693245600001</v>
      </c>
      <c r="K12" s="30">
        <f>G12/B12</f>
        <v>5462.2622455999999</v>
      </c>
    </row>
    <row r="13" spans="1:11" x14ac:dyDescent="0.35">
      <c r="A13" s="26" t="str">
        <v>K. Singh</v>
      </c>
      <c r="B13" s="27">
        <f>COUNTIF(clean_data!T:T,sales!A13)</f>
        <v>44</v>
      </c>
      <c r="C13" s="28">
        <f>_xlfn.MINIFS(clean_data!F:F,clean_data!T:T,sales!A13)</f>
        <v>44972</v>
      </c>
      <c r="D13" s="28">
        <f>_xlfn.MAXIFS(clean_data!F:F,clean_data!T:T,sales!A13)</f>
        <v>45901</v>
      </c>
      <c r="E13" s="27">
        <f>DATEDIF(C13,D13,"m")</f>
        <v>30</v>
      </c>
      <c r="F13" s="29">
        <f>SUMIF(clean_data!T:T,sales!A13,clean_data!AM:AM)</f>
        <v>883348.1293599999</v>
      </c>
      <c r="G13" s="29">
        <f>SUMIF(clean_data!T:T,sales!A13,clean_data!AN:AN)</f>
        <v>278762.26936000003</v>
      </c>
      <c r="H13" s="29">
        <f>AVERAGEIF(Table1[Salesperson],sales!A13,clean_data!AA:AA)</f>
        <v>0.14031818181818181</v>
      </c>
      <c r="I13" s="29">
        <f>B13/E13</f>
        <v>1.4666666666666666</v>
      </c>
      <c r="J13" s="29">
        <f>F13/B13</f>
        <v>20076.093849090907</v>
      </c>
      <c r="K13" s="30">
        <f>G13/B13</f>
        <v>6335.5061218181827</v>
      </c>
    </row>
    <row r="14" spans="1:11" x14ac:dyDescent="0.35">
      <c r="A14" s="19" t="str">
        <v>E. Garcia</v>
      </c>
      <c r="B14" s="13">
        <f>COUNTIF(clean_data!T:T,sales!A14)</f>
        <v>34</v>
      </c>
      <c r="C14" s="14">
        <f>_xlfn.MINIFS(clean_data!F:F,clean_data!T:T,sales!A14)</f>
        <v>45028</v>
      </c>
      <c r="D14" s="14">
        <f>_xlfn.MAXIFS(clean_data!F:F,clean_data!T:T,sales!A14)</f>
        <v>45899</v>
      </c>
      <c r="E14" s="13">
        <f>DATEDIF(C14,D14,"m")</f>
        <v>28</v>
      </c>
      <c r="F14" s="15">
        <f>SUMIF(clean_data!T:T,sales!A14,clean_data!AM:AM)</f>
        <v>543846.44053000002</v>
      </c>
      <c r="G14" s="15">
        <f>SUMIF(clean_data!T:T,sales!A14,clean_data!AN:AN)</f>
        <v>204981.3405300001</v>
      </c>
      <c r="H14" s="15">
        <f>AVERAGEIF(Table1[Salesperson],sales!A14,clean_data!AA:AA)</f>
        <v>0.14061764705882349</v>
      </c>
      <c r="I14" s="15">
        <f>B14/E14</f>
        <v>1.2142857142857142</v>
      </c>
      <c r="J14" s="15">
        <f>F14/B14</f>
        <v>15995.483545000001</v>
      </c>
      <c r="K14" s="20">
        <f>G14/B14</f>
        <v>6028.8629567647085</v>
      </c>
    </row>
    <row r="15" spans="1:11" x14ac:dyDescent="0.35">
      <c r="A15" s="19" t="str">
        <v>I. Johnson</v>
      </c>
      <c r="B15" s="13">
        <f>COUNTIF(clean_data!T:T,sales!A15)</f>
        <v>38</v>
      </c>
      <c r="C15" s="14">
        <f>_xlfn.MINIFS(clean_data!F:F,clean_data!T:T,sales!A15)</f>
        <v>44985</v>
      </c>
      <c r="D15" s="14">
        <f>_xlfn.MAXIFS(clean_data!F:F,clean_data!T:T,sales!A15)</f>
        <v>45882</v>
      </c>
      <c r="E15" s="13">
        <f>DATEDIF(C15,D15,"m")</f>
        <v>29</v>
      </c>
      <c r="F15" s="15">
        <f>SUMIF(clean_data!T:T,sales!A15,clean_data!AM:AM)</f>
        <v>540526.22685999994</v>
      </c>
      <c r="G15" s="15">
        <f>SUMIF(clean_data!T:T,sales!A15,clean_data!AN:AN)</f>
        <v>139382.24685999998</v>
      </c>
      <c r="H15" s="15">
        <f>AVERAGEIF(Table1[Salesperson],sales!A15,clean_data!AA:AA)</f>
        <v>0.13513157894736838</v>
      </c>
      <c r="I15" s="15">
        <f>B15/E15</f>
        <v>1.3103448275862069</v>
      </c>
      <c r="J15" s="15">
        <f>F15/B15</f>
        <v>14224.37439105263</v>
      </c>
      <c r="K15" s="20">
        <f>G15/B15</f>
        <v>3667.9538647368418</v>
      </c>
    </row>
    <row r="16" spans="1:11" x14ac:dyDescent="0.35">
      <c r="A16" s="19" t="str">
        <v>N. Brown</v>
      </c>
      <c r="B16" s="13">
        <f>COUNTIF(clean_data!T:T,sales!A16)</f>
        <v>32</v>
      </c>
      <c r="C16" s="14">
        <f>_xlfn.MINIFS(clean_data!F:F,clean_data!T:T,sales!A16)</f>
        <v>44953</v>
      </c>
      <c r="D16" s="14">
        <f>_xlfn.MAXIFS(clean_data!F:F,clean_data!T:T,sales!A16)</f>
        <v>45914</v>
      </c>
      <c r="E16" s="13">
        <f>DATEDIF(C16,D16,"m")</f>
        <v>31</v>
      </c>
      <c r="F16" s="15">
        <f>SUMIF(clean_data!T:T,sales!A16,clean_data!AM:AM)</f>
        <v>388325.13659000001</v>
      </c>
      <c r="G16" s="15">
        <f>SUMIF(clean_data!T:T,sales!A16,clean_data!AN:AN)</f>
        <v>110646.45658999997</v>
      </c>
      <c r="H16" s="15">
        <f>AVERAGEIF(Table1[Salesperson],sales!A16,clean_data!AA:AA)</f>
        <v>9.9593749999999995E-2</v>
      </c>
      <c r="I16" s="15">
        <f>B16/E16</f>
        <v>1.032258064516129</v>
      </c>
      <c r="J16" s="15">
        <f>F16/B16</f>
        <v>12135.1605184375</v>
      </c>
      <c r="K16" s="20">
        <f>G16/B16</f>
        <v>3457.7017684374991</v>
      </c>
    </row>
    <row r="17" spans="1:11" ht="15" thickBot="1" x14ac:dyDescent="0.4">
      <c r="A17" s="21"/>
      <c r="B17" s="22"/>
      <c r="C17" s="23"/>
      <c r="D17" s="23"/>
      <c r="E17" s="22"/>
      <c r="F17" s="24"/>
      <c r="G17" s="24"/>
      <c r="H17" s="24"/>
      <c r="I17" s="24"/>
      <c r="J17" s="24"/>
      <c r="K17" s="25"/>
    </row>
    <row r="19" spans="1:11" x14ac:dyDescent="0.35">
      <c r="A19" s="10" t="s">
        <v>1442</v>
      </c>
      <c r="B19" t="s">
        <v>1486</v>
      </c>
    </row>
    <row r="20" spans="1:11" x14ac:dyDescent="0.35">
      <c r="A20" s="11">
        <v>1</v>
      </c>
      <c r="B20" s="5">
        <v>701241.31054999994</v>
      </c>
    </row>
    <row r="21" spans="1:11" x14ac:dyDescent="0.35">
      <c r="A21" s="11">
        <v>2</v>
      </c>
      <c r="B21" s="5">
        <v>962551.40801999997</v>
      </c>
    </row>
    <row r="22" spans="1:11" x14ac:dyDescent="0.35">
      <c r="A22" s="11">
        <v>3</v>
      </c>
      <c r="B22" s="5">
        <v>798978.3049499999</v>
      </c>
    </row>
    <row r="23" spans="1:11" x14ac:dyDescent="0.35">
      <c r="A23" s="11">
        <v>4</v>
      </c>
      <c r="B23" s="5">
        <v>947246.57737999968</v>
      </c>
    </row>
    <row r="24" spans="1:11" x14ac:dyDescent="0.35">
      <c r="A24" s="11">
        <v>5</v>
      </c>
      <c r="B24" s="5">
        <v>1262173.9173500005</v>
      </c>
    </row>
    <row r="25" spans="1:11" x14ac:dyDescent="0.35">
      <c r="A25" s="11">
        <v>6</v>
      </c>
      <c r="B25" s="5">
        <v>1252428.1889099998</v>
      </c>
    </row>
    <row r="26" spans="1:11" x14ac:dyDescent="0.35">
      <c r="A26" s="11">
        <v>7</v>
      </c>
      <c r="B26" s="5">
        <v>1313062.2995500001</v>
      </c>
    </row>
    <row r="27" spans="1:11" x14ac:dyDescent="0.35">
      <c r="A27" s="11">
        <v>8</v>
      </c>
      <c r="B27" s="5">
        <v>1089608.8125499997</v>
      </c>
    </row>
    <row r="28" spans="1:11" x14ac:dyDescent="0.35">
      <c r="A28" s="11">
        <v>9</v>
      </c>
      <c r="B28" s="5">
        <v>661159.42946000013</v>
      </c>
    </row>
    <row r="29" spans="1:11" x14ac:dyDescent="0.35">
      <c r="A29" s="11">
        <v>10</v>
      </c>
      <c r="B29" s="5">
        <v>658776.05551000009</v>
      </c>
    </row>
    <row r="30" spans="1:11" x14ac:dyDescent="0.35">
      <c r="A30" s="11">
        <v>11</v>
      </c>
      <c r="B30" s="5">
        <v>543953.69134999986</v>
      </c>
    </row>
    <row r="31" spans="1:11" x14ac:dyDescent="0.35">
      <c r="A31" s="11">
        <v>12</v>
      </c>
      <c r="B31" s="5">
        <v>734787.60988000012</v>
      </c>
    </row>
    <row r="32" spans="1:11" x14ac:dyDescent="0.35">
      <c r="A32" s="11" t="s">
        <v>1443</v>
      </c>
      <c r="B32" s="5">
        <v>10925967.605459999</v>
      </c>
    </row>
  </sheetData>
  <autoFilter ref="A1:A17" xr:uid="{FE0CF732-84B7-4115-8178-93F43EC90606}">
    <filterColumn colId="0">
      <filters>
        <filter val="A. Patel"/>
        <filter val="B. Chen"/>
        <filter val="C. Otieno"/>
        <filter val="D. Smith"/>
        <filter val="E. Garcia"/>
        <filter val="F. Müller"/>
        <filter val="G. Dubois"/>
        <filter val="H. Kim"/>
        <filter val="I. Johnson"/>
        <filter val="J. Njeri"/>
        <filter val="K. Singh"/>
        <filter val="L. Okafor"/>
        <filter val="M. Rossi"/>
        <filter val="N. Brown"/>
        <filter val="O. Wang"/>
      </filters>
    </filterColumn>
  </autoFilter>
  <conditionalFormatting sqref="J2:J16">
    <cfRule type="expression" dxfId="3" priority="1">
      <formula>J2&gt;=LARGE($J$2:$J$16,3)</formula>
    </cfRule>
    <cfRule type="expression" dxfId="2" priority="2">
      <formula>J2&lt;=SMALL($J$2:$J$16,3)</formula>
    </cfRule>
  </conditionalFormatting>
  <conditionalFormatting sqref="K2:K16">
    <cfRule type="expression" dxfId="1" priority="3">
      <formula>K2&gt;=LARGE($K$2:$K$16,3)</formula>
    </cfRule>
    <cfRule type="expression" dxfId="0" priority="4">
      <formula>K2&lt;=SMALL($K$2:$K$16,3)</formula>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125D5-69D9-4A4B-950E-DB58D04351AD}">
  <dimension ref="A1:B4"/>
  <sheetViews>
    <sheetView workbookViewId="0">
      <selection activeCell="B5" sqref="B5"/>
    </sheetView>
  </sheetViews>
  <sheetFormatPr defaultRowHeight="14.5" x14ac:dyDescent="0.35"/>
  <sheetData>
    <row r="1" spans="1:2" x14ac:dyDescent="0.35">
      <c r="A1" t="s">
        <v>1434</v>
      </c>
      <c r="B1" t="s">
        <v>1435</v>
      </c>
    </row>
    <row r="2" spans="1:2" x14ac:dyDescent="0.35">
      <c r="A2" t="s">
        <v>1436</v>
      </c>
      <c r="B2">
        <f>_xlfn.PERCENTILE.INC(clean_data!Y:Y,0.33)</f>
        <v>816.08010000000013</v>
      </c>
    </row>
    <row r="3" spans="1:2" x14ac:dyDescent="0.35">
      <c r="A3" t="s">
        <v>1437</v>
      </c>
      <c r="B3">
        <f>_xlfn.PERCENTILE.INC(clean_data!Y:Y,0.67)</f>
        <v>1640.0575000000001</v>
      </c>
    </row>
    <row r="4" spans="1:2" x14ac:dyDescent="0.35">
      <c r="A4" t="s">
        <v>1438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1FACA-79DE-45D6-AEE0-DC26BFF0F437}">
  <dimension ref="A3:AI17"/>
  <sheetViews>
    <sheetView workbookViewId="0">
      <selection activeCell="H12" sqref="H12"/>
    </sheetView>
  </sheetViews>
  <sheetFormatPr defaultRowHeight="14.5" x14ac:dyDescent="0.35"/>
  <cols>
    <col min="1" max="1" width="19.453125" bestFit="1" customWidth="1"/>
    <col min="2" max="2" width="9.453125" bestFit="1" customWidth="1"/>
    <col min="3" max="33" width="9.36328125" bestFit="1" customWidth="1"/>
    <col min="34" max="34" width="8.36328125" bestFit="1" customWidth="1"/>
    <col min="35" max="35" width="11.36328125" bestFit="1" customWidth="1"/>
    <col min="36" max="36" width="14.36328125" bestFit="1" customWidth="1"/>
    <col min="37" max="42" width="11.81640625" bestFit="1" customWidth="1"/>
    <col min="43" max="43" width="10.81640625" bestFit="1" customWidth="1"/>
    <col min="44" max="44" width="11.81640625" bestFit="1" customWidth="1"/>
    <col min="45" max="45" width="10.81640625" bestFit="1" customWidth="1"/>
    <col min="46" max="46" width="14.36328125" bestFit="1" customWidth="1"/>
    <col min="47" max="48" width="11.81640625" bestFit="1" customWidth="1"/>
    <col min="49" max="49" width="10.81640625" bestFit="1" customWidth="1"/>
    <col min="50" max="50" width="11.81640625" bestFit="1" customWidth="1"/>
    <col min="51" max="51" width="10.81640625" bestFit="1" customWidth="1"/>
    <col min="52" max="52" width="8.81640625" bestFit="1" customWidth="1"/>
    <col min="53" max="53" width="11.81640625" bestFit="1" customWidth="1"/>
    <col min="54" max="54" width="10.81640625" bestFit="1" customWidth="1"/>
    <col min="55" max="56" width="11.81640625" bestFit="1" customWidth="1"/>
    <col min="57" max="57" width="14.36328125" bestFit="1" customWidth="1"/>
    <col min="58" max="59" width="11.81640625" bestFit="1" customWidth="1"/>
    <col min="60" max="60" width="10.81640625" bestFit="1" customWidth="1"/>
    <col min="61" max="62" width="11.81640625" bestFit="1" customWidth="1"/>
    <col min="63" max="63" width="10.81640625" bestFit="1" customWidth="1"/>
    <col min="64" max="64" width="11.81640625" bestFit="1" customWidth="1"/>
    <col min="65" max="65" width="8.81640625" bestFit="1" customWidth="1"/>
    <col min="66" max="66" width="11.81640625" bestFit="1" customWidth="1"/>
    <col min="67" max="67" width="11" bestFit="1" customWidth="1"/>
    <col min="68" max="68" width="14.36328125" bestFit="1" customWidth="1"/>
    <col min="69" max="71" width="11.81640625" bestFit="1" customWidth="1"/>
    <col min="72" max="72" width="9.81640625" bestFit="1" customWidth="1"/>
    <col min="73" max="75" width="11.81640625" bestFit="1" customWidth="1"/>
    <col min="76" max="76" width="10.81640625" bestFit="1" customWidth="1"/>
    <col min="77" max="77" width="9.81640625" bestFit="1" customWidth="1"/>
    <col min="78" max="78" width="11.81640625" bestFit="1" customWidth="1"/>
    <col min="79" max="79" width="14.36328125" bestFit="1" customWidth="1"/>
    <col min="80" max="81" width="11.81640625" bestFit="1" customWidth="1"/>
    <col min="82" max="82" width="10.81640625" bestFit="1" customWidth="1"/>
    <col min="83" max="83" width="11.81640625" bestFit="1" customWidth="1"/>
    <col min="84" max="84" width="10.81640625" bestFit="1" customWidth="1"/>
    <col min="85" max="85" width="11.81640625" bestFit="1" customWidth="1"/>
    <col min="86" max="86" width="8.81640625" bestFit="1" customWidth="1"/>
    <col min="87" max="87" width="11.81640625" bestFit="1" customWidth="1"/>
    <col min="88" max="88" width="10.81640625" bestFit="1" customWidth="1"/>
    <col min="89" max="89" width="9.81640625" bestFit="1" customWidth="1"/>
    <col min="90" max="91" width="11.81640625" bestFit="1" customWidth="1"/>
    <col min="92" max="92" width="14.36328125" bestFit="1" customWidth="1"/>
    <col min="93" max="93" width="8.81640625" bestFit="1" customWidth="1"/>
    <col min="94" max="95" width="10.81640625" bestFit="1" customWidth="1"/>
    <col min="96" max="97" width="11.81640625" bestFit="1" customWidth="1"/>
    <col min="98" max="98" width="9.81640625" bestFit="1" customWidth="1"/>
    <col min="99" max="100" width="11.81640625" bestFit="1" customWidth="1"/>
    <col min="101" max="101" width="5.90625" bestFit="1" customWidth="1"/>
    <col min="102" max="102" width="11.81640625" bestFit="1" customWidth="1"/>
    <col min="103" max="103" width="9.81640625" bestFit="1" customWidth="1"/>
    <col min="104" max="105" width="11.81640625" bestFit="1" customWidth="1"/>
    <col min="106" max="106" width="9.81640625" bestFit="1" customWidth="1"/>
    <col min="107" max="109" width="10.81640625" bestFit="1" customWidth="1"/>
    <col min="110" max="110" width="11.81640625" bestFit="1" customWidth="1"/>
    <col min="111" max="111" width="10.81640625" bestFit="1" customWidth="1"/>
    <col min="112" max="112" width="11" bestFit="1" customWidth="1"/>
    <col min="113" max="113" width="14.36328125" bestFit="1" customWidth="1"/>
    <col min="114" max="121" width="11.81640625" bestFit="1" customWidth="1"/>
    <col min="122" max="122" width="9.81640625" bestFit="1" customWidth="1"/>
    <col min="123" max="123" width="11.81640625" bestFit="1" customWidth="1"/>
    <col min="124" max="124" width="8.81640625" bestFit="1" customWidth="1"/>
    <col min="125" max="125" width="11.81640625" bestFit="1" customWidth="1"/>
    <col min="126" max="126" width="10.81640625" bestFit="1" customWidth="1"/>
    <col min="127" max="127" width="11.81640625" bestFit="1" customWidth="1"/>
    <col min="128" max="128" width="10.81640625" bestFit="1" customWidth="1"/>
    <col min="129" max="131" width="11.81640625" bestFit="1" customWidth="1"/>
    <col min="132" max="132" width="14.36328125" bestFit="1" customWidth="1"/>
    <col min="133" max="133" width="10.81640625" bestFit="1" customWidth="1"/>
    <col min="134" max="134" width="11.81640625" bestFit="1" customWidth="1"/>
    <col min="135" max="135" width="10.81640625" bestFit="1" customWidth="1"/>
    <col min="136" max="137" width="11.81640625" bestFit="1" customWidth="1"/>
    <col min="138" max="138" width="10.81640625" bestFit="1" customWidth="1"/>
    <col min="139" max="142" width="11.81640625" bestFit="1" customWidth="1"/>
    <col min="143" max="143" width="14.36328125" bestFit="1" customWidth="1"/>
    <col min="144" max="145" width="11.81640625" bestFit="1" customWidth="1"/>
    <col min="146" max="146" width="8.81640625" bestFit="1" customWidth="1"/>
    <col min="147" max="147" width="9.81640625" bestFit="1" customWidth="1"/>
    <col min="148" max="148" width="11.81640625" bestFit="1" customWidth="1"/>
    <col min="149" max="149" width="8.81640625" bestFit="1" customWidth="1"/>
    <col min="150" max="151" width="11.81640625" bestFit="1" customWidth="1"/>
    <col min="152" max="152" width="9.81640625" bestFit="1" customWidth="1"/>
    <col min="153" max="153" width="11.81640625" bestFit="1" customWidth="1"/>
    <col min="154" max="154" width="11" bestFit="1" customWidth="1"/>
    <col min="155" max="155" width="14.36328125" bestFit="1" customWidth="1"/>
    <col min="156" max="159" width="11.81640625" bestFit="1" customWidth="1"/>
    <col min="160" max="160" width="10.81640625" bestFit="1" customWidth="1"/>
    <col min="161" max="163" width="11.81640625" bestFit="1" customWidth="1"/>
    <col min="164" max="164" width="10.81640625" bestFit="1" customWidth="1"/>
    <col min="165" max="165" width="11.81640625" bestFit="1" customWidth="1"/>
    <col min="166" max="166" width="14.36328125" bestFit="1" customWidth="1"/>
    <col min="167" max="168" width="11.81640625" bestFit="1" customWidth="1"/>
    <col min="169" max="169" width="9.81640625" bestFit="1" customWidth="1"/>
    <col min="170" max="170" width="8.81640625" bestFit="1" customWidth="1"/>
    <col min="171" max="176" width="11.81640625" bestFit="1" customWidth="1"/>
    <col min="177" max="177" width="14.36328125" bestFit="1" customWidth="1"/>
    <col min="178" max="183" width="11.81640625" bestFit="1" customWidth="1"/>
    <col min="184" max="184" width="10.81640625" bestFit="1" customWidth="1"/>
    <col min="185" max="185" width="11.81640625" bestFit="1" customWidth="1"/>
    <col min="186" max="186" width="8.81640625" bestFit="1" customWidth="1"/>
    <col min="187" max="187" width="11.81640625" bestFit="1" customWidth="1"/>
    <col min="188" max="188" width="14.36328125" bestFit="1" customWidth="1"/>
    <col min="189" max="193" width="11.81640625" bestFit="1" customWidth="1"/>
    <col min="194" max="194" width="9.81640625" bestFit="1" customWidth="1"/>
    <col min="195" max="195" width="11.81640625" bestFit="1" customWidth="1"/>
    <col min="196" max="196" width="10.81640625" bestFit="1" customWidth="1"/>
    <col min="197" max="197" width="11.81640625" bestFit="1" customWidth="1"/>
    <col min="198" max="198" width="9.81640625" bestFit="1" customWidth="1"/>
    <col min="199" max="199" width="11.81640625" bestFit="1" customWidth="1"/>
    <col min="200" max="200" width="14.36328125" bestFit="1" customWidth="1"/>
    <col min="201" max="207" width="11.81640625" bestFit="1" customWidth="1"/>
    <col min="208" max="208" width="14.36328125" bestFit="1" customWidth="1"/>
    <col min="209" max="211" width="11.81640625" bestFit="1" customWidth="1"/>
    <col min="212" max="212" width="9.81640625" bestFit="1" customWidth="1"/>
    <col min="213" max="213" width="10.81640625" bestFit="1" customWidth="1"/>
    <col min="214" max="214" width="9.81640625" bestFit="1" customWidth="1"/>
    <col min="215" max="218" width="11.81640625" bestFit="1" customWidth="1"/>
    <col min="219" max="219" width="9.81640625" bestFit="1" customWidth="1"/>
    <col min="220" max="220" width="11.81640625" bestFit="1" customWidth="1"/>
    <col min="221" max="221" width="14.36328125" bestFit="1" customWidth="1"/>
    <col min="222" max="225" width="11.81640625" bestFit="1" customWidth="1"/>
    <col min="226" max="226" width="7.81640625" bestFit="1" customWidth="1"/>
    <col min="227" max="228" width="11.81640625" bestFit="1" customWidth="1"/>
    <col min="229" max="229" width="14.36328125" bestFit="1" customWidth="1"/>
    <col min="230" max="232" width="10.81640625" bestFit="1" customWidth="1"/>
    <col min="233" max="236" width="11.81640625" bestFit="1" customWidth="1"/>
    <col min="237" max="237" width="9.81640625" bestFit="1" customWidth="1"/>
    <col min="238" max="238" width="10.81640625" bestFit="1" customWidth="1"/>
    <col min="239" max="239" width="14.36328125" bestFit="1" customWidth="1"/>
    <col min="240" max="240" width="9.81640625" bestFit="1" customWidth="1"/>
    <col min="241" max="242" width="11.81640625" bestFit="1" customWidth="1"/>
    <col min="243" max="243" width="6.81640625" bestFit="1" customWidth="1"/>
    <col min="244" max="244" width="11.81640625" bestFit="1" customWidth="1"/>
    <col min="245" max="245" width="10.81640625" bestFit="1" customWidth="1"/>
    <col min="246" max="246" width="11.81640625" bestFit="1" customWidth="1"/>
    <col min="247" max="247" width="10.81640625" bestFit="1" customWidth="1"/>
    <col min="248" max="249" width="11.81640625" bestFit="1" customWidth="1"/>
    <col min="250" max="250" width="14.36328125" bestFit="1" customWidth="1"/>
    <col min="251" max="251" width="11.81640625" bestFit="1" customWidth="1"/>
    <col min="252" max="252" width="10.81640625" bestFit="1" customWidth="1"/>
    <col min="253" max="254" width="11.81640625" bestFit="1" customWidth="1"/>
    <col min="255" max="256" width="10.81640625" bestFit="1" customWidth="1"/>
    <col min="257" max="257" width="8.81640625" bestFit="1" customWidth="1"/>
    <col min="258" max="258" width="9.81640625" bestFit="1" customWidth="1"/>
    <col min="259" max="259" width="14.36328125" bestFit="1" customWidth="1"/>
    <col min="260" max="262" width="11.81640625" bestFit="1" customWidth="1"/>
    <col min="263" max="263" width="8.81640625" bestFit="1" customWidth="1"/>
    <col min="264" max="265" width="11.81640625" bestFit="1" customWidth="1"/>
    <col min="266" max="266" width="10.81640625" bestFit="1" customWidth="1"/>
    <col min="267" max="268" width="11.81640625" bestFit="1" customWidth="1"/>
    <col min="269" max="269" width="10.81640625" bestFit="1" customWidth="1"/>
    <col min="270" max="270" width="11" bestFit="1" customWidth="1"/>
    <col min="271" max="271" width="14.36328125" bestFit="1" customWidth="1"/>
    <col min="272" max="272" width="9.81640625" bestFit="1" customWidth="1"/>
    <col min="273" max="273" width="11.81640625" bestFit="1" customWidth="1"/>
    <col min="274" max="275" width="10.81640625" bestFit="1" customWidth="1"/>
    <col min="276" max="276" width="11.81640625" bestFit="1" customWidth="1"/>
    <col min="277" max="277" width="8.81640625" bestFit="1" customWidth="1"/>
    <col min="278" max="280" width="11.81640625" bestFit="1" customWidth="1"/>
    <col min="281" max="281" width="9.81640625" bestFit="1" customWidth="1"/>
    <col min="282" max="283" width="11.81640625" bestFit="1" customWidth="1"/>
    <col min="284" max="284" width="10.81640625" bestFit="1" customWidth="1"/>
    <col min="285" max="285" width="11.81640625" bestFit="1" customWidth="1"/>
    <col min="286" max="287" width="10.81640625" bestFit="1" customWidth="1"/>
    <col min="288" max="288" width="11.81640625" bestFit="1" customWidth="1"/>
    <col min="289" max="289" width="9.81640625" bestFit="1" customWidth="1"/>
    <col min="290" max="290" width="11.81640625" bestFit="1" customWidth="1"/>
    <col min="291" max="291" width="11" bestFit="1" customWidth="1"/>
    <col min="292" max="292" width="14.36328125" bestFit="1" customWidth="1"/>
    <col min="293" max="293" width="9.81640625" bestFit="1" customWidth="1"/>
    <col min="294" max="295" width="11.81640625" bestFit="1" customWidth="1"/>
    <col min="296" max="296" width="10.81640625" bestFit="1" customWidth="1"/>
    <col min="297" max="297" width="11.81640625" bestFit="1" customWidth="1"/>
    <col min="298" max="298" width="10.81640625" bestFit="1" customWidth="1"/>
    <col min="299" max="300" width="11.81640625" bestFit="1" customWidth="1"/>
    <col min="301" max="301" width="9.81640625" bestFit="1" customWidth="1"/>
    <col min="302" max="302" width="11.81640625" bestFit="1" customWidth="1"/>
    <col min="303" max="303" width="11" bestFit="1" customWidth="1"/>
    <col min="304" max="305" width="11.81640625" bestFit="1" customWidth="1"/>
    <col min="306" max="306" width="10.81640625" bestFit="1" customWidth="1"/>
    <col min="307" max="307" width="9.81640625" bestFit="1" customWidth="1"/>
    <col min="308" max="308" width="10.81640625" bestFit="1" customWidth="1"/>
    <col min="309" max="309" width="11.81640625" bestFit="1" customWidth="1"/>
    <col min="310" max="310" width="10.81640625" bestFit="1" customWidth="1"/>
    <col min="311" max="312" width="11.81640625" bestFit="1" customWidth="1"/>
    <col min="313" max="313" width="11" bestFit="1" customWidth="1"/>
    <col min="314" max="314" width="14.36328125" bestFit="1" customWidth="1"/>
    <col min="315" max="315" width="10.81640625" bestFit="1" customWidth="1"/>
    <col min="316" max="317" width="11.81640625" bestFit="1" customWidth="1"/>
    <col min="318" max="318" width="10.81640625" bestFit="1" customWidth="1"/>
    <col min="319" max="319" width="11.81640625" bestFit="1" customWidth="1"/>
    <col min="320" max="320" width="7.81640625" bestFit="1" customWidth="1"/>
    <col min="321" max="322" width="11.81640625" bestFit="1" customWidth="1"/>
    <col min="323" max="323" width="9.81640625" bestFit="1" customWidth="1"/>
    <col min="324" max="324" width="11.81640625" bestFit="1" customWidth="1"/>
    <col min="325" max="325" width="14.36328125" bestFit="1" customWidth="1"/>
    <col min="326" max="327" width="11.81640625" bestFit="1" customWidth="1"/>
    <col min="328" max="328" width="10.81640625" bestFit="1" customWidth="1"/>
    <col min="329" max="329" width="11.81640625" bestFit="1" customWidth="1"/>
    <col min="330" max="330" width="10.81640625" bestFit="1" customWidth="1"/>
    <col min="331" max="331" width="11.81640625" bestFit="1" customWidth="1"/>
    <col min="332" max="332" width="10.81640625" bestFit="1" customWidth="1"/>
    <col min="333" max="333" width="9.81640625" bestFit="1" customWidth="1"/>
    <col min="334" max="334" width="10.81640625" bestFit="1" customWidth="1"/>
    <col min="335" max="335" width="11.81640625" bestFit="1" customWidth="1"/>
    <col min="336" max="336" width="14.36328125" bestFit="1" customWidth="1"/>
    <col min="337" max="339" width="11.81640625" bestFit="1" customWidth="1"/>
    <col min="340" max="340" width="9.81640625" bestFit="1" customWidth="1"/>
    <col min="341" max="341" width="10.81640625" bestFit="1" customWidth="1"/>
    <col min="342" max="342" width="9.81640625" bestFit="1" customWidth="1"/>
    <col min="343" max="343" width="11.81640625" bestFit="1" customWidth="1"/>
    <col min="344" max="344" width="10.81640625" bestFit="1" customWidth="1"/>
    <col min="345" max="345" width="11.81640625" bestFit="1" customWidth="1"/>
    <col min="346" max="346" width="14.36328125" bestFit="1" customWidth="1"/>
    <col min="347" max="349" width="11.81640625" bestFit="1" customWidth="1"/>
    <col min="350" max="350" width="11" bestFit="1" customWidth="1"/>
    <col min="351" max="352" width="11.81640625" bestFit="1" customWidth="1"/>
  </cols>
  <sheetData>
    <row r="3" spans="1:35" x14ac:dyDescent="0.35">
      <c r="A3" s="10" t="s">
        <v>1445</v>
      </c>
      <c r="B3" s="10" t="s">
        <v>1446</v>
      </c>
    </row>
    <row r="4" spans="1:35" x14ac:dyDescent="0.35">
      <c r="A4" s="10" t="s">
        <v>1442</v>
      </c>
      <c r="B4">
        <v>0</v>
      </c>
      <c r="C4">
        <v>1</v>
      </c>
      <c r="D4">
        <v>2</v>
      </c>
      <c r="E4">
        <v>3</v>
      </c>
      <c r="F4">
        <v>4</v>
      </c>
      <c r="G4">
        <v>5</v>
      </c>
      <c r="H4">
        <v>6</v>
      </c>
      <c r="I4">
        <v>7</v>
      </c>
      <c r="J4">
        <v>8</v>
      </c>
      <c r="K4">
        <v>9</v>
      </c>
      <c r="L4">
        <v>10</v>
      </c>
      <c r="M4">
        <v>11</v>
      </c>
      <c r="N4">
        <v>12</v>
      </c>
      <c r="O4">
        <v>13</v>
      </c>
      <c r="P4">
        <v>14</v>
      </c>
      <c r="Q4">
        <v>15</v>
      </c>
      <c r="R4">
        <v>16</v>
      </c>
      <c r="S4">
        <v>17</v>
      </c>
      <c r="T4">
        <v>18</v>
      </c>
      <c r="U4">
        <v>19</v>
      </c>
      <c r="V4">
        <v>20</v>
      </c>
      <c r="W4">
        <v>21</v>
      </c>
      <c r="X4">
        <v>22</v>
      </c>
      <c r="Y4">
        <v>23</v>
      </c>
      <c r="Z4">
        <v>24</v>
      </c>
      <c r="AA4">
        <v>25</v>
      </c>
      <c r="AB4">
        <v>26</v>
      </c>
      <c r="AC4">
        <v>27</v>
      </c>
      <c r="AD4">
        <v>28</v>
      </c>
      <c r="AE4">
        <v>29</v>
      </c>
      <c r="AF4">
        <v>30</v>
      </c>
      <c r="AG4">
        <v>31</v>
      </c>
      <c r="AH4">
        <v>32</v>
      </c>
      <c r="AI4" t="s">
        <v>1443</v>
      </c>
    </row>
    <row r="5" spans="1:35" x14ac:dyDescent="0.35">
      <c r="A5" s="11" t="s">
        <v>655</v>
      </c>
      <c r="B5" s="5">
        <v>26695.838159999996</v>
      </c>
      <c r="C5" s="5">
        <v>24523.006720000001</v>
      </c>
      <c r="D5" s="5">
        <v>12248.675999999999</v>
      </c>
      <c r="E5" s="5">
        <v>27194.152039999997</v>
      </c>
      <c r="F5" s="5">
        <v>46991.747199999998</v>
      </c>
      <c r="G5" s="5">
        <v>93430.735400000005</v>
      </c>
      <c r="H5" s="5">
        <v>37330.00275</v>
      </c>
      <c r="I5" s="5">
        <v>7071.6331400000008</v>
      </c>
      <c r="J5" s="5">
        <v>16213.632800000001</v>
      </c>
      <c r="K5" s="5">
        <v>24161.26311</v>
      </c>
      <c r="L5" s="5">
        <v>61471.696860000004</v>
      </c>
      <c r="M5" s="5">
        <v>8567.3924999999999</v>
      </c>
      <c r="N5" s="5">
        <v>39239.197899999999</v>
      </c>
      <c r="O5" s="5">
        <v>110.14919999999999</v>
      </c>
      <c r="P5" s="5">
        <v>57491.062559999998</v>
      </c>
      <c r="Q5" s="5">
        <v>9469.7678000000014</v>
      </c>
      <c r="R5" s="5"/>
      <c r="S5" s="5">
        <v>52596.047040000005</v>
      </c>
      <c r="T5" s="5">
        <v>41358.420049999993</v>
      </c>
      <c r="U5" s="5">
        <v>85419.017859999993</v>
      </c>
      <c r="V5" s="5"/>
      <c r="W5" s="5">
        <v>11939.431199999999</v>
      </c>
      <c r="X5" s="5"/>
      <c r="Y5" s="5">
        <v>22987.3279</v>
      </c>
      <c r="Z5" s="5">
        <v>70563.592109999998</v>
      </c>
      <c r="AA5" s="5">
        <v>15158.393100000001</v>
      </c>
      <c r="AB5" s="5">
        <v>70019.054340000002</v>
      </c>
      <c r="AC5" s="5">
        <v>67158.244760000001</v>
      </c>
      <c r="AD5" s="5"/>
      <c r="AE5" s="5">
        <v>38096.18406</v>
      </c>
      <c r="AF5" s="5">
        <v>45754.744080000004</v>
      </c>
      <c r="AG5" s="5">
        <v>24172.044580000002</v>
      </c>
      <c r="AH5" s="5"/>
      <c r="AI5" s="5">
        <v>1037432.45522</v>
      </c>
    </row>
    <row r="6" spans="1:35" x14ac:dyDescent="0.35">
      <c r="A6" s="11" t="s">
        <v>653</v>
      </c>
      <c r="B6" s="5">
        <v>4141.7599999999993</v>
      </c>
      <c r="C6" s="5">
        <v>26150.364320000001</v>
      </c>
      <c r="D6" s="5">
        <v>17453.3436</v>
      </c>
      <c r="E6" s="5">
        <v>15618.84504</v>
      </c>
      <c r="F6" s="5"/>
      <c r="G6" s="5">
        <v>46226.11952</v>
      </c>
      <c r="H6" s="5">
        <v>29536.716</v>
      </c>
      <c r="I6" s="5">
        <v>52625.80416</v>
      </c>
      <c r="J6" s="5">
        <v>15530.929919999999</v>
      </c>
      <c r="K6" s="5">
        <v>27756.432000000001</v>
      </c>
      <c r="L6" s="5"/>
      <c r="M6" s="5">
        <v>14466.95104</v>
      </c>
      <c r="N6" s="5">
        <v>19139.594240000002</v>
      </c>
      <c r="O6" s="5">
        <v>9774.3888000000006</v>
      </c>
      <c r="P6" s="5">
        <v>21931.50405</v>
      </c>
      <c r="Q6" s="5"/>
      <c r="R6" s="5">
        <v>17930.494560000003</v>
      </c>
      <c r="S6" s="5">
        <v>55516.603510000001</v>
      </c>
      <c r="T6" s="5">
        <v>79082.507010000001</v>
      </c>
      <c r="U6" s="5">
        <v>7466.3063999999986</v>
      </c>
      <c r="V6" s="5">
        <v>64160.245439999999</v>
      </c>
      <c r="W6" s="5"/>
      <c r="X6" s="5">
        <v>60697.470840000002</v>
      </c>
      <c r="Y6" s="5">
        <v>20713.040080000002</v>
      </c>
      <c r="Z6" s="5"/>
      <c r="AA6" s="5">
        <v>8128.5187499999993</v>
      </c>
      <c r="AB6" s="5"/>
      <c r="AC6" s="5">
        <v>7901.5041599999995</v>
      </c>
      <c r="AD6" s="5">
        <v>76122.593299999993</v>
      </c>
      <c r="AE6" s="5">
        <v>5335.5655499999993</v>
      </c>
      <c r="AF6" s="5">
        <v>141645.56601000001</v>
      </c>
      <c r="AG6" s="5">
        <v>24972.288</v>
      </c>
      <c r="AH6" s="5">
        <v>12597.52224</v>
      </c>
      <c r="AI6" s="5">
        <v>882622.97853999969</v>
      </c>
    </row>
    <row r="7" spans="1:35" x14ac:dyDescent="0.35">
      <c r="A7" s="11" t="s">
        <v>659</v>
      </c>
      <c r="B7" s="5">
        <v>11406.96</v>
      </c>
      <c r="C7" s="5">
        <v>24306.483179999999</v>
      </c>
      <c r="D7" s="5"/>
      <c r="E7" s="5">
        <v>51137.289359999995</v>
      </c>
      <c r="F7" s="5">
        <v>27108.71488</v>
      </c>
      <c r="G7" s="5"/>
      <c r="H7" s="5">
        <v>55186.876579999996</v>
      </c>
      <c r="I7" s="5">
        <v>8909.8587200000002</v>
      </c>
      <c r="J7" s="5">
        <v>72072.389439999999</v>
      </c>
      <c r="K7" s="5">
        <v>4402.1164799999997</v>
      </c>
      <c r="L7" s="5"/>
      <c r="M7" s="5">
        <v>23668.560000000001</v>
      </c>
      <c r="N7" s="5">
        <v>19542.975350000001</v>
      </c>
      <c r="O7" s="5">
        <v>105288.56134000001</v>
      </c>
      <c r="P7" s="5">
        <v>14197.064400000001</v>
      </c>
      <c r="Q7" s="5"/>
      <c r="R7" s="5">
        <v>70180.55992</v>
      </c>
      <c r="S7" s="5">
        <v>50774.406560000003</v>
      </c>
      <c r="T7" s="5"/>
      <c r="U7" s="5">
        <v>8934.8277600000001</v>
      </c>
      <c r="V7" s="5">
        <v>60223.533530000008</v>
      </c>
      <c r="W7" s="5">
        <v>20974.101200000001</v>
      </c>
      <c r="X7" s="5">
        <v>4071.8</v>
      </c>
      <c r="Y7" s="5">
        <v>80623.678139999989</v>
      </c>
      <c r="Z7" s="5">
        <v>52780.07</v>
      </c>
      <c r="AA7" s="5"/>
      <c r="AB7" s="5">
        <v>9378.6258099999995</v>
      </c>
      <c r="AC7" s="5"/>
      <c r="AD7" s="5">
        <v>9684.8756000000012</v>
      </c>
      <c r="AE7" s="5">
        <v>70923.210179999995</v>
      </c>
      <c r="AF7" s="5">
        <v>34592.243559999995</v>
      </c>
      <c r="AG7" s="5">
        <v>4420.5961799999995</v>
      </c>
      <c r="AH7" s="5"/>
      <c r="AI7" s="5">
        <v>894790.37817000016</v>
      </c>
    </row>
    <row r="8" spans="1:35" x14ac:dyDescent="0.35">
      <c r="A8" s="11" t="s">
        <v>657</v>
      </c>
      <c r="B8" s="5">
        <v>9847.2358600000007</v>
      </c>
      <c r="C8" s="5">
        <v>39546.774539999999</v>
      </c>
      <c r="D8" s="5">
        <v>9022.35</v>
      </c>
      <c r="E8" s="5">
        <v>31788.701859999997</v>
      </c>
      <c r="F8" s="5"/>
      <c r="G8" s="5">
        <v>18211.877239999998</v>
      </c>
      <c r="H8" s="5">
        <v>52945.155879999998</v>
      </c>
      <c r="I8" s="5">
        <v>36549.429260000004</v>
      </c>
      <c r="J8" s="5">
        <v>14877.464000000002</v>
      </c>
      <c r="K8" s="5">
        <v>5159.7893599999998</v>
      </c>
      <c r="L8" s="5">
        <v>22983.34563</v>
      </c>
      <c r="M8" s="5">
        <v>28412.100360000004</v>
      </c>
      <c r="N8" s="5">
        <v>36467.166100000002</v>
      </c>
      <c r="O8" s="5">
        <v>13450.74</v>
      </c>
      <c r="P8" s="5">
        <v>61324.275860000009</v>
      </c>
      <c r="Q8" s="5">
        <v>24321.57</v>
      </c>
      <c r="R8" s="5">
        <v>19313.865040000001</v>
      </c>
      <c r="S8" s="5">
        <v>7399.4832000000006</v>
      </c>
      <c r="T8" s="5">
        <v>20507.94138</v>
      </c>
      <c r="U8" s="5">
        <v>9189.1634999999987</v>
      </c>
      <c r="V8" s="5"/>
      <c r="W8" s="5">
        <v>66499.004939999984</v>
      </c>
      <c r="X8" s="5">
        <v>48264.827620000011</v>
      </c>
      <c r="Y8" s="5">
        <v>25948.414799999995</v>
      </c>
      <c r="Z8" s="5">
        <v>20050.102040000002</v>
      </c>
      <c r="AA8" s="5">
        <v>12040.64352</v>
      </c>
      <c r="AB8" s="5">
        <v>21725.844440000001</v>
      </c>
      <c r="AC8" s="5">
        <v>11482.480960000001</v>
      </c>
      <c r="AD8" s="5">
        <v>13839.264500000001</v>
      </c>
      <c r="AE8" s="5">
        <v>8366.02</v>
      </c>
      <c r="AF8" s="5"/>
      <c r="AG8" s="5">
        <v>68199.913</v>
      </c>
      <c r="AH8" s="5"/>
      <c r="AI8" s="5">
        <v>757734.94489000016</v>
      </c>
    </row>
    <row r="9" spans="1:35" x14ac:dyDescent="0.35">
      <c r="A9" s="11" t="s">
        <v>656</v>
      </c>
      <c r="B9" s="5">
        <v>99559.246460000009</v>
      </c>
      <c r="C9" s="5">
        <v>63596.314610000001</v>
      </c>
      <c r="D9" s="5">
        <v>104633.05091000001</v>
      </c>
      <c r="E9" s="5"/>
      <c r="F9" s="5">
        <v>23154.287400000001</v>
      </c>
      <c r="G9" s="5">
        <v>14114.068500000001</v>
      </c>
      <c r="H9" s="5"/>
      <c r="I9" s="5">
        <v>215.19839999999996</v>
      </c>
      <c r="J9" s="5"/>
      <c r="K9" s="5"/>
      <c r="L9" s="5">
        <v>64606.506009999997</v>
      </c>
      <c r="M9" s="5">
        <v>25014.766199999998</v>
      </c>
      <c r="N9" s="5">
        <v>16328.076349999999</v>
      </c>
      <c r="O9" s="5">
        <v>33660.62169</v>
      </c>
      <c r="P9" s="5">
        <v>47953.246319999998</v>
      </c>
      <c r="Q9" s="5">
        <v>33968.989880000001</v>
      </c>
      <c r="R9" s="5">
        <v>87491.590140000015</v>
      </c>
      <c r="S9" s="5"/>
      <c r="T9" s="5"/>
      <c r="U9" s="5">
        <v>47066.843850000005</v>
      </c>
      <c r="V9" s="5"/>
      <c r="W9" s="5">
        <v>12955.824749999998</v>
      </c>
      <c r="X9" s="5">
        <v>5538.3298400000003</v>
      </c>
      <c r="Y9" s="5">
        <v>73330.963799999998</v>
      </c>
      <c r="Z9" s="5">
        <v>30546.068040000002</v>
      </c>
      <c r="AA9" s="5">
        <v>618.19979999999987</v>
      </c>
      <c r="AB9" s="5">
        <v>16328.358699999999</v>
      </c>
      <c r="AC9" s="5">
        <v>5734.3457399999998</v>
      </c>
      <c r="AD9" s="5">
        <v>56391.304550000001</v>
      </c>
      <c r="AE9" s="5">
        <v>10441.90848</v>
      </c>
      <c r="AF9" s="5">
        <v>56176.777799999996</v>
      </c>
      <c r="AG9" s="5"/>
      <c r="AH9" s="5"/>
      <c r="AI9" s="5">
        <v>929424.88822000008</v>
      </c>
    </row>
    <row r="10" spans="1:35" x14ac:dyDescent="0.35">
      <c r="A10" s="11" t="s">
        <v>654</v>
      </c>
      <c r="B10" s="5">
        <v>48804.159249999997</v>
      </c>
      <c r="C10" s="5">
        <v>6631.6443100000006</v>
      </c>
      <c r="D10" s="5">
        <v>32506.559399999998</v>
      </c>
      <c r="E10" s="5">
        <v>249678.13582</v>
      </c>
      <c r="F10" s="5">
        <v>4577.1480000000001</v>
      </c>
      <c r="G10" s="5">
        <v>12462.65055</v>
      </c>
      <c r="H10" s="5"/>
      <c r="I10" s="5">
        <v>49929.549790000005</v>
      </c>
      <c r="J10" s="5">
        <v>25897.348050000001</v>
      </c>
      <c r="K10" s="5">
        <v>48296.2664</v>
      </c>
      <c r="L10" s="5">
        <v>35984.636809999996</v>
      </c>
      <c r="M10" s="5">
        <v>33792.866320000001</v>
      </c>
      <c r="N10" s="5">
        <v>24305.882859999998</v>
      </c>
      <c r="O10" s="5">
        <v>12668.50728</v>
      </c>
      <c r="P10" s="5"/>
      <c r="Q10" s="5">
        <v>35554.10024</v>
      </c>
      <c r="R10" s="5">
        <v>31513.423040000001</v>
      </c>
      <c r="S10" s="5">
        <v>30229.994880000002</v>
      </c>
      <c r="T10" s="5">
        <v>43785.68778</v>
      </c>
      <c r="U10" s="5">
        <v>20028.787380000002</v>
      </c>
      <c r="V10" s="5">
        <v>599.53200000000004</v>
      </c>
      <c r="W10" s="5">
        <v>80963.246050000002</v>
      </c>
      <c r="X10" s="5">
        <v>51589.538240000009</v>
      </c>
      <c r="Y10" s="5">
        <v>33308.550000000003</v>
      </c>
      <c r="Z10" s="5">
        <v>7120.6486400000003</v>
      </c>
      <c r="AA10" s="5">
        <v>24075.089819999997</v>
      </c>
      <c r="AB10" s="5">
        <v>4856.35725</v>
      </c>
      <c r="AC10" s="5">
        <v>62421.22464</v>
      </c>
      <c r="AD10" s="5">
        <v>39717.144100000005</v>
      </c>
      <c r="AE10" s="5"/>
      <c r="AF10" s="5">
        <v>11006.647559999999</v>
      </c>
      <c r="AG10" s="5">
        <v>29627.320319999999</v>
      </c>
      <c r="AH10" s="5"/>
      <c r="AI10" s="5">
        <v>1091932.6467800003</v>
      </c>
    </row>
    <row r="11" spans="1:35" x14ac:dyDescent="0.35">
      <c r="A11" s="11" t="s">
        <v>652</v>
      </c>
      <c r="B11" s="5">
        <v>31024.83872</v>
      </c>
      <c r="C11" s="5">
        <v>21196.913249999998</v>
      </c>
      <c r="D11" s="5">
        <v>9062.34692</v>
      </c>
      <c r="E11" s="5">
        <v>4603.0824400000001</v>
      </c>
      <c r="F11" s="5">
        <v>32142.113530000002</v>
      </c>
      <c r="G11" s="5"/>
      <c r="H11" s="5">
        <v>31130.741829999995</v>
      </c>
      <c r="I11" s="5">
        <v>14527.748400000002</v>
      </c>
      <c r="J11" s="5">
        <v>27905.895679999998</v>
      </c>
      <c r="K11" s="5">
        <v>65358.033779999998</v>
      </c>
      <c r="L11" s="5">
        <v>26621.873459999999</v>
      </c>
      <c r="M11" s="5">
        <v>15253.069799999999</v>
      </c>
      <c r="N11" s="5"/>
      <c r="O11" s="5"/>
      <c r="P11" s="5">
        <v>14287.896349999999</v>
      </c>
      <c r="Q11" s="5">
        <v>68665.574250000005</v>
      </c>
      <c r="R11" s="5">
        <v>23449.833500000004</v>
      </c>
      <c r="S11" s="5">
        <v>82602.550500000012</v>
      </c>
      <c r="T11" s="5">
        <v>50582.705609999997</v>
      </c>
      <c r="U11" s="5">
        <v>29808.424959999997</v>
      </c>
      <c r="V11" s="5"/>
      <c r="W11" s="5">
        <v>18641.222160000001</v>
      </c>
      <c r="X11" s="5">
        <v>23394.9202</v>
      </c>
      <c r="Y11" s="5">
        <v>266.17821999999995</v>
      </c>
      <c r="Z11" s="5">
        <v>49494.318980000011</v>
      </c>
      <c r="AA11" s="5">
        <v>20606.46444</v>
      </c>
      <c r="AB11" s="5">
        <v>63856.506820000002</v>
      </c>
      <c r="AC11" s="5">
        <v>11984.891250000001</v>
      </c>
      <c r="AD11" s="5">
        <v>43398.362049999996</v>
      </c>
      <c r="AE11" s="5"/>
      <c r="AF11" s="5">
        <v>74882.385600000009</v>
      </c>
      <c r="AG11" s="5"/>
      <c r="AH11" s="5"/>
      <c r="AI11" s="5">
        <v>854748.89270000008</v>
      </c>
    </row>
    <row r="12" spans="1:35" x14ac:dyDescent="0.35">
      <c r="A12" s="11" t="s">
        <v>650</v>
      </c>
      <c r="B12" s="5">
        <v>47962.717579999997</v>
      </c>
      <c r="C12" s="5">
        <v>9922.4368599999998</v>
      </c>
      <c r="D12" s="5">
        <v>67069.606889999995</v>
      </c>
      <c r="E12" s="5">
        <v>18037.27893</v>
      </c>
      <c r="F12" s="5">
        <v>3799.8031499999997</v>
      </c>
      <c r="G12" s="5">
        <v>19581.87</v>
      </c>
      <c r="H12" s="5">
        <v>17735.678400000004</v>
      </c>
      <c r="I12" s="5">
        <v>1030.7574</v>
      </c>
      <c r="J12" s="5">
        <v>27249</v>
      </c>
      <c r="K12" s="5">
        <v>11015.510400000003</v>
      </c>
      <c r="L12" s="5"/>
      <c r="M12" s="5">
        <v>16061.972879999999</v>
      </c>
      <c r="N12" s="5">
        <v>66852.128960000002</v>
      </c>
      <c r="O12" s="5">
        <v>4866.3287999999993</v>
      </c>
      <c r="P12" s="5">
        <v>8326.6852500000005</v>
      </c>
      <c r="Q12" s="5">
        <v>29230.059240000002</v>
      </c>
      <c r="R12" s="5">
        <v>84556.746840000007</v>
      </c>
      <c r="S12" s="5">
        <v>101032.65689999999</v>
      </c>
      <c r="T12" s="5">
        <v>27605.925880000003</v>
      </c>
      <c r="U12" s="5">
        <v>52863.98113</v>
      </c>
      <c r="V12" s="5"/>
      <c r="W12" s="5">
        <v>54242.046000000002</v>
      </c>
      <c r="X12" s="5">
        <v>119943.70428000002</v>
      </c>
      <c r="Y12" s="5"/>
      <c r="Z12" s="5">
        <v>68469.84792</v>
      </c>
      <c r="AA12" s="5"/>
      <c r="AB12" s="5">
        <v>31401.432999999997</v>
      </c>
      <c r="AC12" s="5">
        <v>4569.8508000000002</v>
      </c>
      <c r="AD12" s="5"/>
      <c r="AE12" s="5">
        <v>17867.219160000001</v>
      </c>
      <c r="AF12" s="5">
        <v>1654.8966000000003</v>
      </c>
      <c r="AG12" s="5">
        <v>22570.034399999997</v>
      </c>
      <c r="AH12" s="5"/>
      <c r="AI12" s="5">
        <v>935520.17764999985</v>
      </c>
    </row>
    <row r="13" spans="1:35" x14ac:dyDescent="0.35">
      <c r="A13" s="11" t="s">
        <v>651</v>
      </c>
      <c r="B13" s="5">
        <v>5422.2875999999997</v>
      </c>
      <c r="C13" s="5"/>
      <c r="D13" s="5">
        <v>32280.32474</v>
      </c>
      <c r="E13" s="5">
        <v>20656.557700000001</v>
      </c>
      <c r="F13" s="5">
        <v>22882.675440000003</v>
      </c>
      <c r="G13" s="5">
        <v>116202.88449999999</v>
      </c>
      <c r="H13" s="5">
        <v>3021.5016000000001</v>
      </c>
      <c r="I13" s="5">
        <v>24833.097520000003</v>
      </c>
      <c r="J13" s="5">
        <v>10786.32144</v>
      </c>
      <c r="K13" s="5"/>
      <c r="L13" s="5"/>
      <c r="M13" s="5">
        <v>27158.894079999998</v>
      </c>
      <c r="N13" s="5"/>
      <c r="O13" s="5">
        <v>28041.02492</v>
      </c>
      <c r="P13" s="5">
        <v>32335.21802</v>
      </c>
      <c r="Q13" s="5">
        <v>51003.081039999997</v>
      </c>
      <c r="R13" s="5">
        <v>46428.36</v>
      </c>
      <c r="S13" s="5">
        <v>2719.8567000000003</v>
      </c>
      <c r="T13" s="5"/>
      <c r="U13" s="5">
        <v>2879.9836</v>
      </c>
      <c r="V13" s="5">
        <v>55700.645940000002</v>
      </c>
      <c r="W13" s="5">
        <v>44369.070899999999</v>
      </c>
      <c r="X13" s="5">
        <v>12967.958640000001</v>
      </c>
      <c r="Y13" s="5"/>
      <c r="Z13" s="5">
        <v>2146.5580500000001</v>
      </c>
      <c r="AA13" s="5">
        <v>25958.851379999996</v>
      </c>
      <c r="AB13" s="5">
        <v>48310.143040000003</v>
      </c>
      <c r="AC13" s="5">
        <v>40139.874619999995</v>
      </c>
      <c r="AD13" s="5">
        <v>11947.367920000001</v>
      </c>
      <c r="AE13" s="5">
        <v>146296.57</v>
      </c>
      <c r="AF13" s="5">
        <v>17847.907199999998</v>
      </c>
      <c r="AG13" s="5">
        <v>49501.660319999995</v>
      </c>
      <c r="AH13" s="5"/>
      <c r="AI13" s="5">
        <v>881838.67690999992</v>
      </c>
    </row>
    <row r="14" spans="1:35" x14ac:dyDescent="0.35">
      <c r="A14" s="11" t="s">
        <v>661</v>
      </c>
      <c r="B14" s="5">
        <v>3116.21</v>
      </c>
      <c r="C14" s="5">
        <v>86597.081299999991</v>
      </c>
      <c r="D14" s="5">
        <v>29618.551199999998</v>
      </c>
      <c r="E14" s="5"/>
      <c r="F14" s="5">
        <v>15187.14126</v>
      </c>
      <c r="G14" s="5">
        <v>21572.590500000002</v>
      </c>
      <c r="H14" s="5">
        <v>56993.802439999999</v>
      </c>
      <c r="I14" s="5">
        <v>58520.369639999997</v>
      </c>
      <c r="J14" s="5"/>
      <c r="K14" s="5">
        <v>434.45248000000004</v>
      </c>
      <c r="L14" s="5">
        <v>12954.358080000002</v>
      </c>
      <c r="M14" s="5">
        <v>79406.784939999983</v>
      </c>
      <c r="N14" s="5">
        <v>54214.972160000005</v>
      </c>
      <c r="O14" s="5">
        <v>4826.5396199999996</v>
      </c>
      <c r="P14" s="5"/>
      <c r="Q14" s="5">
        <v>20171.63305</v>
      </c>
      <c r="R14" s="5">
        <v>14032.850879999998</v>
      </c>
      <c r="S14" s="5">
        <v>39907.476420000006</v>
      </c>
      <c r="T14" s="5"/>
      <c r="U14" s="5">
        <v>40303.832219999997</v>
      </c>
      <c r="V14" s="5">
        <v>18061.204320000004</v>
      </c>
      <c r="W14" s="5"/>
      <c r="X14" s="5"/>
      <c r="Y14" s="5"/>
      <c r="Z14" s="5">
        <v>6576.298960000001</v>
      </c>
      <c r="AA14" s="5"/>
      <c r="AB14" s="5">
        <v>5565.3272500000003</v>
      </c>
      <c r="AC14" s="5">
        <v>1886.9915999999998</v>
      </c>
      <c r="AD14" s="5">
        <v>31556.187599999997</v>
      </c>
      <c r="AE14" s="5">
        <v>88311.186580000009</v>
      </c>
      <c r="AF14" s="5">
        <v>76636.156479999991</v>
      </c>
      <c r="AG14" s="5"/>
      <c r="AH14" s="5">
        <v>13185.543</v>
      </c>
      <c r="AI14" s="5">
        <v>779637.54197999986</v>
      </c>
    </row>
    <row r="15" spans="1:35" x14ac:dyDescent="0.35">
      <c r="A15" s="11" t="s">
        <v>658</v>
      </c>
      <c r="B15" s="5">
        <v>27965.366600000001</v>
      </c>
      <c r="C15" s="5">
        <v>4132.0325200000007</v>
      </c>
      <c r="D15" s="5">
        <v>64680.119419999988</v>
      </c>
      <c r="E15" s="5">
        <v>17884.687559999998</v>
      </c>
      <c r="F15" s="5">
        <v>49706.426600000006</v>
      </c>
      <c r="G15" s="5">
        <v>48616.566040000005</v>
      </c>
      <c r="H15" s="5">
        <v>8763.2849999999999</v>
      </c>
      <c r="I15" s="5">
        <v>23038.615559999998</v>
      </c>
      <c r="J15" s="5"/>
      <c r="K15" s="5">
        <v>31613.310460000004</v>
      </c>
      <c r="L15" s="5"/>
      <c r="M15" s="5">
        <v>23195.01828</v>
      </c>
      <c r="N15" s="5">
        <v>4229.4321199999995</v>
      </c>
      <c r="O15" s="5">
        <v>33938.142760000002</v>
      </c>
      <c r="P15" s="5">
        <v>13218.5</v>
      </c>
      <c r="Q15" s="5">
        <v>121707.26436</v>
      </c>
      <c r="R15" s="5">
        <v>30151.675319999998</v>
      </c>
      <c r="S15" s="5">
        <v>35167.7448</v>
      </c>
      <c r="T15" s="5">
        <v>23687.524440000001</v>
      </c>
      <c r="U15" s="5">
        <v>25249.613219999999</v>
      </c>
      <c r="V15" s="5">
        <v>91431.437760000001</v>
      </c>
      <c r="W15" s="5">
        <v>44605.988639999996</v>
      </c>
      <c r="X15" s="5">
        <v>28827.107459999992</v>
      </c>
      <c r="Y15" s="5">
        <v>30799.273800000003</v>
      </c>
      <c r="Z15" s="5">
        <v>47052.4614</v>
      </c>
      <c r="AA15" s="5"/>
      <c r="AB15" s="5">
        <v>117895.35054</v>
      </c>
      <c r="AC15" s="5"/>
      <c r="AD15" s="5">
        <v>39263.702919999996</v>
      </c>
      <c r="AE15" s="5">
        <v>77588.779909999997</v>
      </c>
      <c r="AF15" s="5">
        <v>38415.602769999998</v>
      </c>
      <c r="AG15" s="5">
        <v>8764.4065599999994</v>
      </c>
      <c r="AH15" s="5"/>
      <c r="AI15" s="5">
        <v>1111589.4368199999</v>
      </c>
    </row>
    <row r="16" spans="1:35" x14ac:dyDescent="0.35">
      <c r="A16" s="11" t="s">
        <v>660</v>
      </c>
      <c r="B16" s="5">
        <v>47908.667860000001</v>
      </c>
      <c r="C16" s="5">
        <v>51865.197319999999</v>
      </c>
      <c r="D16" s="5"/>
      <c r="E16" s="5">
        <v>15674.497519999999</v>
      </c>
      <c r="F16" s="5">
        <v>23132.398349999996</v>
      </c>
      <c r="G16" s="5">
        <v>71887.464220000009</v>
      </c>
      <c r="H16" s="5">
        <v>32086.37586</v>
      </c>
      <c r="I16" s="5">
        <v>25299.040000000001</v>
      </c>
      <c r="J16" s="5">
        <v>20226.246000000003</v>
      </c>
      <c r="K16" s="5"/>
      <c r="L16" s="5"/>
      <c r="M16" s="5">
        <v>12130.904400000001</v>
      </c>
      <c r="N16" s="5">
        <v>24439.103279999999</v>
      </c>
      <c r="O16" s="5">
        <v>59638.251029999999</v>
      </c>
      <c r="P16" s="5">
        <v>83439.187559999991</v>
      </c>
      <c r="Q16" s="5"/>
      <c r="R16" s="5">
        <v>53872.641179999999</v>
      </c>
      <c r="S16" s="5"/>
      <c r="T16" s="5">
        <v>71968.626539999997</v>
      </c>
      <c r="U16" s="5">
        <v>63145.134920000004</v>
      </c>
      <c r="V16" s="5"/>
      <c r="W16" s="5">
        <v>16023.123</v>
      </c>
      <c r="X16" s="5"/>
      <c r="Y16" s="5">
        <v>14568.782480000002</v>
      </c>
      <c r="Z16" s="5">
        <v>2117.4834999999998</v>
      </c>
      <c r="AA16" s="5">
        <v>9984.7160999999978</v>
      </c>
      <c r="AB16" s="5">
        <v>2915.4540999999999</v>
      </c>
      <c r="AC16" s="5">
        <v>35325.243150000002</v>
      </c>
      <c r="AD16" s="5">
        <v>3644.3212800000006</v>
      </c>
      <c r="AE16" s="5"/>
      <c r="AF16" s="5">
        <v>16609.090809999998</v>
      </c>
      <c r="AG16" s="5">
        <v>10792.637119999999</v>
      </c>
      <c r="AH16" s="5"/>
      <c r="AI16" s="5">
        <v>768694.58757999982</v>
      </c>
    </row>
    <row r="17" spans="1:35" x14ac:dyDescent="0.35">
      <c r="A17" s="11" t="s">
        <v>1443</v>
      </c>
      <c r="B17" s="5">
        <v>363855.28808999999</v>
      </c>
      <c r="C17" s="5">
        <v>358468.24892999994</v>
      </c>
      <c r="D17" s="5">
        <v>378574.92907999997</v>
      </c>
      <c r="E17" s="5">
        <v>452273.22826999996</v>
      </c>
      <c r="F17" s="5">
        <v>248682.45581000001</v>
      </c>
      <c r="G17" s="5">
        <v>462306.82647000003</v>
      </c>
      <c r="H17" s="5">
        <v>324730.13633999997</v>
      </c>
      <c r="I17" s="5">
        <v>302551.10199</v>
      </c>
      <c r="J17" s="5">
        <v>230759.22732999999</v>
      </c>
      <c r="K17" s="5">
        <v>218197.17447000003</v>
      </c>
      <c r="L17" s="5">
        <v>224622.41685000001</v>
      </c>
      <c r="M17" s="5">
        <v>307129.28080000001</v>
      </c>
      <c r="N17" s="5">
        <v>304758.52932000003</v>
      </c>
      <c r="O17" s="5">
        <v>306263.25543999998</v>
      </c>
      <c r="P17" s="5">
        <v>354504.64037000004</v>
      </c>
      <c r="Q17" s="5">
        <v>394092.03986000002</v>
      </c>
      <c r="R17" s="5">
        <v>478922.04041999998</v>
      </c>
      <c r="S17" s="5">
        <v>457946.82050999999</v>
      </c>
      <c r="T17" s="5">
        <v>358579.33869</v>
      </c>
      <c r="U17" s="5">
        <v>392355.91679999995</v>
      </c>
      <c r="V17" s="5">
        <v>290176.59899000003</v>
      </c>
      <c r="W17" s="5">
        <v>371213.05884000001</v>
      </c>
      <c r="X17" s="5">
        <v>355295.65712000005</v>
      </c>
      <c r="Y17" s="5">
        <v>302546.20922000002</v>
      </c>
      <c r="Z17" s="5">
        <v>356917.44964000001</v>
      </c>
      <c r="AA17" s="5">
        <v>116570.87690999999</v>
      </c>
      <c r="AB17" s="5">
        <v>392252.45528999995</v>
      </c>
      <c r="AC17" s="5">
        <v>248604.65167999998</v>
      </c>
      <c r="AD17" s="5">
        <v>325565.12381999998</v>
      </c>
      <c r="AE17" s="5">
        <v>463226.64392</v>
      </c>
      <c r="AF17" s="5">
        <v>515222.01847000007</v>
      </c>
      <c r="AG17" s="5">
        <v>243020.90048000001</v>
      </c>
      <c r="AH17" s="5">
        <v>25783.06524</v>
      </c>
      <c r="AI17" s="5">
        <v>10925967.605459999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C0939-8373-4164-A9FA-2C497E8E3642}">
  <dimension ref="A1:J101"/>
  <sheetViews>
    <sheetView topLeftCell="A49" workbookViewId="0">
      <selection activeCell="J11" sqref="J11"/>
    </sheetView>
  </sheetViews>
  <sheetFormatPr defaultRowHeight="14.5" x14ac:dyDescent="0.35"/>
  <cols>
    <col min="1" max="1" width="17.26953125" customWidth="1"/>
    <col min="6" max="6" width="15.453125" customWidth="1"/>
  </cols>
  <sheetData>
    <row r="1" spans="1:10" x14ac:dyDescent="0.35">
      <c r="A1" s="64" t="s">
        <v>1505</v>
      </c>
      <c r="B1" s="64"/>
      <c r="C1" s="64"/>
      <c r="D1" s="64"/>
      <c r="E1" s="64"/>
    </row>
    <row r="3" spans="1:10" x14ac:dyDescent="0.35">
      <c r="A3" s="37" t="s">
        <v>3</v>
      </c>
      <c r="B3" s="37" t="s">
        <v>1506</v>
      </c>
      <c r="C3" s="37" t="s">
        <v>1507</v>
      </c>
      <c r="D3" s="37" t="s">
        <v>1508</v>
      </c>
      <c r="F3" s="37" t="s">
        <v>8</v>
      </c>
      <c r="G3" s="37" t="s">
        <v>1506</v>
      </c>
      <c r="H3" s="37" t="s">
        <v>1507</v>
      </c>
      <c r="I3" s="37" t="s">
        <v>1508</v>
      </c>
      <c r="J3" s="37" t="s">
        <v>1509</v>
      </c>
    </row>
    <row r="4" spans="1:10" x14ac:dyDescent="0.35">
      <c r="A4" t="s">
        <v>646</v>
      </c>
      <c r="B4">
        <f>COUNTIF(clean_data!$O:$O,$A4)</f>
        <v>145</v>
      </c>
      <c r="C4">
        <f>COUNTIFS(clean_data!$O:$O,$A4,clean_data!$AA:$AA,"&gt;0.2")</f>
        <v>22</v>
      </c>
      <c r="D4" s="34">
        <f>C4/B4</f>
        <v>0.15172413793103448</v>
      </c>
      <c r="F4" t="s">
        <v>720</v>
      </c>
      <c r="G4">
        <f>COUNTIF(clean_data!$T:$T,$F4)</f>
        <v>48</v>
      </c>
      <c r="H4">
        <f>COUNTIFS(clean_data!$T:$T,$F4,clean_data!$AA:$AA,"&gt;0.2")</f>
        <v>10</v>
      </c>
      <c r="I4" s="34">
        <f t="shared" ref="I4:I18" si="0">H4/G4</f>
        <v>0.20833333333333334</v>
      </c>
      <c r="J4" s="34">
        <f>AVERAGEIF(clean_data!$T:$T,$F4,clean_data!$AA:$AA)</f>
        <v>0.13387499999999997</v>
      </c>
    </row>
    <row r="5" spans="1:10" x14ac:dyDescent="0.35">
      <c r="A5" t="s">
        <v>648</v>
      </c>
      <c r="B5">
        <f>COUNTIF(clean_data!$O:$O,$A5)</f>
        <v>157</v>
      </c>
      <c r="C5">
        <f>COUNTIFS(clean_data!$O:$O,$A5,clean_data!$AA:$AA,"&gt;0.2")</f>
        <v>27</v>
      </c>
      <c r="D5" s="34">
        <f>C5/B5</f>
        <v>0.17197452229299362</v>
      </c>
      <c r="F5" t="s">
        <v>717</v>
      </c>
      <c r="G5">
        <f>COUNTIF(clean_data!$T:$T,$F5)</f>
        <v>48</v>
      </c>
      <c r="H5">
        <f>COUNTIFS(clean_data!$T:$T,$F5,clean_data!$AA:$AA,"&gt;0.2")</f>
        <v>5</v>
      </c>
      <c r="I5" s="34">
        <f t="shared" si="0"/>
        <v>0.10416666666666667</v>
      </c>
      <c r="J5" s="34">
        <f>AVERAGEIF(clean_data!$T:$T,$F5,clean_data!$AA:$AA)</f>
        <v>0.10962500000000003</v>
      </c>
    </row>
    <row r="6" spans="1:10" x14ac:dyDescent="0.35">
      <c r="A6" t="s">
        <v>647</v>
      </c>
      <c r="B6">
        <f>COUNTIF(clean_data!$O:$O,$A6)</f>
        <v>171</v>
      </c>
      <c r="C6">
        <f>COUNTIFS(clean_data!$O:$O,$A6,clean_data!$AA:$AA,"&gt;0.2")</f>
        <v>24</v>
      </c>
      <c r="D6" s="34">
        <f>C6/B6</f>
        <v>0.14035087719298245</v>
      </c>
      <c r="F6" t="s">
        <v>712</v>
      </c>
      <c r="G6">
        <f>COUNTIF(clean_data!$T:$T,$F6)</f>
        <v>37</v>
      </c>
      <c r="H6">
        <f>COUNTIFS(clean_data!$T:$T,$F6,clean_data!$AA:$AA,"&gt;0.2")</f>
        <v>8</v>
      </c>
      <c r="I6" s="34">
        <f t="shared" si="0"/>
        <v>0.21621621621621623</v>
      </c>
      <c r="J6" s="34">
        <f>AVERAGEIF(clean_data!$T:$T,$F6,clean_data!$AA:$AA)</f>
        <v>0.13210810810810811</v>
      </c>
    </row>
    <row r="7" spans="1:10" x14ac:dyDescent="0.35">
      <c r="A7" t="s">
        <v>649</v>
      </c>
      <c r="B7">
        <f>COUNTIF(clean_data!$O:$O,$A7)</f>
        <v>159</v>
      </c>
      <c r="C7">
        <f>COUNTIFS(clean_data!$O:$O,$A7,clean_data!$AA:$AA,"&gt;0.2")</f>
        <v>17</v>
      </c>
      <c r="D7" s="34">
        <f>C7/B7</f>
        <v>0.1069182389937107</v>
      </c>
      <c r="F7" t="s">
        <v>726</v>
      </c>
      <c r="G7">
        <f>COUNTIF(clean_data!$T:$T,$F7)</f>
        <v>39</v>
      </c>
      <c r="H7">
        <f>COUNTIFS(clean_data!$T:$T,$F7,clean_data!$AA:$AA,"&gt;0.2")</f>
        <v>8</v>
      </c>
      <c r="I7" s="34">
        <f t="shared" si="0"/>
        <v>0.20512820512820512</v>
      </c>
      <c r="J7" s="34">
        <f>AVERAGEIF(clean_data!$T:$T,$F7,clean_data!$AA:$AA)</f>
        <v>0.12628205128205128</v>
      </c>
    </row>
    <row r="8" spans="1:10" x14ac:dyDescent="0.35">
      <c r="F8" t="s">
        <v>718</v>
      </c>
      <c r="G8">
        <f>COUNTIF(clean_data!$T:$T,$F8)</f>
        <v>34</v>
      </c>
      <c r="H8">
        <f>COUNTIFS(clean_data!$T:$T,$F8,clean_data!$AA:$AA,"&gt;0.2")</f>
        <v>3</v>
      </c>
      <c r="I8" s="34">
        <f t="shared" si="0"/>
        <v>8.8235294117647065E-2</v>
      </c>
      <c r="J8" s="34">
        <f>AVERAGEIF(clean_data!$T:$T,$F8,clean_data!$AA:$AA)</f>
        <v>0.10520588235294116</v>
      </c>
    </row>
    <row r="9" spans="1:10" x14ac:dyDescent="0.35">
      <c r="F9" t="s">
        <v>721</v>
      </c>
      <c r="G9">
        <f>COUNTIF(clean_data!$T:$T,$F9)</f>
        <v>51</v>
      </c>
      <c r="H9">
        <f>COUNTIFS(clean_data!$T:$T,$F9,clean_data!$AA:$AA,"&gt;0.2")</f>
        <v>4</v>
      </c>
      <c r="I9" s="34">
        <f t="shared" si="0"/>
        <v>7.8431372549019607E-2</v>
      </c>
      <c r="J9" s="34">
        <f>AVERAGEIF(clean_data!$T:$T,$F9,clean_data!$AA:$AA)</f>
        <v>0.10013725490196082</v>
      </c>
    </row>
    <row r="10" spans="1:10" x14ac:dyDescent="0.35">
      <c r="A10" s="64" t="s">
        <v>1510</v>
      </c>
      <c r="B10" s="64"/>
      <c r="C10" s="64"/>
      <c r="D10" s="64"/>
      <c r="E10" s="64"/>
      <c r="F10" t="s">
        <v>715</v>
      </c>
      <c r="G10">
        <f>COUNTIF(clean_data!$T:$T,$F10)</f>
        <v>30</v>
      </c>
      <c r="H10">
        <f>COUNTIFS(clean_data!$T:$T,$F10,clean_data!$AA:$AA,"&gt;0.2")</f>
        <v>3</v>
      </c>
      <c r="I10" s="34">
        <f t="shared" si="0"/>
        <v>0.1</v>
      </c>
      <c r="J10" s="34">
        <f>AVERAGEIF(clean_data!$T:$T,$F10,clean_data!$AA:$AA)</f>
        <v>0.11720000000000001</v>
      </c>
    </row>
    <row r="11" spans="1:10" x14ac:dyDescent="0.35">
      <c r="A11" s="37" t="s">
        <v>0</v>
      </c>
      <c r="B11" s="37" t="s">
        <v>3</v>
      </c>
      <c r="C11" s="37" t="s">
        <v>8</v>
      </c>
      <c r="D11" s="37" t="s">
        <v>1511</v>
      </c>
      <c r="E11" s="37" t="s">
        <v>1512</v>
      </c>
      <c r="F11" t="s">
        <v>722</v>
      </c>
      <c r="G11">
        <f>COUNTIF(clean_data!$T:$T,$F11)</f>
        <v>47</v>
      </c>
      <c r="H11">
        <f>COUNTIFS(clean_data!$T:$T,$F11,clean_data!$AA:$AA,"&gt;0.2")</f>
        <v>4</v>
      </c>
      <c r="I11" s="34">
        <f t="shared" si="0"/>
        <v>8.5106382978723402E-2</v>
      </c>
      <c r="J11" s="34">
        <f>AVERAGEIF(clean_data!$T:$T,$F11,clean_data!$AA:$AA)</f>
        <v>0.12865957446808512</v>
      </c>
    </row>
    <row r="12" spans="1:10" x14ac:dyDescent="0.35">
      <c r="A12" t="str" cm="1">
        <f t="array" ref="A12:E101">_xlfn._xlws.SORT(_xlfn._xlws.FILTER(CHOOSE({1,2,3,4,5},clean_data!$B$2:$B$633,clean_data!$O$2:$O$633,clean_data!$T$2:$T$633,clean_data!$U$2:$U$633,clean_data!$AA$2:$AA$633),clean_data!$AA$2:$AA$633&gt;0.2),5,-1)</f>
        <v>261081</v>
      </c>
      <c r="B12" t="str">
        <v>Africa</v>
      </c>
      <c r="C12" t="str">
        <v>M. Rossi</v>
      </c>
      <c r="D12" t="str">
        <v>Accessories</v>
      </c>
      <c r="E12">
        <v>0.56499999999999995</v>
      </c>
      <c r="F12" t="s">
        <v>714</v>
      </c>
      <c r="G12">
        <f>COUNTIF(clean_data!$T:$T,$F12)</f>
        <v>38</v>
      </c>
      <c r="H12">
        <f>COUNTIFS(clean_data!$T:$T,$F12,clean_data!$AA:$AA,"&gt;0.2")</f>
        <v>9</v>
      </c>
      <c r="I12" s="34">
        <f t="shared" si="0"/>
        <v>0.23684210526315788</v>
      </c>
      <c r="J12" s="34">
        <f>AVERAGEIF(clean_data!$T:$T,$F12,clean_data!$AA:$AA)</f>
        <v>0.13473684210526313</v>
      </c>
    </row>
    <row r="13" spans="1:10" x14ac:dyDescent="0.35">
      <c r="A13" t="str">
        <v>368449</v>
      </c>
      <c r="B13" t="str">
        <v>Asia</v>
      </c>
      <c r="C13" t="str">
        <v>C. Otieno</v>
      </c>
      <c r="D13" t="str">
        <v>Components</v>
      </c>
      <c r="E13">
        <v>0.35699999999999998</v>
      </c>
      <c r="F13" t="s">
        <v>713</v>
      </c>
      <c r="G13">
        <f>COUNTIF(clean_data!$T:$T,$F13)</f>
        <v>50</v>
      </c>
      <c r="H13">
        <f>COUNTIFS(clean_data!$T:$T,$F13,clean_data!$AA:$AA,"&gt;0.2")</f>
        <v>6</v>
      </c>
      <c r="I13" s="34">
        <f t="shared" si="0"/>
        <v>0.12</v>
      </c>
      <c r="J13" s="34">
        <f>AVERAGEIF(clean_data!$T:$T,$F13,clean_data!$AA:$AA)</f>
        <v>0.11720000000000001</v>
      </c>
    </row>
    <row r="14" spans="1:10" x14ac:dyDescent="0.35">
      <c r="A14" t="str">
        <v>779530</v>
      </c>
      <c r="B14" t="str">
        <v>Americas</v>
      </c>
      <c r="C14" t="str">
        <v>L. Okafor</v>
      </c>
      <c r="D14" t="str">
        <v>Monitors</v>
      </c>
      <c r="E14">
        <v>0.34599999999999997</v>
      </c>
      <c r="F14" t="s">
        <v>723</v>
      </c>
      <c r="G14">
        <f>COUNTIF(clean_data!$T:$T,$F14)</f>
        <v>44</v>
      </c>
      <c r="H14">
        <f>COUNTIFS(clean_data!$T:$T,$F14,clean_data!$AA:$AA,"&gt;0.2")</f>
        <v>4</v>
      </c>
      <c r="I14" s="34">
        <f t="shared" si="0"/>
        <v>9.0909090909090912E-2</v>
      </c>
      <c r="J14" s="34">
        <f>AVERAGEIF(clean_data!$T:$T,$F14,clean_data!$AA:$AA)</f>
        <v>0.11824999999999998</v>
      </c>
    </row>
    <row r="15" spans="1:10" x14ac:dyDescent="0.35">
      <c r="A15" t="str">
        <v>382272</v>
      </c>
      <c r="B15" t="str">
        <v>Africa</v>
      </c>
      <c r="C15" t="str">
        <v>A. Patel</v>
      </c>
      <c r="D15" t="str">
        <v>Components</v>
      </c>
      <c r="E15">
        <v>0.34300000000000003</v>
      </c>
      <c r="F15" t="s">
        <v>716</v>
      </c>
      <c r="G15">
        <f>COUNTIF(clean_data!$T:$T,$F15)</f>
        <v>49</v>
      </c>
      <c r="H15">
        <f>COUNTIFS(clean_data!$T:$T,$F15,clean_data!$AA:$AA,"&gt;0.2")</f>
        <v>9</v>
      </c>
      <c r="I15" s="34">
        <f t="shared" si="0"/>
        <v>0.18367346938775511</v>
      </c>
      <c r="J15" s="34">
        <f>AVERAGEIF(clean_data!$T:$T,$F15,clean_data!$AA:$AA)</f>
        <v>0.12789795918367353</v>
      </c>
    </row>
    <row r="16" spans="1:10" x14ac:dyDescent="0.35">
      <c r="A16" t="str">
        <v>998320</v>
      </c>
      <c r="B16" t="str">
        <v>Africa</v>
      </c>
      <c r="C16" t="str">
        <v>H. Kim</v>
      </c>
      <c r="D16" t="str">
        <v>Printers</v>
      </c>
      <c r="E16">
        <v>0.318</v>
      </c>
      <c r="F16" t="s">
        <v>724</v>
      </c>
      <c r="G16">
        <f>COUNTIF(clean_data!$T:$T,$F16)</f>
        <v>48</v>
      </c>
      <c r="H16">
        <f>COUNTIFS(clean_data!$T:$T,$F16,clean_data!$AA:$AA,"&gt;0.2")</f>
        <v>8</v>
      </c>
      <c r="I16" s="34">
        <f t="shared" si="0"/>
        <v>0.16666666666666666</v>
      </c>
      <c r="J16" s="34">
        <f>AVERAGEIF(clean_data!$T:$T,$F16,clean_data!$AA:$AA)</f>
        <v>0.12789583333333335</v>
      </c>
    </row>
    <row r="17" spans="1:10" x14ac:dyDescent="0.35">
      <c r="A17" t="str">
        <v>685236</v>
      </c>
      <c r="B17" t="str">
        <v>Asia</v>
      </c>
      <c r="C17" t="str">
        <v>H. Kim</v>
      </c>
      <c r="D17" t="str">
        <v>Networking</v>
      </c>
      <c r="E17">
        <v>0.317</v>
      </c>
      <c r="F17" t="s">
        <v>725</v>
      </c>
      <c r="G17">
        <f>COUNTIF(clean_data!$T:$T,$F17)</f>
        <v>32</v>
      </c>
      <c r="H17">
        <f>COUNTIFS(clean_data!$T:$T,$F17,clean_data!$AA:$AA,"&gt;0.2")</f>
        <v>5</v>
      </c>
      <c r="I17" s="34">
        <f t="shared" si="0"/>
        <v>0.15625</v>
      </c>
      <c r="J17" s="34">
        <f>AVERAGEIF(clean_data!$T:$T,$F17,clean_data!$AA:$AA)</f>
        <v>0.11159374999999998</v>
      </c>
    </row>
    <row r="18" spans="1:10" x14ac:dyDescent="0.35">
      <c r="A18" t="str">
        <v>993481</v>
      </c>
      <c r="B18" t="str">
        <v>Asia</v>
      </c>
      <c r="C18" t="str">
        <v>C. Otieno</v>
      </c>
      <c r="D18" t="str">
        <v>Phones</v>
      </c>
      <c r="E18">
        <v>0.314</v>
      </c>
      <c r="F18" t="s">
        <v>719</v>
      </c>
      <c r="G18">
        <f>COUNTIF(clean_data!$T:$T,$F18)</f>
        <v>37</v>
      </c>
      <c r="H18">
        <f>COUNTIFS(clean_data!$T:$T,$F18,clean_data!$AA:$AA,"&gt;0.2")</f>
        <v>4</v>
      </c>
      <c r="I18" s="34">
        <f t="shared" si="0"/>
        <v>0.10810810810810811</v>
      </c>
      <c r="J18" s="34">
        <f>AVERAGEIF(clean_data!$T:$T,$F18,clean_data!$AA:$AA)</f>
        <v>0.12935135135135137</v>
      </c>
    </row>
    <row r="19" spans="1:10" x14ac:dyDescent="0.35">
      <c r="A19" t="str">
        <v>825084</v>
      </c>
      <c r="B19" t="str">
        <v>Africa</v>
      </c>
      <c r="C19" t="str">
        <v>A. Patel</v>
      </c>
      <c r="D19" t="str">
        <v>Monitors</v>
      </c>
      <c r="E19">
        <v>0.29899999999999999</v>
      </c>
    </row>
    <row r="20" spans="1:10" x14ac:dyDescent="0.35">
      <c r="A20" t="str">
        <v>260775</v>
      </c>
      <c r="B20" t="str">
        <v>Asia</v>
      </c>
      <c r="C20" t="str">
        <v>O. Wang</v>
      </c>
      <c r="D20" t="str">
        <v>Monitors</v>
      </c>
      <c r="E20">
        <v>0.29499999999999998</v>
      </c>
    </row>
    <row r="21" spans="1:10" x14ac:dyDescent="0.35">
      <c r="A21" t="str">
        <v>473192</v>
      </c>
      <c r="B21" t="str">
        <v>Africa</v>
      </c>
      <c r="C21" t="str">
        <v>J. Njeri</v>
      </c>
      <c r="D21" t="str">
        <v>Monitors</v>
      </c>
      <c r="E21">
        <v>0.29299999999999998</v>
      </c>
    </row>
    <row r="22" spans="1:10" x14ac:dyDescent="0.35">
      <c r="A22" t="str">
        <v>468501</v>
      </c>
      <c r="B22" t="str">
        <v>Americas</v>
      </c>
      <c r="C22" t="str">
        <v>D. Smith</v>
      </c>
      <c r="D22" t="str">
        <v>Accessories</v>
      </c>
      <c r="E22">
        <v>0.29199999999999998</v>
      </c>
    </row>
    <row r="23" spans="1:10" x14ac:dyDescent="0.35">
      <c r="A23" t="str">
        <v>422918</v>
      </c>
      <c r="B23" t="str">
        <v>Europe</v>
      </c>
      <c r="C23" t="str">
        <v>H. Kim</v>
      </c>
      <c r="D23" t="str">
        <v>Laptops</v>
      </c>
      <c r="E23">
        <v>0.29199999999999998</v>
      </c>
    </row>
    <row r="24" spans="1:10" x14ac:dyDescent="0.35">
      <c r="A24" t="str">
        <v>766015</v>
      </c>
      <c r="B24" t="str">
        <v>Americas</v>
      </c>
      <c r="C24" t="str">
        <v>G. Dubois</v>
      </c>
      <c r="D24" t="str">
        <v>Networking</v>
      </c>
      <c r="E24">
        <v>0.28199999999999997</v>
      </c>
    </row>
    <row r="25" spans="1:10" x14ac:dyDescent="0.35">
      <c r="A25" t="str">
        <v>155337</v>
      </c>
      <c r="B25" t="str">
        <v>Africa</v>
      </c>
      <c r="C25" t="str">
        <v>M. Rossi</v>
      </c>
      <c r="D25" t="str">
        <v>Components</v>
      </c>
      <c r="E25">
        <v>0.27800000000000002</v>
      </c>
    </row>
    <row r="26" spans="1:10" x14ac:dyDescent="0.35">
      <c r="A26" t="str">
        <v>343877</v>
      </c>
      <c r="B26" t="str">
        <v>Asia</v>
      </c>
      <c r="C26" t="str">
        <v>K. Singh</v>
      </c>
      <c r="D26" t="str">
        <v>Monitors</v>
      </c>
      <c r="E26">
        <v>0.27200000000000002</v>
      </c>
    </row>
    <row r="27" spans="1:10" x14ac:dyDescent="0.35">
      <c r="A27" t="str">
        <v>944052</v>
      </c>
      <c r="B27" t="str">
        <v>Asia</v>
      </c>
      <c r="C27" t="str">
        <v>L. Okafor</v>
      </c>
      <c r="D27" t="str">
        <v>Accessories</v>
      </c>
      <c r="E27">
        <v>0.27</v>
      </c>
    </row>
    <row r="28" spans="1:10" x14ac:dyDescent="0.35">
      <c r="A28" t="str">
        <v>777623</v>
      </c>
      <c r="B28" t="str">
        <v>Americas</v>
      </c>
      <c r="C28" t="str">
        <v>K. Singh</v>
      </c>
      <c r="D28" t="str">
        <v>Printers</v>
      </c>
      <c r="E28">
        <v>0.26600000000000001</v>
      </c>
    </row>
    <row r="29" spans="1:10" x14ac:dyDescent="0.35">
      <c r="A29" t="str">
        <v>613287</v>
      </c>
      <c r="B29" t="str">
        <v>Africa</v>
      </c>
      <c r="C29" t="str">
        <v>C. Otieno</v>
      </c>
      <c r="D29" t="str">
        <v>Phones</v>
      </c>
      <c r="E29">
        <v>0.26500000000000001</v>
      </c>
    </row>
    <row r="30" spans="1:10" x14ac:dyDescent="0.35">
      <c r="A30" t="str">
        <v>544865</v>
      </c>
      <c r="B30" t="str">
        <v>Americas</v>
      </c>
      <c r="C30" t="str">
        <v>D. Smith</v>
      </c>
      <c r="D30" t="str">
        <v>Laptops</v>
      </c>
      <c r="E30">
        <v>0.26300000000000001</v>
      </c>
    </row>
    <row r="31" spans="1:10" x14ac:dyDescent="0.35">
      <c r="A31" t="str">
        <v>647473</v>
      </c>
      <c r="B31" t="str">
        <v>Asia</v>
      </c>
      <c r="C31" t="str">
        <v>F. Müller</v>
      </c>
      <c r="D31" t="str">
        <v>Phones</v>
      </c>
      <c r="E31">
        <v>0.26100000000000001</v>
      </c>
    </row>
    <row r="32" spans="1:10" x14ac:dyDescent="0.35">
      <c r="A32" t="str">
        <v>232632</v>
      </c>
      <c r="B32" t="str">
        <v>Asia</v>
      </c>
      <c r="C32" t="str">
        <v>L. Okafor</v>
      </c>
      <c r="D32" t="str">
        <v>Accessories</v>
      </c>
      <c r="E32">
        <v>0.25900000000000001</v>
      </c>
    </row>
    <row r="33" spans="1:5" x14ac:dyDescent="0.35">
      <c r="A33" t="str">
        <v>999607</v>
      </c>
      <c r="B33" t="str">
        <v>Americas</v>
      </c>
      <c r="C33" t="str">
        <v>A. Patel</v>
      </c>
      <c r="D33" t="str">
        <v>Printers</v>
      </c>
      <c r="E33">
        <v>0.25800000000000001</v>
      </c>
    </row>
    <row r="34" spans="1:5" x14ac:dyDescent="0.35">
      <c r="A34" t="str">
        <v>496178</v>
      </c>
      <c r="B34" t="str">
        <v>Asia</v>
      </c>
      <c r="C34" t="str">
        <v>J. Njeri</v>
      </c>
      <c r="D34" t="str">
        <v>Components</v>
      </c>
      <c r="E34">
        <v>0.25700000000000001</v>
      </c>
    </row>
    <row r="35" spans="1:5" x14ac:dyDescent="0.35">
      <c r="A35" t="str">
        <v>290279</v>
      </c>
      <c r="B35" t="str">
        <v>Europe</v>
      </c>
      <c r="C35" t="str">
        <v>K. Singh</v>
      </c>
      <c r="D35" t="str">
        <v>Components</v>
      </c>
      <c r="E35">
        <v>0.25700000000000001</v>
      </c>
    </row>
    <row r="36" spans="1:5" x14ac:dyDescent="0.35">
      <c r="A36" t="str">
        <v>690270</v>
      </c>
      <c r="B36" t="str">
        <v>Americas</v>
      </c>
      <c r="C36" t="str">
        <v>C. Otieno</v>
      </c>
      <c r="D36" t="str">
        <v>Phones</v>
      </c>
      <c r="E36">
        <v>0.25600000000000001</v>
      </c>
    </row>
    <row r="37" spans="1:5" x14ac:dyDescent="0.35">
      <c r="A37" t="str">
        <v>247979</v>
      </c>
      <c r="B37" t="str">
        <v>Asia</v>
      </c>
      <c r="C37" t="str">
        <v>O. Wang</v>
      </c>
      <c r="D37" t="str">
        <v>Monitors</v>
      </c>
      <c r="E37">
        <v>0.255</v>
      </c>
    </row>
    <row r="38" spans="1:5" x14ac:dyDescent="0.35">
      <c r="A38" t="str">
        <v>845715</v>
      </c>
      <c r="B38" t="str">
        <v>Europe</v>
      </c>
      <c r="C38" t="str">
        <v>K. Singh</v>
      </c>
      <c r="D38" t="str">
        <v>Monitors</v>
      </c>
      <c r="E38">
        <v>0.255</v>
      </c>
    </row>
    <row r="39" spans="1:5" x14ac:dyDescent="0.35">
      <c r="A39" t="str">
        <v>605629</v>
      </c>
      <c r="B39" t="str">
        <v>Asia</v>
      </c>
      <c r="C39" t="str">
        <v>G. Dubois</v>
      </c>
      <c r="D39" t="str">
        <v>Accessories</v>
      </c>
      <c r="E39">
        <v>0.254</v>
      </c>
    </row>
    <row r="40" spans="1:5" x14ac:dyDescent="0.35">
      <c r="A40" t="str">
        <v>329104</v>
      </c>
      <c r="B40" t="str">
        <v>Europe</v>
      </c>
      <c r="C40" t="str">
        <v>N. Brown</v>
      </c>
      <c r="D40" t="str">
        <v>Monitors</v>
      </c>
      <c r="E40">
        <v>0.254</v>
      </c>
    </row>
    <row r="41" spans="1:5" x14ac:dyDescent="0.35">
      <c r="A41" t="str">
        <v>251426</v>
      </c>
      <c r="B41" t="str">
        <v>Americas</v>
      </c>
      <c r="C41" t="str">
        <v>I. Johnson</v>
      </c>
      <c r="D41" t="str">
        <v>Phones</v>
      </c>
      <c r="E41">
        <v>0.254</v>
      </c>
    </row>
    <row r="42" spans="1:5" x14ac:dyDescent="0.35">
      <c r="A42" t="str">
        <v>803803</v>
      </c>
      <c r="B42" t="str">
        <v>Africa</v>
      </c>
      <c r="C42" t="str">
        <v>E. Garcia</v>
      </c>
      <c r="D42" t="str">
        <v>Laptops</v>
      </c>
      <c r="E42">
        <v>0.25</v>
      </c>
    </row>
    <row r="43" spans="1:5" x14ac:dyDescent="0.35">
      <c r="A43" t="str">
        <v>515515</v>
      </c>
      <c r="B43" t="str">
        <v>Asia</v>
      </c>
      <c r="C43" t="str">
        <v>F. Müller</v>
      </c>
      <c r="D43" t="str">
        <v>Phones</v>
      </c>
      <c r="E43">
        <v>0.25</v>
      </c>
    </row>
    <row r="44" spans="1:5" x14ac:dyDescent="0.35">
      <c r="A44" t="str">
        <v>312803</v>
      </c>
      <c r="B44" t="str">
        <v>Africa</v>
      </c>
      <c r="C44" t="str">
        <v>J. Njeri</v>
      </c>
      <c r="D44" t="str">
        <v>Laptops</v>
      </c>
      <c r="E44">
        <v>0.248</v>
      </c>
    </row>
    <row r="45" spans="1:5" x14ac:dyDescent="0.35">
      <c r="A45" t="str">
        <v>655710</v>
      </c>
      <c r="B45" t="str">
        <v>Asia</v>
      </c>
      <c r="C45" t="str">
        <v>F. Müller</v>
      </c>
      <c r="D45" t="str">
        <v>Accessories</v>
      </c>
      <c r="E45">
        <v>0.245</v>
      </c>
    </row>
    <row r="46" spans="1:5" x14ac:dyDescent="0.35">
      <c r="A46" t="str">
        <v>389102</v>
      </c>
      <c r="B46" t="str">
        <v>Americas</v>
      </c>
      <c r="C46" t="str">
        <v>L. Okafor</v>
      </c>
      <c r="D46" t="str">
        <v>Printers</v>
      </c>
      <c r="E46">
        <v>0.245</v>
      </c>
    </row>
    <row r="47" spans="1:5" x14ac:dyDescent="0.35">
      <c r="A47" t="str">
        <v>692673</v>
      </c>
      <c r="B47" t="str">
        <v>Europe</v>
      </c>
      <c r="C47" t="str">
        <v>B. Chen</v>
      </c>
      <c r="D47" t="str">
        <v>Components</v>
      </c>
      <c r="E47">
        <v>0.24299999999999999</v>
      </c>
    </row>
    <row r="48" spans="1:5" x14ac:dyDescent="0.35">
      <c r="A48" t="str">
        <v>586275</v>
      </c>
      <c r="B48" t="str">
        <v>Africa</v>
      </c>
      <c r="C48" t="str">
        <v>M. Rossi</v>
      </c>
      <c r="D48" t="str">
        <v>Networking</v>
      </c>
      <c r="E48">
        <v>0.24299999999999999</v>
      </c>
    </row>
    <row r="49" spans="1:5" x14ac:dyDescent="0.35">
      <c r="A49" t="str">
        <v>468655</v>
      </c>
      <c r="B49" t="str">
        <v>Asia</v>
      </c>
      <c r="C49" t="str">
        <v>O. Wang</v>
      </c>
      <c r="D49" t="str">
        <v>Printers</v>
      </c>
      <c r="E49">
        <v>0.24299999999999999</v>
      </c>
    </row>
    <row r="50" spans="1:5" x14ac:dyDescent="0.35">
      <c r="A50" t="str">
        <v>542244</v>
      </c>
      <c r="B50" t="str">
        <v>Asia</v>
      </c>
      <c r="C50" t="str">
        <v>N. Brown</v>
      </c>
      <c r="D50" t="str">
        <v>Laptops</v>
      </c>
      <c r="E50">
        <v>0.24099999999999999</v>
      </c>
    </row>
    <row r="51" spans="1:5" x14ac:dyDescent="0.35">
      <c r="A51" t="str">
        <v>102866</v>
      </c>
      <c r="B51" t="str">
        <v>Asia</v>
      </c>
      <c r="C51" t="str">
        <v>B. Chen</v>
      </c>
      <c r="D51" t="str">
        <v>Laptops</v>
      </c>
      <c r="E51">
        <v>0.24099999999999999</v>
      </c>
    </row>
    <row r="52" spans="1:5" x14ac:dyDescent="0.35">
      <c r="A52" t="str">
        <v>343322</v>
      </c>
      <c r="B52" t="str">
        <v>Americas</v>
      </c>
      <c r="C52" t="str">
        <v>I. Johnson</v>
      </c>
      <c r="D52" t="str">
        <v>Printers</v>
      </c>
      <c r="E52">
        <v>0.24099999999999999</v>
      </c>
    </row>
    <row r="53" spans="1:5" x14ac:dyDescent="0.35">
      <c r="A53" t="str">
        <v>660608</v>
      </c>
      <c r="B53" t="str">
        <v>Africa</v>
      </c>
      <c r="C53" t="str">
        <v>I. Johnson</v>
      </c>
      <c r="D53" t="str">
        <v>Accessories</v>
      </c>
      <c r="E53">
        <v>0.24</v>
      </c>
    </row>
    <row r="54" spans="1:5" x14ac:dyDescent="0.35">
      <c r="A54" t="str">
        <v>737787</v>
      </c>
      <c r="B54" t="str">
        <v>Europe</v>
      </c>
      <c r="C54" t="str">
        <v>N. Brown</v>
      </c>
      <c r="D54" t="str">
        <v>Networking</v>
      </c>
      <c r="E54">
        <v>0.23899999999999999</v>
      </c>
    </row>
    <row r="55" spans="1:5" x14ac:dyDescent="0.35">
      <c r="A55" t="str">
        <v>375848</v>
      </c>
      <c r="B55" t="str">
        <v>Europe</v>
      </c>
      <c r="C55" t="str">
        <v>D. Smith</v>
      </c>
      <c r="D55" t="str">
        <v>Printers</v>
      </c>
      <c r="E55">
        <v>0.23899999999999999</v>
      </c>
    </row>
    <row r="56" spans="1:5" x14ac:dyDescent="0.35">
      <c r="A56" t="str">
        <v>866535</v>
      </c>
      <c r="B56" t="str">
        <v>Europe</v>
      </c>
      <c r="C56" t="str">
        <v>B. Chen</v>
      </c>
      <c r="D56" t="str">
        <v>Printers</v>
      </c>
      <c r="E56">
        <v>0.23799999999999999</v>
      </c>
    </row>
    <row r="57" spans="1:5" x14ac:dyDescent="0.35">
      <c r="A57" t="str">
        <v>419248</v>
      </c>
      <c r="B57" t="str">
        <v>Africa</v>
      </c>
      <c r="C57" t="str">
        <v>M. Rossi</v>
      </c>
      <c r="D57" t="str">
        <v>Monitors</v>
      </c>
      <c r="E57">
        <v>0.23699999999999999</v>
      </c>
    </row>
    <row r="58" spans="1:5" x14ac:dyDescent="0.35">
      <c r="A58" t="str">
        <v>358795</v>
      </c>
      <c r="B58" t="str">
        <v>Africa</v>
      </c>
      <c r="C58" t="str">
        <v>J. Njeri</v>
      </c>
      <c r="D58" t="str">
        <v>Printers</v>
      </c>
      <c r="E58">
        <v>0.23699999999999999</v>
      </c>
    </row>
    <row r="59" spans="1:5" x14ac:dyDescent="0.35">
      <c r="A59" t="str">
        <v>212990</v>
      </c>
      <c r="B59" t="str">
        <v>Americas</v>
      </c>
      <c r="C59" t="str">
        <v>I. Johnson</v>
      </c>
      <c r="D59" t="str">
        <v>Laptops</v>
      </c>
      <c r="E59">
        <v>0.23599999999999999</v>
      </c>
    </row>
    <row r="60" spans="1:5" x14ac:dyDescent="0.35">
      <c r="A60" t="str">
        <v>474368</v>
      </c>
      <c r="B60" t="str">
        <v>Americas</v>
      </c>
      <c r="C60" t="str">
        <v>N. Brown</v>
      </c>
      <c r="D60" t="str">
        <v>Phones</v>
      </c>
      <c r="E60">
        <v>0.23499999999999999</v>
      </c>
    </row>
    <row r="61" spans="1:5" x14ac:dyDescent="0.35">
      <c r="A61" t="str">
        <v>964434</v>
      </c>
      <c r="B61" t="str">
        <v>Asia</v>
      </c>
      <c r="C61" t="str">
        <v>L. Okafor</v>
      </c>
      <c r="D61" t="str">
        <v>Phones</v>
      </c>
      <c r="E61">
        <v>0.23499999999999999</v>
      </c>
    </row>
    <row r="62" spans="1:5" x14ac:dyDescent="0.35">
      <c r="A62" t="str">
        <v>521818</v>
      </c>
      <c r="B62" t="str">
        <v>Asia</v>
      </c>
      <c r="C62" t="str">
        <v>B. Chen</v>
      </c>
      <c r="D62" t="str">
        <v>Accessories</v>
      </c>
      <c r="E62">
        <v>0.23300000000000001</v>
      </c>
    </row>
    <row r="63" spans="1:5" x14ac:dyDescent="0.35">
      <c r="A63" t="str">
        <v>795385</v>
      </c>
      <c r="B63" t="str">
        <v>Europe</v>
      </c>
      <c r="C63" t="str">
        <v>M. Rossi</v>
      </c>
      <c r="D63" t="str">
        <v>Components</v>
      </c>
      <c r="E63">
        <v>0.23</v>
      </c>
    </row>
    <row r="64" spans="1:5" x14ac:dyDescent="0.35">
      <c r="A64" t="str">
        <v>166150</v>
      </c>
      <c r="B64" t="str">
        <v>Africa</v>
      </c>
      <c r="C64" t="str">
        <v>A. Patel</v>
      </c>
      <c r="D64" t="str">
        <v>Accessories</v>
      </c>
      <c r="E64">
        <v>0.22900000000000001</v>
      </c>
    </row>
    <row r="65" spans="1:5" x14ac:dyDescent="0.35">
      <c r="A65" t="str">
        <v>787018</v>
      </c>
      <c r="B65" t="str">
        <v>Africa</v>
      </c>
      <c r="C65" t="str">
        <v>M. Rossi</v>
      </c>
      <c r="D65" t="str">
        <v>Accessories</v>
      </c>
      <c r="E65">
        <v>0.22900000000000001</v>
      </c>
    </row>
    <row r="66" spans="1:5" x14ac:dyDescent="0.35">
      <c r="A66" t="str">
        <v>856322</v>
      </c>
      <c r="B66" t="str">
        <v>Americas</v>
      </c>
      <c r="C66" t="str">
        <v>D. Smith</v>
      </c>
      <c r="D66" t="str">
        <v>Monitors</v>
      </c>
      <c r="E66">
        <v>0.22600000000000001</v>
      </c>
    </row>
    <row r="67" spans="1:5" x14ac:dyDescent="0.35">
      <c r="A67" t="str">
        <v>749242</v>
      </c>
      <c r="B67" t="str">
        <v>Europe</v>
      </c>
      <c r="C67" t="str">
        <v>E. Garcia</v>
      </c>
      <c r="D67" t="str">
        <v>Monitors</v>
      </c>
      <c r="E67">
        <v>0.22600000000000001</v>
      </c>
    </row>
    <row r="68" spans="1:5" x14ac:dyDescent="0.35">
      <c r="A68" t="str">
        <v>220234</v>
      </c>
      <c r="B68" t="str">
        <v>Americas</v>
      </c>
      <c r="C68" t="str">
        <v>F. Müller</v>
      </c>
      <c r="D68" t="str">
        <v>Monitors</v>
      </c>
      <c r="E68">
        <v>0.22500000000000001</v>
      </c>
    </row>
    <row r="69" spans="1:5" x14ac:dyDescent="0.35">
      <c r="A69" t="str">
        <v>364080</v>
      </c>
      <c r="B69" t="str">
        <v>Africa</v>
      </c>
      <c r="C69" t="str">
        <v>D. Smith</v>
      </c>
      <c r="D69" t="str">
        <v>Printers</v>
      </c>
      <c r="E69">
        <v>0.22500000000000001</v>
      </c>
    </row>
    <row r="70" spans="1:5" x14ac:dyDescent="0.35">
      <c r="A70" t="str">
        <v>597666</v>
      </c>
      <c r="B70" t="str">
        <v>Europe</v>
      </c>
      <c r="C70" t="str">
        <v>C. Otieno</v>
      </c>
      <c r="D70" t="str">
        <v>Phones</v>
      </c>
      <c r="E70">
        <v>0.222</v>
      </c>
    </row>
    <row r="71" spans="1:5" x14ac:dyDescent="0.35">
      <c r="A71" t="str">
        <v>430904</v>
      </c>
      <c r="B71" t="str">
        <v>Europe</v>
      </c>
      <c r="C71" t="str">
        <v>N. Brown</v>
      </c>
      <c r="D71" t="str">
        <v>Laptops</v>
      </c>
      <c r="E71">
        <v>0.22</v>
      </c>
    </row>
    <row r="72" spans="1:5" x14ac:dyDescent="0.35">
      <c r="A72" t="str">
        <v>610470</v>
      </c>
      <c r="B72" t="str">
        <v>Asia</v>
      </c>
      <c r="C72" t="str">
        <v>J. Njeri</v>
      </c>
      <c r="D72" t="str">
        <v>Phones</v>
      </c>
      <c r="E72">
        <v>0.22</v>
      </c>
    </row>
    <row r="73" spans="1:5" x14ac:dyDescent="0.35">
      <c r="A73" t="str">
        <v>823055</v>
      </c>
      <c r="B73" t="str">
        <v>Americas</v>
      </c>
      <c r="C73" t="str">
        <v>C. Otieno</v>
      </c>
      <c r="D73" t="str">
        <v>Monitors</v>
      </c>
      <c r="E73">
        <v>0.218</v>
      </c>
    </row>
    <row r="74" spans="1:5" x14ac:dyDescent="0.35">
      <c r="A74" t="str">
        <v>222035</v>
      </c>
      <c r="B74" t="str">
        <v>Asia</v>
      </c>
      <c r="C74" t="str">
        <v>D. Smith</v>
      </c>
      <c r="D74" t="str">
        <v>Printers</v>
      </c>
      <c r="E74">
        <v>0.217</v>
      </c>
    </row>
    <row r="75" spans="1:5" x14ac:dyDescent="0.35">
      <c r="A75" t="str">
        <v>569862</v>
      </c>
      <c r="B75" t="str">
        <v>Europe</v>
      </c>
      <c r="C75" t="str">
        <v>J. Njeri</v>
      </c>
      <c r="D75" t="str">
        <v>Laptops</v>
      </c>
      <c r="E75">
        <v>0.216</v>
      </c>
    </row>
    <row r="76" spans="1:5" x14ac:dyDescent="0.35">
      <c r="A76" t="str">
        <v>630430</v>
      </c>
      <c r="B76" t="str">
        <v>Americas</v>
      </c>
      <c r="C76" t="str">
        <v>L. Okafor</v>
      </c>
      <c r="D76" t="str">
        <v>Networking</v>
      </c>
      <c r="E76">
        <v>0.216</v>
      </c>
    </row>
    <row r="77" spans="1:5" x14ac:dyDescent="0.35">
      <c r="A77" t="str">
        <v>566589</v>
      </c>
      <c r="B77" t="str">
        <v>Africa</v>
      </c>
      <c r="C77" t="str">
        <v>I. Johnson</v>
      </c>
      <c r="D77" t="str">
        <v>Phones</v>
      </c>
      <c r="E77">
        <v>0.216</v>
      </c>
    </row>
    <row r="78" spans="1:5" x14ac:dyDescent="0.35">
      <c r="A78" t="str">
        <v>760799</v>
      </c>
      <c r="B78" t="str">
        <v>Asia</v>
      </c>
      <c r="C78" t="str">
        <v>H. Kim</v>
      </c>
      <c r="D78" t="str">
        <v>Laptops</v>
      </c>
      <c r="E78">
        <v>0.215</v>
      </c>
    </row>
    <row r="79" spans="1:5" x14ac:dyDescent="0.35">
      <c r="A79" t="str">
        <v>488349</v>
      </c>
      <c r="B79" t="str">
        <v>Americas</v>
      </c>
      <c r="C79" t="str">
        <v>D. Smith</v>
      </c>
      <c r="D79" t="str">
        <v>Monitors</v>
      </c>
      <c r="E79">
        <v>0.215</v>
      </c>
    </row>
    <row r="80" spans="1:5" x14ac:dyDescent="0.35">
      <c r="A80" t="str">
        <v>719055</v>
      </c>
      <c r="B80" t="str">
        <v>Americas</v>
      </c>
      <c r="C80" t="str">
        <v>B. Chen</v>
      </c>
      <c r="D80" t="str">
        <v>Networking</v>
      </c>
      <c r="E80">
        <v>0.215</v>
      </c>
    </row>
    <row r="81" spans="1:5" x14ac:dyDescent="0.35">
      <c r="A81" t="str">
        <v>581530</v>
      </c>
      <c r="B81" t="str">
        <v>Asia</v>
      </c>
      <c r="C81" t="str">
        <v>O. Wang</v>
      </c>
      <c r="D81" t="str">
        <v>Networking</v>
      </c>
      <c r="E81">
        <v>0.214</v>
      </c>
    </row>
    <row r="82" spans="1:5" x14ac:dyDescent="0.35">
      <c r="A82" t="str">
        <v>667201</v>
      </c>
      <c r="B82" t="str">
        <v>Americas</v>
      </c>
      <c r="C82" t="str">
        <v>L. Okafor</v>
      </c>
      <c r="D82" t="str">
        <v>Accessories</v>
      </c>
      <c r="E82">
        <v>0.21199999999999999</v>
      </c>
    </row>
    <row r="83" spans="1:5" x14ac:dyDescent="0.35">
      <c r="A83" t="str">
        <v>419532</v>
      </c>
      <c r="B83" t="str">
        <v>Americas</v>
      </c>
      <c r="C83" t="str">
        <v>A. Patel</v>
      </c>
      <c r="D83" t="str">
        <v>Monitors</v>
      </c>
      <c r="E83">
        <v>0.21199999999999999</v>
      </c>
    </row>
    <row r="84" spans="1:5" x14ac:dyDescent="0.35">
      <c r="A84" t="str">
        <v>960931</v>
      </c>
      <c r="B84" t="str">
        <v>Americas</v>
      </c>
      <c r="C84" t="str">
        <v>M. Rossi</v>
      </c>
      <c r="D84" t="str">
        <v>Networking</v>
      </c>
      <c r="E84">
        <v>0.21199999999999999</v>
      </c>
    </row>
    <row r="85" spans="1:5" x14ac:dyDescent="0.35">
      <c r="A85" t="str">
        <v>508213</v>
      </c>
      <c r="B85" t="str">
        <v>Africa</v>
      </c>
      <c r="C85" t="str">
        <v>C. Otieno</v>
      </c>
      <c r="D85" t="str">
        <v>Components</v>
      </c>
      <c r="E85">
        <v>0.21099999999999999</v>
      </c>
    </row>
    <row r="86" spans="1:5" x14ac:dyDescent="0.35">
      <c r="A86" t="str">
        <v>687073</v>
      </c>
      <c r="B86" t="str">
        <v>Americas</v>
      </c>
      <c r="C86" t="str">
        <v>M. Rossi</v>
      </c>
      <c r="D86" t="str">
        <v>Monitors</v>
      </c>
      <c r="E86">
        <v>0.21099999999999999</v>
      </c>
    </row>
    <row r="87" spans="1:5" x14ac:dyDescent="0.35">
      <c r="A87" t="str">
        <v>542939</v>
      </c>
      <c r="B87" t="str">
        <v>Europe</v>
      </c>
      <c r="C87" t="str">
        <v>E. Garcia</v>
      </c>
      <c r="D87" t="str">
        <v>Monitors</v>
      </c>
      <c r="E87">
        <v>0.21099999999999999</v>
      </c>
    </row>
    <row r="88" spans="1:5" x14ac:dyDescent="0.35">
      <c r="A88" t="str">
        <v>129345</v>
      </c>
      <c r="B88" t="str">
        <v>Americas</v>
      </c>
      <c r="C88" t="str">
        <v>A. Patel</v>
      </c>
      <c r="D88" t="str">
        <v>Printers</v>
      </c>
      <c r="E88">
        <v>0.21</v>
      </c>
    </row>
    <row r="89" spans="1:5" x14ac:dyDescent="0.35">
      <c r="A89" t="str">
        <v>913592</v>
      </c>
      <c r="B89" t="str">
        <v>Asia</v>
      </c>
      <c r="C89" t="str">
        <v>C. Otieno</v>
      </c>
      <c r="D89" t="str">
        <v>Monitors</v>
      </c>
      <c r="E89">
        <v>0.20899999999999999</v>
      </c>
    </row>
    <row r="90" spans="1:5" x14ac:dyDescent="0.35">
      <c r="A90" t="str">
        <v>488227</v>
      </c>
      <c r="B90" t="str">
        <v>Americas</v>
      </c>
      <c r="C90" t="str">
        <v>A. Patel</v>
      </c>
      <c r="D90" t="str">
        <v>Accessories</v>
      </c>
      <c r="E90">
        <v>0.20799999999999999</v>
      </c>
    </row>
    <row r="91" spans="1:5" x14ac:dyDescent="0.35">
      <c r="A91" t="str">
        <v>667815</v>
      </c>
      <c r="B91" t="str">
        <v>Europe</v>
      </c>
      <c r="C91" t="str">
        <v>A. Patel</v>
      </c>
      <c r="D91" t="str">
        <v>Accessories</v>
      </c>
      <c r="E91">
        <v>0.20699999999999999</v>
      </c>
    </row>
    <row r="92" spans="1:5" x14ac:dyDescent="0.35">
      <c r="A92" t="str">
        <v>355095</v>
      </c>
      <c r="B92" t="str">
        <v>Americas</v>
      </c>
      <c r="C92" t="str">
        <v>A. Patel</v>
      </c>
      <c r="D92" t="str">
        <v>Laptops</v>
      </c>
      <c r="E92">
        <v>0.20699999999999999</v>
      </c>
    </row>
    <row r="93" spans="1:5" x14ac:dyDescent="0.35">
      <c r="A93" t="str">
        <v>762301</v>
      </c>
      <c r="B93" t="str">
        <v>Africa</v>
      </c>
      <c r="C93" t="str">
        <v>A. Patel</v>
      </c>
      <c r="D93" t="str">
        <v>Accessories</v>
      </c>
      <c r="E93">
        <v>0.20499999999999999</v>
      </c>
    </row>
    <row r="94" spans="1:5" x14ac:dyDescent="0.35">
      <c r="A94" t="str">
        <v>184754</v>
      </c>
      <c r="B94" t="str">
        <v>Europe</v>
      </c>
      <c r="C94" t="str">
        <v>G. Dubois</v>
      </c>
      <c r="D94" t="str">
        <v>Monitors</v>
      </c>
      <c r="E94">
        <v>0.20499999999999999</v>
      </c>
    </row>
    <row r="95" spans="1:5" x14ac:dyDescent="0.35">
      <c r="A95" t="str">
        <v>683043</v>
      </c>
      <c r="B95" t="str">
        <v>Europe</v>
      </c>
      <c r="C95" t="str">
        <v>I. Johnson</v>
      </c>
      <c r="D95" t="str">
        <v>Phones</v>
      </c>
      <c r="E95">
        <v>0.20499999999999999</v>
      </c>
    </row>
    <row r="96" spans="1:5" x14ac:dyDescent="0.35">
      <c r="A96" t="str">
        <v>271918</v>
      </c>
      <c r="B96" t="str">
        <v>Americas</v>
      </c>
      <c r="C96" t="str">
        <v>I. Johnson</v>
      </c>
      <c r="D96" t="str">
        <v>Accessories</v>
      </c>
      <c r="E96">
        <v>0.20399999999999999</v>
      </c>
    </row>
    <row r="97" spans="1:5" x14ac:dyDescent="0.35">
      <c r="A97" t="str">
        <v>749324</v>
      </c>
      <c r="B97" t="str">
        <v>Africa</v>
      </c>
      <c r="C97" t="str">
        <v>D. Smith</v>
      </c>
      <c r="D97" t="str">
        <v>Monitors</v>
      </c>
      <c r="E97">
        <v>0.20399999999999999</v>
      </c>
    </row>
    <row r="98" spans="1:5" x14ac:dyDescent="0.35">
      <c r="A98" t="str">
        <v>276806</v>
      </c>
      <c r="B98" t="str">
        <v>Americas</v>
      </c>
      <c r="C98" t="str">
        <v>I. Johnson</v>
      </c>
      <c r="D98" t="str">
        <v>Laptops</v>
      </c>
      <c r="E98">
        <v>0.20300000000000001</v>
      </c>
    </row>
    <row r="99" spans="1:5" x14ac:dyDescent="0.35">
      <c r="A99" t="str">
        <v>178249</v>
      </c>
      <c r="B99" t="str">
        <v>Africa</v>
      </c>
      <c r="C99" t="str">
        <v>L. Okafor</v>
      </c>
      <c r="D99" t="str">
        <v>Phones</v>
      </c>
      <c r="E99">
        <v>0.20300000000000001</v>
      </c>
    </row>
    <row r="100" spans="1:5" x14ac:dyDescent="0.35">
      <c r="A100" t="str">
        <v>687100</v>
      </c>
      <c r="B100" t="str">
        <v>Africa</v>
      </c>
      <c r="C100" t="str">
        <v>L. Okafor</v>
      </c>
      <c r="D100" t="str">
        <v>Printers</v>
      </c>
      <c r="E100">
        <v>0.20300000000000001</v>
      </c>
    </row>
    <row r="101" spans="1:5" x14ac:dyDescent="0.35">
      <c r="A101" t="str">
        <v>197852</v>
      </c>
      <c r="B101" t="str">
        <v>Asia</v>
      </c>
      <c r="C101" t="str">
        <v>I. Johnson</v>
      </c>
      <c r="D101" t="str">
        <v>Networking</v>
      </c>
      <c r="E101">
        <v>0.20100000000000001</v>
      </c>
    </row>
  </sheetData>
  <mergeCells count="2">
    <mergeCell ref="A1:E1"/>
    <mergeCell ref="A10:E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3EF3B-8734-413E-926E-4B7F1A0E34C0}">
  <dimension ref="A1:Z71"/>
  <sheetViews>
    <sheetView topLeftCell="A46" workbookViewId="0">
      <selection activeCell="A57" sqref="A57"/>
    </sheetView>
  </sheetViews>
  <sheetFormatPr defaultRowHeight="14.5" x14ac:dyDescent="0.35"/>
  <cols>
    <col min="1" max="1" width="19.453125" bestFit="1" customWidth="1"/>
    <col min="2" max="2" width="15.26953125" bestFit="1" customWidth="1"/>
    <col min="3" max="3" width="10.36328125" bestFit="1" customWidth="1"/>
    <col min="4" max="4" width="11.36328125" bestFit="1" customWidth="1"/>
    <col min="5" max="6" width="10.36328125" bestFit="1" customWidth="1"/>
    <col min="7" max="7" width="11.36328125" bestFit="1" customWidth="1"/>
    <col min="8" max="8" width="21.453125" bestFit="1" customWidth="1"/>
    <col min="9" max="9" width="16.453125" bestFit="1" customWidth="1"/>
    <col min="10" max="10" width="17.36328125" bestFit="1" customWidth="1"/>
    <col min="11" max="11" width="18.1796875" bestFit="1" customWidth="1"/>
    <col min="12" max="12" width="19.453125" bestFit="1" customWidth="1"/>
    <col min="13" max="13" width="21.453125" bestFit="1" customWidth="1"/>
    <col min="14" max="14" width="16.453125" bestFit="1" customWidth="1"/>
    <col min="15" max="15" width="17.36328125" bestFit="1" customWidth="1"/>
    <col min="16" max="16" width="18.1796875" bestFit="1" customWidth="1"/>
    <col min="17" max="17" width="19.453125" bestFit="1" customWidth="1"/>
    <col min="18" max="18" width="21.453125" bestFit="1" customWidth="1"/>
    <col min="19" max="19" width="16.453125" bestFit="1" customWidth="1"/>
    <col min="20" max="20" width="17.36328125" bestFit="1" customWidth="1"/>
    <col min="21" max="21" width="18.1796875" bestFit="1" customWidth="1"/>
    <col min="22" max="22" width="24.26953125" bestFit="1" customWidth="1"/>
    <col min="23" max="23" width="26.26953125" bestFit="1" customWidth="1"/>
    <col min="24" max="24" width="21.36328125" bestFit="1" customWidth="1"/>
    <col min="25" max="25" width="22.1796875" bestFit="1" customWidth="1"/>
    <col min="26" max="26" width="23" bestFit="1" customWidth="1"/>
  </cols>
  <sheetData>
    <row r="1" spans="1:26" x14ac:dyDescent="0.35">
      <c r="A1" s="10" t="s">
        <v>1445</v>
      </c>
      <c r="B1" s="10" t="s">
        <v>1444</v>
      </c>
    </row>
    <row r="2" spans="1:26" x14ac:dyDescent="0.35">
      <c r="A2" s="10" t="s">
        <v>1442</v>
      </c>
      <c r="B2" t="s">
        <v>711</v>
      </c>
      <c r="C2" t="s">
        <v>710</v>
      </c>
      <c r="D2" t="s">
        <v>709</v>
      </c>
      <c r="E2" t="s">
        <v>708</v>
      </c>
      <c r="F2" t="s">
        <v>707</v>
      </c>
      <c r="G2" t="s">
        <v>1443</v>
      </c>
    </row>
    <row r="3" spans="1:26" x14ac:dyDescent="0.35">
      <c r="A3" s="11" t="s">
        <v>646</v>
      </c>
      <c r="B3" s="5">
        <v>463083.85629999993</v>
      </c>
      <c r="C3" s="5">
        <v>654956.13969999983</v>
      </c>
      <c r="D3" s="5">
        <v>527467.87455999991</v>
      </c>
      <c r="E3" s="5">
        <v>433406.33626999997</v>
      </c>
      <c r="F3" s="5">
        <v>518082.18970999995</v>
      </c>
      <c r="G3" s="5">
        <v>2596996.3965399996</v>
      </c>
    </row>
    <row r="4" spans="1:26" x14ac:dyDescent="0.35">
      <c r="A4" s="11" t="s">
        <v>648</v>
      </c>
      <c r="B4" s="5">
        <v>751887.68591</v>
      </c>
      <c r="C4" s="5">
        <v>568425.23432000005</v>
      </c>
      <c r="D4" s="5">
        <v>375632.06752000004</v>
      </c>
      <c r="E4" s="5">
        <v>689951.45437000005</v>
      </c>
      <c r="F4" s="5">
        <v>302853.57922000001</v>
      </c>
      <c r="G4" s="5">
        <v>2688750.0213400004</v>
      </c>
    </row>
    <row r="5" spans="1:26" x14ac:dyDescent="0.35">
      <c r="A5" s="11" t="s">
        <v>647</v>
      </c>
      <c r="B5" s="5">
        <v>642428.78858000017</v>
      </c>
      <c r="C5" s="5">
        <v>509418.80599000002</v>
      </c>
      <c r="D5" s="5">
        <v>572954.82306999993</v>
      </c>
      <c r="E5" s="5">
        <v>423527.82016999996</v>
      </c>
      <c r="F5" s="5">
        <v>693141.67984</v>
      </c>
      <c r="G5" s="5">
        <v>2841471.9176499997</v>
      </c>
    </row>
    <row r="6" spans="1:26" x14ac:dyDescent="0.35">
      <c r="A6" s="11" t="s">
        <v>649</v>
      </c>
      <c r="B6" s="5">
        <v>860664.89850000013</v>
      </c>
      <c r="C6" s="5">
        <v>318736.67219999991</v>
      </c>
      <c r="D6" s="5">
        <v>569130.55825</v>
      </c>
      <c r="E6" s="5">
        <v>585406.72276999999</v>
      </c>
      <c r="F6" s="5">
        <v>464810.41820999997</v>
      </c>
      <c r="G6" s="5">
        <v>2798749.26993</v>
      </c>
    </row>
    <row r="7" spans="1:26" x14ac:dyDescent="0.35">
      <c r="A7" s="11" t="s">
        <v>1443</v>
      </c>
      <c r="B7" s="5">
        <v>2718065.2292900002</v>
      </c>
      <c r="C7" s="5">
        <v>2051536.8522099999</v>
      </c>
      <c r="D7" s="5">
        <v>2045185.3233999999</v>
      </c>
      <c r="E7" s="5">
        <v>2132292.3335799999</v>
      </c>
      <c r="F7" s="5">
        <v>1978887.8669800002</v>
      </c>
      <c r="G7" s="5">
        <v>10925967.605459999</v>
      </c>
    </row>
    <row r="9" spans="1:26" x14ac:dyDescent="0.35">
      <c r="A9" s="31" t="s">
        <v>1461</v>
      </c>
    </row>
    <row r="10" spans="1:26" x14ac:dyDescent="0.35">
      <c r="B10" s="10" t="s">
        <v>1444</v>
      </c>
    </row>
    <row r="11" spans="1:26" x14ac:dyDescent="0.35">
      <c r="B11" t="s">
        <v>646</v>
      </c>
      <c r="G11" t="s">
        <v>648</v>
      </c>
      <c r="L11" t="s">
        <v>647</v>
      </c>
      <c r="Q11" t="s">
        <v>649</v>
      </c>
      <c r="V11" t="s">
        <v>1491</v>
      </c>
      <c r="W11" t="s">
        <v>1492</v>
      </c>
      <c r="X11" t="s">
        <v>1493</v>
      </c>
      <c r="Y11" t="s">
        <v>1494</v>
      </c>
      <c r="Z11" t="s">
        <v>1553</v>
      </c>
    </row>
    <row r="12" spans="1:26" x14ac:dyDescent="0.35">
      <c r="A12" s="10" t="s">
        <v>1442</v>
      </c>
      <c r="B12" t="s">
        <v>1445</v>
      </c>
      <c r="C12" t="s">
        <v>1489</v>
      </c>
      <c r="D12" t="s">
        <v>1490</v>
      </c>
      <c r="E12" t="s">
        <v>1487</v>
      </c>
      <c r="F12" t="s">
        <v>1554</v>
      </c>
      <c r="G12" t="s">
        <v>1445</v>
      </c>
      <c r="H12" t="s">
        <v>1489</v>
      </c>
      <c r="I12" t="s">
        <v>1490</v>
      </c>
      <c r="J12" t="s">
        <v>1487</v>
      </c>
      <c r="K12" t="s">
        <v>1554</v>
      </c>
      <c r="L12" t="s">
        <v>1445</v>
      </c>
      <c r="M12" t="s">
        <v>1489</v>
      </c>
      <c r="N12" t="s">
        <v>1490</v>
      </c>
      <c r="O12" t="s">
        <v>1487</v>
      </c>
      <c r="P12" t="s">
        <v>1554</v>
      </c>
      <c r="Q12" t="s">
        <v>1445</v>
      </c>
      <c r="R12" t="s">
        <v>1489</v>
      </c>
      <c r="S12" t="s">
        <v>1490</v>
      </c>
      <c r="T12" t="s">
        <v>1487</v>
      </c>
      <c r="U12" t="s">
        <v>1554</v>
      </c>
    </row>
    <row r="13" spans="1:26" x14ac:dyDescent="0.35">
      <c r="A13" s="11" t="s">
        <v>711</v>
      </c>
      <c r="B13" s="5"/>
      <c r="D13" s="7"/>
      <c r="E13" s="5"/>
      <c r="F13" s="5"/>
      <c r="G13" s="5"/>
      <c r="I13" s="7"/>
      <c r="J13" s="5"/>
      <c r="K13" s="5"/>
      <c r="L13" s="5"/>
      <c r="N13" s="7"/>
      <c r="O13" s="5"/>
      <c r="P13" s="5"/>
      <c r="Q13" s="5"/>
      <c r="S13" s="7"/>
      <c r="T13" s="5"/>
      <c r="U13" s="5"/>
      <c r="V13" s="5"/>
      <c r="X13" s="7"/>
      <c r="Y13" s="5"/>
      <c r="Z13" s="5"/>
    </row>
    <row r="14" spans="1:26" x14ac:dyDescent="0.35">
      <c r="A14" s="32">
        <v>2023</v>
      </c>
      <c r="B14" s="5">
        <v>98372.290990000009</v>
      </c>
      <c r="C14">
        <v>8</v>
      </c>
      <c r="D14" s="7">
        <v>3</v>
      </c>
      <c r="E14" s="5">
        <v>25657.770989999994</v>
      </c>
      <c r="F14" s="5">
        <v>0.13385605695498992</v>
      </c>
      <c r="G14" s="5">
        <v>265177.69384000002</v>
      </c>
      <c r="H14">
        <v>14</v>
      </c>
      <c r="I14" s="7">
        <v>5</v>
      </c>
      <c r="J14" s="5">
        <v>80137.203839999987</v>
      </c>
      <c r="K14" s="5">
        <v>0.25888455941187866</v>
      </c>
      <c r="L14" s="5">
        <v>160674.76310000001</v>
      </c>
      <c r="M14">
        <v>10</v>
      </c>
      <c r="N14" s="7">
        <v>0</v>
      </c>
      <c r="O14" s="5">
        <v>62146.463100000001</v>
      </c>
      <c r="P14" s="5">
        <v>0.32805746003502334</v>
      </c>
      <c r="Q14" s="5">
        <v>434361.74746999994</v>
      </c>
      <c r="R14">
        <v>25</v>
      </c>
      <c r="S14" s="7">
        <v>7</v>
      </c>
      <c r="T14" s="5">
        <v>148298.09746999998</v>
      </c>
      <c r="U14" s="5">
        <v>0.24633327839238281</v>
      </c>
      <c r="V14" s="5">
        <v>958586.4953999999</v>
      </c>
      <c r="W14">
        <v>57</v>
      </c>
      <c r="X14" s="7">
        <v>15</v>
      </c>
      <c r="Y14" s="5">
        <v>316239.53539999994</v>
      </c>
      <c r="Z14" s="5">
        <v>0.24796734820291275</v>
      </c>
    </row>
    <row r="15" spans="1:26" x14ac:dyDescent="0.35">
      <c r="A15" s="32">
        <v>2024</v>
      </c>
      <c r="B15" s="5">
        <v>269534.37772000005</v>
      </c>
      <c r="C15">
        <v>12</v>
      </c>
      <c r="D15" s="7">
        <v>8</v>
      </c>
      <c r="E15" s="5">
        <v>128819.40771999999</v>
      </c>
      <c r="F15" s="5">
        <v>0.40033244367309079</v>
      </c>
      <c r="G15" s="5">
        <v>347616.43478999997</v>
      </c>
      <c r="H15">
        <v>16</v>
      </c>
      <c r="I15" s="7">
        <v>4</v>
      </c>
      <c r="J15" s="5">
        <v>130404.07479000003</v>
      </c>
      <c r="K15" s="5">
        <v>0.28569301790115703</v>
      </c>
      <c r="L15" s="5">
        <v>239302.24255</v>
      </c>
      <c r="M15">
        <v>13</v>
      </c>
      <c r="N15" s="7">
        <v>4</v>
      </c>
      <c r="O15" s="5">
        <v>61479.802549999986</v>
      </c>
      <c r="P15" s="5">
        <v>0.19281225545192182</v>
      </c>
      <c r="Q15" s="5">
        <v>281598.94267000002</v>
      </c>
      <c r="R15">
        <v>15</v>
      </c>
      <c r="S15" s="7">
        <v>2</v>
      </c>
      <c r="T15" s="5">
        <v>98843.822670000023</v>
      </c>
      <c r="U15" s="5">
        <v>0.29484637564938876</v>
      </c>
      <c r="V15" s="5">
        <v>1138051.9977299999</v>
      </c>
      <c r="W15">
        <v>56</v>
      </c>
      <c r="X15" s="7">
        <v>18</v>
      </c>
      <c r="Y15" s="5">
        <v>419547.10773000011</v>
      </c>
      <c r="Z15" s="5">
        <v>0.29114879582341818</v>
      </c>
    </row>
    <row r="16" spans="1:26" x14ac:dyDescent="0.35">
      <c r="A16" s="32">
        <v>2025</v>
      </c>
      <c r="B16" s="5">
        <v>95177.187590000001</v>
      </c>
      <c r="C16">
        <v>9</v>
      </c>
      <c r="D16" s="7">
        <v>1</v>
      </c>
      <c r="E16" s="5">
        <v>23293.007589999997</v>
      </c>
      <c r="F16" s="5">
        <v>0.16357763756710697</v>
      </c>
      <c r="G16" s="5">
        <v>139093.55728000001</v>
      </c>
      <c r="H16">
        <v>9</v>
      </c>
      <c r="I16" s="7">
        <v>1</v>
      </c>
      <c r="J16" s="5">
        <v>48133.647280000005</v>
      </c>
      <c r="K16" s="5">
        <v>0.25604519131318454</v>
      </c>
      <c r="L16" s="5">
        <v>242451.78292999996</v>
      </c>
      <c r="M16">
        <v>13</v>
      </c>
      <c r="N16" s="7">
        <v>2</v>
      </c>
      <c r="O16" s="5">
        <v>105591.21292999999</v>
      </c>
      <c r="P16" s="5">
        <v>0.37346541258976146</v>
      </c>
      <c r="Q16" s="5">
        <v>144704.20835999999</v>
      </c>
      <c r="R16">
        <v>13</v>
      </c>
      <c r="S16" s="7">
        <v>2</v>
      </c>
      <c r="T16" s="5">
        <v>53603.738359999988</v>
      </c>
      <c r="U16" s="5">
        <v>0.27731135626549597</v>
      </c>
      <c r="V16" s="5">
        <v>621426.73615999997</v>
      </c>
      <c r="W16">
        <v>44</v>
      </c>
      <c r="X16" s="7">
        <v>6</v>
      </c>
      <c r="Y16" s="5">
        <v>230621.60616</v>
      </c>
      <c r="Z16" s="5">
        <v>0.27810689670547661</v>
      </c>
    </row>
    <row r="17" spans="1:26" x14ac:dyDescent="0.35">
      <c r="A17" s="11" t="s">
        <v>710</v>
      </c>
      <c r="B17" s="5"/>
      <c r="D17" s="7"/>
      <c r="E17" s="5"/>
      <c r="F17" s="5"/>
      <c r="G17" s="5"/>
      <c r="I17" s="7"/>
      <c r="J17" s="5"/>
      <c r="K17" s="5"/>
      <c r="L17" s="5"/>
      <c r="N17" s="7"/>
      <c r="O17" s="5"/>
      <c r="P17" s="5"/>
      <c r="Q17" s="5"/>
      <c r="S17" s="7"/>
      <c r="T17" s="5"/>
      <c r="U17" s="5"/>
      <c r="V17" s="5"/>
      <c r="X17" s="7"/>
      <c r="Y17" s="5"/>
      <c r="Z17" s="5"/>
    </row>
    <row r="18" spans="1:26" x14ac:dyDescent="0.35">
      <c r="A18" s="32">
        <v>2023</v>
      </c>
      <c r="B18" s="5">
        <v>169759.89165999999</v>
      </c>
      <c r="C18">
        <v>9</v>
      </c>
      <c r="D18" s="7">
        <v>1</v>
      </c>
      <c r="E18" s="5">
        <v>50592.481660000005</v>
      </c>
      <c r="F18" s="5">
        <v>0.14840767827765303</v>
      </c>
      <c r="G18" s="5">
        <v>132332.43785999998</v>
      </c>
      <c r="H18">
        <v>12</v>
      </c>
      <c r="I18" s="7">
        <v>5</v>
      </c>
      <c r="J18" s="5">
        <v>33572.26786</v>
      </c>
      <c r="K18" s="5">
        <v>0.22690656280318733</v>
      </c>
      <c r="L18" s="5">
        <v>113566.35564000001</v>
      </c>
      <c r="M18">
        <v>11</v>
      </c>
      <c r="N18" s="7">
        <v>2</v>
      </c>
      <c r="O18" s="5">
        <v>40308.185639999996</v>
      </c>
      <c r="P18" s="5">
        <v>0.24617933981450299</v>
      </c>
      <c r="Q18" s="5">
        <v>132597.12318</v>
      </c>
      <c r="R18">
        <v>7</v>
      </c>
      <c r="S18" s="7">
        <v>2</v>
      </c>
      <c r="T18" s="5">
        <v>68446.143179999985</v>
      </c>
      <c r="U18" s="5">
        <v>0.38114221824392697</v>
      </c>
      <c r="V18" s="5">
        <v>548255.80833999999</v>
      </c>
      <c r="W18">
        <v>39</v>
      </c>
      <c r="X18" s="7">
        <v>10</v>
      </c>
      <c r="Y18" s="5">
        <v>192919.07833999995</v>
      </c>
      <c r="Z18" s="5">
        <v>0.24191066984113199</v>
      </c>
    </row>
    <row r="19" spans="1:26" x14ac:dyDescent="0.35">
      <c r="A19" s="32">
        <v>2024</v>
      </c>
      <c r="B19" s="5">
        <v>305224.18442000001</v>
      </c>
      <c r="C19">
        <v>15</v>
      </c>
      <c r="D19" s="7">
        <v>3</v>
      </c>
      <c r="E19" s="5">
        <v>83429.054420000015</v>
      </c>
      <c r="F19" s="5">
        <v>0.23671557451979081</v>
      </c>
      <c r="G19" s="5">
        <v>254923.65033</v>
      </c>
      <c r="H19">
        <v>12</v>
      </c>
      <c r="I19" s="7">
        <v>1</v>
      </c>
      <c r="J19" s="5">
        <v>78547.570330000002</v>
      </c>
      <c r="K19" s="5">
        <v>0.22051651730656965</v>
      </c>
      <c r="L19" s="5">
        <v>257287.55160999999</v>
      </c>
      <c r="M19">
        <v>13</v>
      </c>
      <c r="N19" s="7">
        <v>5</v>
      </c>
      <c r="O19" s="5">
        <v>77982.241610000012</v>
      </c>
      <c r="P19" s="5">
        <v>0.23199007906013719</v>
      </c>
      <c r="Q19" s="5">
        <v>147615.35762999998</v>
      </c>
      <c r="R19">
        <v>7</v>
      </c>
      <c r="S19" s="7">
        <v>1</v>
      </c>
      <c r="T19" s="5">
        <v>20254.767629999991</v>
      </c>
      <c r="U19" s="5">
        <v>9.0269535147647115E-2</v>
      </c>
      <c r="V19" s="5">
        <v>965050.7439900001</v>
      </c>
      <c r="W19">
        <v>47</v>
      </c>
      <c r="X19" s="7">
        <v>10</v>
      </c>
      <c r="Y19" s="5">
        <v>260213.63398999997</v>
      </c>
      <c r="Z19" s="5">
        <v>0.2094614808359789</v>
      </c>
    </row>
    <row r="20" spans="1:26" x14ac:dyDescent="0.35">
      <c r="A20" s="32">
        <v>2025</v>
      </c>
      <c r="B20" s="5">
        <v>179972.06361999997</v>
      </c>
      <c r="C20">
        <v>9</v>
      </c>
      <c r="D20" s="7">
        <v>4</v>
      </c>
      <c r="E20" s="5">
        <v>74407.793619999982</v>
      </c>
      <c r="F20" s="5">
        <v>0.22291456030459289</v>
      </c>
      <c r="G20" s="5">
        <v>181169.14612999998</v>
      </c>
      <c r="H20">
        <v>13</v>
      </c>
      <c r="I20" s="7">
        <v>2</v>
      </c>
      <c r="J20" s="5">
        <v>63178.846129999991</v>
      </c>
      <c r="K20" s="5">
        <v>0.17786414127800448</v>
      </c>
      <c r="L20" s="5">
        <v>138564.89874000003</v>
      </c>
      <c r="M20">
        <v>12</v>
      </c>
      <c r="N20" s="7">
        <v>1</v>
      </c>
      <c r="O20" s="5">
        <v>32856.318740000002</v>
      </c>
      <c r="P20" s="5">
        <v>0.15176666494407645</v>
      </c>
      <c r="Q20" s="5">
        <v>38524.191390000007</v>
      </c>
      <c r="R20">
        <v>5</v>
      </c>
      <c r="S20" s="7">
        <v>2</v>
      </c>
      <c r="T20" s="5">
        <v>16849.941390000004</v>
      </c>
      <c r="U20" s="5">
        <v>0.34873415552095</v>
      </c>
      <c r="V20" s="5">
        <v>538230.29987999995</v>
      </c>
      <c r="W20">
        <v>39</v>
      </c>
      <c r="X20" s="7">
        <v>9</v>
      </c>
      <c r="Y20" s="5">
        <v>187292.89987999995</v>
      </c>
      <c r="Z20" s="5">
        <v>0.20213681118689905</v>
      </c>
    </row>
    <row r="21" spans="1:26" x14ac:dyDescent="0.35">
      <c r="A21" s="11" t="s">
        <v>709</v>
      </c>
      <c r="B21" s="5"/>
      <c r="D21" s="7"/>
      <c r="E21" s="5"/>
      <c r="F21" s="5"/>
      <c r="G21" s="5"/>
      <c r="I21" s="7"/>
      <c r="J21" s="5"/>
      <c r="K21" s="5"/>
      <c r="L21" s="5"/>
      <c r="N21" s="7"/>
      <c r="O21" s="5"/>
      <c r="P21" s="5"/>
      <c r="Q21" s="5"/>
      <c r="S21" s="7"/>
      <c r="T21" s="5"/>
      <c r="U21" s="5"/>
      <c r="V21" s="5"/>
      <c r="X21" s="7"/>
      <c r="Y21" s="5"/>
      <c r="Z21" s="5"/>
    </row>
    <row r="22" spans="1:26" x14ac:dyDescent="0.35">
      <c r="A22" s="32">
        <v>2023</v>
      </c>
      <c r="B22" s="5">
        <v>229365.42507</v>
      </c>
      <c r="C22">
        <v>14</v>
      </c>
      <c r="D22" s="7">
        <v>6</v>
      </c>
      <c r="E22" s="5">
        <v>93405.605069999991</v>
      </c>
      <c r="F22" s="5">
        <v>0.33014817899993915</v>
      </c>
      <c r="G22" s="5">
        <v>148966.17131000001</v>
      </c>
      <c r="H22">
        <v>11</v>
      </c>
      <c r="I22" s="7">
        <v>1</v>
      </c>
      <c r="J22" s="5">
        <v>49271.601309999998</v>
      </c>
      <c r="K22" s="5">
        <v>0.39924175315394722</v>
      </c>
      <c r="L22" s="5">
        <v>285429.22675000003</v>
      </c>
      <c r="M22">
        <v>14</v>
      </c>
      <c r="N22" s="7">
        <v>2</v>
      </c>
      <c r="O22" s="5">
        <v>59337.396749999993</v>
      </c>
      <c r="P22" s="5">
        <v>0.1143104958885043</v>
      </c>
      <c r="Q22" s="5">
        <v>142074.07206999999</v>
      </c>
      <c r="R22">
        <v>7</v>
      </c>
      <c r="S22" s="7">
        <v>1</v>
      </c>
      <c r="T22" s="5">
        <v>27508.322070000002</v>
      </c>
      <c r="U22" s="5">
        <v>0.15511477012843272</v>
      </c>
      <c r="V22" s="5">
        <v>805834.89520000003</v>
      </c>
      <c r="W22">
        <v>46</v>
      </c>
      <c r="X22" s="7">
        <v>10</v>
      </c>
      <c r="Y22" s="5">
        <v>229522.92520000003</v>
      </c>
      <c r="Z22" s="5">
        <v>0.25434530704414476</v>
      </c>
    </row>
    <row r="23" spans="1:26" x14ac:dyDescent="0.35">
      <c r="A23" s="32">
        <v>2024</v>
      </c>
      <c r="B23" s="5">
        <v>103752.20406000002</v>
      </c>
      <c r="C23">
        <v>9</v>
      </c>
      <c r="D23" s="7">
        <v>3</v>
      </c>
      <c r="E23" s="5">
        <v>34282.374060000016</v>
      </c>
      <c r="F23" s="5">
        <v>0.25483590463275818</v>
      </c>
      <c r="G23" s="5">
        <v>140826.02394000001</v>
      </c>
      <c r="H23">
        <v>10</v>
      </c>
      <c r="I23" s="7">
        <v>6</v>
      </c>
      <c r="J23" s="5">
        <v>19046.063940000007</v>
      </c>
      <c r="K23" s="5">
        <v>7.813493157669886E-2</v>
      </c>
      <c r="L23" s="5">
        <v>189993.46967999998</v>
      </c>
      <c r="M23">
        <v>12</v>
      </c>
      <c r="N23" s="7">
        <v>1</v>
      </c>
      <c r="O23" s="5">
        <v>57559.529680000014</v>
      </c>
      <c r="P23" s="5">
        <v>0.22759172702463878</v>
      </c>
      <c r="Q23" s="5">
        <v>230048.08374000003</v>
      </c>
      <c r="R23">
        <v>12</v>
      </c>
      <c r="S23" s="7">
        <v>4</v>
      </c>
      <c r="T23" s="5">
        <v>71466.703740000012</v>
      </c>
      <c r="U23" s="5">
        <v>0.29389345583389254</v>
      </c>
      <c r="V23" s="5">
        <v>664619.7814199999</v>
      </c>
      <c r="W23">
        <v>43</v>
      </c>
      <c r="X23" s="7">
        <v>14</v>
      </c>
      <c r="Y23" s="5">
        <v>182354.67142000006</v>
      </c>
      <c r="Z23" s="5">
        <v>0.21703941050614398</v>
      </c>
    </row>
    <row r="24" spans="1:26" x14ac:dyDescent="0.35">
      <c r="A24" s="32">
        <v>2025</v>
      </c>
      <c r="B24" s="5">
        <v>194350.24542999998</v>
      </c>
      <c r="C24">
        <v>10</v>
      </c>
      <c r="D24" s="7">
        <v>1</v>
      </c>
      <c r="E24" s="5">
        <v>37151.325429999997</v>
      </c>
      <c r="F24" s="5">
        <v>0.16056048314515575</v>
      </c>
      <c r="G24" s="5">
        <v>85839.872269999993</v>
      </c>
      <c r="H24">
        <v>7</v>
      </c>
      <c r="I24" s="7">
        <v>0</v>
      </c>
      <c r="J24" s="5">
        <v>29069.942269999989</v>
      </c>
      <c r="K24" s="5">
        <v>0.27218570103163459</v>
      </c>
      <c r="L24" s="5">
        <v>97532.126640000002</v>
      </c>
      <c r="M24">
        <v>9</v>
      </c>
      <c r="N24" s="7">
        <v>0</v>
      </c>
      <c r="O24" s="5">
        <v>27678.50664</v>
      </c>
      <c r="P24" s="5">
        <v>0.23124289462600522</v>
      </c>
      <c r="Q24" s="5">
        <v>197008.40244000001</v>
      </c>
      <c r="R24">
        <v>12</v>
      </c>
      <c r="S24" s="7">
        <v>3</v>
      </c>
      <c r="T24" s="5">
        <v>12171.812440000009</v>
      </c>
      <c r="U24" s="5">
        <v>21.251289744417978</v>
      </c>
      <c r="V24" s="5">
        <v>574730.64677999995</v>
      </c>
      <c r="W24">
        <v>38</v>
      </c>
      <c r="X24" s="7">
        <v>4</v>
      </c>
      <c r="Y24" s="5">
        <v>106071.58678</v>
      </c>
      <c r="Z24" s="5">
        <v>6.8580938874558646</v>
      </c>
    </row>
    <row r="25" spans="1:26" x14ac:dyDescent="0.35">
      <c r="A25" s="11" t="s">
        <v>708</v>
      </c>
      <c r="B25" s="5"/>
      <c r="D25" s="7"/>
      <c r="E25" s="5"/>
      <c r="F25" s="5"/>
      <c r="G25" s="5"/>
      <c r="I25" s="7"/>
      <c r="J25" s="5"/>
      <c r="K25" s="5"/>
      <c r="L25" s="5"/>
      <c r="N25" s="7"/>
      <c r="O25" s="5"/>
      <c r="P25" s="5"/>
      <c r="Q25" s="5"/>
      <c r="S25" s="7"/>
      <c r="T25" s="5"/>
      <c r="U25" s="5"/>
      <c r="V25" s="5"/>
      <c r="X25" s="7"/>
      <c r="Y25" s="5"/>
      <c r="Z25" s="5"/>
    </row>
    <row r="26" spans="1:26" x14ac:dyDescent="0.35">
      <c r="A26" s="32">
        <v>2023</v>
      </c>
      <c r="B26" s="5">
        <v>47302.58262999999</v>
      </c>
      <c r="C26">
        <v>9</v>
      </c>
      <c r="D26" s="7">
        <v>2</v>
      </c>
      <c r="E26" s="5">
        <v>19155.912629999999</v>
      </c>
      <c r="F26" s="5">
        <v>0.30906121612125104</v>
      </c>
      <c r="G26" s="5">
        <v>204132.73056</v>
      </c>
      <c r="H26">
        <v>11</v>
      </c>
      <c r="I26" s="7">
        <v>1</v>
      </c>
      <c r="J26" s="5">
        <v>90309.370559999981</v>
      </c>
      <c r="K26" s="5">
        <v>0.42404723549754447</v>
      </c>
      <c r="L26" s="5">
        <v>87807.929179999992</v>
      </c>
      <c r="M26">
        <v>6</v>
      </c>
      <c r="N26" s="7">
        <v>1</v>
      </c>
      <c r="O26" s="5">
        <v>29321.569179999991</v>
      </c>
      <c r="P26" s="5">
        <v>0.3718468795041508</v>
      </c>
      <c r="Q26" s="5">
        <v>88834.507800000007</v>
      </c>
      <c r="R26">
        <v>6</v>
      </c>
      <c r="S26" s="7">
        <v>3</v>
      </c>
      <c r="T26" s="5">
        <v>27775.807800000002</v>
      </c>
      <c r="U26" s="5">
        <v>5.8117221878973911E-2</v>
      </c>
      <c r="V26" s="5">
        <v>428077.75017000001</v>
      </c>
      <c r="W26">
        <v>32</v>
      </c>
      <c r="X26" s="7">
        <v>7</v>
      </c>
      <c r="Y26" s="5">
        <v>166562.66017000005</v>
      </c>
      <c r="Z26" s="5">
        <v>0.31330797324571863</v>
      </c>
    </row>
    <row r="27" spans="1:26" x14ac:dyDescent="0.35">
      <c r="A27" s="32">
        <v>2024</v>
      </c>
      <c r="B27" s="5">
        <v>222051.78984000001</v>
      </c>
      <c r="C27">
        <v>12</v>
      </c>
      <c r="D27" s="7">
        <v>1</v>
      </c>
      <c r="E27" s="5">
        <v>55100.019839999979</v>
      </c>
      <c r="F27" s="5">
        <v>0.22950289701355642</v>
      </c>
      <c r="G27" s="5">
        <v>222681.56363999998</v>
      </c>
      <c r="H27">
        <v>11</v>
      </c>
      <c r="I27" s="7">
        <v>1</v>
      </c>
      <c r="J27" s="5">
        <v>83130.26363999999</v>
      </c>
      <c r="K27" s="5">
        <v>0.2331717099419065</v>
      </c>
      <c r="L27" s="5">
        <v>258545.65841999996</v>
      </c>
      <c r="M27">
        <v>15</v>
      </c>
      <c r="N27" s="7">
        <v>1</v>
      </c>
      <c r="O27" s="5">
        <v>96164.778420000017</v>
      </c>
      <c r="P27" s="5">
        <v>0.27655328022886949</v>
      </c>
      <c r="Q27" s="5">
        <v>307763.13538999995</v>
      </c>
      <c r="R27">
        <v>14</v>
      </c>
      <c r="S27" s="7">
        <v>3</v>
      </c>
      <c r="T27" s="5">
        <v>112598.55539000001</v>
      </c>
      <c r="U27" s="5">
        <v>0.33848892397410885</v>
      </c>
      <c r="V27" s="5">
        <v>1011042.14729</v>
      </c>
      <c r="W27">
        <v>52</v>
      </c>
      <c r="X27" s="7">
        <v>6</v>
      </c>
      <c r="Y27" s="5">
        <v>346993.61729000002</v>
      </c>
      <c r="Z27" s="5">
        <v>0.27319360985758101</v>
      </c>
    </row>
    <row r="28" spans="1:26" x14ac:dyDescent="0.35">
      <c r="A28" s="32">
        <v>2025</v>
      </c>
      <c r="B28" s="5">
        <v>164051.9638</v>
      </c>
      <c r="C28">
        <v>4</v>
      </c>
      <c r="D28" s="7">
        <v>1</v>
      </c>
      <c r="E28" s="5">
        <v>71198.013800000001</v>
      </c>
      <c r="F28" s="5">
        <v>0.35700646966499627</v>
      </c>
      <c r="G28" s="5">
        <v>263137.16017000005</v>
      </c>
      <c r="H28">
        <v>8</v>
      </c>
      <c r="I28" s="7">
        <v>2</v>
      </c>
      <c r="J28" s="5">
        <v>88504.210170000006</v>
      </c>
      <c r="K28" s="5">
        <v>0.31711666319850373</v>
      </c>
      <c r="L28" s="5">
        <v>77174.232569999993</v>
      </c>
      <c r="M28">
        <v>7</v>
      </c>
      <c r="N28" s="7">
        <v>4</v>
      </c>
      <c r="O28" s="5">
        <v>27573.162569999993</v>
      </c>
      <c r="P28" s="5">
        <v>0.3510993377175966</v>
      </c>
      <c r="Q28" s="5">
        <v>188809.07957999999</v>
      </c>
      <c r="R28">
        <v>8</v>
      </c>
      <c r="S28" s="7">
        <v>2</v>
      </c>
      <c r="T28" s="5">
        <v>59692.799579999984</v>
      </c>
      <c r="U28" s="5">
        <v>0.21883942135912823</v>
      </c>
      <c r="V28" s="5">
        <v>693172.43612000009</v>
      </c>
      <c r="W28">
        <v>27</v>
      </c>
      <c r="X28" s="7">
        <v>9</v>
      </c>
      <c r="Y28" s="5">
        <v>246968.18612</v>
      </c>
      <c r="Z28" s="5">
        <v>0.30271740441274875</v>
      </c>
    </row>
    <row r="29" spans="1:26" x14ac:dyDescent="0.35">
      <c r="A29" s="11" t="s">
        <v>707</v>
      </c>
      <c r="B29" s="5"/>
      <c r="D29" s="7"/>
      <c r="E29" s="5"/>
      <c r="F29" s="5"/>
      <c r="G29" s="5"/>
      <c r="I29" s="7"/>
      <c r="J29" s="5"/>
      <c r="K29" s="5"/>
      <c r="L29" s="5"/>
      <c r="N29" s="7"/>
      <c r="O29" s="5"/>
      <c r="P29" s="5"/>
      <c r="Q29" s="5"/>
      <c r="S29" s="7"/>
      <c r="T29" s="5"/>
      <c r="U29" s="5"/>
      <c r="V29" s="5"/>
      <c r="X29" s="7"/>
      <c r="Y29" s="5"/>
      <c r="Z29" s="5"/>
    </row>
    <row r="30" spans="1:26" x14ac:dyDescent="0.35">
      <c r="A30" s="32">
        <v>2023</v>
      </c>
      <c r="B30" s="5">
        <v>322312.32860000001</v>
      </c>
      <c r="C30">
        <v>14</v>
      </c>
      <c r="D30" s="7">
        <v>4</v>
      </c>
      <c r="E30" s="5">
        <v>67212.538599999971</v>
      </c>
      <c r="F30" s="5">
        <v>4.1494266320227542</v>
      </c>
      <c r="G30" s="5">
        <v>164310.50334</v>
      </c>
      <c r="H30">
        <v>10</v>
      </c>
      <c r="I30" s="7">
        <v>2</v>
      </c>
      <c r="J30" s="5">
        <v>25692.813339999997</v>
      </c>
      <c r="K30" s="5">
        <v>0.11139601786447846</v>
      </c>
      <c r="L30" s="5">
        <v>341951.99393999996</v>
      </c>
      <c r="M30">
        <v>19</v>
      </c>
      <c r="N30" s="7">
        <v>3</v>
      </c>
      <c r="O30" s="5">
        <v>78496.213940000001</v>
      </c>
      <c r="P30" s="5">
        <v>0.1204368056323406</v>
      </c>
      <c r="Q30" s="5">
        <v>117755.85552</v>
      </c>
      <c r="R30">
        <v>9</v>
      </c>
      <c r="S30" s="7">
        <v>0</v>
      </c>
      <c r="T30" s="5">
        <v>34526.905519999993</v>
      </c>
      <c r="U30" s="5">
        <v>0.2572743386493419</v>
      </c>
      <c r="V30" s="5">
        <v>946330.6814</v>
      </c>
      <c r="W30">
        <v>52</v>
      </c>
      <c r="X30" s="7">
        <v>9</v>
      </c>
      <c r="Y30" s="5">
        <v>205928.47139999995</v>
      </c>
      <c r="Z30" s="5">
        <v>1.2271096419581131</v>
      </c>
    </row>
    <row r="31" spans="1:26" x14ac:dyDescent="0.35">
      <c r="A31" s="32">
        <v>2024</v>
      </c>
      <c r="B31" s="5">
        <v>116921.41566999999</v>
      </c>
      <c r="C31">
        <v>7</v>
      </c>
      <c r="D31" s="7">
        <v>1</v>
      </c>
      <c r="E31" s="5">
        <v>36881.695669999994</v>
      </c>
      <c r="F31" s="5">
        <v>0.28600774853344896</v>
      </c>
      <c r="G31" s="5">
        <v>93243.431930000006</v>
      </c>
      <c r="H31">
        <v>8</v>
      </c>
      <c r="I31" s="7">
        <v>1</v>
      </c>
      <c r="J31" s="5">
        <v>35288.401930000007</v>
      </c>
      <c r="K31" s="5">
        <v>0.35753271668113679</v>
      </c>
      <c r="L31" s="5">
        <v>221621.69147999998</v>
      </c>
      <c r="M31">
        <v>11</v>
      </c>
      <c r="N31" s="7">
        <v>2</v>
      </c>
      <c r="O31" s="5">
        <v>39902.851479999998</v>
      </c>
      <c r="P31" s="5">
        <v>0.18358636037412709</v>
      </c>
      <c r="Q31" s="5">
        <v>255178.90878999999</v>
      </c>
      <c r="R31">
        <v>14</v>
      </c>
      <c r="S31" s="7">
        <v>3</v>
      </c>
      <c r="T31" s="5">
        <v>89114.368789999979</v>
      </c>
      <c r="U31" s="5">
        <v>2.039782862645851</v>
      </c>
      <c r="V31" s="5">
        <v>686965.44787000015</v>
      </c>
      <c r="W31">
        <v>40</v>
      </c>
      <c r="X31" s="7">
        <v>7</v>
      </c>
      <c r="Y31" s="5">
        <v>201187.31787000003</v>
      </c>
      <c r="Z31" s="5">
        <v>0.88596815035851351</v>
      </c>
    </row>
    <row r="32" spans="1:26" x14ac:dyDescent="0.35">
      <c r="A32" s="32">
        <v>2025</v>
      </c>
      <c r="B32" s="5">
        <v>78848.445439999996</v>
      </c>
      <c r="C32">
        <v>4</v>
      </c>
      <c r="D32" s="7">
        <v>0</v>
      </c>
      <c r="E32" s="5">
        <v>36437.405439999988</v>
      </c>
      <c r="F32" s="5">
        <v>0.39377134905885164</v>
      </c>
      <c r="G32" s="5">
        <v>45299.643950000005</v>
      </c>
      <c r="H32">
        <v>5</v>
      </c>
      <c r="I32" s="7">
        <v>1</v>
      </c>
      <c r="J32" s="5">
        <v>8054.4939499999991</v>
      </c>
      <c r="K32" s="5">
        <v>0.136864476162225</v>
      </c>
      <c r="L32" s="5">
        <v>129567.99442</v>
      </c>
      <c r="M32">
        <v>6</v>
      </c>
      <c r="N32" s="7">
        <v>2</v>
      </c>
      <c r="O32" s="5">
        <v>34859.494419999995</v>
      </c>
      <c r="P32" s="5">
        <v>0.18032737857373396</v>
      </c>
      <c r="Q32" s="5">
        <v>91875.653900000005</v>
      </c>
      <c r="R32">
        <v>5</v>
      </c>
      <c r="S32" s="7">
        <v>1</v>
      </c>
      <c r="T32" s="5">
        <v>26445.2039</v>
      </c>
      <c r="U32" s="5">
        <v>0.28009961251328397</v>
      </c>
      <c r="V32" s="5">
        <v>345591.73771000002</v>
      </c>
      <c r="W32">
        <v>20</v>
      </c>
      <c r="X32" s="7">
        <v>4</v>
      </c>
      <c r="Y32" s="5">
        <v>105796.59770999999</v>
      </c>
      <c r="Z32" s="5">
        <v>0.23709350555276773</v>
      </c>
    </row>
    <row r="33" spans="1:26" x14ac:dyDescent="0.35">
      <c r="A33" s="11" t="s">
        <v>1443</v>
      </c>
      <c r="B33" s="5">
        <v>2596996.3965399996</v>
      </c>
      <c r="C33">
        <v>145</v>
      </c>
      <c r="D33" s="7">
        <v>39</v>
      </c>
      <c r="E33" s="5">
        <v>837024.40653999988</v>
      </c>
      <c r="F33" s="5">
        <v>0.63030066782210792</v>
      </c>
      <c r="G33" s="5">
        <v>2688750.0213399981</v>
      </c>
      <c r="H33">
        <v>157</v>
      </c>
      <c r="I33" s="7">
        <v>33</v>
      </c>
      <c r="J33" s="5">
        <v>862340.77134000009</v>
      </c>
      <c r="K33" s="5">
        <v>0.25276677798690117</v>
      </c>
      <c r="L33" s="5">
        <v>2841471.9176499988</v>
      </c>
      <c r="M33">
        <v>171</v>
      </c>
      <c r="N33" s="7">
        <v>30</v>
      </c>
      <c r="O33" s="5">
        <v>831257.72765000002</v>
      </c>
      <c r="P33" s="5">
        <v>0.22705643938821352</v>
      </c>
      <c r="Q33" s="5">
        <v>2798749.26993</v>
      </c>
      <c r="R33">
        <v>159</v>
      </c>
      <c r="S33" s="7">
        <v>36</v>
      </c>
      <c r="T33" s="5">
        <v>867596.98993000016</v>
      </c>
      <c r="U33" s="5">
        <v>1.9998039050094711</v>
      </c>
      <c r="V33" s="5">
        <v>10925967.605459999</v>
      </c>
      <c r="W33">
        <v>632</v>
      </c>
      <c r="X33" s="7">
        <v>138</v>
      </c>
      <c r="Y33" s="5">
        <v>3398219.8954599998</v>
      </c>
      <c r="Z33" s="5">
        <v>0.77195166615512578</v>
      </c>
    </row>
    <row r="38" spans="1:26" x14ac:dyDescent="0.35">
      <c r="A38" s="10" t="s">
        <v>1487</v>
      </c>
      <c r="B38" s="10" t="s">
        <v>1444</v>
      </c>
    </row>
    <row r="39" spans="1:26" x14ac:dyDescent="0.35">
      <c r="A39" s="10" t="s">
        <v>1442</v>
      </c>
      <c r="B39" t="s">
        <v>711</v>
      </c>
      <c r="C39" t="s">
        <v>710</v>
      </c>
      <c r="D39" t="s">
        <v>709</v>
      </c>
      <c r="E39" t="s">
        <v>708</v>
      </c>
      <c r="F39" t="s">
        <v>707</v>
      </c>
    </row>
    <row r="40" spans="1:26" x14ac:dyDescent="0.35">
      <c r="A40" s="11" t="s">
        <v>646</v>
      </c>
      <c r="B40">
        <v>177770.18629999997</v>
      </c>
      <c r="C40">
        <v>208429.3297</v>
      </c>
      <c r="D40">
        <v>164839.30456000002</v>
      </c>
      <c r="E40">
        <v>145453.94626999996</v>
      </c>
      <c r="F40">
        <v>140531.63970999996</v>
      </c>
    </row>
    <row r="41" spans="1:26" x14ac:dyDescent="0.35">
      <c r="A41" s="11" t="s">
        <v>648</v>
      </c>
      <c r="B41">
        <v>258674.92591000005</v>
      </c>
      <c r="C41">
        <v>175298.68432</v>
      </c>
      <c r="D41">
        <v>97387.60751999999</v>
      </c>
      <c r="E41">
        <v>261943.84436999995</v>
      </c>
      <c r="F41">
        <v>69035.70921999999</v>
      </c>
    </row>
    <row r="42" spans="1:26" x14ac:dyDescent="0.35">
      <c r="A42" s="11" t="s">
        <v>647</v>
      </c>
      <c r="B42">
        <v>229217.47857999997</v>
      </c>
      <c r="C42">
        <v>151146.74599000002</v>
      </c>
      <c r="D42">
        <v>144575.43307</v>
      </c>
      <c r="E42">
        <v>153059.51016999999</v>
      </c>
      <c r="F42">
        <v>153258.55984000003</v>
      </c>
    </row>
    <row r="43" spans="1:26" x14ac:dyDescent="0.35">
      <c r="A43" s="11" t="s">
        <v>649</v>
      </c>
      <c r="B43">
        <v>300745.65849999996</v>
      </c>
      <c r="C43">
        <v>105550.85219999999</v>
      </c>
      <c r="D43">
        <v>111146.83825000002</v>
      </c>
      <c r="E43">
        <v>200067.16277000002</v>
      </c>
      <c r="F43">
        <v>150086.47820999997</v>
      </c>
    </row>
    <row r="45" spans="1:26" x14ac:dyDescent="0.35">
      <c r="A45" s="10" t="s">
        <v>1442</v>
      </c>
      <c r="B45" t="s">
        <v>1445</v>
      </c>
    </row>
    <row r="46" spans="1:26" x14ac:dyDescent="0.35">
      <c r="A46" s="11" t="s">
        <v>1198</v>
      </c>
      <c r="B46">
        <v>84136.119600000005</v>
      </c>
    </row>
    <row r="47" spans="1:26" x14ac:dyDescent="0.35">
      <c r="A47" s="11" t="s">
        <v>971</v>
      </c>
      <c r="B47">
        <v>139277.83032000001</v>
      </c>
    </row>
    <row r="48" spans="1:26" x14ac:dyDescent="0.35">
      <c r="A48" s="11" t="s">
        <v>1096</v>
      </c>
      <c r="B48">
        <v>82514.711519999997</v>
      </c>
    </row>
    <row r="49" spans="1:4" x14ac:dyDescent="0.35">
      <c r="A49" s="11" t="s">
        <v>1155</v>
      </c>
      <c r="B49">
        <v>102122.94203999999</v>
      </c>
    </row>
    <row r="50" spans="1:4" x14ac:dyDescent="0.35">
      <c r="A50" s="11" t="s">
        <v>874</v>
      </c>
      <c r="B50">
        <v>87404.929919999995</v>
      </c>
    </row>
    <row r="51" spans="1:4" x14ac:dyDescent="0.35">
      <c r="A51" s="11" t="s">
        <v>899</v>
      </c>
      <c r="B51">
        <v>85637.740319999997</v>
      </c>
    </row>
    <row r="52" spans="1:4" x14ac:dyDescent="0.35">
      <c r="A52" s="11" t="s">
        <v>909</v>
      </c>
      <c r="B52">
        <v>92715.25</v>
      </c>
    </row>
    <row r="53" spans="1:4" x14ac:dyDescent="0.35">
      <c r="A53" s="11" t="s">
        <v>781</v>
      </c>
      <c r="B53">
        <v>109244</v>
      </c>
    </row>
    <row r="54" spans="1:4" x14ac:dyDescent="0.35">
      <c r="A54" s="11" t="s">
        <v>1010</v>
      </c>
      <c r="B54">
        <v>79548.755999999994</v>
      </c>
    </row>
    <row r="55" spans="1:4" x14ac:dyDescent="0.35">
      <c r="A55" s="11" t="s">
        <v>1345</v>
      </c>
      <c r="B55">
        <v>82141.339799999987</v>
      </c>
    </row>
    <row r="57" spans="1:4" ht="15.5" x14ac:dyDescent="0.35">
      <c r="A57" s="40"/>
    </row>
    <row r="58" spans="1:4" x14ac:dyDescent="0.35">
      <c r="A58" s="44"/>
      <c r="B58" s="44"/>
      <c r="C58" s="44"/>
      <c r="D58" s="44"/>
    </row>
    <row r="59" spans="1:4" x14ac:dyDescent="0.35">
      <c r="A59" s="44"/>
      <c r="B59" s="44"/>
      <c r="C59" s="44"/>
      <c r="D59" s="44"/>
    </row>
    <row r="60" spans="1:4" x14ac:dyDescent="0.35">
      <c r="A60" s="44"/>
      <c r="B60" s="44"/>
      <c r="C60" s="44"/>
      <c r="D60" s="44"/>
    </row>
    <row r="61" spans="1:4" x14ac:dyDescent="0.35">
      <c r="A61" s="44"/>
      <c r="B61" s="44"/>
      <c r="C61" s="44"/>
      <c r="D61" s="44"/>
    </row>
    <row r="62" spans="1:4" x14ac:dyDescent="0.35">
      <c r="A62" s="44"/>
      <c r="B62" s="44"/>
      <c r="C62" s="44"/>
      <c r="D62" s="44"/>
    </row>
    <row r="63" spans="1:4" x14ac:dyDescent="0.35">
      <c r="A63" s="44"/>
      <c r="B63" s="44"/>
      <c r="C63" s="44"/>
      <c r="D63" s="44"/>
    </row>
    <row r="64" spans="1:4" x14ac:dyDescent="0.35">
      <c r="A64" s="44"/>
      <c r="B64" s="44"/>
      <c r="C64" s="44"/>
      <c r="D64" s="44"/>
    </row>
    <row r="65" spans="1:4" x14ac:dyDescent="0.35">
      <c r="A65" s="44"/>
      <c r="B65" s="44"/>
      <c r="C65" s="44"/>
      <c r="D65" s="44"/>
    </row>
    <row r="66" spans="1:4" x14ac:dyDescent="0.35">
      <c r="A66" s="44"/>
      <c r="B66" s="44"/>
      <c r="C66" s="44"/>
      <c r="D66" s="44"/>
    </row>
    <row r="67" spans="1:4" x14ac:dyDescent="0.35">
      <c r="A67" s="44"/>
      <c r="B67" s="44"/>
      <c r="C67" s="44"/>
      <c r="D67" s="44"/>
    </row>
    <row r="68" spans="1:4" x14ac:dyDescent="0.35">
      <c r="A68" s="44"/>
      <c r="B68" s="44"/>
      <c r="C68" s="44"/>
      <c r="D68" s="44"/>
    </row>
    <row r="69" spans="1:4" x14ac:dyDescent="0.35">
      <c r="A69" s="44"/>
      <c r="B69" s="44"/>
      <c r="C69" s="44"/>
      <c r="D69" s="44"/>
    </row>
    <row r="70" spans="1:4" x14ac:dyDescent="0.35">
      <c r="A70" s="44"/>
      <c r="B70" s="44"/>
      <c r="C70" s="44"/>
      <c r="D70" s="44"/>
    </row>
    <row r="71" spans="1:4" x14ac:dyDescent="0.35">
      <c r="A71" s="44"/>
      <c r="B71" s="44"/>
      <c r="C71" s="44"/>
      <c r="D71" s="44"/>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2B373-3126-4154-8457-90C0A437D5EC}">
  <dimension ref="A1:T39"/>
  <sheetViews>
    <sheetView tabSelected="1" workbookViewId="0">
      <selection activeCell="I26" sqref="I26"/>
    </sheetView>
  </sheetViews>
  <sheetFormatPr defaultRowHeight="14.5" x14ac:dyDescent="0.35"/>
  <cols>
    <col min="1" max="16384" width="8.7265625" style="36"/>
  </cols>
  <sheetData>
    <row r="1" spans="1:20" ht="14.5" customHeight="1" x14ac:dyDescent="0.35">
      <c r="A1" s="35"/>
      <c r="B1" s="60" t="s">
        <v>1479</v>
      </c>
      <c r="C1" s="60"/>
      <c r="D1" s="60"/>
      <c r="E1" s="60"/>
      <c r="F1" s="60"/>
      <c r="G1" s="60"/>
      <c r="H1" s="60"/>
      <c r="I1" s="60"/>
      <c r="J1" s="60"/>
      <c r="K1" s="60"/>
      <c r="L1" s="60"/>
      <c r="M1" s="60"/>
      <c r="N1" s="60"/>
      <c r="O1" s="60"/>
      <c r="P1" s="60"/>
      <c r="Q1" s="60"/>
      <c r="R1" s="60"/>
      <c r="T1" s="39"/>
    </row>
    <row r="2" spans="1:20" ht="15" thickBot="1" x14ac:dyDescent="0.4">
      <c r="B2" s="60"/>
      <c r="C2" s="60"/>
      <c r="D2" s="60"/>
      <c r="E2" s="60"/>
      <c r="F2" s="60"/>
      <c r="G2" s="60"/>
      <c r="H2" s="60"/>
      <c r="I2" s="60"/>
      <c r="J2" s="60"/>
      <c r="K2" s="60"/>
      <c r="L2" s="60"/>
      <c r="M2" s="60"/>
      <c r="N2" s="60"/>
      <c r="O2" s="60"/>
      <c r="P2" s="60"/>
      <c r="Q2" s="60"/>
      <c r="R2" s="60"/>
    </row>
    <row r="3" spans="1:20" ht="21" x14ac:dyDescent="0.5">
      <c r="A3" s="61" t="s">
        <v>1480</v>
      </c>
      <c r="B3" s="62"/>
      <c r="C3" s="63"/>
      <c r="E3" s="61" t="s">
        <v>1481</v>
      </c>
      <c r="F3" s="62"/>
      <c r="G3" s="63"/>
      <c r="I3" s="61" t="s">
        <v>1482</v>
      </c>
      <c r="J3" s="62"/>
      <c r="K3" s="63"/>
      <c r="M3" s="61" t="s">
        <v>1483</v>
      </c>
      <c r="N3" s="62"/>
      <c r="O3" s="63"/>
      <c r="Q3" s="61" t="s">
        <v>1484</v>
      </c>
      <c r="R3" s="62"/>
      <c r="S3" s="63"/>
    </row>
    <row r="4" spans="1:20" ht="14.5" customHeight="1" x14ac:dyDescent="0.35">
      <c r="A4" s="48">
        <f>GETPIVOTDATA("Sum of gross_revenue",channelmix!$A$10)</f>
        <v>10925967.605459999</v>
      </c>
      <c r="B4" s="49"/>
      <c r="C4" s="50"/>
      <c r="E4" s="48">
        <f>GETPIVOTDATA("Sum of gross_profit",channelmix!$A$10)</f>
        <v>3398219.8954599998</v>
      </c>
      <c r="F4" s="49"/>
      <c r="G4" s="50"/>
      <c r="I4" s="54">
        <f>GETPIVOTDATA("Average of Margin %",channelmix!$A$10)</f>
        <v>0.77195166615512578</v>
      </c>
      <c r="J4" s="55"/>
      <c r="K4" s="56"/>
      <c r="M4" s="48">
        <f>IF(GETPIVOTDATA("Count of short_order_id",channelmix!$A$10)=0,0,A4/GETPIVOTDATA("Count of short_order_id",channelmix!$A$10))</f>
        <v>17287.923426360758</v>
      </c>
      <c r="N4" s="49"/>
      <c r="O4" s="50"/>
      <c r="Q4" s="54">
        <f>IF(GETPIVOTDATA("Count of short_order_id",channelmix!$A$10)=0,0,GETPIVOTDATA("Sum of lead_proxy",channelmix!$A$10)/GETPIVOTDATA("Count of short_order_id",channelmix!$A$10))</f>
        <v>0.21835443037974683</v>
      </c>
      <c r="R4" s="55"/>
      <c r="S4" s="56"/>
    </row>
    <row r="5" spans="1:20" ht="15" customHeight="1" thickBot="1" x14ac:dyDescent="0.4">
      <c r="A5" s="51"/>
      <c r="B5" s="52"/>
      <c r="C5" s="53"/>
      <c r="E5" s="51"/>
      <c r="F5" s="52"/>
      <c r="G5" s="53"/>
      <c r="I5" s="57"/>
      <c r="J5" s="58"/>
      <c r="K5" s="59"/>
      <c r="M5" s="51"/>
      <c r="N5" s="52"/>
      <c r="O5" s="53"/>
      <c r="Q5" s="57"/>
      <c r="R5" s="58"/>
      <c r="S5" s="59"/>
    </row>
    <row r="22" spans="1:11" ht="22" customHeight="1" x14ac:dyDescent="0.35">
      <c r="A22"/>
      <c r="B22"/>
      <c r="C22"/>
      <c r="D22"/>
      <c r="E22"/>
      <c r="F22"/>
      <c r="G22"/>
      <c r="H22"/>
      <c r="I22"/>
      <c r="J22"/>
      <c r="K22"/>
    </row>
    <row r="23" spans="1:11" ht="30" customHeight="1" x14ac:dyDescent="0.35">
      <c r="A23"/>
      <c r="B23"/>
      <c r="C23"/>
      <c r="D23"/>
      <c r="E23"/>
      <c r="F23"/>
      <c r="G23"/>
      <c r="H23"/>
      <c r="I23"/>
      <c r="J23"/>
      <c r="K23"/>
    </row>
    <row r="24" spans="1:11" ht="30" customHeight="1" x14ac:dyDescent="0.35">
      <c r="A24"/>
      <c r="B24"/>
      <c r="C24"/>
      <c r="D24"/>
      <c r="E24"/>
      <c r="F24"/>
      <c r="G24"/>
      <c r="H24"/>
      <c r="I24"/>
      <c r="J24"/>
      <c r="K24"/>
    </row>
    <row r="25" spans="1:11" ht="30" customHeight="1" x14ac:dyDescent="0.35">
      <c r="A25"/>
      <c r="B25"/>
      <c r="C25"/>
      <c r="D25"/>
      <c r="E25"/>
      <c r="F25"/>
      <c r="G25"/>
      <c r="H25"/>
      <c r="I25"/>
      <c r="J25"/>
      <c r="K25"/>
    </row>
    <row r="26" spans="1:11" ht="30" customHeight="1" x14ac:dyDescent="0.35">
      <c r="A26"/>
      <c r="B26"/>
      <c r="C26"/>
      <c r="D26"/>
      <c r="E26"/>
      <c r="F26"/>
      <c r="G26"/>
      <c r="H26"/>
      <c r="I26"/>
      <c r="J26"/>
      <c r="K26"/>
    </row>
    <row r="27" spans="1:11" ht="30" customHeight="1" x14ac:dyDescent="0.35">
      <c r="A27"/>
      <c r="B27"/>
      <c r="C27"/>
      <c r="D27"/>
      <c r="E27"/>
      <c r="F27"/>
      <c r="G27"/>
      <c r="H27"/>
      <c r="I27"/>
      <c r="J27"/>
      <c r="K27"/>
    </row>
    <row r="28" spans="1:11" ht="30" customHeight="1" x14ac:dyDescent="0.35">
      <c r="A28"/>
      <c r="B28"/>
      <c r="C28"/>
      <c r="D28"/>
      <c r="E28"/>
      <c r="F28"/>
      <c r="G28"/>
      <c r="H28"/>
      <c r="I28"/>
      <c r="J28"/>
      <c r="K28"/>
    </row>
    <row r="29" spans="1:11" ht="30" customHeight="1" x14ac:dyDescent="0.35">
      <c r="A29"/>
      <c r="B29"/>
      <c r="C29"/>
      <c r="D29"/>
      <c r="E29"/>
      <c r="F29"/>
      <c r="G29"/>
      <c r="H29"/>
      <c r="I29"/>
      <c r="J29"/>
      <c r="K29"/>
    </row>
    <row r="30" spans="1:11" ht="30" customHeight="1" x14ac:dyDescent="0.35">
      <c r="A30"/>
      <c r="B30"/>
      <c r="C30"/>
      <c r="D30"/>
      <c r="E30"/>
      <c r="F30"/>
      <c r="G30"/>
      <c r="H30"/>
      <c r="I30"/>
      <c r="J30"/>
      <c r="K30"/>
    </row>
    <row r="31" spans="1:11" ht="24" customHeight="1" x14ac:dyDescent="0.45">
      <c r="A31" s="47"/>
    </row>
    <row r="32" spans="1:11" ht="30" customHeight="1" x14ac:dyDescent="0.35">
      <c r="A32" s="46"/>
      <c r="B32" s="46"/>
      <c r="C32" s="46"/>
      <c r="D32" s="46"/>
      <c r="E32" s="46"/>
      <c r="F32" s="46"/>
      <c r="G32" s="46"/>
      <c r="H32" s="46"/>
      <c r="I32" s="46"/>
      <c r="J32" s="46"/>
      <c r="K32" s="46"/>
    </row>
    <row r="33" spans="1:14" ht="30" customHeight="1" x14ac:dyDescent="0.35">
      <c r="A33" s="46"/>
      <c r="B33" s="46"/>
      <c r="C33" s="46"/>
      <c r="D33" s="46"/>
      <c r="E33" s="46"/>
      <c r="F33" s="46"/>
      <c r="G33" s="46"/>
      <c r="H33" s="46"/>
      <c r="I33" s="46"/>
      <c r="J33" s="46"/>
      <c r="K33" s="46"/>
      <c r="L33" s="36" t="s">
        <v>1488</v>
      </c>
    </row>
    <row r="34" spans="1:14" ht="30" customHeight="1" x14ac:dyDescent="0.35">
      <c r="A34" s="46"/>
      <c r="B34" s="46"/>
      <c r="C34" s="46"/>
      <c r="D34" s="46"/>
      <c r="E34" s="46"/>
      <c r="F34" s="46"/>
      <c r="G34" s="46"/>
      <c r="H34" s="46"/>
      <c r="I34" s="46"/>
      <c r="J34" s="46"/>
      <c r="K34" s="46"/>
    </row>
    <row r="35" spans="1:14" ht="30" customHeight="1" x14ac:dyDescent="0.35">
      <c r="A35" s="46"/>
      <c r="B35" s="46"/>
      <c r="C35" s="46"/>
      <c r="D35" s="46"/>
      <c r="E35" s="46"/>
      <c r="F35" s="46"/>
      <c r="G35" s="46"/>
      <c r="H35" s="46"/>
      <c r="I35" s="46"/>
      <c r="J35" s="46"/>
      <c r="K35" s="46"/>
      <c r="L35" s="36" t="s">
        <v>1488</v>
      </c>
      <c r="N35" s="36" t="s">
        <v>1488</v>
      </c>
    </row>
    <row r="36" spans="1:14" ht="30" customHeight="1" x14ac:dyDescent="0.35">
      <c r="A36" s="46"/>
      <c r="B36" s="46"/>
      <c r="C36" s="46"/>
      <c r="D36" s="46"/>
      <c r="E36" s="46"/>
      <c r="F36" s="46"/>
      <c r="G36" s="46"/>
      <c r="H36" s="46"/>
      <c r="I36" s="46"/>
      <c r="J36" s="46"/>
      <c r="K36" s="46"/>
    </row>
    <row r="37" spans="1:14" ht="30" customHeight="1" x14ac:dyDescent="0.35">
      <c r="A37" s="46"/>
      <c r="B37" s="46"/>
      <c r="C37" s="46"/>
      <c r="D37" s="46"/>
      <c r="E37" s="46"/>
      <c r="F37" s="46"/>
      <c r="G37" s="46"/>
      <c r="H37" s="46"/>
      <c r="I37" s="46"/>
      <c r="J37" s="46"/>
      <c r="K37" s="46"/>
    </row>
    <row r="38" spans="1:14" ht="30" customHeight="1" x14ac:dyDescent="0.35">
      <c r="A38" s="46"/>
      <c r="B38" s="46"/>
      <c r="C38" s="46"/>
      <c r="D38" s="46"/>
      <c r="E38" s="46"/>
      <c r="F38" s="46"/>
      <c r="G38" s="46"/>
      <c r="H38" s="46"/>
      <c r="I38" s="46"/>
      <c r="J38" s="46"/>
      <c r="K38" s="46"/>
    </row>
    <row r="39" spans="1:14" ht="30" customHeight="1" x14ac:dyDescent="0.35">
      <c r="A39" s="46"/>
      <c r="B39" s="46"/>
      <c r="C39" s="46"/>
      <c r="D39" s="46"/>
      <c r="E39" s="46"/>
      <c r="F39" s="46"/>
      <c r="G39" s="46"/>
      <c r="H39" s="46"/>
      <c r="I39" s="46"/>
      <c r="J39" s="46"/>
      <c r="K39" s="46"/>
    </row>
  </sheetData>
  <sheetProtection sheet="1" formatCells="0" formatColumns="0" formatRows="0" insertColumns="0" insertRows="0" insertHyperlinks="0" deleteColumns="0" deleteRows="0" sort="0" autoFilter="0" pivotTables="0"/>
  <mergeCells count="11">
    <mergeCell ref="B1:R2"/>
    <mergeCell ref="A3:C3"/>
    <mergeCell ref="E3:G3"/>
    <mergeCell ref="I3:K3"/>
    <mergeCell ref="M3:O3"/>
    <mergeCell ref="Q3:S3"/>
    <mergeCell ref="A4:C5"/>
    <mergeCell ref="E4:G5"/>
    <mergeCell ref="I4:K5"/>
    <mergeCell ref="M4:O5"/>
    <mergeCell ref="Q4:S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1CC7-8536-4617-A6C3-5A246F97AE47}">
  <dimension ref="A1:M631"/>
  <sheetViews>
    <sheetView workbookViewId="0">
      <pane ySplit="1" topLeftCell="A116" activePane="bottomLeft" state="frozen"/>
      <selection pane="bottomLeft" activeCell="C2" sqref="C2"/>
    </sheetView>
  </sheetViews>
  <sheetFormatPr defaultRowHeight="14.5" x14ac:dyDescent="0.35"/>
  <cols>
    <col min="1" max="1" width="20" customWidth="1"/>
    <col min="2" max="2" width="14.54296875" customWidth="1"/>
    <col min="3" max="5" width="17.26953125" style="5" customWidth="1"/>
    <col min="9" max="9" width="20" customWidth="1"/>
  </cols>
  <sheetData>
    <row r="1" spans="1:13" x14ac:dyDescent="0.35">
      <c r="A1" s="37" t="s">
        <v>9</v>
      </c>
      <c r="B1" s="37" t="s">
        <v>10</v>
      </c>
      <c r="C1" s="45" t="s">
        <v>1495</v>
      </c>
      <c r="D1" s="45" t="s">
        <v>1496</v>
      </c>
      <c r="E1" s="45" t="s">
        <v>1497</v>
      </c>
      <c r="F1" s="37" t="s">
        <v>1498</v>
      </c>
      <c r="G1" s="37" t="s">
        <v>1499</v>
      </c>
      <c r="I1" s="64" t="s">
        <v>1500</v>
      </c>
      <c r="J1" s="64"/>
      <c r="K1" s="64"/>
      <c r="L1" s="64"/>
      <c r="M1" s="64"/>
    </row>
    <row r="2" spans="1:13" x14ac:dyDescent="0.35">
      <c r="A2" t="s">
        <v>733</v>
      </c>
      <c r="B2" t="s">
        <v>1080</v>
      </c>
      <c r="C2" s="5">
        <f>SUMIFS(clean_data!$AM:$AM,clean_data!$U:$U,$A2,clean_data!$V:$V,$B2)</f>
        <v>79082.507010000001</v>
      </c>
      <c r="D2" s="5">
        <f>SUMIF(clean_data!$U:$U,$A2,clean_data!$AM:$AM)</f>
        <v>1331102.9440700002</v>
      </c>
      <c r="E2" s="5">
        <f>C2</f>
        <v>79082.507010000001</v>
      </c>
      <c r="F2" s="34">
        <f t="shared" ref="F2:F65" si="0">E2/D2</f>
        <v>5.9411262939736385E-2</v>
      </c>
      <c r="G2" t="str">
        <f t="shared" ref="G2:G65" si="1">IF(F2&lt;=0.8,"A",IF(F2&lt;=0.95,"B","C"))</f>
        <v>A</v>
      </c>
      <c r="I2" s="38" t="s">
        <v>9</v>
      </c>
      <c r="J2" s="38" t="s">
        <v>1501</v>
      </c>
      <c r="K2" s="38" t="s">
        <v>1502</v>
      </c>
      <c r="L2" s="38" t="s">
        <v>1503</v>
      </c>
      <c r="M2" s="38" t="s">
        <v>1504</v>
      </c>
    </row>
    <row r="3" spans="1:13" x14ac:dyDescent="0.35">
      <c r="A3" t="s">
        <v>733</v>
      </c>
      <c r="B3" t="s">
        <v>1053</v>
      </c>
      <c r="C3" s="5">
        <f>SUMIFS(clean_data!$AM:$AM,clean_data!$U:$U,$A3,clean_data!$V:$V,$B3)</f>
        <v>53034.364139999991</v>
      </c>
      <c r="D3" s="5">
        <f>SUMIF(clean_data!$U:$U,$A3,clean_data!$AM:$AM)</f>
        <v>1331102.9440700002</v>
      </c>
      <c r="E3" s="5">
        <f t="shared" ref="E3:E66" si="2">IF(A3=A2,E2+C3,C3)</f>
        <v>132116.87114999999</v>
      </c>
      <c r="F3" s="34">
        <f t="shared" si="0"/>
        <v>9.9253684126065764E-2</v>
      </c>
      <c r="G3" t="str">
        <f t="shared" si="1"/>
        <v>A</v>
      </c>
      <c r="I3" t="s">
        <v>733</v>
      </c>
      <c r="J3">
        <f t="shared" ref="J3:J9" si="3">COUNTIFS($A:$A,$I3,$G:$G,"A")</f>
        <v>43</v>
      </c>
      <c r="K3">
        <f t="shared" ref="K3:K9" si="4">COUNTIFS($A:$A,$I3,$G:$G,"B")</f>
        <v>22</v>
      </c>
      <c r="L3">
        <f t="shared" ref="L3:L9" si="5">COUNTIFS($A:$A,$I3,$G:$G,"C")</f>
        <v>23</v>
      </c>
      <c r="M3">
        <f t="shared" ref="M3:M9" si="6">SUM(J3:L3)</f>
        <v>88</v>
      </c>
    </row>
    <row r="4" spans="1:13" x14ac:dyDescent="0.35">
      <c r="A4" t="s">
        <v>733</v>
      </c>
      <c r="B4" t="s">
        <v>1288</v>
      </c>
      <c r="C4" s="5">
        <f>SUMIFS(clean_data!$AM:$AM,clean_data!$U:$U,$A4,clean_data!$V:$V,$B4)</f>
        <v>46450.26</v>
      </c>
      <c r="D4" s="5">
        <f>SUMIF(clean_data!$U:$U,$A4,clean_data!$AM:$AM)</f>
        <v>1331102.9440700002</v>
      </c>
      <c r="E4" s="5">
        <f t="shared" si="2"/>
        <v>178567.13115</v>
      </c>
      <c r="F4" s="34">
        <f t="shared" si="0"/>
        <v>0.13414975298905921</v>
      </c>
      <c r="G4" t="str">
        <f t="shared" si="1"/>
        <v>A</v>
      </c>
      <c r="I4" t="s">
        <v>727</v>
      </c>
      <c r="J4">
        <f t="shared" si="3"/>
        <v>39</v>
      </c>
      <c r="K4">
        <f t="shared" si="4"/>
        <v>25</v>
      </c>
      <c r="L4">
        <f t="shared" si="5"/>
        <v>26</v>
      </c>
      <c r="M4">
        <f t="shared" si="6"/>
        <v>90</v>
      </c>
    </row>
    <row r="5" spans="1:13" x14ac:dyDescent="0.35">
      <c r="A5" t="s">
        <v>733</v>
      </c>
      <c r="B5" t="s">
        <v>1040</v>
      </c>
      <c r="C5" s="5">
        <f>SUMIFS(clean_data!$AM:$AM,clean_data!$U:$U,$A5,clean_data!$V:$V,$B5)</f>
        <v>43084.872000000003</v>
      </c>
      <c r="D5" s="5">
        <f>SUMIF(clean_data!$U:$U,$A5,clean_data!$AM:$AM)</f>
        <v>1331102.9440700002</v>
      </c>
      <c r="E5" s="5">
        <f t="shared" si="2"/>
        <v>221652.00315</v>
      </c>
      <c r="F5" s="34">
        <f t="shared" si="0"/>
        <v>0.16651755158190359</v>
      </c>
      <c r="G5" t="str">
        <f t="shared" si="1"/>
        <v>A</v>
      </c>
      <c r="I5" t="s">
        <v>731</v>
      </c>
      <c r="J5">
        <f t="shared" si="3"/>
        <v>38</v>
      </c>
      <c r="K5">
        <f t="shared" si="4"/>
        <v>22</v>
      </c>
      <c r="L5">
        <f t="shared" si="5"/>
        <v>21</v>
      </c>
      <c r="M5">
        <f t="shared" si="6"/>
        <v>81</v>
      </c>
    </row>
    <row r="6" spans="1:13" x14ac:dyDescent="0.35">
      <c r="A6" t="s">
        <v>733</v>
      </c>
      <c r="B6" t="s">
        <v>752</v>
      </c>
      <c r="C6" s="5">
        <f>SUMIFS(clean_data!$AM:$AM,clean_data!$U:$U,$A6,clean_data!$V:$V,$B6)</f>
        <v>38096.18406</v>
      </c>
      <c r="D6" s="5">
        <f>SUMIF(clean_data!$U:$U,$A6,clean_data!$AM:$AM)</f>
        <v>1331102.9440700002</v>
      </c>
      <c r="E6" s="5">
        <f t="shared" si="2"/>
        <v>259748.18721</v>
      </c>
      <c r="F6" s="34">
        <f t="shared" si="0"/>
        <v>0.19513756495481113</v>
      </c>
      <c r="G6" t="str">
        <f t="shared" si="1"/>
        <v>A</v>
      </c>
      <c r="I6" t="s">
        <v>732</v>
      </c>
      <c r="J6">
        <f t="shared" si="3"/>
        <v>40</v>
      </c>
      <c r="K6">
        <f t="shared" si="4"/>
        <v>26</v>
      </c>
      <c r="L6">
        <f t="shared" si="5"/>
        <v>28</v>
      </c>
      <c r="M6">
        <f t="shared" si="6"/>
        <v>94</v>
      </c>
    </row>
    <row r="7" spans="1:13" x14ac:dyDescent="0.35">
      <c r="A7" t="s">
        <v>733</v>
      </c>
      <c r="B7" t="s">
        <v>810</v>
      </c>
      <c r="C7" s="5">
        <f>SUMIFS(clean_data!$AM:$AM,clean_data!$U:$U,$A7,clean_data!$V:$V,$B7)</f>
        <v>35396.277799999996</v>
      </c>
      <c r="D7" s="5">
        <f>SUMIF(clean_data!$U:$U,$A7,clean_data!$AM:$AM)</f>
        <v>1331102.9440700002</v>
      </c>
      <c r="E7" s="5">
        <f t="shared" si="2"/>
        <v>295144.46500999999</v>
      </c>
      <c r="F7" s="34">
        <f t="shared" si="0"/>
        <v>0.22172925567091142</v>
      </c>
      <c r="G7" t="str">
        <f t="shared" si="1"/>
        <v>A</v>
      </c>
      <c r="I7" t="s">
        <v>729</v>
      </c>
      <c r="J7">
        <f t="shared" si="3"/>
        <v>36</v>
      </c>
      <c r="K7">
        <f t="shared" si="4"/>
        <v>23</v>
      </c>
      <c r="L7">
        <f t="shared" si="5"/>
        <v>27</v>
      </c>
      <c r="M7">
        <f t="shared" si="6"/>
        <v>86</v>
      </c>
    </row>
    <row r="8" spans="1:13" x14ac:dyDescent="0.35">
      <c r="A8" t="s">
        <v>733</v>
      </c>
      <c r="B8" t="s">
        <v>1094</v>
      </c>
      <c r="C8" s="5">
        <f>SUMIFS(clean_data!$AM:$AM,clean_data!$U:$U,$A8,clean_data!$V:$V,$B8)</f>
        <v>35167.7448</v>
      </c>
      <c r="D8" s="5">
        <f>SUMIF(clean_data!$U:$U,$A8,clean_data!$AM:$AM)</f>
        <v>1331102.9440700002</v>
      </c>
      <c r="E8" s="5">
        <f t="shared" si="2"/>
        <v>330312.20980999997</v>
      </c>
      <c r="F8" s="34">
        <f t="shared" si="0"/>
        <v>0.24814925944047006</v>
      </c>
      <c r="G8" t="str">
        <f t="shared" si="1"/>
        <v>A</v>
      </c>
      <c r="I8" t="s">
        <v>730</v>
      </c>
      <c r="J8">
        <f t="shared" si="3"/>
        <v>40</v>
      </c>
      <c r="K8">
        <f t="shared" si="4"/>
        <v>23</v>
      </c>
      <c r="L8">
        <f t="shared" si="5"/>
        <v>25</v>
      </c>
      <c r="M8">
        <f t="shared" si="6"/>
        <v>88</v>
      </c>
    </row>
    <row r="9" spans="1:13" x14ac:dyDescent="0.35">
      <c r="A9" t="s">
        <v>733</v>
      </c>
      <c r="B9" t="s">
        <v>831</v>
      </c>
      <c r="C9" s="5">
        <f>SUMIFS(clean_data!$AM:$AM,clean_data!$U:$U,$A9,clean_data!$V:$V,$B9)</f>
        <v>34139.159999999996</v>
      </c>
      <c r="D9" s="5">
        <f>SUMIF(clean_data!$U:$U,$A9,clean_data!$AM:$AM)</f>
        <v>1331102.9440700002</v>
      </c>
      <c r="E9" s="5">
        <f t="shared" si="2"/>
        <v>364451.36980999995</v>
      </c>
      <c r="F9" s="34">
        <f t="shared" si="0"/>
        <v>0.27379653199146869</v>
      </c>
      <c r="G9" t="str">
        <f t="shared" si="1"/>
        <v>A</v>
      </c>
      <c r="I9" t="s">
        <v>728</v>
      </c>
      <c r="J9">
        <f t="shared" si="3"/>
        <v>48</v>
      </c>
      <c r="K9">
        <f t="shared" si="4"/>
        <v>27</v>
      </c>
      <c r="L9">
        <f t="shared" si="5"/>
        <v>28</v>
      </c>
      <c r="M9">
        <f t="shared" si="6"/>
        <v>103</v>
      </c>
    </row>
    <row r="10" spans="1:13" x14ac:dyDescent="0.35">
      <c r="A10" t="s">
        <v>733</v>
      </c>
      <c r="B10" t="s">
        <v>811</v>
      </c>
      <c r="C10" s="5">
        <f>SUMIFS(clean_data!$AM:$AM,clean_data!$U:$U,$A10,clean_data!$V:$V,$B10)</f>
        <v>33062.236480000007</v>
      </c>
      <c r="D10" s="5">
        <f>SUMIF(clean_data!$U:$U,$A10,clean_data!$AM:$AM)</f>
        <v>1331102.9440700002</v>
      </c>
      <c r="E10" s="5">
        <f t="shared" si="2"/>
        <v>397513.60628999997</v>
      </c>
      <c r="F10" s="34">
        <f t="shared" si="0"/>
        <v>0.29863475853682392</v>
      </c>
      <c r="G10" t="str">
        <f t="shared" si="1"/>
        <v>A</v>
      </c>
      <c r="I10" s="12" t="s">
        <v>1504</v>
      </c>
      <c r="J10" s="12">
        <f>SUM(J3:J9)</f>
        <v>284</v>
      </c>
      <c r="K10" s="12">
        <f>SUM(K3:K9)</f>
        <v>168</v>
      </c>
      <c r="L10" s="12">
        <f>SUM(L3:L9)</f>
        <v>178</v>
      </c>
      <c r="M10" s="12">
        <f>SUM(M3:M9)</f>
        <v>630</v>
      </c>
    </row>
    <row r="11" spans="1:13" x14ac:dyDescent="0.35">
      <c r="A11" t="s">
        <v>733</v>
      </c>
      <c r="B11" t="s">
        <v>876</v>
      </c>
      <c r="C11" s="5">
        <f>SUMIFS(clean_data!$AM:$AM,clean_data!$U:$U,$A11,clean_data!$V:$V,$B11)</f>
        <v>32086.37586</v>
      </c>
      <c r="D11" s="5">
        <f>SUMIF(clean_data!$U:$U,$A11,clean_data!$AM:$AM)</f>
        <v>1331102.9440700002</v>
      </c>
      <c r="E11" s="5">
        <f t="shared" si="2"/>
        <v>429599.98214999994</v>
      </c>
      <c r="F11" s="34">
        <f t="shared" si="0"/>
        <v>0.3227398632568933</v>
      </c>
      <c r="G11" t="str">
        <f t="shared" si="1"/>
        <v>A</v>
      </c>
    </row>
    <row r="12" spans="1:13" x14ac:dyDescent="0.35">
      <c r="A12" t="s">
        <v>733</v>
      </c>
      <c r="B12" t="s">
        <v>1175</v>
      </c>
      <c r="C12" s="5">
        <f>SUMIFS(clean_data!$AM:$AM,clean_data!$U:$U,$A12,clean_data!$V:$V,$B12)</f>
        <v>31513.085009999999</v>
      </c>
      <c r="D12" s="5">
        <f>SUMIF(clean_data!$U:$U,$A12,clean_data!$AM:$AM)</f>
        <v>1331102.9440700002</v>
      </c>
      <c r="E12" s="5">
        <f t="shared" si="2"/>
        <v>461113.06715999992</v>
      </c>
      <c r="F12" s="34">
        <f t="shared" si="0"/>
        <v>0.34641427938705754</v>
      </c>
      <c r="G12" t="str">
        <f t="shared" si="1"/>
        <v>A</v>
      </c>
    </row>
    <row r="13" spans="1:13" x14ac:dyDescent="0.35">
      <c r="A13" t="s">
        <v>733</v>
      </c>
      <c r="B13" t="s">
        <v>941</v>
      </c>
      <c r="C13" s="5">
        <f>SUMIFS(clean_data!$AM:$AM,clean_data!$U:$U,$A13,clean_data!$V:$V,$B13)</f>
        <v>28386.015839999996</v>
      </c>
      <c r="D13" s="5">
        <f>SUMIF(clean_data!$U:$U,$A13,clean_data!$AM:$AM)</f>
        <v>1331102.9440700002</v>
      </c>
      <c r="E13" s="5">
        <f t="shared" si="2"/>
        <v>489499.08299999993</v>
      </c>
      <c r="F13" s="34">
        <f t="shared" si="0"/>
        <v>0.36773946386392942</v>
      </c>
      <c r="G13" t="str">
        <f t="shared" si="1"/>
        <v>A</v>
      </c>
    </row>
    <row r="14" spans="1:13" x14ac:dyDescent="0.35">
      <c r="A14" t="s">
        <v>733</v>
      </c>
      <c r="B14" t="s">
        <v>1022</v>
      </c>
      <c r="C14" s="5">
        <f>SUMIFS(clean_data!$AM:$AM,clean_data!$U:$U,$A14,clean_data!$V:$V,$B14)</f>
        <v>26765.040239999998</v>
      </c>
      <c r="D14" s="5">
        <f>SUMIF(clean_data!$U:$U,$A14,clean_data!$AM:$AM)</f>
        <v>1331102.9440700002</v>
      </c>
      <c r="E14" s="5">
        <f t="shared" si="2"/>
        <v>516264.12323999993</v>
      </c>
      <c r="F14" s="34">
        <f t="shared" si="0"/>
        <v>0.38784687956700259</v>
      </c>
      <c r="G14" t="str">
        <f t="shared" si="1"/>
        <v>A</v>
      </c>
    </row>
    <row r="15" spans="1:13" x14ac:dyDescent="0.35">
      <c r="A15" t="s">
        <v>733</v>
      </c>
      <c r="B15" t="s">
        <v>921</v>
      </c>
      <c r="C15" s="5">
        <f>SUMIFS(clean_data!$AM:$AM,clean_data!$U:$U,$A15,clean_data!$V:$V,$B15)</f>
        <v>26759.28775</v>
      </c>
      <c r="D15" s="5">
        <f>SUMIF(clean_data!$U:$U,$A15,clean_data!$AM:$AM)</f>
        <v>1331102.9440700002</v>
      </c>
      <c r="E15" s="5">
        <f t="shared" si="2"/>
        <v>543023.41098999989</v>
      </c>
      <c r="F15" s="34">
        <f t="shared" si="0"/>
        <v>0.4079499736734436</v>
      </c>
      <c r="G15" t="str">
        <f t="shared" si="1"/>
        <v>A</v>
      </c>
    </row>
    <row r="16" spans="1:13" x14ac:dyDescent="0.35">
      <c r="A16" t="s">
        <v>733</v>
      </c>
      <c r="B16" t="s">
        <v>1086</v>
      </c>
      <c r="C16" s="5">
        <f>SUMIFS(clean_data!$AM:$AM,clean_data!$U:$U,$A16,clean_data!$V:$V,$B16)</f>
        <v>26552.60298</v>
      </c>
      <c r="D16" s="5">
        <f>SUMIF(clean_data!$U:$U,$A16,clean_data!$AM:$AM)</f>
        <v>1331102.9440700002</v>
      </c>
      <c r="E16" s="5">
        <f t="shared" si="2"/>
        <v>569576.01396999985</v>
      </c>
      <c r="F16" s="34">
        <f t="shared" si="0"/>
        <v>0.42789779446242959</v>
      </c>
      <c r="G16" t="str">
        <f t="shared" si="1"/>
        <v>A</v>
      </c>
    </row>
    <row r="17" spans="1:7" x14ac:dyDescent="0.35">
      <c r="A17" t="s">
        <v>733</v>
      </c>
      <c r="B17" t="s">
        <v>1171</v>
      </c>
      <c r="C17" s="5">
        <f>SUMIFS(clean_data!$AM:$AM,clean_data!$U:$U,$A17,clean_data!$V:$V,$B17)</f>
        <v>24278.849280000002</v>
      </c>
      <c r="D17" s="5">
        <f>SUMIF(clean_data!$U:$U,$A17,clean_data!$AM:$AM)</f>
        <v>1331102.9440700002</v>
      </c>
      <c r="E17" s="5">
        <f t="shared" si="2"/>
        <v>593854.86324999982</v>
      </c>
      <c r="F17" s="34">
        <f t="shared" si="0"/>
        <v>0.44613744255889054</v>
      </c>
      <c r="G17" t="str">
        <f t="shared" si="1"/>
        <v>A</v>
      </c>
    </row>
    <row r="18" spans="1:7" x14ac:dyDescent="0.35">
      <c r="A18" t="s">
        <v>733</v>
      </c>
      <c r="B18" t="s">
        <v>1142</v>
      </c>
      <c r="C18" s="5">
        <f>SUMIFS(clean_data!$AM:$AM,clean_data!$U:$U,$A18,clean_data!$V:$V,$B18)</f>
        <v>23668.560000000001</v>
      </c>
      <c r="D18" s="5">
        <f>SUMIF(clean_data!$U:$U,$A18,clean_data!$AM:$AM)</f>
        <v>1331102.9440700002</v>
      </c>
      <c r="E18" s="5">
        <f t="shared" si="2"/>
        <v>617523.42324999988</v>
      </c>
      <c r="F18" s="34">
        <f t="shared" si="0"/>
        <v>0.4639186067471619</v>
      </c>
      <c r="G18" t="str">
        <f t="shared" si="1"/>
        <v>A</v>
      </c>
    </row>
    <row r="19" spans="1:7" x14ac:dyDescent="0.35">
      <c r="A19" t="s">
        <v>733</v>
      </c>
      <c r="B19" t="s">
        <v>1026</v>
      </c>
      <c r="C19" s="5">
        <f>SUMIFS(clean_data!$AM:$AM,clean_data!$U:$U,$A19,clean_data!$V:$V,$B19)</f>
        <v>23375.594060000003</v>
      </c>
      <c r="D19" s="5">
        <f>SUMIF(clean_data!$U:$U,$A19,clean_data!$AM:$AM)</f>
        <v>1331102.9440700002</v>
      </c>
      <c r="E19" s="5">
        <f t="shared" si="2"/>
        <v>640899.01730999991</v>
      </c>
      <c r="F19" s="34">
        <f t="shared" si="0"/>
        <v>0.48147967831126381</v>
      </c>
      <c r="G19" t="str">
        <f t="shared" si="1"/>
        <v>A</v>
      </c>
    </row>
    <row r="20" spans="1:7" x14ac:dyDescent="0.35">
      <c r="A20" t="s">
        <v>733</v>
      </c>
      <c r="B20" t="s">
        <v>1089</v>
      </c>
      <c r="C20" s="5">
        <f>SUMIFS(clean_data!$AM:$AM,clean_data!$U:$U,$A20,clean_data!$V:$V,$B20)</f>
        <v>23195.01828</v>
      </c>
      <c r="D20" s="5">
        <f>SUMIF(clean_data!$U:$U,$A20,clean_data!$AM:$AM)</f>
        <v>1331102.9440700002</v>
      </c>
      <c r="E20" s="5">
        <f t="shared" si="2"/>
        <v>664094.03558999987</v>
      </c>
      <c r="F20" s="34">
        <f t="shared" si="0"/>
        <v>0.49890509111147785</v>
      </c>
      <c r="G20" t="str">
        <f t="shared" si="1"/>
        <v>A</v>
      </c>
    </row>
    <row r="21" spans="1:7" x14ac:dyDescent="0.35">
      <c r="A21" t="s">
        <v>733</v>
      </c>
      <c r="B21" t="s">
        <v>1212</v>
      </c>
      <c r="C21" s="5">
        <f>SUMIFS(clean_data!$AM:$AM,clean_data!$U:$U,$A21,clean_data!$V:$V,$B21)</f>
        <v>22620.859800000002</v>
      </c>
      <c r="D21" s="5">
        <f>SUMIF(clean_data!$U:$U,$A21,clean_data!$AM:$AM)</f>
        <v>1331102.9440700002</v>
      </c>
      <c r="E21" s="5">
        <f t="shared" si="2"/>
        <v>686714.89538999985</v>
      </c>
      <c r="F21" s="34">
        <f t="shared" si="0"/>
        <v>0.5158991635089395</v>
      </c>
      <c r="G21" t="str">
        <f t="shared" si="1"/>
        <v>A</v>
      </c>
    </row>
    <row r="22" spans="1:7" x14ac:dyDescent="0.35">
      <c r="A22" t="s">
        <v>733</v>
      </c>
      <c r="B22" t="s">
        <v>1255</v>
      </c>
      <c r="C22" s="5">
        <f>SUMIFS(clean_data!$AM:$AM,clean_data!$U:$U,$A22,clean_data!$V:$V,$B22)</f>
        <v>22526.66</v>
      </c>
      <c r="D22" s="5">
        <f>SUMIF(clean_data!$U:$U,$A22,clean_data!$AM:$AM)</f>
        <v>1331102.9440700002</v>
      </c>
      <c r="E22" s="5">
        <f t="shared" si="2"/>
        <v>709241.55538999988</v>
      </c>
      <c r="F22" s="34">
        <f t="shared" si="0"/>
        <v>0.53282246767587516</v>
      </c>
      <c r="G22" t="str">
        <f t="shared" si="1"/>
        <v>A</v>
      </c>
    </row>
    <row r="23" spans="1:7" x14ac:dyDescent="0.35">
      <c r="A23" t="s">
        <v>733</v>
      </c>
      <c r="B23" t="s">
        <v>1270</v>
      </c>
      <c r="C23" s="5">
        <f>SUMIFS(clean_data!$AM:$AM,clean_data!$U:$U,$A23,clean_data!$V:$V,$B23)</f>
        <v>20430.771599999996</v>
      </c>
      <c r="D23" s="5">
        <f>SUMIF(clean_data!$U:$U,$A23,clean_data!$AM:$AM)</f>
        <v>1331102.9440700002</v>
      </c>
      <c r="E23" s="5">
        <f t="shared" si="2"/>
        <v>729672.32698999986</v>
      </c>
      <c r="F23" s="34">
        <f t="shared" si="0"/>
        <v>0.54817122164792365</v>
      </c>
      <c r="G23" t="str">
        <f t="shared" si="1"/>
        <v>A</v>
      </c>
    </row>
    <row r="24" spans="1:7" x14ac:dyDescent="0.35">
      <c r="A24" t="s">
        <v>733</v>
      </c>
      <c r="B24" t="s">
        <v>1285</v>
      </c>
      <c r="C24" s="5">
        <f>SUMIFS(clean_data!$AM:$AM,clean_data!$U:$U,$A24,clean_data!$V:$V,$B24)</f>
        <v>20163.409200000002</v>
      </c>
      <c r="D24" s="5">
        <f>SUMIF(clean_data!$U:$U,$A24,clean_data!$AM:$AM)</f>
        <v>1331102.9440700002</v>
      </c>
      <c r="E24" s="5">
        <f t="shared" si="2"/>
        <v>749835.73618999985</v>
      </c>
      <c r="F24" s="34">
        <f t="shared" si="0"/>
        <v>0.5633191178266731</v>
      </c>
      <c r="G24" t="str">
        <f t="shared" si="1"/>
        <v>A</v>
      </c>
    </row>
    <row r="25" spans="1:7" x14ac:dyDescent="0.35">
      <c r="A25" t="s">
        <v>733</v>
      </c>
      <c r="B25" t="s">
        <v>827</v>
      </c>
      <c r="C25" s="5">
        <f>SUMIFS(clean_data!$AM:$AM,clean_data!$U:$U,$A25,clean_data!$V:$V,$B25)</f>
        <v>20079.343620000003</v>
      </c>
      <c r="D25" s="5">
        <f>SUMIF(clean_data!$U:$U,$A25,clean_data!$AM:$AM)</f>
        <v>1331102.9440700002</v>
      </c>
      <c r="E25" s="5">
        <f t="shared" si="2"/>
        <v>769915.07980999991</v>
      </c>
      <c r="F25" s="34">
        <f t="shared" si="0"/>
        <v>0.57840385917553161</v>
      </c>
      <c r="G25" t="str">
        <f t="shared" si="1"/>
        <v>A</v>
      </c>
    </row>
    <row r="26" spans="1:7" x14ac:dyDescent="0.35">
      <c r="A26" t="s">
        <v>733</v>
      </c>
      <c r="B26" t="s">
        <v>1184</v>
      </c>
      <c r="C26" s="5">
        <f>SUMIFS(clean_data!$AM:$AM,clean_data!$U:$U,$A26,clean_data!$V:$V,$B26)</f>
        <v>19628.476999999999</v>
      </c>
      <c r="D26" s="5">
        <f>SUMIF(clean_data!$U:$U,$A26,clean_data!$AM:$AM)</f>
        <v>1331102.9440700002</v>
      </c>
      <c r="E26" s="5">
        <f t="shared" si="2"/>
        <v>789543.55680999986</v>
      </c>
      <c r="F26" s="34">
        <f t="shared" si="0"/>
        <v>0.59314988395704371</v>
      </c>
      <c r="G26" t="str">
        <f t="shared" si="1"/>
        <v>A</v>
      </c>
    </row>
    <row r="27" spans="1:7" x14ac:dyDescent="0.35">
      <c r="A27" t="s">
        <v>733</v>
      </c>
      <c r="B27" t="s">
        <v>1024</v>
      </c>
      <c r="C27" s="5">
        <f>SUMIFS(clean_data!$AM:$AM,clean_data!$U:$U,$A27,clean_data!$V:$V,$B27)</f>
        <v>19066.045319999997</v>
      </c>
      <c r="D27" s="5">
        <f>SUMIF(clean_data!$U:$U,$A27,clean_data!$AM:$AM)</f>
        <v>1331102.9440700002</v>
      </c>
      <c r="E27" s="5">
        <f t="shared" si="2"/>
        <v>808609.6021299999</v>
      </c>
      <c r="F27" s="34">
        <f t="shared" si="0"/>
        <v>0.60747337817282798</v>
      </c>
      <c r="G27" t="str">
        <f t="shared" si="1"/>
        <v>A</v>
      </c>
    </row>
    <row r="28" spans="1:7" x14ac:dyDescent="0.35">
      <c r="A28" t="s">
        <v>733</v>
      </c>
      <c r="B28" t="s">
        <v>995</v>
      </c>
      <c r="C28" s="5">
        <f>SUMIFS(clean_data!$AM:$AM,clean_data!$U:$U,$A28,clean_data!$V:$V,$B28)</f>
        <v>17964.4038</v>
      </c>
      <c r="D28" s="5">
        <f>SUMIF(clean_data!$U:$U,$A28,clean_data!$AM:$AM)</f>
        <v>1331102.9440700002</v>
      </c>
      <c r="E28" s="5">
        <f t="shared" si="2"/>
        <v>826574.00592999987</v>
      </c>
      <c r="F28" s="34">
        <f t="shared" si="0"/>
        <v>0.6209692568199533</v>
      </c>
      <c r="G28" t="str">
        <f t="shared" si="1"/>
        <v>A</v>
      </c>
    </row>
    <row r="29" spans="1:7" x14ac:dyDescent="0.35">
      <c r="A29" t="s">
        <v>733</v>
      </c>
      <c r="B29" t="s">
        <v>943</v>
      </c>
      <c r="C29" s="5">
        <f>SUMIFS(clean_data!$AM:$AM,clean_data!$U:$U,$A29,clean_data!$V:$V,$B29)</f>
        <v>17847.907199999998</v>
      </c>
      <c r="D29" s="5">
        <f>SUMIF(clean_data!$U:$U,$A29,clean_data!$AM:$AM)</f>
        <v>1331102.9440700002</v>
      </c>
      <c r="E29" s="5">
        <f t="shared" si="2"/>
        <v>844421.91312999988</v>
      </c>
      <c r="F29" s="34">
        <f t="shared" si="0"/>
        <v>0.6343776166162497</v>
      </c>
      <c r="G29" t="str">
        <f t="shared" si="1"/>
        <v>A</v>
      </c>
    </row>
    <row r="30" spans="1:7" x14ac:dyDescent="0.35">
      <c r="A30" t="s">
        <v>733</v>
      </c>
      <c r="B30" t="s">
        <v>1074</v>
      </c>
      <c r="C30" s="5">
        <f>SUMIFS(clean_data!$AM:$AM,clean_data!$U:$U,$A30,clean_data!$V:$V,$B30)</f>
        <v>17067.938400000003</v>
      </c>
      <c r="D30" s="5">
        <f>SUMIF(clean_data!$U:$U,$A30,clean_data!$AM:$AM)</f>
        <v>1331102.9440700002</v>
      </c>
      <c r="E30" s="5">
        <f t="shared" si="2"/>
        <v>861489.85152999987</v>
      </c>
      <c r="F30" s="34">
        <f t="shared" si="0"/>
        <v>0.64720001962875662</v>
      </c>
      <c r="G30" t="str">
        <f t="shared" si="1"/>
        <v>A</v>
      </c>
    </row>
    <row r="31" spans="1:7" x14ac:dyDescent="0.35">
      <c r="A31" t="s">
        <v>733</v>
      </c>
      <c r="B31" t="s">
        <v>800</v>
      </c>
      <c r="C31" s="5">
        <f>SUMIFS(clean_data!$AM:$AM,clean_data!$U:$U,$A31,clean_data!$V:$V,$B31)</f>
        <v>16013.681599999998</v>
      </c>
      <c r="D31" s="5">
        <f>SUMIF(clean_data!$U:$U,$A31,clean_data!$AM:$AM)</f>
        <v>1331102.9440700002</v>
      </c>
      <c r="E31" s="5">
        <f t="shared" si="2"/>
        <v>877503.53312999988</v>
      </c>
      <c r="F31" s="34">
        <f t="shared" si="0"/>
        <v>0.6592304051608</v>
      </c>
      <c r="G31" t="str">
        <f t="shared" si="1"/>
        <v>A</v>
      </c>
    </row>
    <row r="32" spans="1:7" x14ac:dyDescent="0.35">
      <c r="A32" t="s">
        <v>733</v>
      </c>
      <c r="B32" t="s">
        <v>744</v>
      </c>
      <c r="C32" s="5">
        <f>SUMIFS(clean_data!$AM:$AM,clean_data!$U:$U,$A32,clean_data!$V:$V,$B32)</f>
        <v>16006.14344</v>
      </c>
      <c r="D32" s="5">
        <f>SUMIF(clean_data!$U:$U,$A32,clean_data!$AM:$AM)</f>
        <v>1331102.9440700002</v>
      </c>
      <c r="E32" s="5">
        <f t="shared" si="2"/>
        <v>893509.67656999989</v>
      </c>
      <c r="F32" s="34">
        <f t="shared" si="0"/>
        <v>0.67125512759966666</v>
      </c>
      <c r="G32" t="str">
        <f t="shared" si="1"/>
        <v>A</v>
      </c>
    </row>
    <row r="33" spans="1:7" x14ac:dyDescent="0.35">
      <c r="A33" t="s">
        <v>733</v>
      </c>
      <c r="B33" t="s">
        <v>1286</v>
      </c>
      <c r="C33" s="5">
        <f>SUMIFS(clean_data!$AM:$AM,clean_data!$U:$U,$A33,clean_data!$V:$V,$B33)</f>
        <v>15860.782080000001</v>
      </c>
      <c r="D33" s="5">
        <f>SUMIF(clean_data!$U:$U,$A33,clean_data!$AM:$AM)</f>
        <v>1331102.9440700002</v>
      </c>
      <c r="E33" s="5">
        <f t="shared" si="2"/>
        <v>909370.45864999993</v>
      </c>
      <c r="F33" s="34">
        <f t="shared" si="0"/>
        <v>0.68317064634347158</v>
      </c>
      <c r="G33" t="str">
        <f t="shared" si="1"/>
        <v>A</v>
      </c>
    </row>
    <row r="34" spans="1:7" x14ac:dyDescent="0.35">
      <c r="A34" t="s">
        <v>733</v>
      </c>
      <c r="B34" t="s">
        <v>1279</v>
      </c>
      <c r="C34" s="5">
        <f>SUMIFS(clean_data!$AM:$AM,clean_data!$U:$U,$A34,clean_data!$V:$V,$B34)</f>
        <v>15530.929919999999</v>
      </c>
      <c r="D34" s="5">
        <f>SUMIF(clean_data!$U:$U,$A34,clean_data!$AM:$AM)</f>
        <v>1331102.9440700002</v>
      </c>
      <c r="E34" s="5">
        <f t="shared" si="2"/>
        <v>924901.38856999995</v>
      </c>
      <c r="F34" s="34">
        <f t="shared" si="0"/>
        <v>0.69483836144333633</v>
      </c>
      <c r="G34" t="str">
        <f t="shared" si="1"/>
        <v>A</v>
      </c>
    </row>
    <row r="35" spans="1:7" x14ac:dyDescent="0.35">
      <c r="A35" t="s">
        <v>733</v>
      </c>
      <c r="B35" t="s">
        <v>784</v>
      </c>
      <c r="C35" s="5">
        <f>SUMIFS(clean_data!$AM:$AM,clean_data!$U:$U,$A35,clean_data!$V:$V,$B35)</f>
        <v>14894.903999999999</v>
      </c>
      <c r="D35" s="5">
        <f>SUMIF(clean_data!$U:$U,$A35,clean_data!$AM:$AM)</f>
        <v>1331102.9440700002</v>
      </c>
      <c r="E35" s="5">
        <f t="shared" si="2"/>
        <v>939796.29256999993</v>
      </c>
      <c r="F35" s="34">
        <f t="shared" si="0"/>
        <v>0.70602825781187495</v>
      </c>
      <c r="G35" t="str">
        <f t="shared" si="1"/>
        <v>A</v>
      </c>
    </row>
    <row r="36" spans="1:7" x14ac:dyDescent="0.35">
      <c r="A36" t="s">
        <v>733</v>
      </c>
      <c r="B36" t="s">
        <v>1188</v>
      </c>
      <c r="C36" s="5">
        <f>SUMIFS(clean_data!$AM:$AM,clean_data!$U:$U,$A36,clean_data!$V:$V,$B36)</f>
        <v>14752.706080000002</v>
      </c>
      <c r="D36" s="5">
        <f>SUMIF(clean_data!$U:$U,$A36,clean_data!$AM:$AM)</f>
        <v>1331102.9440700002</v>
      </c>
      <c r="E36" s="5">
        <f t="shared" si="2"/>
        <v>954548.99864999996</v>
      </c>
      <c r="F36" s="34">
        <f t="shared" si="0"/>
        <v>0.7171113270408348</v>
      </c>
      <c r="G36" t="str">
        <f t="shared" si="1"/>
        <v>A</v>
      </c>
    </row>
    <row r="37" spans="1:7" x14ac:dyDescent="0.35">
      <c r="A37" t="s">
        <v>733</v>
      </c>
      <c r="B37" t="s">
        <v>904</v>
      </c>
      <c r="C37" s="5">
        <f>SUMIFS(clean_data!$AM:$AM,clean_data!$U:$U,$A37,clean_data!$V:$V,$B37)</f>
        <v>14549.029120000001</v>
      </c>
      <c r="D37" s="5">
        <f>SUMIF(clean_data!$U:$U,$A37,clean_data!$AM:$AM)</f>
        <v>1331102.9440700002</v>
      </c>
      <c r="E37" s="5">
        <f t="shared" si="2"/>
        <v>969098.02776999993</v>
      </c>
      <c r="F37" s="34">
        <f t="shared" si="0"/>
        <v>0.72804138258974271</v>
      </c>
      <c r="G37" t="str">
        <f t="shared" si="1"/>
        <v>A</v>
      </c>
    </row>
    <row r="38" spans="1:7" x14ac:dyDescent="0.35">
      <c r="A38" t="s">
        <v>733</v>
      </c>
      <c r="B38" t="s">
        <v>1128</v>
      </c>
      <c r="C38" s="5">
        <f>SUMIFS(clean_data!$AM:$AM,clean_data!$U:$U,$A38,clean_data!$V:$V,$B38)</f>
        <v>14431.738420000001</v>
      </c>
      <c r="D38" s="5">
        <f>SUMIF(clean_data!$U:$U,$A38,clean_data!$AM:$AM)</f>
        <v>1331102.9440700002</v>
      </c>
      <c r="E38" s="5">
        <f t="shared" si="2"/>
        <v>983529.76618999988</v>
      </c>
      <c r="F38" s="34">
        <f t="shared" si="0"/>
        <v>0.73888332271487933</v>
      </c>
      <c r="G38" t="str">
        <f t="shared" si="1"/>
        <v>A</v>
      </c>
    </row>
    <row r="39" spans="1:7" x14ac:dyDescent="0.35">
      <c r="A39" t="s">
        <v>733</v>
      </c>
      <c r="B39" t="s">
        <v>1338</v>
      </c>
      <c r="C39" s="5">
        <f>SUMIFS(clean_data!$AM:$AM,clean_data!$U:$U,$A39,clean_data!$V:$V,$B39)</f>
        <v>13856.52411</v>
      </c>
      <c r="D39" s="5">
        <f>SUMIF(clean_data!$U:$U,$A39,clean_data!$AM:$AM)</f>
        <v>1331102.9440700002</v>
      </c>
      <c r="E39" s="5">
        <f t="shared" si="2"/>
        <v>997386.29029999988</v>
      </c>
      <c r="F39" s="34">
        <f t="shared" si="0"/>
        <v>0.74929312923790603</v>
      </c>
      <c r="G39" t="str">
        <f t="shared" si="1"/>
        <v>A</v>
      </c>
    </row>
    <row r="40" spans="1:7" x14ac:dyDescent="0.35">
      <c r="A40" t="s">
        <v>733</v>
      </c>
      <c r="B40" t="s">
        <v>881</v>
      </c>
      <c r="C40" s="5">
        <f>SUMIFS(clean_data!$AM:$AM,clean_data!$U:$U,$A40,clean_data!$V:$V,$B40)</f>
        <v>13321.14</v>
      </c>
      <c r="D40" s="5">
        <f>SUMIF(clean_data!$U:$U,$A40,clean_data!$AM:$AM)</f>
        <v>1331102.9440700002</v>
      </c>
      <c r="E40" s="5">
        <f t="shared" si="2"/>
        <v>1010707.4302999999</v>
      </c>
      <c r="F40" s="34">
        <f t="shared" si="0"/>
        <v>0.75930072486328204</v>
      </c>
      <c r="G40" t="str">
        <f t="shared" si="1"/>
        <v>A</v>
      </c>
    </row>
    <row r="41" spans="1:7" x14ac:dyDescent="0.35">
      <c r="A41" t="s">
        <v>733</v>
      </c>
      <c r="B41" t="s">
        <v>1291</v>
      </c>
      <c r="C41" s="5">
        <f>SUMIFS(clean_data!$AM:$AM,clean_data!$U:$U,$A41,clean_data!$V:$V,$B41)</f>
        <v>13108.78584</v>
      </c>
      <c r="D41" s="5">
        <f>SUMIF(clean_data!$U:$U,$A41,clean_data!$AM:$AM)</f>
        <v>1331102.9440700002</v>
      </c>
      <c r="E41" s="5">
        <f t="shared" si="2"/>
        <v>1023816.2161399999</v>
      </c>
      <c r="F41" s="34">
        <f t="shared" si="0"/>
        <v>0.76914878800400233</v>
      </c>
      <c r="G41" t="str">
        <f t="shared" si="1"/>
        <v>A</v>
      </c>
    </row>
    <row r="42" spans="1:7" x14ac:dyDescent="0.35">
      <c r="A42" t="s">
        <v>733</v>
      </c>
      <c r="B42" t="s">
        <v>1033</v>
      </c>
      <c r="C42" s="5">
        <f>SUMIFS(clean_data!$AM:$AM,clean_data!$U:$U,$A42,clean_data!$V:$V,$B42)</f>
        <v>12699.28</v>
      </c>
      <c r="D42" s="5">
        <f>SUMIF(clean_data!$U:$U,$A42,clean_data!$AM:$AM)</f>
        <v>1331102.9440700002</v>
      </c>
      <c r="E42" s="5">
        <f t="shared" si="2"/>
        <v>1036515.4961399999</v>
      </c>
      <c r="F42" s="34">
        <f t="shared" si="0"/>
        <v>0.77868920714030931</v>
      </c>
      <c r="G42" t="str">
        <f t="shared" si="1"/>
        <v>A</v>
      </c>
    </row>
    <row r="43" spans="1:7" x14ac:dyDescent="0.35">
      <c r="A43" t="s">
        <v>733</v>
      </c>
      <c r="B43" t="s">
        <v>1321</v>
      </c>
      <c r="C43" s="5">
        <f>SUMIFS(clean_data!$AM:$AM,clean_data!$U:$U,$A43,clean_data!$V:$V,$B43)</f>
        <v>12040.64352</v>
      </c>
      <c r="D43" s="5">
        <f>SUMIF(clean_data!$U:$U,$A43,clean_data!$AM:$AM)</f>
        <v>1331102.9440700002</v>
      </c>
      <c r="E43" s="5">
        <f t="shared" si="2"/>
        <v>1048556.13966</v>
      </c>
      <c r="F43" s="34">
        <f t="shared" si="0"/>
        <v>0.7877348212106865</v>
      </c>
      <c r="G43" t="str">
        <f t="shared" si="1"/>
        <v>A</v>
      </c>
    </row>
    <row r="44" spans="1:7" x14ac:dyDescent="0.35">
      <c r="A44" t="s">
        <v>733</v>
      </c>
      <c r="B44" t="s">
        <v>1227</v>
      </c>
      <c r="C44" s="5">
        <f>SUMIFS(clean_data!$AM:$AM,clean_data!$U:$U,$A44,clean_data!$V:$V,$B44)</f>
        <v>11859.695119999998</v>
      </c>
      <c r="D44" s="5">
        <f>SUMIF(clean_data!$U:$U,$A44,clean_data!$AM:$AM)</f>
        <v>1331102.9440700002</v>
      </c>
      <c r="E44" s="5">
        <f t="shared" si="2"/>
        <v>1060415.8347799999</v>
      </c>
      <c r="F44" s="34">
        <f t="shared" si="0"/>
        <v>0.79664449658390557</v>
      </c>
      <c r="G44" t="str">
        <f t="shared" si="1"/>
        <v>A</v>
      </c>
    </row>
    <row r="45" spans="1:7" x14ac:dyDescent="0.35">
      <c r="A45" t="s">
        <v>733</v>
      </c>
      <c r="B45" t="s">
        <v>1046</v>
      </c>
      <c r="C45" s="5">
        <f>SUMIFS(clean_data!$AM:$AM,clean_data!$U:$U,$A45,clean_data!$V:$V,$B45)</f>
        <v>11283.400799999999</v>
      </c>
      <c r="D45" s="5">
        <f>SUMIF(clean_data!$U:$U,$A45,clean_data!$AM:$AM)</f>
        <v>1331102.9440700002</v>
      </c>
      <c r="E45" s="5">
        <f t="shared" si="2"/>
        <v>1071699.2355799999</v>
      </c>
      <c r="F45" s="34">
        <f t="shared" si="0"/>
        <v>0.80512122699027044</v>
      </c>
      <c r="G45" t="str">
        <f t="shared" si="1"/>
        <v>B</v>
      </c>
    </row>
    <row r="46" spans="1:7" x14ac:dyDescent="0.35">
      <c r="A46" t="s">
        <v>733</v>
      </c>
      <c r="B46" t="s">
        <v>888</v>
      </c>
      <c r="C46" s="5">
        <f>SUMIFS(clean_data!$AM:$AM,clean_data!$U:$U,$A46,clean_data!$V:$V,$B46)</f>
        <v>11015.510400000003</v>
      </c>
      <c r="D46" s="5">
        <f>SUMIF(clean_data!$U:$U,$A46,clean_data!$AM:$AM)</f>
        <v>1331102.9440700002</v>
      </c>
      <c r="E46" s="5">
        <f t="shared" si="2"/>
        <v>1082714.7459799999</v>
      </c>
      <c r="F46" s="34">
        <f t="shared" si="0"/>
        <v>0.8133967029398006</v>
      </c>
      <c r="G46" t="str">
        <f t="shared" si="1"/>
        <v>B</v>
      </c>
    </row>
    <row r="47" spans="1:7" x14ac:dyDescent="0.35">
      <c r="A47" t="s">
        <v>733</v>
      </c>
      <c r="B47" t="s">
        <v>756</v>
      </c>
      <c r="C47" s="5">
        <f>SUMIFS(clean_data!$AM:$AM,clean_data!$U:$U,$A47,clean_data!$V:$V,$B47)</f>
        <v>10936.992</v>
      </c>
      <c r="D47" s="5">
        <f>SUMIF(clean_data!$U:$U,$A47,clean_data!$AM:$AM)</f>
        <v>1331102.9440700002</v>
      </c>
      <c r="E47" s="5">
        <f t="shared" si="2"/>
        <v>1093651.73798</v>
      </c>
      <c r="F47" s="34">
        <f t="shared" si="0"/>
        <v>0.82161319141555955</v>
      </c>
      <c r="G47" t="str">
        <f t="shared" si="1"/>
        <v>B</v>
      </c>
    </row>
    <row r="48" spans="1:7" x14ac:dyDescent="0.35">
      <c r="A48" t="s">
        <v>733</v>
      </c>
      <c r="B48" t="s">
        <v>1149</v>
      </c>
      <c r="C48" s="5">
        <f>SUMIFS(clean_data!$AM:$AM,clean_data!$U:$U,$A48,clean_data!$V:$V,$B48)</f>
        <v>10893.6232</v>
      </c>
      <c r="D48" s="5">
        <f>SUMIF(clean_data!$U:$U,$A48,clean_data!$AM:$AM)</f>
        <v>1331102.9440700002</v>
      </c>
      <c r="E48" s="5">
        <f t="shared" si="2"/>
        <v>1104545.36118</v>
      </c>
      <c r="F48" s="34">
        <f t="shared" si="0"/>
        <v>0.82979709878991448</v>
      </c>
      <c r="G48" t="str">
        <f t="shared" si="1"/>
        <v>B</v>
      </c>
    </row>
    <row r="49" spans="1:7" x14ac:dyDescent="0.35">
      <c r="A49" t="s">
        <v>733</v>
      </c>
      <c r="B49" t="s">
        <v>1355</v>
      </c>
      <c r="C49" s="5">
        <f>SUMIFS(clean_data!$AM:$AM,clean_data!$U:$U,$A49,clean_data!$V:$V,$B49)</f>
        <v>10693.88488</v>
      </c>
      <c r="D49" s="5">
        <f>SUMIF(clean_data!$U:$U,$A49,clean_data!$AM:$AM)</f>
        <v>1331102.9440700002</v>
      </c>
      <c r="E49" s="5">
        <f t="shared" si="2"/>
        <v>1115239.24606</v>
      </c>
      <c r="F49" s="34">
        <f t="shared" si="0"/>
        <v>0.8378309514138913</v>
      </c>
      <c r="G49" t="str">
        <f t="shared" si="1"/>
        <v>B</v>
      </c>
    </row>
    <row r="50" spans="1:7" x14ac:dyDescent="0.35">
      <c r="A50" t="s">
        <v>733</v>
      </c>
      <c r="B50" t="s">
        <v>804</v>
      </c>
      <c r="C50" s="5">
        <f>SUMIFS(clean_data!$AM:$AM,clean_data!$U:$U,$A50,clean_data!$V:$V,$B50)</f>
        <v>10647.727199999999</v>
      </c>
      <c r="D50" s="5">
        <f>SUMIF(clean_data!$U:$U,$A50,clean_data!$AM:$AM)</f>
        <v>1331102.9440700002</v>
      </c>
      <c r="E50" s="5">
        <f t="shared" si="2"/>
        <v>1125886.9732600001</v>
      </c>
      <c r="F50" s="34">
        <f t="shared" si="0"/>
        <v>0.84583012777168931</v>
      </c>
      <c r="G50" t="str">
        <f t="shared" si="1"/>
        <v>B</v>
      </c>
    </row>
    <row r="51" spans="1:7" x14ac:dyDescent="0.35">
      <c r="A51" t="s">
        <v>733</v>
      </c>
      <c r="B51" t="s">
        <v>919</v>
      </c>
      <c r="C51" s="5">
        <f>SUMIFS(clean_data!$AM:$AM,clean_data!$U:$U,$A51,clean_data!$V:$V,$B51)</f>
        <v>10388.429999999998</v>
      </c>
      <c r="D51" s="5">
        <f>SUMIF(clean_data!$U:$U,$A51,clean_data!$AM:$AM)</f>
        <v>1331102.9440700002</v>
      </c>
      <c r="E51" s="5">
        <f t="shared" si="2"/>
        <v>1136275.4032600001</v>
      </c>
      <c r="F51" s="34">
        <f t="shared" si="0"/>
        <v>0.85363450537169383</v>
      </c>
      <c r="G51" t="str">
        <f t="shared" si="1"/>
        <v>B</v>
      </c>
    </row>
    <row r="52" spans="1:7" x14ac:dyDescent="0.35">
      <c r="A52" t="s">
        <v>733</v>
      </c>
      <c r="B52" t="s">
        <v>892</v>
      </c>
      <c r="C52" s="5">
        <f>SUMIFS(clean_data!$AM:$AM,clean_data!$U:$U,$A52,clean_data!$V:$V,$B52)</f>
        <v>10382.65884</v>
      </c>
      <c r="D52" s="5">
        <f>SUMIF(clean_data!$U:$U,$A52,clean_data!$AM:$AM)</f>
        <v>1331102.9440700002</v>
      </c>
      <c r="E52" s="5">
        <f t="shared" si="2"/>
        <v>1146658.0621</v>
      </c>
      <c r="F52" s="34">
        <f t="shared" si="0"/>
        <v>0.86143454734910374</v>
      </c>
      <c r="G52" t="str">
        <f t="shared" si="1"/>
        <v>B</v>
      </c>
    </row>
    <row r="53" spans="1:7" x14ac:dyDescent="0.35">
      <c r="A53" t="s">
        <v>733</v>
      </c>
      <c r="B53" t="s">
        <v>1059</v>
      </c>
      <c r="C53" s="5">
        <f>SUMIFS(clean_data!$AM:$AM,clean_data!$U:$U,$A53,clean_data!$V:$V,$B53)</f>
        <v>9829.0483199999999</v>
      </c>
      <c r="D53" s="5">
        <f>SUMIF(clean_data!$U:$U,$A53,clean_data!$AM:$AM)</f>
        <v>1331102.9440700002</v>
      </c>
      <c r="E53" s="5">
        <f t="shared" si="2"/>
        <v>1156487.11042</v>
      </c>
      <c r="F53" s="34">
        <f t="shared" si="0"/>
        <v>0.86881868571630372</v>
      </c>
      <c r="G53" t="str">
        <f t="shared" si="1"/>
        <v>B</v>
      </c>
    </row>
    <row r="54" spans="1:7" x14ac:dyDescent="0.35">
      <c r="A54" t="s">
        <v>733</v>
      </c>
      <c r="B54" t="s">
        <v>1322</v>
      </c>
      <c r="C54" s="5">
        <f>SUMIFS(clean_data!$AM:$AM,clean_data!$U:$U,$A54,clean_data!$V:$V,$B54)</f>
        <v>9022.35</v>
      </c>
      <c r="D54" s="5">
        <f>SUMIF(clean_data!$U:$U,$A54,clean_data!$AM:$AM)</f>
        <v>1331102.9440700002</v>
      </c>
      <c r="E54" s="5">
        <f t="shared" si="2"/>
        <v>1165509.4604200001</v>
      </c>
      <c r="F54" s="34">
        <f t="shared" si="0"/>
        <v>0.87559678656882922</v>
      </c>
      <c r="G54" t="str">
        <f t="shared" si="1"/>
        <v>B</v>
      </c>
    </row>
    <row r="55" spans="1:7" x14ac:dyDescent="0.35">
      <c r="A55" t="s">
        <v>733</v>
      </c>
      <c r="B55" t="s">
        <v>1231</v>
      </c>
      <c r="C55" s="5">
        <f>SUMIFS(clean_data!$AM:$AM,clean_data!$U:$U,$A55,clean_data!$V:$V,$B55)</f>
        <v>8644.6696000000011</v>
      </c>
      <c r="D55" s="5">
        <f>SUMIF(clean_data!$U:$U,$A55,clean_data!$AM:$AM)</f>
        <v>1331102.9440700002</v>
      </c>
      <c r="E55" s="5">
        <f t="shared" si="2"/>
        <v>1174154.13002</v>
      </c>
      <c r="F55" s="34">
        <f t="shared" si="0"/>
        <v>0.88209115249184922</v>
      </c>
      <c r="G55" t="str">
        <f t="shared" si="1"/>
        <v>B</v>
      </c>
    </row>
    <row r="56" spans="1:7" x14ac:dyDescent="0.35">
      <c r="A56" t="s">
        <v>733</v>
      </c>
      <c r="B56" t="s">
        <v>759</v>
      </c>
      <c r="C56" s="5">
        <f>SUMIFS(clean_data!$AM:$AM,clean_data!$U:$U,$A56,clean_data!$V:$V,$B56)</f>
        <v>8596.2905599999995</v>
      </c>
      <c r="D56" s="5">
        <f>SUMIF(clean_data!$U:$U,$A56,clean_data!$AM:$AM)</f>
        <v>1331102.9440700002</v>
      </c>
      <c r="E56" s="5">
        <f t="shared" si="2"/>
        <v>1182750.4205800002</v>
      </c>
      <c r="F56" s="34">
        <f t="shared" si="0"/>
        <v>0.88854917333711614</v>
      </c>
      <c r="G56" t="str">
        <f t="shared" si="1"/>
        <v>B</v>
      </c>
    </row>
    <row r="57" spans="1:7" x14ac:dyDescent="0.35">
      <c r="A57" t="s">
        <v>733</v>
      </c>
      <c r="B57" t="s">
        <v>1326</v>
      </c>
      <c r="C57" s="5">
        <f>SUMIFS(clean_data!$AM:$AM,clean_data!$U:$U,$A57,clean_data!$V:$V,$B57)</f>
        <v>8366.02</v>
      </c>
      <c r="D57" s="5">
        <f>SUMIF(clean_data!$U:$U,$A57,clean_data!$AM:$AM)</f>
        <v>1331102.9440700002</v>
      </c>
      <c r="E57" s="5">
        <f t="shared" si="2"/>
        <v>1191116.4405800002</v>
      </c>
      <c r="F57" s="34">
        <f t="shared" si="0"/>
        <v>0.89483420188225626</v>
      </c>
      <c r="G57" t="str">
        <f t="shared" si="1"/>
        <v>B</v>
      </c>
    </row>
    <row r="58" spans="1:7" x14ac:dyDescent="0.35">
      <c r="A58" t="s">
        <v>733</v>
      </c>
      <c r="B58" t="s">
        <v>1150</v>
      </c>
      <c r="C58" s="5">
        <f>SUMIFS(clean_data!$AM:$AM,clean_data!$U:$U,$A58,clean_data!$V:$V,$B58)</f>
        <v>7969.4615000000003</v>
      </c>
      <c r="D58" s="5">
        <f>SUMIF(clean_data!$U:$U,$A58,clean_data!$AM:$AM)</f>
        <v>1331102.9440700002</v>
      </c>
      <c r="E58" s="5">
        <f t="shared" si="2"/>
        <v>1199085.9020800001</v>
      </c>
      <c r="F58" s="34">
        <f t="shared" si="0"/>
        <v>0.90082131319885539</v>
      </c>
      <c r="G58" t="str">
        <f t="shared" si="1"/>
        <v>B</v>
      </c>
    </row>
    <row r="59" spans="1:7" x14ac:dyDescent="0.35">
      <c r="A59" t="s">
        <v>733</v>
      </c>
      <c r="B59" t="s">
        <v>948</v>
      </c>
      <c r="C59" s="5">
        <f>SUMIFS(clean_data!$AM:$AM,clean_data!$U:$U,$A59,clean_data!$V:$V,$B59)</f>
        <v>7854.6693599999999</v>
      </c>
      <c r="D59" s="5">
        <f>SUMIF(clean_data!$U:$U,$A59,clean_data!$AM:$AM)</f>
        <v>1331102.9440700002</v>
      </c>
      <c r="E59" s="5">
        <f t="shared" si="2"/>
        <v>1206940.5714400001</v>
      </c>
      <c r="F59" s="34">
        <f t="shared" si="0"/>
        <v>0.90672218615161393</v>
      </c>
      <c r="G59" t="str">
        <f t="shared" si="1"/>
        <v>B</v>
      </c>
    </row>
    <row r="60" spans="1:7" x14ac:dyDescent="0.35">
      <c r="A60" t="s">
        <v>733</v>
      </c>
      <c r="B60" t="s">
        <v>916</v>
      </c>
      <c r="C60" s="5">
        <f>SUMIFS(clean_data!$AM:$AM,clean_data!$U:$U,$A60,clean_data!$V:$V,$B60)</f>
        <v>7689.4560000000001</v>
      </c>
      <c r="D60" s="5">
        <f>SUMIF(clean_data!$U:$U,$A60,clean_data!$AM:$AM)</f>
        <v>1331102.9440700002</v>
      </c>
      <c r="E60" s="5">
        <f t="shared" si="2"/>
        <v>1214630.0274400001</v>
      </c>
      <c r="F60" s="34">
        <f t="shared" si="0"/>
        <v>0.91249894146137878</v>
      </c>
      <c r="G60" t="str">
        <f t="shared" si="1"/>
        <v>B</v>
      </c>
    </row>
    <row r="61" spans="1:7" x14ac:dyDescent="0.35">
      <c r="A61" t="s">
        <v>733</v>
      </c>
      <c r="B61" t="s">
        <v>748</v>
      </c>
      <c r="C61" s="5">
        <f>SUMIFS(clean_data!$AM:$AM,clean_data!$U:$U,$A61,clean_data!$V:$V,$B61)</f>
        <v>7578.84</v>
      </c>
      <c r="D61" s="5">
        <f>SUMIF(clean_data!$U:$U,$A61,clean_data!$AM:$AM)</f>
        <v>1331102.9440700002</v>
      </c>
      <c r="E61" s="5">
        <f t="shared" si="2"/>
        <v>1222208.8674400002</v>
      </c>
      <c r="F61" s="34">
        <f t="shared" si="0"/>
        <v>0.91819259576044221</v>
      </c>
      <c r="G61" t="str">
        <f t="shared" si="1"/>
        <v>B</v>
      </c>
    </row>
    <row r="62" spans="1:7" x14ac:dyDescent="0.35">
      <c r="A62" t="s">
        <v>733</v>
      </c>
      <c r="B62" t="s">
        <v>993</v>
      </c>
      <c r="C62" s="5">
        <f>SUMIFS(clean_data!$AM:$AM,clean_data!$U:$U,$A62,clean_data!$V:$V,$B62)</f>
        <v>7568.9632000000001</v>
      </c>
      <c r="D62" s="5">
        <f>SUMIF(clean_data!$U:$U,$A62,clean_data!$AM:$AM)</f>
        <v>1331102.9440700002</v>
      </c>
      <c r="E62" s="5">
        <f t="shared" si="2"/>
        <v>1229777.8306400003</v>
      </c>
      <c r="F62" s="34">
        <f t="shared" si="0"/>
        <v>0.92387883004736904</v>
      </c>
      <c r="G62" t="str">
        <f t="shared" si="1"/>
        <v>B</v>
      </c>
    </row>
    <row r="63" spans="1:7" x14ac:dyDescent="0.35">
      <c r="A63" t="s">
        <v>733</v>
      </c>
      <c r="B63" t="s">
        <v>1225</v>
      </c>
      <c r="C63" s="5">
        <f>SUMIFS(clean_data!$AM:$AM,clean_data!$U:$U,$A63,clean_data!$V:$V,$B63)</f>
        <v>7507.4514899999995</v>
      </c>
      <c r="D63" s="5">
        <f>SUMIF(clean_data!$U:$U,$A63,clean_data!$AM:$AM)</f>
        <v>1331102.9440700002</v>
      </c>
      <c r="E63" s="5">
        <f t="shared" si="2"/>
        <v>1237285.2821300002</v>
      </c>
      <c r="F63" s="34">
        <f t="shared" si="0"/>
        <v>0.92951885325026651</v>
      </c>
      <c r="G63" t="str">
        <f t="shared" si="1"/>
        <v>B</v>
      </c>
    </row>
    <row r="64" spans="1:7" x14ac:dyDescent="0.35">
      <c r="A64" t="s">
        <v>733</v>
      </c>
      <c r="B64" t="s">
        <v>1027</v>
      </c>
      <c r="C64" s="5">
        <f>SUMIFS(clean_data!$AM:$AM,clean_data!$U:$U,$A64,clean_data!$V:$V,$B64)</f>
        <v>7382.1450000000004</v>
      </c>
      <c r="D64" s="5">
        <f>SUMIF(clean_data!$U:$U,$A64,clean_data!$AM:$AM)</f>
        <v>1331102.9440700002</v>
      </c>
      <c r="E64" s="5">
        <f t="shared" si="2"/>
        <v>1244667.4271300002</v>
      </c>
      <c r="F64" s="34">
        <f t="shared" si="0"/>
        <v>0.9350647391134802</v>
      </c>
      <c r="G64" t="str">
        <f t="shared" si="1"/>
        <v>B</v>
      </c>
    </row>
    <row r="65" spans="1:7" x14ac:dyDescent="0.35">
      <c r="A65" t="s">
        <v>733</v>
      </c>
      <c r="B65" t="s">
        <v>1004</v>
      </c>
      <c r="C65" s="5">
        <f>SUMIFS(clean_data!$AM:$AM,clean_data!$U:$U,$A65,clean_data!$V:$V,$B65)</f>
        <v>7235.2134999999998</v>
      </c>
      <c r="D65" s="5">
        <f>SUMIF(clean_data!$U:$U,$A65,clean_data!$AM:$AM)</f>
        <v>1331102.9440700002</v>
      </c>
      <c r="E65" s="5">
        <f t="shared" si="2"/>
        <v>1251902.6406300003</v>
      </c>
      <c r="F65" s="34">
        <f t="shared" si="0"/>
        <v>0.94050024170344337</v>
      </c>
      <c r="G65" t="str">
        <f t="shared" si="1"/>
        <v>B</v>
      </c>
    </row>
    <row r="66" spans="1:7" x14ac:dyDescent="0.35">
      <c r="A66" t="s">
        <v>733</v>
      </c>
      <c r="B66" t="s">
        <v>1066</v>
      </c>
      <c r="C66" s="5">
        <f>SUMIFS(clean_data!$AM:$AM,clean_data!$U:$U,$A66,clean_data!$V:$V,$B66)</f>
        <v>7105.3528000000006</v>
      </c>
      <c r="D66" s="5">
        <f>SUMIF(clean_data!$U:$U,$A66,clean_data!$AM:$AM)</f>
        <v>1331102.9440700002</v>
      </c>
      <c r="E66" s="5">
        <f t="shared" si="2"/>
        <v>1259007.9934300003</v>
      </c>
      <c r="F66" s="34">
        <f t="shared" ref="F66:F129" si="7">E66/D66</f>
        <v>0.94583818557296451</v>
      </c>
      <c r="G66" t="str">
        <f t="shared" ref="G66:G129" si="8">IF(F66&lt;=0.8,"A",IF(F66&lt;=0.95,"B","C"))</f>
        <v>B</v>
      </c>
    </row>
    <row r="67" spans="1:7" x14ac:dyDescent="0.35">
      <c r="A67" t="s">
        <v>733</v>
      </c>
      <c r="B67" t="s">
        <v>1310</v>
      </c>
      <c r="C67" s="5">
        <f>SUMIFS(clean_data!$AM:$AM,clean_data!$U:$U,$A67,clean_data!$V:$V,$B67)</f>
        <v>6732.4334000000008</v>
      </c>
      <c r="D67" s="5">
        <f>SUMIF(clean_data!$U:$U,$A67,clean_data!$AM:$AM)</f>
        <v>1331102.9440700002</v>
      </c>
      <c r="E67" s="5">
        <f t="shared" ref="E67:E130" si="9">IF(A67=A66,E66+C67,C67)</f>
        <v>1265740.4268300002</v>
      </c>
      <c r="F67" s="34">
        <f t="shared" si="7"/>
        <v>0.95089597124611069</v>
      </c>
      <c r="G67" t="str">
        <f t="shared" si="8"/>
        <v>C</v>
      </c>
    </row>
    <row r="68" spans="1:7" x14ac:dyDescent="0.35">
      <c r="A68" t="s">
        <v>733</v>
      </c>
      <c r="B68" t="s">
        <v>1011</v>
      </c>
      <c r="C68" s="5">
        <f>SUMIFS(clean_data!$AM:$AM,clean_data!$U:$U,$A68,clean_data!$V:$V,$B68)</f>
        <v>6066.54648</v>
      </c>
      <c r="D68" s="5">
        <f>SUMIF(clean_data!$U:$U,$A68,clean_data!$AM:$AM)</f>
        <v>1331102.9440700002</v>
      </c>
      <c r="E68" s="5">
        <f t="shared" si="9"/>
        <v>1271806.9733100003</v>
      </c>
      <c r="F68" s="34">
        <f t="shared" si="7"/>
        <v>0.95545350491172709</v>
      </c>
      <c r="G68" t="str">
        <f t="shared" si="8"/>
        <v>C</v>
      </c>
    </row>
    <row r="69" spans="1:7" x14ac:dyDescent="0.35">
      <c r="A69" t="s">
        <v>733</v>
      </c>
      <c r="B69" t="s">
        <v>837</v>
      </c>
      <c r="C69" s="5">
        <f>SUMIFS(clean_data!$AM:$AM,clean_data!$U:$U,$A69,clean_data!$V:$V,$B69)</f>
        <v>5960.3340000000007</v>
      </c>
      <c r="D69" s="5">
        <f>SUMIF(clean_data!$U:$U,$A69,clean_data!$AM:$AM)</f>
        <v>1331102.9440700002</v>
      </c>
      <c r="E69" s="5">
        <f t="shared" si="9"/>
        <v>1277767.3073100003</v>
      </c>
      <c r="F69" s="34">
        <f t="shared" si="7"/>
        <v>0.95993124574052846</v>
      </c>
      <c r="G69" t="str">
        <f t="shared" si="8"/>
        <v>C</v>
      </c>
    </row>
    <row r="70" spans="1:7" x14ac:dyDescent="0.35">
      <c r="A70" t="s">
        <v>733</v>
      </c>
      <c r="B70" t="s">
        <v>1067</v>
      </c>
      <c r="C70" s="5">
        <f>SUMIFS(clean_data!$AM:$AM,clean_data!$U:$U,$A70,clean_data!$V:$V,$B70)</f>
        <v>5610.0923999999995</v>
      </c>
      <c r="D70" s="5">
        <f>SUMIF(clean_data!$U:$U,$A70,clean_data!$AM:$AM)</f>
        <v>1331102.9440700002</v>
      </c>
      <c r="E70" s="5">
        <f t="shared" si="9"/>
        <v>1283377.3997100003</v>
      </c>
      <c r="F70" s="34">
        <f t="shared" si="7"/>
        <v>0.96414586522205892</v>
      </c>
      <c r="G70" t="str">
        <f t="shared" si="8"/>
        <v>C</v>
      </c>
    </row>
    <row r="71" spans="1:7" x14ac:dyDescent="0.35">
      <c r="A71" t="s">
        <v>733</v>
      </c>
      <c r="B71" t="s">
        <v>961</v>
      </c>
      <c r="C71" s="5">
        <f>SUMIFS(clean_data!$AM:$AM,clean_data!$U:$U,$A71,clean_data!$V:$V,$B71)</f>
        <v>5533.6230000000005</v>
      </c>
      <c r="D71" s="5">
        <f>SUMIF(clean_data!$U:$U,$A71,clean_data!$AM:$AM)</f>
        <v>1331102.9440700002</v>
      </c>
      <c r="E71" s="5">
        <f t="shared" si="9"/>
        <v>1288911.0227100002</v>
      </c>
      <c r="F71" s="34">
        <f t="shared" si="7"/>
        <v>0.96830303655478867</v>
      </c>
      <c r="G71" t="str">
        <f t="shared" si="8"/>
        <v>C</v>
      </c>
    </row>
    <row r="72" spans="1:7" x14ac:dyDescent="0.35">
      <c r="A72" t="s">
        <v>733</v>
      </c>
      <c r="B72" t="s">
        <v>791</v>
      </c>
      <c r="C72" s="5">
        <f>SUMIFS(clean_data!$AM:$AM,clean_data!$U:$U,$A72,clean_data!$V:$V,$B72)</f>
        <v>4790.1068000000005</v>
      </c>
      <c r="D72" s="5">
        <f>SUMIF(clean_data!$U:$U,$A72,clean_data!$AM:$AM)</f>
        <v>1331102.9440700002</v>
      </c>
      <c r="E72" s="5">
        <f t="shared" si="9"/>
        <v>1293701.1295100001</v>
      </c>
      <c r="F72" s="34">
        <f t="shared" si="7"/>
        <v>0.97190163636357096</v>
      </c>
      <c r="G72" t="str">
        <f t="shared" si="8"/>
        <v>C</v>
      </c>
    </row>
    <row r="73" spans="1:7" x14ac:dyDescent="0.35">
      <c r="A73" t="s">
        <v>733</v>
      </c>
      <c r="B73" t="s">
        <v>1275</v>
      </c>
      <c r="C73" s="5">
        <f>SUMIFS(clean_data!$AM:$AM,clean_data!$U:$U,$A73,clean_data!$V:$V,$B73)</f>
        <v>4737.2198399999997</v>
      </c>
      <c r="D73" s="5">
        <f>SUMIF(clean_data!$U:$U,$A73,clean_data!$AM:$AM)</f>
        <v>1331102.9440700002</v>
      </c>
      <c r="E73" s="5">
        <f t="shared" si="9"/>
        <v>1298438.34935</v>
      </c>
      <c r="F73" s="34">
        <f t="shared" si="7"/>
        <v>0.97546050448951427</v>
      </c>
      <c r="G73" t="str">
        <f t="shared" si="8"/>
        <v>C</v>
      </c>
    </row>
    <row r="74" spans="1:7" x14ac:dyDescent="0.35">
      <c r="A74" t="s">
        <v>733</v>
      </c>
      <c r="B74" t="s">
        <v>1303</v>
      </c>
      <c r="C74" s="5">
        <f>SUMIFS(clean_data!$AM:$AM,clean_data!$U:$U,$A74,clean_data!$V:$V,$B74)</f>
        <v>4577.1480000000001</v>
      </c>
      <c r="D74" s="5">
        <f>SUMIF(clean_data!$U:$U,$A74,clean_data!$AM:$AM)</f>
        <v>1331102.9440700002</v>
      </c>
      <c r="E74" s="5">
        <f t="shared" si="9"/>
        <v>1303015.4973500001</v>
      </c>
      <c r="F74" s="34">
        <f t="shared" si="7"/>
        <v>0.97889911757379222</v>
      </c>
      <c r="G74" t="str">
        <f t="shared" si="8"/>
        <v>C</v>
      </c>
    </row>
    <row r="75" spans="1:7" x14ac:dyDescent="0.35">
      <c r="A75" t="s">
        <v>733</v>
      </c>
      <c r="B75" t="s">
        <v>793</v>
      </c>
      <c r="C75" s="5">
        <f>SUMIFS(clean_data!$AM:$AM,clean_data!$U:$U,$A75,clean_data!$V:$V,$B75)</f>
        <v>4569.8508000000002</v>
      </c>
      <c r="D75" s="5">
        <f>SUMIF(clean_data!$U:$U,$A75,clean_data!$AM:$AM)</f>
        <v>1331102.9440700002</v>
      </c>
      <c r="E75" s="5">
        <f t="shared" si="9"/>
        <v>1307585.34815</v>
      </c>
      <c r="F75" s="34">
        <f t="shared" si="7"/>
        <v>0.98233224858770696</v>
      </c>
      <c r="G75" t="str">
        <f t="shared" si="8"/>
        <v>C</v>
      </c>
    </row>
    <row r="76" spans="1:7" x14ac:dyDescent="0.35">
      <c r="A76" t="s">
        <v>733</v>
      </c>
      <c r="B76" t="s">
        <v>865</v>
      </c>
      <c r="C76" s="5">
        <f>SUMIFS(clean_data!$AM:$AM,clean_data!$U:$U,$A76,clean_data!$V:$V,$B76)</f>
        <v>4417.8334199999999</v>
      </c>
      <c r="D76" s="5">
        <f>SUMIF(clean_data!$U:$U,$A76,clean_data!$AM:$AM)</f>
        <v>1331102.9440700002</v>
      </c>
      <c r="E76" s="5">
        <f t="shared" si="9"/>
        <v>1312003.18157</v>
      </c>
      <c r="F76" s="34">
        <f t="shared" si="7"/>
        <v>0.98565117552696524</v>
      </c>
      <c r="G76" t="str">
        <f t="shared" si="8"/>
        <v>C</v>
      </c>
    </row>
    <row r="77" spans="1:7" x14ac:dyDescent="0.35">
      <c r="A77" t="s">
        <v>733</v>
      </c>
      <c r="B77" t="s">
        <v>1092</v>
      </c>
      <c r="C77" s="5">
        <f>SUMIFS(clean_data!$AM:$AM,clean_data!$U:$U,$A77,clean_data!$V:$V,$B77)</f>
        <v>4071.8</v>
      </c>
      <c r="D77" s="5">
        <f>SUMIF(clean_data!$U:$U,$A77,clean_data!$AM:$AM)</f>
        <v>1331102.9440700002</v>
      </c>
      <c r="E77" s="5">
        <f t="shared" si="9"/>
        <v>1316074.9815700001</v>
      </c>
      <c r="F77" s="34">
        <f t="shared" si="7"/>
        <v>0.98871014254235634</v>
      </c>
      <c r="G77" t="str">
        <f t="shared" si="8"/>
        <v>C</v>
      </c>
    </row>
    <row r="78" spans="1:7" x14ac:dyDescent="0.35">
      <c r="A78" t="s">
        <v>733</v>
      </c>
      <c r="B78" t="s">
        <v>1072</v>
      </c>
      <c r="C78" s="5">
        <f>SUMIFS(clean_data!$AM:$AM,clean_data!$U:$U,$A78,clean_data!$V:$V,$B78)</f>
        <v>3021.5016000000001</v>
      </c>
      <c r="D78" s="5">
        <f>SUMIF(clean_data!$U:$U,$A78,clean_data!$AM:$AM)</f>
        <v>1331102.9440700002</v>
      </c>
      <c r="E78" s="5">
        <f t="shared" si="9"/>
        <v>1319096.4831700001</v>
      </c>
      <c r="F78" s="34">
        <f t="shared" si="7"/>
        <v>0.99098006585178988</v>
      </c>
      <c r="G78" t="str">
        <f t="shared" si="8"/>
        <v>C</v>
      </c>
    </row>
    <row r="79" spans="1:7" x14ac:dyDescent="0.35">
      <c r="A79" t="s">
        <v>733</v>
      </c>
      <c r="B79" t="s">
        <v>1199</v>
      </c>
      <c r="C79" s="5">
        <f>SUMIFS(clean_data!$AM:$AM,clean_data!$U:$U,$A79,clean_data!$V:$V,$B79)</f>
        <v>2719.8567000000003</v>
      </c>
      <c r="D79" s="5">
        <f>SUMIF(clean_data!$U:$U,$A79,clean_data!$AM:$AM)</f>
        <v>1331102.9440700002</v>
      </c>
      <c r="E79" s="5">
        <f t="shared" si="9"/>
        <v>1321816.33987</v>
      </c>
      <c r="F79" s="34">
        <f t="shared" si="7"/>
        <v>0.99302337641023819</v>
      </c>
      <c r="G79" t="str">
        <f t="shared" si="8"/>
        <v>C</v>
      </c>
    </row>
    <row r="80" spans="1:7" x14ac:dyDescent="0.35">
      <c r="A80" t="s">
        <v>733</v>
      </c>
      <c r="B80" t="s">
        <v>847</v>
      </c>
      <c r="C80" s="5">
        <f>SUMIFS(clean_data!$AM:$AM,clean_data!$U:$U,$A80,clean_data!$V:$V,$B80)</f>
        <v>2117.4834999999998</v>
      </c>
      <c r="D80" s="5">
        <f>SUMIF(clean_data!$U:$U,$A80,clean_data!$AM:$AM)</f>
        <v>1331102.9440700002</v>
      </c>
      <c r="E80" s="5">
        <f t="shared" si="9"/>
        <v>1323933.8233700001</v>
      </c>
      <c r="F80" s="34">
        <f t="shared" si="7"/>
        <v>0.99461415006860421</v>
      </c>
      <c r="G80" t="str">
        <f t="shared" si="8"/>
        <v>C</v>
      </c>
    </row>
    <row r="81" spans="1:7" x14ac:dyDescent="0.35">
      <c r="A81" t="s">
        <v>733</v>
      </c>
      <c r="B81" t="s">
        <v>1223</v>
      </c>
      <c r="C81" s="5">
        <f>SUMIFS(clean_data!$AM:$AM,clean_data!$U:$U,$A81,clean_data!$V:$V,$B81)</f>
        <v>1547.3500000000001</v>
      </c>
      <c r="D81" s="5">
        <f>SUMIF(clean_data!$U:$U,$A81,clean_data!$AM:$AM)</f>
        <v>1331102.9440700002</v>
      </c>
      <c r="E81" s="5">
        <f t="shared" si="9"/>
        <v>1325481.1733700002</v>
      </c>
      <c r="F81" s="34">
        <f t="shared" si="7"/>
        <v>0.99577660711739491</v>
      </c>
      <c r="G81" t="str">
        <f t="shared" si="8"/>
        <v>C</v>
      </c>
    </row>
    <row r="82" spans="1:7" x14ac:dyDescent="0.35">
      <c r="A82" t="s">
        <v>733</v>
      </c>
      <c r="B82" t="s">
        <v>873</v>
      </c>
      <c r="C82" s="5">
        <f>SUMIFS(clean_data!$AM:$AM,clean_data!$U:$U,$A82,clean_data!$V:$V,$B82)</f>
        <v>1446.9507000000001</v>
      </c>
      <c r="D82" s="5">
        <f>SUMIF(clean_data!$U:$U,$A82,clean_data!$AM:$AM)</f>
        <v>1331102.9440700002</v>
      </c>
      <c r="E82" s="5">
        <f t="shared" si="9"/>
        <v>1326928.1240700001</v>
      </c>
      <c r="F82" s="34">
        <f t="shared" si="7"/>
        <v>0.99686363851977133</v>
      </c>
      <c r="G82" t="str">
        <f t="shared" si="8"/>
        <v>C</v>
      </c>
    </row>
    <row r="83" spans="1:7" x14ac:dyDescent="0.35">
      <c r="A83" t="s">
        <v>733</v>
      </c>
      <c r="B83" t="s">
        <v>1352</v>
      </c>
      <c r="C83" s="5">
        <f>SUMIFS(clean_data!$AM:$AM,clean_data!$U:$U,$A83,clean_data!$V:$V,$B83)</f>
        <v>1030.7574</v>
      </c>
      <c r="D83" s="5">
        <f>SUMIF(clean_data!$U:$U,$A83,clean_data!$AM:$AM)</f>
        <v>1331102.9440700002</v>
      </c>
      <c r="E83" s="5">
        <f t="shared" si="9"/>
        <v>1327958.8814700001</v>
      </c>
      <c r="F83" s="34">
        <f t="shared" si="7"/>
        <v>0.99763800191862939</v>
      </c>
      <c r="G83" t="str">
        <f t="shared" si="8"/>
        <v>C</v>
      </c>
    </row>
    <row r="84" spans="1:7" x14ac:dyDescent="0.35">
      <c r="A84" t="s">
        <v>733</v>
      </c>
      <c r="B84" t="s">
        <v>1250</v>
      </c>
      <c r="C84" s="5">
        <f>SUMIFS(clean_data!$AM:$AM,clean_data!$U:$U,$A84,clean_data!$V:$V,$B84)</f>
        <v>1010.3759200000001</v>
      </c>
      <c r="D84" s="5">
        <f>SUMIF(clean_data!$U:$U,$A84,clean_data!$AM:$AM)</f>
        <v>1331102.9440700002</v>
      </c>
      <c r="E84" s="5">
        <f t="shared" si="9"/>
        <v>1328969.2573900002</v>
      </c>
      <c r="F84" s="34">
        <f t="shared" si="7"/>
        <v>0.99839705359415998</v>
      </c>
      <c r="G84" t="str">
        <f t="shared" si="8"/>
        <v>C</v>
      </c>
    </row>
    <row r="85" spans="1:7" x14ac:dyDescent="0.35">
      <c r="A85" t="s">
        <v>733</v>
      </c>
      <c r="B85" t="s">
        <v>1194</v>
      </c>
      <c r="C85" s="5">
        <f>SUMIFS(clean_data!$AM:$AM,clean_data!$U:$U,$A85,clean_data!$V:$V,$B85)</f>
        <v>930.17574000000002</v>
      </c>
      <c r="D85" s="5">
        <f>SUMIF(clean_data!$U:$U,$A85,clean_data!$AM:$AM)</f>
        <v>1331102.9440700002</v>
      </c>
      <c r="E85" s="5">
        <f t="shared" si="9"/>
        <v>1329899.4331300003</v>
      </c>
      <c r="F85" s="34">
        <f t="shared" si="7"/>
        <v>0.99909585434743309</v>
      </c>
      <c r="G85" t="str">
        <f t="shared" si="8"/>
        <v>C</v>
      </c>
    </row>
    <row r="86" spans="1:7" x14ac:dyDescent="0.35">
      <c r="A86" t="s">
        <v>733</v>
      </c>
      <c r="B86" t="s">
        <v>955</v>
      </c>
      <c r="C86" s="5">
        <f>SUMIFS(clean_data!$AM:$AM,clean_data!$U:$U,$A86,clean_data!$V:$V,$B86)</f>
        <v>908.03700000000003</v>
      </c>
      <c r="D86" s="5">
        <f>SUMIF(clean_data!$U:$U,$A86,clean_data!$AM:$AM)</f>
        <v>1331102.9440700002</v>
      </c>
      <c r="E86" s="5">
        <f t="shared" si="9"/>
        <v>1330807.4701300003</v>
      </c>
      <c r="F86" s="34">
        <f t="shared" si="7"/>
        <v>0.99977802322403664</v>
      </c>
      <c r="G86" t="str">
        <f t="shared" si="8"/>
        <v>C</v>
      </c>
    </row>
    <row r="87" spans="1:7" x14ac:dyDescent="0.35">
      <c r="A87" t="s">
        <v>733</v>
      </c>
      <c r="B87" t="s">
        <v>843</v>
      </c>
      <c r="C87" s="5">
        <f>SUMIFS(clean_data!$AM:$AM,clean_data!$U:$U,$A87,clean_data!$V:$V,$B87)</f>
        <v>549.80010000000004</v>
      </c>
      <c r="D87" s="5">
        <f>SUMIF(clean_data!$U:$U,$A87,clean_data!$AM:$AM)</f>
        <v>1331102.9440700002</v>
      </c>
      <c r="E87" s="5">
        <f t="shared" si="9"/>
        <v>1331357.2702300004</v>
      </c>
      <c r="F87" s="34">
        <f t="shared" si="7"/>
        <v>1.0001910642307068</v>
      </c>
      <c r="G87" t="str">
        <f t="shared" si="8"/>
        <v>C</v>
      </c>
    </row>
    <row r="88" spans="1:7" x14ac:dyDescent="0.35">
      <c r="A88" t="s">
        <v>733</v>
      </c>
      <c r="B88" t="s">
        <v>914</v>
      </c>
      <c r="C88" s="5">
        <f>SUMIFS(clean_data!$AM:$AM,clean_data!$U:$U,$A88,clean_data!$V:$V,$B88)</f>
        <v>18.659839999999999</v>
      </c>
      <c r="D88" s="5">
        <f>SUMIF(clean_data!$U:$U,$A88,clean_data!$AM:$AM)</f>
        <v>1331102.9440700002</v>
      </c>
      <c r="E88" s="5">
        <f t="shared" si="9"/>
        <v>1331375.9300700005</v>
      </c>
      <c r="F88" s="34">
        <f t="shared" si="7"/>
        <v>1.0002050825604558</v>
      </c>
      <c r="G88" t="str">
        <f t="shared" si="8"/>
        <v>C</v>
      </c>
    </row>
    <row r="89" spans="1:7" x14ac:dyDescent="0.35">
      <c r="A89" t="s">
        <v>733</v>
      </c>
      <c r="B89" t="s">
        <v>792</v>
      </c>
      <c r="C89" s="5">
        <f>SUMIFS(clean_data!$AM:$AM,clean_data!$U:$U,$A89,clean_data!$V:$V,$B89)</f>
        <v>-272.98599999999999</v>
      </c>
      <c r="D89" s="5">
        <f>SUMIF(clean_data!$U:$U,$A89,clean_data!$AM:$AM)</f>
        <v>1331102.9440700002</v>
      </c>
      <c r="E89" s="5">
        <f t="shared" si="9"/>
        <v>1331102.9440700004</v>
      </c>
      <c r="F89" s="34">
        <f t="shared" si="7"/>
        <v>1.0000000000000002</v>
      </c>
      <c r="G89" t="str">
        <f t="shared" si="8"/>
        <v>C</v>
      </c>
    </row>
    <row r="90" spans="1:7" x14ac:dyDescent="0.35">
      <c r="A90" t="s">
        <v>727</v>
      </c>
      <c r="B90" t="s">
        <v>971</v>
      </c>
      <c r="C90" s="5">
        <f>SUMIFS(clean_data!$AM:$AM,clean_data!$U:$U,$A90,clean_data!$V:$V,$B90)</f>
        <v>139277.83032000001</v>
      </c>
      <c r="D90" s="5">
        <f>SUMIF(clean_data!$U:$U,$A90,clean_data!$AM:$AM)</f>
        <v>1545646.9975799995</v>
      </c>
      <c r="E90" s="5">
        <f t="shared" si="9"/>
        <v>139277.83032000001</v>
      </c>
      <c r="F90" s="34">
        <f t="shared" si="7"/>
        <v>9.0109727860284788E-2</v>
      </c>
      <c r="G90" t="str">
        <f t="shared" si="8"/>
        <v>A</v>
      </c>
    </row>
    <row r="91" spans="1:7" x14ac:dyDescent="0.35">
      <c r="A91" t="s">
        <v>727</v>
      </c>
      <c r="B91" t="s">
        <v>1198</v>
      </c>
      <c r="C91" s="5">
        <f>SUMIFS(clean_data!$AM:$AM,clean_data!$U:$U,$A91,clean_data!$V:$V,$B91)</f>
        <v>84136.119600000005</v>
      </c>
      <c r="D91" s="5">
        <f>SUMIF(clean_data!$U:$U,$A91,clean_data!$AM:$AM)</f>
        <v>1545646.9975799995</v>
      </c>
      <c r="E91" s="5">
        <f t="shared" si="9"/>
        <v>223413.94992000001</v>
      </c>
      <c r="F91" s="34">
        <f t="shared" si="7"/>
        <v>0.14454396784634299</v>
      </c>
      <c r="G91" t="str">
        <f t="shared" si="8"/>
        <v>A</v>
      </c>
    </row>
    <row r="92" spans="1:7" x14ac:dyDescent="0.35">
      <c r="A92" t="s">
        <v>727</v>
      </c>
      <c r="B92" t="s">
        <v>860</v>
      </c>
      <c r="C92" s="5">
        <f>SUMIFS(clean_data!$AM:$AM,clean_data!$U:$U,$A92,clean_data!$V:$V,$B92)</f>
        <v>65111.38614000001</v>
      </c>
      <c r="D92" s="5">
        <f>SUMIF(clean_data!$U:$U,$A92,clean_data!$AM:$AM)</f>
        <v>1545646.9975799995</v>
      </c>
      <c r="E92" s="5">
        <f t="shared" si="9"/>
        <v>288525.33606</v>
      </c>
      <c r="F92" s="34">
        <f t="shared" si="7"/>
        <v>0.18666961894387307</v>
      </c>
      <c r="G92" t="str">
        <f t="shared" si="8"/>
        <v>A</v>
      </c>
    </row>
    <row r="93" spans="1:7" x14ac:dyDescent="0.35">
      <c r="A93" t="s">
        <v>727</v>
      </c>
      <c r="B93" t="s">
        <v>743</v>
      </c>
      <c r="C93" s="5">
        <f>SUMIFS(clean_data!$AM:$AM,clean_data!$U:$U,$A93,clean_data!$V:$V,$B93)</f>
        <v>60928.502359999999</v>
      </c>
      <c r="D93" s="5">
        <f>SUMIF(clean_data!$U:$U,$A93,clean_data!$AM:$AM)</f>
        <v>1545646.9975799995</v>
      </c>
      <c r="E93" s="5">
        <f t="shared" si="9"/>
        <v>349453.83841999999</v>
      </c>
      <c r="F93" s="34">
        <f t="shared" si="7"/>
        <v>0.22608903518535317</v>
      </c>
      <c r="G93" t="str">
        <f t="shared" si="8"/>
        <v>A</v>
      </c>
    </row>
    <row r="94" spans="1:7" x14ac:dyDescent="0.35">
      <c r="A94" t="s">
        <v>727</v>
      </c>
      <c r="B94" t="s">
        <v>1245</v>
      </c>
      <c r="C94" s="5">
        <f>SUMIFS(clean_data!$AM:$AM,clean_data!$U:$U,$A94,clean_data!$V:$V,$B94)</f>
        <v>50296.415399999998</v>
      </c>
      <c r="D94" s="5">
        <f>SUMIF(clean_data!$U:$U,$A94,clean_data!$AM:$AM)</f>
        <v>1545646.9975799995</v>
      </c>
      <c r="E94" s="5">
        <f t="shared" si="9"/>
        <v>399750.25381999998</v>
      </c>
      <c r="F94" s="34">
        <f t="shared" si="7"/>
        <v>0.25862972234014886</v>
      </c>
      <c r="G94" t="str">
        <f t="shared" si="8"/>
        <v>A</v>
      </c>
    </row>
    <row r="95" spans="1:7" x14ac:dyDescent="0.35">
      <c r="A95" t="s">
        <v>727</v>
      </c>
      <c r="B95" t="s">
        <v>1125</v>
      </c>
      <c r="C95" s="5">
        <f>SUMIFS(clean_data!$AM:$AM,clean_data!$U:$U,$A95,clean_data!$V:$V,$B95)</f>
        <v>48097.911050000002</v>
      </c>
      <c r="D95" s="5">
        <f>SUMIF(clean_data!$U:$U,$A95,clean_data!$AM:$AM)</f>
        <v>1545646.9975799995</v>
      </c>
      <c r="E95" s="5">
        <f t="shared" si="9"/>
        <v>447848.16486999998</v>
      </c>
      <c r="F95" s="34">
        <f t="shared" si="7"/>
        <v>0.28974802498318847</v>
      </c>
      <c r="G95" t="str">
        <f t="shared" si="8"/>
        <v>A</v>
      </c>
    </row>
    <row r="96" spans="1:7" x14ac:dyDescent="0.35">
      <c r="A96" t="s">
        <v>727</v>
      </c>
      <c r="B96" t="s">
        <v>1351</v>
      </c>
      <c r="C96" s="5">
        <f>SUMIFS(clean_data!$AM:$AM,clean_data!$U:$U,$A96,clean_data!$V:$V,$B96)</f>
        <v>41419.524249999995</v>
      </c>
      <c r="D96" s="5">
        <f>SUMIF(clean_data!$U:$U,$A96,clean_data!$AM:$AM)</f>
        <v>1545646.9975799995</v>
      </c>
      <c r="E96" s="5">
        <f t="shared" si="9"/>
        <v>489267.68912</v>
      </c>
      <c r="F96" s="34">
        <f t="shared" si="7"/>
        <v>0.31654555657665717</v>
      </c>
      <c r="G96" t="str">
        <f t="shared" si="8"/>
        <v>A</v>
      </c>
    </row>
    <row r="97" spans="1:7" x14ac:dyDescent="0.35">
      <c r="A97" t="s">
        <v>727</v>
      </c>
      <c r="B97" t="s">
        <v>1361</v>
      </c>
      <c r="C97" s="5">
        <f>SUMIFS(clean_data!$AM:$AM,clean_data!$U:$U,$A97,clean_data!$V:$V,$B97)</f>
        <v>40476.013200000001</v>
      </c>
      <c r="D97" s="5">
        <f>SUMIF(clean_data!$U:$U,$A97,clean_data!$AM:$AM)</f>
        <v>1545646.9975799995</v>
      </c>
      <c r="E97" s="5">
        <f t="shared" si="9"/>
        <v>529743.70232000004</v>
      </c>
      <c r="F97" s="34">
        <f t="shared" si="7"/>
        <v>0.34273265703580003</v>
      </c>
      <c r="G97" t="str">
        <f t="shared" si="8"/>
        <v>A</v>
      </c>
    </row>
    <row r="98" spans="1:7" x14ac:dyDescent="0.35">
      <c r="A98" t="s">
        <v>727</v>
      </c>
      <c r="B98" t="s">
        <v>794</v>
      </c>
      <c r="C98" s="5">
        <f>SUMIFS(clean_data!$AM:$AM,clean_data!$U:$U,$A98,clean_data!$V:$V,$B98)</f>
        <v>33687.501800000005</v>
      </c>
      <c r="D98" s="5">
        <f>SUMIF(clean_data!$U:$U,$A98,clean_data!$AM:$AM)</f>
        <v>1545646.9975799995</v>
      </c>
      <c r="E98" s="5">
        <f t="shared" si="9"/>
        <v>563431.20412000001</v>
      </c>
      <c r="F98" s="34">
        <f t="shared" si="7"/>
        <v>0.36452773822364182</v>
      </c>
      <c r="G98" t="str">
        <f t="shared" si="8"/>
        <v>A</v>
      </c>
    </row>
    <row r="99" spans="1:7" x14ac:dyDescent="0.35">
      <c r="A99" t="s">
        <v>727</v>
      </c>
      <c r="B99" t="s">
        <v>1247</v>
      </c>
      <c r="C99" s="5">
        <f>SUMIFS(clean_data!$AM:$AM,clean_data!$U:$U,$A99,clean_data!$V:$V,$B99)</f>
        <v>33308.550000000003</v>
      </c>
      <c r="D99" s="5">
        <f>SUMIF(clean_data!$U:$U,$A99,clean_data!$AM:$AM)</f>
        <v>1545646.9975799995</v>
      </c>
      <c r="E99" s="5">
        <f t="shared" si="9"/>
        <v>596739.75412000006</v>
      </c>
      <c r="F99" s="34">
        <f t="shared" si="7"/>
        <v>0.38607764583653847</v>
      </c>
      <c r="G99" t="str">
        <f t="shared" si="8"/>
        <v>A</v>
      </c>
    </row>
    <row r="100" spans="1:7" x14ac:dyDescent="0.35">
      <c r="A100" t="s">
        <v>727</v>
      </c>
      <c r="B100" t="s">
        <v>1238</v>
      </c>
      <c r="C100" s="5">
        <f>SUMIFS(clean_data!$AM:$AM,clean_data!$U:$U,$A100,clean_data!$V:$V,$B100)</f>
        <v>32335.21802</v>
      </c>
      <c r="D100" s="5">
        <f>SUMIF(clean_data!$U:$U,$A100,clean_data!$AM:$AM)</f>
        <v>1545646.9975799995</v>
      </c>
      <c r="E100" s="5">
        <f t="shared" si="9"/>
        <v>629074.97214000009</v>
      </c>
      <c r="F100" s="34">
        <f t="shared" si="7"/>
        <v>0.40699782882180408</v>
      </c>
      <c r="G100" t="str">
        <f t="shared" si="8"/>
        <v>A</v>
      </c>
    </row>
    <row r="101" spans="1:7" x14ac:dyDescent="0.35">
      <c r="A101" t="s">
        <v>727</v>
      </c>
      <c r="B101" t="s">
        <v>795</v>
      </c>
      <c r="C101" s="5">
        <f>SUMIFS(clean_data!$AM:$AM,clean_data!$U:$U,$A101,clean_data!$V:$V,$B101)</f>
        <v>27701.570400000001</v>
      </c>
      <c r="D101" s="5">
        <f>SUMIF(clean_data!$U:$U,$A101,clean_data!$AM:$AM)</f>
        <v>1545646.9975799995</v>
      </c>
      <c r="E101" s="5">
        <f t="shared" si="9"/>
        <v>656776.54254000005</v>
      </c>
      <c r="F101" s="34">
        <f t="shared" si="7"/>
        <v>0.42492014254762372</v>
      </c>
      <c r="G101" t="str">
        <f t="shared" si="8"/>
        <v>A</v>
      </c>
    </row>
    <row r="102" spans="1:7" x14ac:dyDescent="0.35">
      <c r="A102" t="s">
        <v>727</v>
      </c>
      <c r="B102" t="s">
        <v>844</v>
      </c>
      <c r="C102" s="5">
        <f>SUMIFS(clean_data!$AM:$AM,clean_data!$U:$U,$A102,clean_data!$V:$V,$B102)</f>
        <v>27676.35</v>
      </c>
      <c r="D102" s="5">
        <f>SUMIF(clean_data!$U:$U,$A102,clean_data!$AM:$AM)</f>
        <v>1545646.9975799995</v>
      </c>
      <c r="E102" s="5">
        <f t="shared" si="9"/>
        <v>684452.89254000003</v>
      </c>
      <c r="F102" s="34">
        <f t="shared" si="7"/>
        <v>0.44282613922301761</v>
      </c>
      <c r="G102" t="str">
        <f t="shared" si="8"/>
        <v>A</v>
      </c>
    </row>
    <row r="103" spans="1:7" x14ac:dyDescent="0.35">
      <c r="A103" t="s">
        <v>727</v>
      </c>
      <c r="B103" t="s">
        <v>768</v>
      </c>
      <c r="C103" s="5">
        <f>SUMIFS(clean_data!$AM:$AM,clean_data!$U:$U,$A103,clean_data!$V:$V,$B103)</f>
        <v>27331.829999999998</v>
      </c>
      <c r="D103" s="5">
        <f>SUMIF(clean_data!$U:$U,$A103,clean_data!$AM:$AM)</f>
        <v>1545646.9975799995</v>
      </c>
      <c r="E103" s="5">
        <f t="shared" si="9"/>
        <v>711784.72253999999</v>
      </c>
      <c r="F103" s="34">
        <f t="shared" si="7"/>
        <v>0.46050923894940604</v>
      </c>
      <c r="G103" t="str">
        <f t="shared" si="8"/>
        <v>A</v>
      </c>
    </row>
    <row r="104" spans="1:7" x14ac:dyDescent="0.35">
      <c r="A104" t="s">
        <v>727</v>
      </c>
      <c r="B104" t="s">
        <v>1082</v>
      </c>
      <c r="C104" s="5">
        <f>SUMIFS(clean_data!$AM:$AM,clean_data!$U:$U,$A104,clean_data!$V:$V,$B104)</f>
        <v>27158.894079999998</v>
      </c>
      <c r="D104" s="5">
        <f>SUMIF(clean_data!$U:$U,$A104,clean_data!$AM:$AM)</f>
        <v>1545646.9975799995</v>
      </c>
      <c r="E104" s="5">
        <f t="shared" si="9"/>
        <v>738943.61661999999</v>
      </c>
      <c r="F104" s="34">
        <f t="shared" si="7"/>
        <v>0.47808045289574846</v>
      </c>
      <c r="G104" t="str">
        <f t="shared" si="8"/>
        <v>A</v>
      </c>
    </row>
    <row r="105" spans="1:7" x14ac:dyDescent="0.35">
      <c r="A105" t="s">
        <v>727</v>
      </c>
      <c r="B105" t="s">
        <v>1058</v>
      </c>
      <c r="C105" s="5">
        <f>SUMIFS(clean_data!$AM:$AM,clean_data!$U:$U,$A105,clean_data!$V:$V,$B105)</f>
        <v>26015.449459999996</v>
      </c>
      <c r="D105" s="5">
        <f>SUMIF(clean_data!$U:$U,$A105,clean_data!$AM:$AM)</f>
        <v>1545646.9975799995</v>
      </c>
      <c r="E105" s="5">
        <f t="shared" si="9"/>
        <v>764959.06608000002</v>
      </c>
      <c r="F105" s="34">
        <f t="shared" si="7"/>
        <v>0.49491188303518657</v>
      </c>
      <c r="G105" t="str">
        <f t="shared" si="8"/>
        <v>A</v>
      </c>
    </row>
    <row r="106" spans="1:7" x14ac:dyDescent="0.35">
      <c r="A106" t="s">
        <v>727</v>
      </c>
      <c r="B106" t="s">
        <v>1034</v>
      </c>
      <c r="C106" s="5">
        <f>SUMIFS(clean_data!$AM:$AM,clean_data!$U:$U,$A106,clean_data!$V:$V,$B106)</f>
        <v>25577.274079999999</v>
      </c>
      <c r="D106" s="5">
        <f>SUMIF(clean_data!$U:$U,$A106,clean_data!$AM:$AM)</f>
        <v>1545646.9975799995</v>
      </c>
      <c r="E106" s="5">
        <f t="shared" si="9"/>
        <v>790536.34016000002</v>
      </c>
      <c r="F106" s="34">
        <f t="shared" si="7"/>
        <v>0.51145982323113426</v>
      </c>
      <c r="G106" t="str">
        <f t="shared" si="8"/>
        <v>A</v>
      </c>
    </row>
    <row r="107" spans="1:7" x14ac:dyDescent="0.35">
      <c r="A107" t="s">
        <v>727</v>
      </c>
      <c r="B107" t="s">
        <v>1201</v>
      </c>
      <c r="C107" s="5">
        <f>SUMIFS(clean_data!$AM:$AM,clean_data!$U:$U,$A107,clean_data!$V:$V,$B107)</f>
        <v>25269.09</v>
      </c>
      <c r="D107" s="5">
        <f>SUMIF(clean_data!$U:$U,$A107,clean_data!$AM:$AM)</f>
        <v>1545646.9975799995</v>
      </c>
      <c r="E107" s="5">
        <f t="shared" si="9"/>
        <v>815805.43015999999</v>
      </c>
      <c r="F107" s="34">
        <f t="shared" si="7"/>
        <v>0.52780837502825451</v>
      </c>
      <c r="G107" t="str">
        <f t="shared" si="8"/>
        <v>A</v>
      </c>
    </row>
    <row r="108" spans="1:7" x14ac:dyDescent="0.35">
      <c r="A108" t="s">
        <v>727</v>
      </c>
      <c r="B108" t="s">
        <v>1319</v>
      </c>
      <c r="C108" s="5">
        <f>SUMIFS(clean_data!$AM:$AM,clean_data!$U:$U,$A108,clean_data!$V:$V,$B108)</f>
        <v>25131.155999999999</v>
      </c>
      <c r="D108" s="5">
        <f>SUMIF(clean_data!$U:$U,$A108,clean_data!$AM:$AM)</f>
        <v>1545646.9975799995</v>
      </c>
      <c r="E108" s="5">
        <f t="shared" si="9"/>
        <v>840936.58615999995</v>
      </c>
      <c r="F108" s="34">
        <f t="shared" si="7"/>
        <v>0.54406768652651216</v>
      </c>
      <c r="G108" t="str">
        <f t="shared" si="8"/>
        <v>A</v>
      </c>
    </row>
    <row r="109" spans="1:7" x14ac:dyDescent="0.35">
      <c r="A109" t="s">
        <v>727</v>
      </c>
      <c r="B109" t="s">
        <v>758</v>
      </c>
      <c r="C109" s="5">
        <f>SUMIFS(clean_data!$AM:$AM,clean_data!$U:$U,$A109,clean_data!$V:$V,$B109)</f>
        <v>24894.430559999997</v>
      </c>
      <c r="D109" s="5">
        <f>SUMIF(clean_data!$U:$U,$A109,clean_data!$AM:$AM)</f>
        <v>1545646.9975799995</v>
      </c>
      <c r="E109" s="5">
        <f t="shared" si="9"/>
        <v>865831.01671999996</v>
      </c>
      <c r="F109" s="34">
        <f t="shared" si="7"/>
        <v>0.56017384181227725</v>
      </c>
      <c r="G109" t="str">
        <f t="shared" si="8"/>
        <v>A</v>
      </c>
    </row>
    <row r="110" spans="1:7" x14ac:dyDescent="0.35">
      <c r="A110" t="s">
        <v>727</v>
      </c>
      <c r="B110" t="s">
        <v>1192</v>
      </c>
      <c r="C110" s="5">
        <f>SUMIFS(clean_data!$AM:$AM,clean_data!$U:$U,$A110,clean_data!$V:$V,$B110)</f>
        <v>24321.57</v>
      </c>
      <c r="D110" s="5">
        <f>SUMIF(clean_data!$U:$U,$A110,clean_data!$AM:$AM)</f>
        <v>1545646.9975799995</v>
      </c>
      <c r="E110" s="5">
        <f t="shared" si="9"/>
        <v>890152.5867199999</v>
      </c>
      <c r="F110" s="34">
        <f t="shared" si="7"/>
        <v>0.57590936877158938</v>
      </c>
      <c r="G110" t="str">
        <f t="shared" si="8"/>
        <v>A</v>
      </c>
    </row>
    <row r="111" spans="1:7" x14ac:dyDescent="0.35">
      <c r="A111" t="s">
        <v>727</v>
      </c>
      <c r="B111" t="s">
        <v>891</v>
      </c>
      <c r="C111" s="5">
        <f>SUMIFS(clean_data!$AM:$AM,clean_data!$U:$U,$A111,clean_data!$V:$V,$B111)</f>
        <v>24147.922500000001</v>
      </c>
      <c r="D111" s="5">
        <f>SUMIF(clean_data!$U:$U,$A111,clean_data!$AM:$AM)</f>
        <v>1545646.9975799995</v>
      </c>
      <c r="E111" s="5">
        <f t="shared" si="9"/>
        <v>914300.50921999989</v>
      </c>
      <c r="F111" s="34">
        <f t="shared" si="7"/>
        <v>0.59153254957406765</v>
      </c>
      <c r="G111" t="str">
        <f t="shared" si="8"/>
        <v>A</v>
      </c>
    </row>
    <row r="112" spans="1:7" x14ac:dyDescent="0.35">
      <c r="A112" t="s">
        <v>727</v>
      </c>
      <c r="B112" t="s">
        <v>1185</v>
      </c>
      <c r="C112" s="5">
        <f>SUMIFS(clean_data!$AM:$AM,clean_data!$U:$U,$A112,clean_data!$V:$V,$B112)</f>
        <v>23694.405119999999</v>
      </c>
      <c r="D112" s="5">
        <f>SUMIF(clean_data!$U:$U,$A112,clean_data!$AM:$AM)</f>
        <v>1545646.9975799995</v>
      </c>
      <c r="E112" s="5">
        <f t="shared" si="9"/>
        <v>937994.9143399999</v>
      </c>
      <c r="F112" s="34">
        <f t="shared" si="7"/>
        <v>0.60686231449264094</v>
      </c>
      <c r="G112" t="str">
        <f t="shared" si="8"/>
        <v>A</v>
      </c>
    </row>
    <row r="113" spans="1:7" x14ac:dyDescent="0.35">
      <c r="A113" t="s">
        <v>727</v>
      </c>
      <c r="B113" t="s">
        <v>994</v>
      </c>
      <c r="C113" s="5">
        <f>SUMIFS(clean_data!$AM:$AM,clean_data!$U:$U,$A113,clean_data!$V:$V,$B113)</f>
        <v>22882.675440000003</v>
      </c>
      <c r="D113" s="5">
        <f>SUMIF(clean_data!$U:$U,$A113,clean_data!$AM:$AM)</f>
        <v>1545646.9975799995</v>
      </c>
      <c r="E113" s="5">
        <f t="shared" si="9"/>
        <v>960877.58977999992</v>
      </c>
      <c r="F113" s="34">
        <f t="shared" si="7"/>
        <v>0.62166690795791935</v>
      </c>
      <c r="G113" t="str">
        <f t="shared" si="8"/>
        <v>A</v>
      </c>
    </row>
    <row r="114" spans="1:7" x14ac:dyDescent="0.35">
      <c r="A114" t="s">
        <v>727</v>
      </c>
      <c r="B114" t="s">
        <v>812</v>
      </c>
      <c r="C114" s="5">
        <f>SUMIFS(clean_data!$AM:$AM,clean_data!$U:$U,$A114,clean_data!$V:$V,$B114)</f>
        <v>21787.936199999996</v>
      </c>
      <c r="D114" s="5">
        <f>SUMIF(clean_data!$U:$U,$A114,clean_data!$AM:$AM)</f>
        <v>1545646.9975799995</v>
      </c>
      <c r="E114" s="5">
        <f t="shared" si="9"/>
        <v>982665.52597999992</v>
      </c>
      <c r="F114" s="34">
        <f t="shared" si="7"/>
        <v>0.63576322893813864</v>
      </c>
      <c r="G114" t="str">
        <f t="shared" si="8"/>
        <v>A</v>
      </c>
    </row>
    <row r="115" spans="1:7" x14ac:dyDescent="0.35">
      <c r="A115" t="s">
        <v>727</v>
      </c>
      <c r="B115" t="s">
        <v>1099</v>
      </c>
      <c r="C115" s="5">
        <f>SUMIFS(clean_data!$AM:$AM,clean_data!$U:$U,$A115,clean_data!$V:$V,$B115)</f>
        <v>21584.693520000001</v>
      </c>
      <c r="D115" s="5">
        <f>SUMIF(clean_data!$U:$U,$A115,clean_data!$AM:$AM)</f>
        <v>1545646.9975799995</v>
      </c>
      <c r="E115" s="5">
        <f t="shared" si="9"/>
        <v>1004250.2194999999</v>
      </c>
      <c r="F115" s="34">
        <f t="shared" si="7"/>
        <v>0.64972805632356034</v>
      </c>
      <c r="G115" t="str">
        <f t="shared" si="8"/>
        <v>A</v>
      </c>
    </row>
    <row r="116" spans="1:7" x14ac:dyDescent="0.35">
      <c r="A116" t="s">
        <v>727</v>
      </c>
      <c r="B116" t="s">
        <v>1127</v>
      </c>
      <c r="C116" s="5">
        <f>SUMIFS(clean_data!$AM:$AM,clean_data!$U:$U,$A116,clean_data!$V:$V,$B116)</f>
        <v>19800.88896</v>
      </c>
      <c r="D116" s="5">
        <f>SUMIF(clean_data!$U:$U,$A116,clean_data!$AM:$AM)</f>
        <v>1545646.9975799995</v>
      </c>
      <c r="E116" s="5">
        <f t="shared" si="9"/>
        <v>1024051.1084599999</v>
      </c>
      <c r="F116" s="34">
        <f t="shared" si="7"/>
        <v>0.66253880094442275</v>
      </c>
      <c r="G116" t="str">
        <f t="shared" si="8"/>
        <v>A</v>
      </c>
    </row>
    <row r="117" spans="1:7" x14ac:dyDescent="0.35">
      <c r="A117" t="s">
        <v>727</v>
      </c>
      <c r="B117" t="s">
        <v>990</v>
      </c>
      <c r="C117" s="5">
        <f>SUMIFS(clean_data!$AM:$AM,clean_data!$U:$U,$A117,clean_data!$V:$V,$B117)</f>
        <v>19073.059649999999</v>
      </c>
      <c r="D117" s="5">
        <f>SUMIF(clean_data!$U:$U,$A117,clean_data!$AM:$AM)</f>
        <v>1545646.9975799995</v>
      </c>
      <c r="E117" s="5">
        <f t="shared" si="9"/>
        <v>1043124.1681099999</v>
      </c>
      <c r="F117" s="34">
        <f t="shared" si="7"/>
        <v>0.67487865582711093</v>
      </c>
      <c r="G117" t="str">
        <f t="shared" si="8"/>
        <v>A</v>
      </c>
    </row>
    <row r="118" spans="1:7" x14ac:dyDescent="0.35">
      <c r="A118" t="s">
        <v>727</v>
      </c>
      <c r="B118" t="s">
        <v>770</v>
      </c>
      <c r="C118" s="5">
        <f>SUMIFS(clean_data!$AM:$AM,clean_data!$U:$U,$A118,clean_data!$V:$V,$B118)</f>
        <v>18957.37689</v>
      </c>
      <c r="D118" s="5">
        <f>SUMIF(clean_data!$U:$U,$A118,clean_data!$AM:$AM)</f>
        <v>1545646.9975799995</v>
      </c>
      <c r="E118" s="5">
        <f t="shared" si="9"/>
        <v>1062081.5449999999</v>
      </c>
      <c r="F118" s="34">
        <f t="shared" si="7"/>
        <v>0.68714366647940184</v>
      </c>
      <c r="G118" t="str">
        <f t="shared" si="8"/>
        <v>A</v>
      </c>
    </row>
    <row r="119" spans="1:7" x14ac:dyDescent="0.35">
      <c r="A119" t="s">
        <v>727</v>
      </c>
      <c r="B119" t="s">
        <v>1101</v>
      </c>
      <c r="C119" s="5">
        <f>SUMIFS(clean_data!$AM:$AM,clean_data!$U:$U,$A119,clean_data!$V:$V,$B119)</f>
        <v>18554.370299999999</v>
      </c>
      <c r="D119" s="5">
        <f>SUMIF(clean_data!$U:$U,$A119,clean_data!$AM:$AM)</f>
        <v>1545646.9975799995</v>
      </c>
      <c r="E119" s="5">
        <f t="shared" si="9"/>
        <v>1080635.9153</v>
      </c>
      <c r="F119" s="34">
        <f t="shared" si="7"/>
        <v>0.69914794063064745</v>
      </c>
      <c r="G119" t="str">
        <f t="shared" si="8"/>
        <v>A</v>
      </c>
    </row>
    <row r="120" spans="1:7" x14ac:dyDescent="0.35">
      <c r="A120" t="s">
        <v>727</v>
      </c>
      <c r="B120" t="s">
        <v>944</v>
      </c>
      <c r="C120" s="5">
        <f>SUMIFS(clean_data!$AM:$AM,clean_data!$U:$U,$A120,clean_data!$V:$V,$B120)</f>
        <v>18061.204320000004</v>
      </c>
      <c r="D120" s="5">
        <f>SUMIF(clean_data!$U:$U,$A120,clean_data!$AM:$AM)</f>
        <v>1545646.9975799995</v>
      </c>
      <c r="E120" s="5">
        <f t="shared" si="9"/>
        <v>1098697.11962</v>
      </c>
      <c r="F120" s="34">
        <f t="shared" si="7"/>
        <v>0.71083314711587875</v>
      </c>
      <c r="G120" t="str">
        <f t="shared" si="8"/>
        <v>A</v>
      </c>
    </row>
    <row r="121" spans="1:7" x14ac:dyDescent="0.35">
      <c r="A121" t="s">
        <v>727</v>
      </c>
      <c r="B121" t="s">
        <v>778</v>
      </c>
      <c r="C121" s="5">
        <f>SUMIFS(clean_data!$AM:$AM,clean_data!$U:$U,$A121,clean_data!$V:$V,$B121)</f>
        <v>17930.494560000003</v>
      </c>
      <c r="D121" s="5">
        <f>SUMIF(clean_data!$U:$U,$A121,clean_data!$AM:$AM)</f>
        <v>1545646.9975799995</v>
      </c>
      <c r="E121" s="5">
        <f t="shared" si="9"/>
        <v>1116627.61418</v>
      </c>
      <c r="F121" s="34">
        <f t="shared" si="7"/>
        <v>0.72243378722844875</v>
      </c>
      <c r="G121" t="str">
        <f t="shared" si="8"/>
        <v>A</v>
      </c>
    </row>
    <row r="122" spans="1:7" x14ac:dyDescent="0.35">
      <c r="A122" t="s">
        <v>727</v>
      </c>
      <c r="B122" t="s">
        <v>1001</v>
      </c>
      <c r="C122" s="5">
        <f>SUMIFS(clean_data!$AM:$AM,clean_data!$U:$U,$A122,clean_data!$V:$V,$B122)</f>
        <v>17594.028880000002</v>
      </c>
      <c r="D122" s="5">
        <f>SUMIF(clean_data!$U:$U,$A122,clean_data!$AM:$AM)</f>
        <v>1545646.9975799995</v>
      </c>
      <c r="E122" s="5">
        <f t="shared" si="9"/>
        <v>1134221.6430600001</v>
      </c>
      <c r="F122" s="34">
        <f t="shared" si="7"/>
        <v>0.73381674136192609</v>
      </c>
      <c r="G122" t="str">
        <f t="shared" si="8"/>
        <v>A</v>
      </c>
    </row>
    <row r="123" spans="1:7" x14ac:dyDescent="0.35">
      <c r="A123" t="s">
        <v>727</v>
      </c>
      <c r="B123" t="s">
        <v>1298</v>
      </c>
      <c r="C123" s="5">
        <f>SUMIFS(clean_data!$AM:$AM,clean_data!$U:$U,$A123,clean_data!$V:$V,$B123)</f>
        <v>17540.201120000002</v>
      </c>
      <c r="D123" s="5">
        <f>SUMIF(clean_data!$U:$U,$A123,clean_data!$AM:$AM)</f>
        <v>1545646.9975799995</v>
      </c>
      <c r="E123" s="5">
        <f t="shared" si="9"/>
        <v>1151761.8441800002</v>
      </c>
      <c r="F123" s="34">
        <f t="shared" si="7"/>
        <v>0.74516487010507548</v>
      </c>
      <c r="G123" t="str">
        <f t="shared" si="8"/>
        <v>A</v>
      </c>
    </row>
    <row r="124" spans="1:7" x14ac:dyDescent="0.35">
      <c r="A124" t="s">
        <v>727</v>
      </c>
      <c r="B124" t="s">
        <v>1135</v>
      </c>
      <c r="C124" s="5">
        <f>SUMIFS(clean_data!$AM:$AM,clean_data!$U:$U,$A124,clean_data!$V:$V,$B124)</f>
        <v>16946.091840000001</v>
      </c>
      <c r="D124" s="5">
        <f>SUMIF(clean_data!$U:$U,$A124,clean_data!$AM:$AM)</f>
        <v>1545646.9975799995</v>
      </c>
      <c r="E124" s="5">
        <f t="shared" si="9"/>
        <v>1168707.9360200001</v>
      </c>
      <c r="F124" s="34">
        <f t="shared" si="7"/>
        <v>0.75612862306194872</v>
      </c>
      <c r="G124" t="str">
        <f t="shared" si="8"/>
        <v>A</v>
      </c>
    </row>
    <row r="125" spans="1:7" x14ac:dyDescent="0.35">
      <c r="A125" t="s">
        <v>727</v>
      </c>
      <c r="B125" t="s">
        <v>1205</v>
      </c>
      <c r="C125" s="5">
        <f>SUMIFS(clean_data!$AM:$AM,clean_data!$U:$U,$A125,clean_data!$V:$V,$B125)</f>
        <v>15374.563199999999</v>
      </c>
      <c r="D125" s="5">
        <f>SUMIF(clean_data!$U:$U,$A125,clean_data!$AM:$AM)</f>
        <v>1545646.9975799995</v>
      </c>
      <c r="E125" s="5">
        <f t="shared" si="9"/>
        <v>1184082.4992200001</v>
      </c>
      <c r="F125" s="34">
        <f t="shared" si="7"/>
        <v>0.76607563115892796</v>
      </c>
      <c r="G125" t="str">
        <f t="shared" si="8"/>
        <v>A</v>
      </c>
    </row>
    <row r="126" spans="1:7" x14ac:dyDescent="0.35">
      <c r="A126" t="s">
        <v>727</v>
      </c>
      <c r="B126" t="s">
        <v>1111</v>
      </c>
      <c r="C126" s="5">
        <f>SUMIFS(clean_data!$AM:$AM,clean_data!$U:$U,$A126,clean_data!$V:$V,$B126)</f>
        <v>15348.702599999999</v>
      </c>
      <c r="D126" s="5">
        <f>SUMIF(clean_data!$U:$U,$A126,clean_data!$AM:$AM)</f>
        <v>1545646.9975799995</v>
      </c>
      <c r="E126" s="5">
        <f t="shared" si="9"/>
        <v>1199431.2018200001</v>
      </c>
      <c r="F126" s="34">
        <f t="shared" si="7"/>
        <v>0.77600590801000147</v>
      </c>
      <c r="G126" t="str">
        <f t="shared" si="8"/>
        <v>A</v>
      </c>
    </row>
    <row r="127" spans="1:7" x14ac:dyDescent="0.35">
      <c r="A127" t="s">
        <v>727</v>
      </c>
      <c r="B127" t="s">
        <v>968</v>
      </c>
      <c r="C127" s="5">
        <f>SUMIFS(clean_data!$AM:$AM,clean_data!$U:$U,$A127,clean_data!$V:$V,$B127)</f>
        <v>14269.848599999999</v>
      </c>
      <c r="D127" s="5">
        <f>SUMIF(clean_data!$U:$U,$A127,clean_data!$AM:$AM)</f>
        <v>1545646.9975799995</v>
      </c>
      <c r="E127" s="5">
        <f t="shared" si="9"/>
        <v>1213701.05042</v>
      </c>
      <c r="F127" s="34">
        <f t="shared" si="7"/>
        <v>0.78523818978089877</v>
      </c>
      <c r="G127" t="str">
        <f t="shared" si="8"/>
        <v>A</v>
      </c>
    </row>
    <row r="128" spans="1:7" x14ac:dyDescent="0.35">
      <c r="A128" t="s">
        <v>727</v>
      </c>
      <c r="B128" t="s">
        <v>820</v>
      </c>
      <c r="C128" s="5">
        <f>SUMIFS(clean_data!$AM:$AM,clean_data!$U:$U,$A128,clean_data!$V:$V,$B128)</f>
        <v>14197.064400000001</v>
      </c>
      <c r="D128" s="5">
        <f>SUMIF(clean_data!$U:$U,$A128,clean_data!$AM:$AM)</f>
        <v>1545646.9975799995</v>
      </c>
      <c r="E128" s="5">
        <f t="shared" si="9"/>
        <v>1227898.11482</v>
      </c>
      <c r="F128" s="34">
        <f t="shared" si="7"/>
        <v>0.79442338175696325</v>
      </c>
      <c r="G128" t="str">
        <f t="shared" si="8"/>
        <v>A</v>
      </c>
    </row>
    <row r="129" spans="1:7" x14ac:dyDescent="0.35">
      <c r="A129" t="s">
        <v>727</v>
      </c>
      <c r="B129" t="s">
        <v>1358</v>
      </c>
      <c r="C129" s="5">
        <f>SUMIFS(clean_data!$AM:$AM,clean_data!$U:$U,$A129,clean_data!$V:$V,$B129)</f>
        <v>13983.752729999998</v>
      </c>
      <c r="D129" s="5">
        <f>SUMIF(clean_data!$U:$U,$A129,clean_data!$AM:$AM)</f>
        <v>1545646.9975799995</v>
      </c>
      <c r="E129" s="5">
        <f t="shared" si="9"/>
        <v>1241881.8675500001</v>
      </c>
      <c r="F129" s="34">
        <f t="shared" si="7"/>
        <v>0.80347056572063302</v>
      </c>
      <c r="G129" t="str">
        <f t="shared" si="8"/>
        <v>B</v>
      </c>
    </row>
    <row r="130" spans="1:7" x14ac:dyDescent="0.35">
      <c r="A130" t="s">
        <v>727</v>
      </c>
      <c r="B130" t="s">
        <v>954</v>
      </c>
      <c r="C130" s="5">
        <f>SUMIFS(clean_data!$AM:$AM,clean_data!$U:$U,$A130,clean_data!$V:$V,$B130)</f>
        <v>13519.529099999998</v>
      </c>
      <c r="D130" s="5">
        <f>SUMIF(clean_data!$U:$U,$A130,clean_data!$AM:$AM)</f>
        <v>1545646.9975799995</v>
      </c>
      <c r="E130" s="5">
        <f t="shared" si="9"/>
        <v>1255401.39665</v>
      </c>
      <c r="F130" s="34">
        <f t="shared" ref="F130:F193" si="10">E130/D130</f>
        <v>0.81221740708943668</v>
      </c>
      <c r="G130" t="str">
        <f t="shared" ref="G130:G193" si="11">IF(F130&lt;=0.8,"A",IF(F130&lt;=0.95,"B","C"))</f>
        <v>B</v>
      </c>
    </row>
    <row r="131" spans="1:7" x14ac:dyDescent="0.35">
      <c r="A131" t="s">
        <v>727</v>
      </c>
      <c r="B131" t="s">
        <v>1131</v>
      </c>
      <c r="C131" s="5">
        <f>SUMIFS(clean_data!$AM:$AM,clean_data!$U:$U,$A131,clean_data!$V:$V,$B131)</f>
        <v>13185.543</v>
      </c>
      <c r="D131" s="5">
        <f>SUMIF(clean_data!$U:$U,$A131,clean_data!$AM:$AM)</f>
        <v>1545646.9975799995</v>
      </c>
      <c r="E131" s="5">
        <f t="shared" ref="E131:E194" si="12">IF(A131=A130,E130+C131,C131)</f>
        <v>1268586.9396500001</v>
      </c>
      <c r="F131" s="34">
        <f t="shared" si="10"/>
        <v>0.82074816671349349</v>
      </c>
      <c r="G131" t="str">
        <f t="shared" si="11"/>
        <v>B</v>
      </c>
    </row>
    <row r="132" spans="1:7" x14ac:dyDescent="0.35">
      <c r="A132" t="s">
        <v>727</v>
      </c>
      <c r="B132" t="s">
        <v>819</v>
      </c>
      <c r="C132" s="5">
        <f>SUMIFS(clean_data!$AM:$AM,clean_data!$U:$U,$A132,clean_data!$V:$V,$B132)</f>
        <v>13146.470699999998</v>
      </c>
      <c r="D132" s="5">
        <f>SUMIF(clean_data!$U:$U,$A132,clean_data!$AM:$AM)</f>
        <v>1545646.9975799995</v>
      </c>
      <c r="E132" s="5">
        <f t="shared" si="12"/>
        <v>1281733.41035</v>
      </c>
      <c r="F132" s="34">
        <f t="shared" si="10"/>
        <v>0.82925364740901009</v>
      </c>
      <c r="G132" t="str">
        <f t="shared" si="11"/>
        <v>B</v>
      </c>
    </row>
    <row r="133" spans="1:7" x14ac:dyDescent="0.35">
      <c r="A133" t="s">
        <v>727</v>
      </c>
      <c r="B133" t="s">
        <v>984</v>
      </c>
      <c r="C133" s="5">
        <f>SUMIFS(clean_data!$AM:$AM,clean_data!$U:$U,$A133,clean_data!$V:$V,$B133)</f>
        <v>12186.368600000002</v>
      </c>
      <c r="D133" s="5">
        <f>SUMIF(clean_data!$U:$U,$A133,clean_data!$AM:$AM)</f>
        <v>1545646.9975799995</v>
      </c>
      <c r="E133" s="5">
        <f t="shared" si="12"/>
        <v>1293919.7789499999</v>
      </c>
      <c r="F133" s="34">
        <f t="shared" si="10"/>
        <v>0.83713796292159481</v>
      </c>
      <c r="G133" t="str">
        <f t="shared" si="11"/>
        <v>B</v>
      </c>
    </row>
    <row r="134" spans="1:7" x14ac:dyDescent="0.35">
      <c r="A134" t="s">
        <v>727</v>
      </c>
      <c r="B134" t="s">
        <v>839</v>
      </c>
      <c r="C134" s="5">
        <f>SUMIFS(clean_data!$AM:$AM,clean_data!$U:$U,$A134,clean_data!$V:$V,$B134)</f>
        <v>12080.215199999999</v>
      </c>
      <c r="D134" s="5">
        <f>SUMIF(clean_data!$U:$U,$A134,clean_data!$AM:$AM)</f>
        <v>1545646.9975799995</v>
      </c>
      <c r="E134" s="5">
        <f t="shared" si="12"/>
        <v>1305999.9941499999</v>
      </c>
      <c r="F134" s="34">
        <f t="shared" si="10"/>
        <v>0.84495359949250248</v>
      </c>
      <c r="G134" t="str">
        <f t="shared" si="11"/>
        <v>B</v>
      </c>
    </row>
    <row r="135" spans="1:7" x14ac:dyDescent="0.35">
      <c r="A135" t="s">
        <v>727</v>
      </c>
      <c r="B135" t="s">
        <v>771</v>
      </c>
      <c r="C135" s="5">
        <f>SUMIFS(clean_data!$AM:$AM,clean_data!$U:$U,$A135,clean_data!$V:$V,$B135)</f>
        <v>11995.153920000001</v>
      </c>
      <c r="D135" s="5">
        <f>SUMIF(clean_data!$U:$U,$A135,clean_data!$AM:$AM)</f>
        <v>1545646.9975799995</v>
      </c>
      <c r="E135" s="5">
        <f t="shared" si="12"/>
        <v>1317995.1480699999</v>
      </c>
      <c r="F135" s="34">
        <f t="shared" si="10"/>
        <v>0.85271420326476144</v>
      </c>
      <c r="G135" t="str">
        <f t="shared" si="11"/>
        <v>B</v>
      </c>
    </row>
    <row r="136" spans="1:7" x14ac:dyDescent="0.35">
      <c r="A136" t="s">
        <v>727</v>
      </c>
      <c r="B136" t="s">
        <v>1323</v>
      </c>
      <c r="C136" s="5">
        <f>SUMIFS(clean_data!$AM:$AM,clean_data!$U:$U,$A136,clean_data!$V:$V,$B136)</f>
        <v>11742.8703</v>
      </c>
      <c r="D136" s="5">
        <f>SUMIF(clean_data!$U:$U,$A136,clean_data!$AM:$AM)</f>
        <v>1545646.9975799995</v>
      </c>
      <c r="E136" s="5">
        <f t="shared" si="12"/>
        <v>1329738.0183699999</v>
      </c>
      <c r="F136" s="34">
        <f t="shared" si="10"/>
        <v>0.86031158502035354</v>
      </c>
      <c r="G136" t="str">
        <f t="shared" si="11"/>
        <v>B</v>
      </c>
    </row>
    <row r="137" spans="1:7" x14ac:dyDescent="0.35">
      <c r="A137" t="s">
        <v>727</v>
      </c>
      <c r="B137" t="s">
        <v>1023</v>
      </c>
      <c r="C137" s="5">
        <f>SUMIFS(clean_data!$AM:$AM,clean_data!$U:$U,$A137,clean_data!$V:$V,$B137)</f>
        <v>10456.416880000001</v>
      </c>
      <c r="D137" s="5">
        <f>SUMIF(clean_data!$U:$U,$A137,clean_data!$AM:$AM)</f>
        <v>1545646.9975799995</v>
      </c>
      <c r="E137" s="5">
        <f t="shared" si="12"/>
        <v>1340194.4352499999</v>
      </c>
      <c r="F137" s="34">
        <f t="shared" si="10"/>
        <v>0.86707665938492151</v>
      </c>
      <c r="G137" t="str">
        <f t="shared" si="11"/>
        <v>B</v>
      </c>
    </row>
    <row r="138" spans="1:7" x14ac:dyDescent="0.35">
      <c r="A138" t="s">
        <v>727</v>
      </c>
      <c r="B138" t="s">
        <v>764</v>
      </c>
      <c r="C138" s="5">
        <f>SUMIFS(clean_data!$AM:$AM,clean_data!$U:$U,$A138,clean_data!$V:$V,$B138)</f>
        <v>9805.8573800000013</v>
      </c>
      <c r="D138" s="5">
        <f>SUMIF(clean_data!$U:$U,$A138,clean_data!$AM:$AM)</f>
        <v>1545646.9975799995</v>
      </c>
      <c r="E138" s="5">
        <f t="shared" si="12"/>
        <v>1350000.2926299998</v>
      </c>
      <c r="F138" s="34">
        <f t="shared" si="10"/>
        <v>0.87342083589828634</v>
      </c>
      <c r="G138" t="str">
        <f t="shared" si="11"/>
        <v>B</v>
      </c>
    </row>
    <row r="139" spans="1:7" x14ac:dyDescent="0.35">
      <c r="A139" t="s">
        <v>727</v>
      </c>
      <c r="B139" t="s">
        <v>870</v>
      </c>
      <c r="C139" s="5">
        <f>SUMIFS(clean_data!$AM:$AM,clean_data!$U:$U,$A139,clean_data!$V:$V,$B139)</f>
        <v>9698.1638399999993</v>
      </c>
      <c r="D139" s="5">
        <f>SUMIF(clean_data!$U:$U,$A139,clean_data!$AM:$AM)</f>
        <v>1545646.9975799995</v>
      </c>
      <c r="E139" s="5">
        <f t="shared" si="12"/>
        <v>1359698.4564699999</v>
      </c>
      <c r="F139" s="34">
        <f t="shared" si="10"/>
        <v>0.87969533703288205</v>
      </c>
      <c r="G139" t="str">
        <f t="shared" si="11"/>
        <v>B</v>
      </c>
    </row>
    <row r="140" spans="1:7" x14ac:dyDescent="0.35">
      <c r="A140" t="s">
        <v>727</v>
      </c>
      <c r="B140" t="s">
        <v>803</v>
      </c>
      <c r="C140" s="5">
        <f>SUMIFS(clean_data!$AM:$AM,clean_data!$U:$U,$A140,clean_data!$V:$V,$B140)</f>
        <v>8930.7124999999996</v>
      </c>
      <c r="D140" s="5">
        <f>SUMIF(clean_data!$U:$U,$A140,clean_data!$AM:$AM)</f>
        <v>1545646.9975799995</v>
      </c>
      <c r="E140" s="5">
        <f t="shared" si="12"/>
        <v>1368629.1689699998</v>
      </c>
      <c r="F140" s="34">
        <f t="shared" si="10"/>
        <v>0.88547331383740635</v>
      </c>
      <c r="G140" t="str">
        <f t="shared" si="11"/>
        <v>B</v>
      </c>
    </row>
    <row r="141" spans="1:7" x14ac:dyDescent="0.35">
      <c r="A141" t="s">
        <v>727</v>
      </c>
      <c r="B141" t="s">
        <v>905</v>
      </c>
      <c r="C141" s="5">
        <f>SUMIFS(clean_data!$AM:$AM,clean_data!$U:$U,$A141,clean_data!$V:$V,$B141)</f>
        <v>8928.9795999999988</v>
      </c>
      <c r="D141" s="5">
        <f>SUMIF(clean_data!$U:$U,$A141,clean_data!$AM:$AM)</f>
        <v>1545646.9975799995</v>
      </c>
      <c r="E141" s="5">
        <f t="shared" si="12"/>
        <v>1377558.1485699997</v>
      </c>
      <c r="F141" s="34">
        <f t="shared" si="10"/>
        <v>0.8912501694933096</v>
      </c>
      <c r="G141" t="str">
        <f t="shared" si="11"/>
        <v>B</v>
      </c>
    </row>
    <row r="142" spans="1:7" x14ac:dyDescent="0.35">
      <c r="A142" t="s">
        <v>727</v>
      </c>
      <c r="B142" t="s">
        <v>859</v>
      </c>
      <c r="C142" s="5">
        <f>SUMIFS(clean_data!$AM:$AM,clean_data!$U:$U,$A142,clean_data!$V:$V,$B142)</f>
        <v>8909.8587200000002</v>
      </c>
      <c r="D142" s="5">
        <f>SUMIF(clean_data!$U:$U,$A142,clean_data!$AM:$AM)</f>
        <v>1545646.9975799995</v>
      </c>
      <c r="E142" s="5">
        <f t="shared" si="12"/>
        <v>1386468.0072899996</v>
      </c>
      <c r="F142" s="34">
        <f t="shared" si="10"/>
        <v>0.89701465435560357</v>
      </c>
      <c r="G142" t="str">
        <f t="shared" si="11"/>
        <v>B</v>
      </c>
    </row>
    <row r="143" spans="1:7" x14ac:dyDescent="0.35">
      <c r="A143" t="s">
        <v>727</v>
      </c>
      <c r="B143" t="s">
        <v>1028</v>
      </c>
      <c r="C143" s="5">
        <f>SUMIFS(clean_data!$AM:$AM,clean_data!$U:$U,$A143,clean_data!$V:$V,$B143)</f>
        <v>8903.4839999999986</v>
      </c>
      <c r="D143" s="5">
        <f>SUMIF(clean_data!$U:$U,$A143,clean_data!$AM:$AM)</f>
        <v>1545646.9975799995</v>
      </c>
      <c r="E143" s="5">
        <f t="shared" si="12"/>
        <v>1395371.4912899996</v>
      </c>
      <c r="F143" s="34">
        <f t="shared" si="10"/>
        <v>0.90277501491266476</v>
      </c>
      <c r="G143" t="str">
        <f t="shared" si="11"/>
        <v>B</v>
      </c>
    </row>
    <row r="144" spans="1:7" x14ac:dyDescent="0.35">
      <c r="A144" t="s">
        <v>727</v>
      </c>
      <c r="B144" t="s">
        <v>1049</v>
      </c>
      <c r="C144" s="5">
        <f>SUMIFS(clean_data!$AM:$AM,clean_data!$U:$U,$A144,clean_data!$V:$V,$B144)</f>
        <v>8780.5809000000008</v>
      </c>
      <c r="D144" s="5">
        <f>SUMIF(clean_data!$U:$U,$A144,clean_data!$AM:$AM)</f>
        <v>1545646.9975799995</v>
      </c>
      <c r="E144" s="5">
        <f t="shared" si="12"/>
        <v>1404152.0721899995</v>
      </c>
      <c r="F144" s="34">
        <f t="shared" si="10"/>
        <v>0.90845585983634236</v>
      </c>
      <c r="G144" t="str">
        <f t="shared" si="11"/>
        <v>B</v>
      </c>
    </row>
    <row r="145" spans="1:7" x14ac:dyDescent="0.35">
      <c r="A145" t="s">
        <v>727</v>
      </c>
      <c r="B145" t="s">
        <v>1328</v>
      </c>
      <c r="C145" s="5">
        <f>SUMIFS(clean_data!$AM:$AM,clean_data!$U:$U,$A145,clean_data!$V:$V,$B145)</f>
        <v>8128.5187499999993</v>
      </c>
      <c r="D145" s="5">
        <f>SUMIF(clean_data!$U:$U,$A145,clean_data!$AM:$AM)</f>
        <v>1545646.9975799995</v>
      </c>
      <c r="E145" s="5">
        <f t="shared" si="12"/>
        <v>1412280.5909399996</v>
      </c>
      <c r="F145" s="34">
        <f t="shared" si="10"/>
        <v>0.91371483472693948</v>
      </c>
      <c r="G145" t="str">
        <f t="shared" si="11"/>
        <v>B</v>
      </c>
    </row>
    <row r="146" spans="1:7" x14ac:dyDescent="0.35">
      <c r="A146" t="s">
        <v>727</v>
      </c>
      <c r="B146" t="s">
        <v>1137</v>
      </c>
      <c r="C146" s="5">
        <f>SUMIFS(clean_data!$AM:$AM,clean_data!$U:$U,$A146,clean_data!$V:$V,$B146)</f>
        <v>7832.0010999999995</v>
      </c>
      <c r="D146" s="5">
        <f>SUMIF(clean_data!$U:$U,$A146,clean_data!$AM:$AM)</f>
        <v>1545646.9975799995</v>
      </c>
      <c r="E146" s="5">
        <f t="shared" si="12"/>
        <v>1420112.5920399996</v>
      </c>
      <c r="F146" s="34">
        <f t="shared" si="10"/>
        <v>0.91878196914525267</v>
      </c>
      <c r="G146" t="str">
        <f t="shared" si="11"/>
        <v>B</v>
      </c>
    </row>
    <row r="147" spans="1:7" x14ac:dyDescent="0.35">
      <c r="A147" t="s">
        <v>727</v>
      </c>
      <c r="B147" t="s">
        <v>1253</v>
      </c>
      <c r="C147" s="5">
        <f>SUMIFS(clean_data!$AM:$AM,clean_data!$U:$U,$A147,clean_data!$V:$V,$B147)</f>
        <v>7399.4832000000006</v>
      </c>
      <c r="D147" s="5">
        <f>SUMIF(clean_data!$U:$U,$A147,clean_data!$AM:$AM)</f>
        <v>1545646.9975799995</v>
      </c>
      <c r="E147" s="5">
        <f t="shared" si="12"/>
        <v>1427512.0752399995</v>
      </c>
      <c r="F147" s="34">
        <f t="shared" si="10"/>
        <v>0.92356927388662324</v>
      </c>
      <c r="G147" t="str">
        <f t="shared" si="11"/>
        <v>B</v>
      </c>
    </row>
    <row r="148" spans="1:7" x14ac:dyDescent="0.35">
      <c r="A148" t="s">
        <v>727</v>
      </c>
      <c r="B148" t="s">
        <v>1170</v>
      </c>
      <c r="C148" s="5">
        <f>SUMIFS(clean_data!$AM:$AM,clean_data!$U:$U,$A148,clean_data!$V:$V,$B148)</f>
        <v>7340.3891399999993</v>
      </c>
      <c r="D148" s="5">
        <f>SUMIF(clean_data!$U:$U,$A148,clean_data!$AM:$AM)</f>
        <v>1545646.9975799995</v>
      </c>
      <c r="E148" s="5">
        <f t="shared" si="12"/>
        <v>1434852.4643799996</v>
      </c>
      <c r="F148" s="34">
        <f t="shared" si="10"/>
        <v>0.92831834605607255</v>
      </c>
      <c r="G148" t="str">
        <f t="shared" si="11"/>
        <v>B</v>
      </c>
    </row>
    <row r="149" spans="1:7" x14ac:dyDescent="0.35">
      <c r="A149" t="s">
        <v>727</v>
      </c>
      <c r="B149" t="s">
        <v>809</v>
      </c>
      <c r="C149" s="5">
        <f>SUMIFS(clean_data!$AM:$AM,clean_data!$U:$U,$A149,clean_data!$V:$V,$B149)</f>
        <v>6874.4828600000001</v>
      </c>
      <c r="D149" s="5">
        <f>SUMIF(clean_data!$U:$U,$A149,clean_data!$AM:$AM)</f>
        <v>1545646.9975799995</v>
      </c>
      <c r="E149" s="5">
        <f t="shared" si="12"/>
        <v>1441726.9472399997</v>
      </c>
      <c r="F149" s="34">
        <f t="shared" si="10"/>
        <v>0.93276598699269231</v>
      </c>
      <c r="G149" t="str">
        <f t="shared" si="11"/>
        <v>B</v>
      </c>
    </row>
    <row r="150" spans="1:7" x14ac:dyDescent="0.35">
      <c r="A150" t="s">
        <v>727</v>
      </c>
      <c r="B150" t="s">
        <v>1293</v>
      </c>
      <c r="C150" s="5">
        <f>SUMIFS(clean_data!$AM:$AM,clean_data!$U:$U,$A150,clean_data!$V:$V,$B150)</f>
        <v>6766.9829999999993</v>
      </c>
      <c r="D150" s="5">
        <f>SUMIF(clean_data!$U:$U,$A150,clean_data!$AM:$AM)</f>
        <v>1545646.9975799995</v>
      </c>
      <c r="E150" s="5">
        <f t="shared" si="12"/>
        <v>1448493.9302399997</v>
      </c>
      <c r="F150" s="34">
        <f t="shared" si="10"/>
        <v>0.93714407785729137</v>
      </c>
      <c r="G150" t="str">
        <f t="shared" si="11"/>
        <v>B</v>
      </c>
    </row>
    <row r="151" spans="1:7" x14ac:dyDescent="0.35">
      <c r="A151" t="s">
        <v>727</v>
      </c>
      <c r="B151" t="s">
        <v>940</v>
      </c>
      <c r="C151" s="5">
        <f>SUMIFS(clean_data!$AM:$AM,clean_data!$U:$U,$A151,clean_data!$V:$V,$B151)</f>
        <v>6702.3501999999999</v>
      </c>
      <c r="D151" s="5">
        <f>SUMIF(clean_data!$U:$U,$A151,clean_data!$AM:$AM)</f>
        <v>1545646.9975799995</v>
      </c>
      <c r="E151" s="5">
        <f t="shared" si="12"/>
        <v>1455196.2804399997</v>
      </c>
      <c r="F151" s="34">
        <f t="shared" si="10"/>
        <v>0.94148035270561947</v>
      </c>
      <c r="G151" t="str">
        <f t="shared" si="11"/>
        <v>B</v>
      </c>
    </row>
    <row r="152" spans="1:7" x14ac:dyDescent="0.35">
      <c r="A152" t="s">
        <v>727</v>
      </c>
      <c r="B152" t="s">
        <v>1224</v>
      </c>
      <c r="C152" s="5">
        <f>SUMIFS(clean_data!$AM:$AM,clean_data!$U:$U,$A152,clean_data!$V:$V,$B152)</f>
        <v>6664.0999999999995</v>
      </c>
      <c r="D152" s="5">
        <f>SUMIF(clean_data!$U:$U,$A152,clean_data!$AM:$AM)</f>
        <v>1545646.9975799995</v>
      </c>
      <c r="E152" s="5">
        <f t="shared" si="12"/>
        <v>1461860.3804399997</v>
      </c>
      <c r="F152" s="34">
        <f t="shared" si="10"/>
        <v>0.94579188050623242</v>
      </c>
      <c r="G152" t="str">
        <f t="shared" si="11"/>
        <v>B</v>
      </c>
    </row>
    <row r="153" spans="1:7" x14ac:dyDescent="0.35">
      <c r="A153" t="s">
        <v>727</v>
      </c>
      <c r="B153" t="s">
        <v>1257</v>
      </c>
      <c r="C153" s="5">
        <f>SUMIFS(clean_data!$AM:$AM,clean_data!$U:$U,$A153,clean_data!$V:$V,$B153)</f>
        <v>6435.2555999999995</v>
      </c>
      <c r="D153" s="5">
        <f>SUMIF(clean_data!$U:$U,$A153,clean_data!$AM:$AM)</f>
        <v>1545646.9975799995</v>
      </c>
      <c r="E153" s="5">
        <f t="shared" si="12"/>
        <v>1468295.6360399998</v>
      </c>
      <c r="F153" s="34">
        <f t="shared" si="10"/>
        <v>0.94995535095587302</v>
      </c>
      <c r="G153" t="str">
        <f t="shared" si="11"/>
        <v>B</v>
      </c>
    </row>
    <row r="154" spans="1:7" x14ac:dyDescent="0.35">
      <c r="A154" t="s">
        <v>727</v>
      </c>
      <c r="B154" t="s">
        <v>835</v>
      </c>
      <c r="C154" s="5">
        <f>SUMIFS(clean_data!$AM:$AM,clean_data!$U:$U,$A154,clean_data!$V:$V,$B154)</f>
        <v>6324.5775999999996</v>
      </c>
      <c r="D154" s="5">
        <f>SUMIF(clean_data!$U:$U,$A154,clean_data!$AM:$AM)</f>
        <v>1545646.9975799995</v>
      </c>
      <c r="E154" s="5">
        <f t="shared" si="12"/>
        <v>1474620.2136399997</v>
      </c>
      <c r="F154" s="34">
        <f t="shared" si="10"/>
        <v>0.9540472151460162</v>
      </c>
      <c r="G154" t="str">
        <f t="shared" si="11"/>
        <v>C</v>
      </c>
    </row>
    <row r="155" spans="1:7" x14ac:dyDescent="0.35">
      <c r="A155" t="s">
        <v>727</v>
      </c>
      <c r="B155" t="s">
        <v>1313</v>
      </c>
      <c r="C155" s="5">
        <f>SUMIFS(clean_data!$AM:$AM,clean_data!$U:$U,$A155,clean_data!$V:$V,$B155)</f>
        <v>6137.8019999999988</v>
      </c>
      <c r="D155" s="5">
        <f>SUMIF(clean_data!$U:$U,$A155,clean_data!$AM:$AM)</f>
        <v>1545646.9975799995</v>
      </c>
      <c r="E155" s="5">
        <f t="shared" si="12"/>
        <v>1480758.0156399996</v>
      </c>
      <c r="F155" s="34">
        <f t="shared" si="10"/>
        <v>0.95801823958407339</v>
      </c>
      <c r="G155" t="str">
        <f t="shared" si="11"/>
        <v>C</v>
      </c>
    </row>
    <row r="156" spans="1:7" x14ac:dyDescent="0.35">
      <c r="A156" t="s">
        <v>727</v>
      </c>
      <c r="B156" t="s">
        <v>1218</v>
      </c>
      <c r="C156" s="5">
        <f>SUMIFS(clean_data!$AM:$AM,clean_data!$U:$U,$A156,clean_data!$V:$V,$B156)</f>
        <v>6063.2517199999993</v>
      </c>
      <c r="D156" s="5">
        <f>SUMIF(clean_data!$U:$U,$A156,clean_data!$AM:$AM)</f>
        <v>1545646.9975799995</v>
      </c>
      <c r="E156" s="5">
        <f t="shared" si="12"/>
        <v>1486821.2673599997</v>
      </c>
      <c r="F156" s="34">
        <f t="shared" si="10"/>
        <v>0.96194103161193822</v>
      </c>
      <c r="G156" t="str">
        <f t="shared" si="11"/>
        <v>C</v>
      </c>
    </row>
    <row r="157" spans="1:7" x14ac:dyDescent="0.35">
      <c r="A157" t="s">
        <v>727</v>
      </c>
      <c r="B157" t="s">
        <v>895</v>
      </c>
      <c r="C157" s="5">
        <f>SUMIFS(clean_data!$AM:$AM,clean_data!$U:$U,$A157,clean_data!$V:$V,$B157)</f>
        <v>5650.1744000000008</v>
      </c>
      <c r="D157" s="5">
        <f>SUMIF(clean_data!$U:$U,$A157,clean_data!$AM:$AM)</f>
        <v>1545646.9975799995</v>
      </c>
      <c r="E157" s="5">
        <f t="shared" si="12"/>
        <v>1492471.4417599996</v>
      </c>
      <c r="F157" s="34">
        <f t="shared" si="10"/>
        <v>0.96559657159541845</v>
      </c>
      <c r="G157" t="str">
        <f t="shared" si="11"/>
        <v>C</v>
      </c>
    </row>
    <row r="158" spans="1:7" x14ac:dyDescent="0.35">
      <c r="A158" t="s">
        <v>727</v>
      </c>
      <c r="B158" t="s">
        <v>816</v>
      </c>
      <c r="C158" s="5">
        <f>SUMIFS(clean_data!$AM:$AM,clean_data!$U:$U,$A158,clean_data!$V:$V,$B158)</f>
        <v>5331.6696000000002</v>
      </c>
      <c r="D158" s="5">
        <f>SUMIF(clean_data!$U:$U,$A158,clean_data!$AM:$AM)</f>
        <v>1545646.9975799995</v>
      </c>
      <c r="E158" s="5">
        <f t="shared" si="12"/>
        <v>1497803.1113599995</v>
      </c>
      <c r="F158" s="34">
        <f t="shared" si="10"/>
        <v>0.96904604589863752</v>
      </c>
      <c r="G158" t="str">
        <f t="shared" si="11"/>
        <v>C</v>
      </c>
    </row>
    <row r="159" spans="1:7" x14ac:dyDescent="0.35">
      <c r="A159" t="s">
        <v>727</v>
      </c>
      <c r="B159" t="s">
        <v>746</v>
      </c>
      <c r="C159" s="5">
        <f>SUMIFS(clean_data!$AM:$AM,clean_data!$U:$U,$A159,clean_data!$V:$V,$B159)</f>
        <v>4968.5039999999999</v>
      </c>
      <c r="D159" s="5">
        <f>SUMIF(clean_data!$U:$U,$A159,clean_data!$AM:$AM)</f>
        <v>1545646.9975799995</v>
      </c>
      <c r="E159" s="5">
        <f t="shared" si="12"/>
        <v>1502771.6153599995</v>
      </c>
      <c r="F159" s="34">
        <f t="shared" si="10"/>
        <v>0.97226055995506766</v>
      </c>
      <c r="G159" t="str">
        <f t="shared" si="11"/>
        <v>C</v>
      </c>
    </row>
    <row r="160" spans="1:7" x14ac:dyDescent="0.35">
      <c r="A160" t="s">
        <v>727</v>
      </c>
      <c r="B160" t="s">
        <v>734</v>
      </c>
      <c r="C160" s="5">
        <f>SUMIFS(clean_data!$AM:$AM,clean_data!$U:$U,$A160,clean_data!$V:$V,$B160)</f>
        <v>4866.3287999999993</v>
      </c>
      <c r="D160" s="5">
        <f>SUMIF(clean_data!$U:$U,$A160,clean_data!$AM:$AM)</f>
        <v>1545646.9975799995</v>
      </c>
      <c r="E160" s="5">
        <f t="shared" si="12"/>
        <v>1507637.9441599995</v>
      </c>
      <c r="F160" s="34">
        <f t="shared" si="10"/>
        <v>0.97540896887872175</v>
      </c>
      <c r="G160" t="str">
        <f t="shared" si="11"/>
        <v>C</v>
      </c>
    </row>
    <row r="161" spans="1:7" x14ac:dyDescent="0.35">
      <c r="A161" t="s">
        <v>727</v>
      </c>
      <c r="B161" t="s">
        <v>956</v>
      </c>
      <c r="C161" s="5">
        <f>SUMIFS(clean_data!$AM:$AM,clean_data!$U:$U,$A161,clean_data!$V:$V,$B161)</f>
        <v>4503.4363999999996</v>
      </c>
      <c r="D161" s="5">
        <f>SUMIF(clean_data!$U:$U,$A161,clean_data!$AM:$AM)</f>
        <v>1545646.9975799995</v>
      </c>
      <c r="E161" s="5">
        <f t="shared" si="12"/>
        <v>1512141.3805599995</v>
      </c>
      <c r="F161" s="34">
        <f t="shared" si="10"/>
        <v>0.97832259431004664</v>
      </c>
      <c r="G161" t="str">
        <f t="shared" si="11"/>
        <v>C</v>
      </c>
    </row>
    <row r="162" spans="1:7" x14ac:dyDescent="0.35">
      <c r="A162" t="s">
        <v>727</v>
      </c>
      <c r="B162" t="s">
        <v>808</v>
      </c>
      <c r="C162" s="5">
        <f>SUMIFS(clean_data!$AM:$AM,clean_data!$U:$U,$A162,clean_data!$V:$V,$B162)</f>
        <v>4427.9172000000008</v>
      </c>
      <c r="D162" s="5">
        <f>SUMIF(clean_data!$U:$U,$A162,clean_data!$AM:$AM)</f>
        <v>1545646.9975799995</v>
      </c>
      <c r="E162" s="5">
        <f t="shared" si="12"/>
        <v>1516569.2977599995</v>
      </c>
      <c r="F162" s="34">
        <f t="shared" si="10"/>
        <v>0.98118736046100652</v>
      </c>
      <c r="G162" t="str">
        <f t="shared" si="11"/>
        <v>C</v>
      </c>
    </row>
    <row r="163" spans="1:7" x14ac:dyDescent="0.35">
      <c r="A163" t="s">
        <v>727</v>
      </c>
      <c r="B163" t="s">
        <v>1210</v>
      </c>
      <c r="C163" s="5">
        <f>SUMIFS(clean_data!$AM:$AM,clean_data!$U:$U,$A163,clean_data!$V:$V,$B163)</f>
        <v>4212.3745999999992</v>
      </c>
      <c r="D163" s="5">
        <f>SUMIF(clean_data!$U:$U,$A163,clean_data!$AM:$AM)</f>
        <v>1545646.9975799995</v>
      </c>
      <c r="E163" s="5">
        <f t="shared" si="12"/>
        <v>1520781.6723599995</v>
      </c>
      <c r="F163" s="34">
        <f t="shared" si="10"/>
        <v>0.98391267523636938</v>
      </c>
      <c r="G163" t="str">
        <f t="shared" si="11"/>
        <v>C</v>
      </c>
    </row>
    <row r="164" spans="1:7" x14ac:dyDescent="0.35">
      <c r="A164" t="s">
        <v>727</v>
      </c>
      <c r="B164" t="s">
        <v>1244</v>
      </c>
      <c r="C164" s="5">
        <f>SUMIFS(clean_data!$AM:$AM,clean_data!$U:$U,$A164,clean_data!$V:$V,$B164)</f>
        <v>3525.5505600000001</v>
      </c>
      <c r="D164" s="5">
        <f>SUMIF(clean_data!$U:$U,$A164,clean_data!$AM:$AM)</f>
        <v>1545646.9975799995</v>
      </c>
      <c r="E164" s="5">
        <f t="shared" si="12"/>
        <v>1524307.2229199994</v>
      </c>
      <c r="F164" s="34">
        <f t="shared" si="10"/>
        <v>0.98619362979165903</v>
      </c>
      <c r="G164" t="str">
        <f t="shared" si="11"/>
        <v>C</v>
      </c>
    </row>
    <row r="165" spans="1:7" x14ac:dyDescent="0.35">
      <c r="A165" t="s">
        <v>727</v>
      </c>
      <c r="B165" t="s">
        <v>1302</v>
      </c>
      <c r="C165" s="5">
        <f>SUMIFS(clean_data!$AM:$AM,clean_data!$U:$U,$A165,clean_data!$V:$V,$B165)</f>
        <v>3378.1478400000001</v>
      </c>
      <c r="D165" s="5">
        <f>SUMIF(clean_data!$U:$U,$A165,clean_data!$AM:$AM)</f>
        <v>1545646.9975799995</v>
      </c>
      <c r="E165" s="5">
        <f t="shared" si="12"/>
        <v>1527685.3707599994</v>
      </c>
      <c r="F165" s="34">
        <f t="shared" si="10"/>
        <v>0.98837921799212725</v>
      </c>
      <c r="G165" t="str">
        <f t="shared" si="11"/>
        <v>C</v>
      </c>
    </row>
    <row r="166" spans="1:7" x14ac:dyDescent="0.35">
      <c r="A166" t="s">
        <v>727</v>
      </c>
      <c r="B166" t="s">
        <v>1060</v>
      </c>
      <c r="C166" s="5">
        <f>SUMIFS(clean_data!$AM:$AM,clean_data!$U:$U,$A166,clean_data!$V:$V,$B166)</f>
        <v>2373.9623200000001</v>
      </c>
      <c r="D166" s="5">
        <f>SUMIF(clean_data!$U:$U,$A166,clean_data!$AM:$AM)</f>
        <v>1545646.9975799995</v>
      </c>
      <c r="E166" s="5">
        <f t="shared" si="12"/>
        <v>1530059.3330799993</v>
      </c>
      <c r="F166" s="34">
        <f t="shared" si="10"/>
        <v>0.98991511999544168</v>
      </c>
      <c r="G166" t="str">
        <f t="shared" si="11"/>
        <v>C</v>
      </c>
    </row>
    <row r="167" spans="1:7" x14ac:dyDescent="0.35">
      <c r="A167" t="s">
        <v>727</v>
      </c>
      <c r="B167" t="s">
        <v>903</v>
      </c>
      <c r="C167" s="5">
        <f>SUMIFS(clean_data!$AM:$AM,clean_data!$U:$U,$A167,clean_data!$V:$V,$B167)</f>
        <v>2316.2621999999997</v>
      </c>
      <c r="D167" s="5">
        <f>SUMIF(clean_data!$U:$U,$A167,clean_data!$AM:$AM)</f>
        <v>1545646.9975799995</v>
      </c>
      <c r="E167" s="5">
        <f t="shared" si="12"/>
        <v>1532375.5952799993</v>
      </c>
      <c r="F167" s="34">
        <f t="shared" si="10"/>
        <v>0.99141369127570589</v>
      </c>
      <c r="G167" t="str">
        <f t="shared" si="11"/>
        <v>C</v>
      </c>
    </row>
    <row r="168" spans="1:7" x14ac:dyDescent="0.35">
      <c r="A168" t="s">
        <v>727</v>
      </c>
      <c r="B168" t="s">
        <v>1341</v>
      </c>
      <c r="C168" s="5">
        <f>SUMIFS(clean_data!$AM:$AM,clean_data!$U:$U,$A168,clean_data!$V:$V,$B168)</f>
        <v>2077.46</v>
      </c>
      <c r="D168" s="5">
        <f>SUMIF(clean_data!$U:$U,$A168,clean_data!$AM:$AM)</f>
        <v>1545646.9975799995</v>
      </c>
      <c r="E168" s="5">
        <f t="shared" si="12"/>
        <v>1534453.0552799993</v>
      </c>
      <c r="F168" s="34">
        <f t="shared" si="10"/>
        <v>0.99275776272491301</v>
      </c>
      <c r="G168" t="str">
        <f t="shared" si="11"/>
        <v>C</v>
      </c>
    </row>
    <row r="169" spans="1:7" x14ac:dyDescent="0.35">
      <c r="A169" t="s">
        <v>727</v>
      </c>
      <c r="B169" t="s">
        <v>858</v>
      </c>
      <c r="C169" s="5">
        <f>SUMIFS(clean_data!$AM:$AM,clean_data!$U:$U,$A169,clean_data!$V:$V,$B169)</f>
        <v>2072.9258400000003</v>
      </c>
      <c r="D169" s="5">
        <f>SUMIF(clean_data!$U:$U,$A169,clean_data!$AM:$AM)</f>
        <v>1545646.9975799995</v>
      </c>
      <c r="E169" s="5">
        <f t="shared" si="12"/>
        <v>1536525.9811199992</v>
      </c>
      <c r="F169" s="34">
        <f t="shared" si="10"/>
        <v>0.99409890067118756</v>
      </c>
      <c r="G169" t="str">
        <f t="shared" si="11"/>
        <v>C</v>
      </c>
    </row>
    <row r="170" spans="1:7" x14ac:dyDescent="0.35">
      <c r="A170" t="s">
        <v>727</v>
      </c>
      <c r="B170" t="s">
        <v>1197</v>
      </c>
      <c r="C170" s="5">
        <f>SUMIFS(clean_data!$AM:$AM,clean_data!$U:$U,$A170,clean_data!$V:$V,$B170)</f>
        <v>1808.04592</v>
      </c>
      <c r="D170" s="5">
        <f>SUMIF(clean_data!$U:$U,$A170,clean_data!$AM:$AM)</f>
        <v>1545646.9975799995</v>
      </c>
      <c r="E170" s="5">
        <f t="shared" si="12"/>
        <v>1538334.0270399991</v>
      </c>
      <c r="F170" s="34">
        <f t="shared" si="10"/>
        <v>0.99526866706858019</v>
      </c>
      <c r="G170" t="str">
        <f t="shared" si="11"/>
        <v>C</v>
      </c>
    </row>
    <row r="171" spans="1:7" x14ac:dyDescent="0.35">
      <c r="A171" t="s">
        <v>727</v>
      </c>
      <c r="B171" t="s">
        <v>1193</v>
      </c>
      <c r="C171" s="5">
        <f>SUMIFS(clean_data!$AM:$AM,clean_data!$U:$U,$A171,clean_data!$V:$V,$B171)</f>
        <v>1662.6945600000001</v>
      </c>
      <c r="D171" s="5">
        <f>SUMIF(clean_data!$U:$U,$A171,clean_data!$AM:$AM)</f>
        <v>1545646.9975799995</v>
      </c>
      <c r="E171" s="5">
        <f t="shared" si="12"/>
        <v>1539996.7215999991</v>
      </c>
      <c r="F171" s="34">
        <f t="shared" si="10"/>
        <v>0.99634439429646815</v>
      </c>
      <c r="G171" t="str">
        <f t="shared" si="11"/>
        <v>C</v>
      </c>
    </row>
    <row r="172" spans="1:7" x14ac:dyDescent="0.35">
      <c r="A172" t="s">
        <v>727</v>
      </c>
      <c r="B172" t="s">
        <v>821</v>
      </c>
      <c r="C172" s="5">
        <f>SUMIFS(clean_data!$AM:$AM,clean_data!$U:$U,$A172,clean_data!$V:$V,$B172)</f>
        <v>1654.8966000000003</v>
      </c>
      <c r="D172" s="5">
        <f>SUMIF(clean_data!$U:$U,$A172,clean_data!$AM:$AM)</f>
        <v>1545646.9975799995</v>
      </c>
      <c r="E172" s="5">
        <f t="shared" si="12"/>
        <v>1541651.6181999992</v>
      </c>
      <c r="F172" s="34">
        <f t="shared" si="10"/>
        <v>0.99741507641378935</v>
      </c>
      <c r="G172" t="str">
        <f t="shared" si="11"/>
        <v>C</v>
      </c>
    </row>
    <row r="173" spans="1:7" x14ac:dyDescent="0.35">
      <c r="A173" t="s">
        <v>727</v>
      </c>
      <c r="B173" t="s">
        <v>1252</v>
      </c>
      <c r="C173" s="5">
        <f>SUMIFS(clean_data!$AM:$AM,clean_data!$U:$U,$A173,clean_data!$V:$V,$B173)</f>
        <v>855.72881999999993</v>
      </c>
      <c r="D173" s="5">
        <f>SUMIF(clean_data!$U:$U,$A173,clean_data!$AM:$AM)</f>
        <v>1545646.9975799995</v>
      </c>
      <c r="E173" s="5">
        <f t="shared" si="12"/>
        <v>1542507.3470199993</v>
      </c>
      <c r="F173" s="34">
        <f t="shared" si="10"/>
        <v>0.99796871435397871</v>
      </c>
      <c r="G173" t="str">
        <f t="shared" si="11"/>
        <v>C</v>
      </c>
    </row>
    <row r="174" spans="1:7" x14ac:dyDescent="0.35">
      <c r="A174" t="s">
        <v>727</v>
      </c>
      <c r="B174" t="s">
        <v>861</v>
      </c>
      <c r="C174" s="5">
        <f>SUMIFS(clean_data!$AM:$AM,clean_data!$U:$U,$A174,clean_data!$V:$V,$B174)</f>
        <v>853.32276999999988</v>
      </c>
      <c r="D174" s="5">
        <f>SUMIF(clean_data!$U:$U,$A174,clean_data!$AM:$AM)</f>
        <v>1545646.9975799995</v>
      </c>
      <c r="E174" s="5">
        <f t="shared" si="12"/>
        <v>1543360.6697899993</v>
      </c>
      <c r="F174" s="34">
        <f t="shared" si="10"/>
        <v>0.99852079563213336</v>
      </c>
      <c r="G174" t="str">
        <f t="shared" si="11"/>
        <v>C</v>
      </c>
    </row>
    <row r="175" spans="1:7" x14ac:dyDescent="0.35">
      <c r="A175" t="s">
        <v>727</v>
      </c>
      <c r="B175" t="s">
        <v>1057</v>
      </c>
      <c r="C175" s="5">
        <f>SUMIFS(clean_data!$AM:$AM,clean_data!$U:$U,$A175,clean_data!$V:$V,$B175)</f>
        <v>703.2428000000001</v>
      </c>
      <c r="D175" s="5">
        <f>SUMIF(clean_data!$U:$U,$A175,clean_data!$AM:$AM)</f>
        <v>1545646.9975799995</v>
      </c>
      <c r="E175" s="5">
        <f t="shared" si="12"/>
        <v>1544063.9125899991</v>
      </c>
      <c r="F175" s="34">
        <f t="shared" si="10"/>
        <v>0.99897577843292873</v>
      </c>
      <c r="G175" t="str">
        <f t="shared" si="11"/>
        <v>C</v>
      </c>
    </row>
    <row r="176" spans="1:7" x14ac:dyDescent="0.35">
      <c r="A176" t="s">
        <v>727</v>
      </c>
      <c r="B176" t="s">
        <v>964</v>
      </c>
      <c r="C176" s="5">
        <f>SUMIFS(clean_data!$AM:$AM,clean_data!$U:$U,$A176,clean_data!$V:$V,$B176)</f>
        <v>667.15008</v>
      </c>
      <c r="D176" s="5">
        <f>SUMIF(clean_data!$U:$U,$A176,clean_data!$AM:$AM)</f>
        <v>1545646.9975799995</v>
      </c>
      <c r="E176" s="5">
        <f t="shared" si="12"/>
        <v>1544731.0626699992</v>
      </c>
      <c r="F176" s="34">
        <f t="shared" si="10"/>
        <v>0.99940741002865829</v>
      </c>
      <c r="G176" t="str">
        <f t="shared" si="11"/>
        <v>C</v>
      </c>
    </row>
    <row r="177" spans="1:7" x14ac:dyDescent="0.35">
      <c r="A177" t="s">
        <v>727</v>
      </c>
      <c r="B177" t="s">
        <v>1307</v>
      </c>
      <c r="C177" s="5">
        <f>SUMIFS(clean_data!$AM:$AM,clean_data!$U:$U,$A177,clean_data!$V:$V,$B177)</f>
        <v>496.98660000000001</v>
      </c>
      <c r="D177" s="5">
        <f>SUMIF(clean_data!$U:$U,$A177,clean_data!$AM:$AM)</f>
        <v>1545646.9975799995</v>
      </c>
      <c r="E177" s="5">
        <f t="shared" si="12"/>
        <v>1545228.0492699991</v>
      </c>
      <c r="F177" s="34">
        <f t="shared" si="10"/>
        <v>0.99972894955273983</v>
      </c>
      <c r="G177" t="str">
        <f t="shared" si="11"/>
        <v>C</v>
      </c>
    </row>
    <row r="178" spans="1:7" x14ac:dyDescent="0.35">
      <c r="A178" t="s">
        <v>727</v>
      </c>
      <c r="B178" t="s">
        <v>911</v>
      </c>
      <c r="C178" s="5">
        <f>SUMIFS(clean_data!$AM:$AM,clean_data!$U:$U,$A178,clean_data!$V:$V,$B178)</f>
        <v>321.93290999999999</v>
      </c>
      <c r="D178" s="5">
        <f>SUMIF(clean_data!$U:$U,$A178,clean_data!$AM:$AM)</f>
        <v>1545646.9975799995</v>
      </c>
      <c r="E178" s="5">
        <f t="shared" si="12"/>
        <v>1545549.9821799991</v>
      </c>
      <c r="F178" s="34">
        <f t="shared" si="10"/>
        <v>0.99993723314563265</v>
      </c>
      <c r="G178" t="str">
        <f t="shared" si="11"/>
        <v>C</v>
      </c>
    </row>
    <row r="179" spans="1:7" x14ac:dyDescent="0.35">
      <c r="A179" t="s">
        <v>727</v>
      </c>
      <c r="B179" t="s">
        <v>906</v>
      </c>
      <c r="C179" s="5">
        <f>SUMIFS(clean_data!$AM:$AM,clean_data!$U:$U,$A179,clean_data!$V:$V,$B179)</f>
        <v>97.0154</v>
      </c>
      <c r="D179" s="5">
        <f>SUMIF(clean_data!$U:$U,$A179,clean_data!$AM:$AM)</f>
        <v>1545646.9975799995</v>
      </c>
      <c r="E179" s="5">
        <f t="shared" si="12"/>
        <v>1545646.997579999</v>
      </c>
      <c r="F179" s="34">
        <f t="shared" si="10"/>
        <v>0.99999999999999967</v>
      </c>
      <c r="G179" t="str">
        <f t="shared" si="11"/>
        <v>C</v>
      </c>
    </row>
    <row r="180" spans="1:7" x14ac:dyDescent="0.35">
      <c r="A180" t="s">
        <v>731</v>
      </c>
      <c r="B180" t="s">
        <v>1155</v>
      </c>
      <c r="C180" s="5">
        <f>SUMIFS(clean_data!$AM:$AM,clean_data!$U:$U,$A180,clean_data!$V:$V,$B180)</f>
        <v>102122.94203999999</v>
      </c>
      <c r="D180" s="5">
        <f>SUMIF(clean_data!$U:$U,$A180,clean_data!$AM:$AM)</f>
        <v>1711094.3776</v>
      </c>
      <c r="E180" s="5">
        <f t="shared" si="12"/>
        <v>102122.94203999999</v>
      </c>
      <c r="F180" s="34">
        <f t="shared" si="10"/>
        <v>5.9682822512244341E-2</v>
      </c>
      <c r="G180" t="str">
        <f t="shared" si="11"/>
        <v>A</v>
      </c>
    </row>
    <row r="181" spans="1:7" x14ac:dyDescent="0.35">
      <c r="A181" t="s">
        <v>731</v>
      </c>
      <c r="B181" t="s">
        <v>1096</v>
      </c>
      <c r="C181" s="5">
        <f>SUMIFS(clean_data!$AM:$AM,clean_data!$U:$U,$A181,clean_data!$V:$V,$B181)</f>
        <v>82514.711519999997</v>
      </c>
      <c r="D181" s="5">
        <f>SUMIF(clean_data!$U:$U,$A181,clean_data!$AM:$AM)</f>
        <v>1711094.3776</v>
      </c>
      <c r="E181" s="5">
        <f t="shared" si="12"/>
        <v>184637.65356000001</v>
      </c>
      <c r="F181" s="34">
        <f t="shared" si="10"/>
        <v>0.10790617745993347</v>
      </c>
      <c r="G181" t="str">
        <f t="shared" si="11"/>
        <v>A</v>
      </c>
    </row>
    <row r="182" spans="1:7" x14ac:dyDescent="0.35">
      <c r="A182" t="s">
        <v>731</v>
      </c>
      <c r="B182" t="s">
        <v>851</v>
      </c>
      <c r="C182" s="5">
        <f>SUMIFS(clean_data!$AM:$AM,clean_data!$U:$U,$A182,clean_data!$V:$V,$B182)</f>
        <v>65119.329599999997</v>
      </c>
      <c r="D182" s="5">
        <f>SUMIF(clean_data!$U:$U,$A182,clean_data!$AM:$AM)</f>
        <v>1711094.3776</v>
      </c>
      <c r="E182" s="5">
        <f t="shared" si="12"/>
        <v>249756.98316</v>
      </c>
      <c r="F182" s="34">
        <f t="shared" si="10"/>
        <v>0.14596330069783289</v>
      </c>
      <c r="G182" t="str">
        <f t="shared" si="11"/>
        <v>A</v>
      </c>
    </row>
    <row r="183" spans="1:7" x14ac:dyDescent="0.35">
      <c r="A183" t="s">
        <v>731</v>
      </c>
      <c r="B183" t="s">
        <v>1121</v>
      </c>
      <c r="C183" s="5">
        <f>SUMIFS(clean_data!$AM:$AM,clean_data!$U:$U,$A183,clean_data!$V:$V,$B183)</f>
        <v>65066.934229999999</v>
      </c>
      <c r="D183" s="5">
        <f>SUMIF(clean_data!$U:$U,$A183,clean_data!$AM:$AM)</f>
        <v>1711094.3776</v>
      </c>
      <c r="E183" s="5">
        <f t="shared" si="12"/>
        <v>314823.91739000002</v>
      </c>
      <c r="F183" s="34">
        <f t="shared" si="10"/>
        <v>0.18398980296550069</v>
      </c>
      <c r="G183" t="str">
        <f t="shared" si="11"/>
        <v>A</v>
      </c>
    </row>
    <row r="184" spans="1:7" x14ac:dyDescent="0.35">
      <c r="A184" t="s">
        <v>731</v>
      </c>
      <c r="B184" t="s">
        <v>1254</v>
      </c>
      <c r="C184" s="5">
        <f>SUMIFS(clean_data!$AM:$AM,clean_data!$U:$U,$A184,clean_data!$V:$V,$B184)</f>
        <v>64192.976999999999</v>
      </c>
      <c r="D184" s="5">
        <f>SUMIF(clean_data!$U:$U,$A184,clean_data!$AM:$AM)</f>
        <v>1711094.3776</v>
      </c>
      <c r="E184" s="5">
        <f t="shared" si="12"/>
        <v>379016.89439000003</v>
      </c>
      <c r="F184" s="34">
        <f t="shared" si="10"/>
        <v>0.22150554601296354</v>
      </c>
      <c r="G184" t="str">
        <f t="shared" si="11"/>
        <v>A</v>
      </c>
    </row>
    <row r="185" spans="1:7" x14ac:dyDescent="0.35">
      <c r="A185" t="s">
        <v>731</v>
      </c>
      <c r="B185" t="s">
        <v>1261</v>
      </c>
      <c r="C185" s="5">
        <f>SUMIFS(clean_data!$AM:$AM,clean_data!$U:$U,$A185,clean_data!$V:$V,$B185)</f>
        <v>58526.83122</v>
      </c>
      <c r="D185" s="5">
        <f>SUMIF(clean_data!$U:$U,$A185,clean_data!$AM:$AM)</f>
        <v>1711094.3776</v>
      </c>
      <c r="E185" s="5">
        <f t="shared" si="12"/>
        <v>437543.72561000002</v>
      </c>
      <c r="F185" s="34">
        <f t="shared" si="10"/>
        <v>0.25570987277960888</v>
      </c>
      <c r="G185" t="str">
        <f t="shared" si="11"/>
        <v>A</v>
      </c>
    </row>
    <row r="186" spans="1:7" x14ac:dyDescent="0.35">
      <c r="A186" t="s">
        <v>731</v>
      </c>
      <c r="B186" t="s">
        <v>1164</v>
      </c>
      <c r="C186" s="5">
        <f>SUMIFS(clean_data!$AM:$AM,clean_data!$U:$U,$A186,clean_data!$V:$V,$B186)</f>
        <v>58057.65</v>
      </c>
      <c r="D186" s="5">
        <f>SUMIF(clean_data!$U:$U,$A186,clean_data!$AM:$AM)</f>
        <v>1711094.3776</v>
      </c>
      <c r="E186" s="5">
        <f t="shared" si="12"/>
        <v>495601.37561000005</v>
      </c>
      <c r="F186" s="34">
        <f t="shared" si="10"/>
        <v>0.28964000004788515</v>
      </c>
      <c r="G186" t="str">
        <f t="shared" si="11"/>
        <v>A</v>
      </c>
    </row>
    <row r="187" spans="1:7" x14ac:dyDescent="0.35">
      <c r="A187" t="s">
        <v>731</v>
      </c>
      <c r="B187" t="s">
        <v>1299</v>
      </c>
      <c r="C187" s="5">
        <f>SUMIFS(clean_data!$AM:$AM,clean_data!$U:$U,$A187,clean_data!$V:$V,$B187)</f>
        <v>44173.627960000005</v>
      </c>
      <c r="D187" s="5">
        <f>SUMIF(clean_data!$U:$U,$A187,clean_data!$AM:$AM)</f>
        <v>1711094.3776</v>
      </c>
      <c r="E187" s="5">
        <f t="shared" si="12"/>
        <v>539775.00357000006</v>
      </c>
      <c r="F187" s="34">
        <f t="shared" si="10"/>
        <v>0.31545600911101962</v>
      </c>
      <c r="G187" t="str">
        <f t="shared" si="11"/>
        <v>A</v>
      </c>
    </row>
    <row r="188" spans="1:7" x14ac:dyDescent="0.35">
      <c r="A188" t="s">
        <v>731</v>
      </c>
      <c r="B188" t="s">
        <v>1267</v>
      </c>
      <c r="C188" s="5">
        <f>SUMIFS(clean_data!$AM:$AM,clean_data!$U:$U,$A188,clean_data!$V:$V,$B188)</f>
        <v>42433.254400000005</v>
      </c>
      <c r="D188" s="5">
        <f>SUMIF(clean_data!$U:$U,$A188,clean_data!$AM:$AM)</f>
        <v>1711094.3776</v>
      </c>
      <c r="E188" s="5">
        <f t="shared" si="12"/>
        <v>582208.25797000004</v>
      </c>
      <c r="F188" s="34">
        <f t="shared" si="10"/>
        <v>0.34025490679632281</v>
      </c>
      <c r="G188" t="str">
        <f t="shared" si="11"/>
        <v>A</v>
      </c>
    </row>
    <row r="189" spans="1:7" x14ac:dyDescent="0.35">
      <c r="A189" t="s">
        <v>731</v>
      </c>
      <c r="B189" t="s">
        <v>1211</v>
      </c>
      <c r="C189" s="5">
        <f>SUMIFS(clean_data!$AM:$AM,clean_data!$U:$U,$A189,clean_data!$V:$V,$B189)</f>
        <v>41914.215840000004</v>
      </c>
      <c r="D189" s="5">
        <f>SUMIF(clean_data!$U:$U,$A189,clean_data!$AM:$AM)</f>
        <v>1711094.3776</v>
      </c>
      <c r="E189" s="5">
        <f t="shared" si="12"/>
        <v>624122.47381</v>
      </c>
      <c r="F189" s="34">
        <f t="shared" si="10"/>
        <v>0.36475046729181654</v>
      </c>
      <c r="G189" t="str">
        <f t="shared" si="11"/>
        <v>A</v>
      </c>
    </row>
    <row r="190" spans="1:7" x14ac:dyDescent="0.35">
      <c r="A190" t="s">
        <v>731</v>
      </c>
      <c r="B190" t="s">
        <v>1315</v>
      </c>
      <c r="C190" s="5">
        <f>SUMIFS(clean_data!$AM:$AM,clean_data!$U:$U,$A190,clean_data!$V:$V,$B190)</f>
        <v>40563.321749999996</v>
      </c>
      <c r="D190" s="5">
        <f>SUMIF(clean_data!$U:$U,$A190,clean_data!$AM:$AM)</f>
        <v>1711094.3776</v>
      </c>
      <c r="E190" s="5">
        <f t="shared" si="12"/>
        <v>664685.79556</v>
      </c>
      <c r="F190" s="34">
        <f t="shared" si="10"/>
        <v>0.38845653650752782</v>
      </c>
      <c r="G190" t="str">
        <f t="shared" si="11"/>
        <v>A</v>
      </c>
    </row>
    <row r="191" spans="1:7" x14ac:dyDescent="0.35">
      <c r="A191" t="s">
        <v>731</v>
      </c>
      <c r="B191" t="s">
        <v>998</v>
      </c>
      <c r="C191" s="5">
        <f>SUMIFS(clean_data!$AM:$AM,clean_data!$U:$U,$A191,clean_data!$V:$V,$B191)</f>
        <v>40139.874619999995</v>
      </c>
      <c r="D191" s="5">
        <f>SUMIF(clean_data!$U:$U,$A191,clean_data!$AM:$AM)</f>
        <v>1711094.3776</v>
      </c>
      <c r="E191" s="5">
        <f t="shared" si="12"/>
        <v>704825.67018000002</v>
      </c>
      <c r="F191" s="34">
        <f t="shared" si="10"/>
        <v>0.41191513420118669</v>
      </c>
      <c r="G191" t="str">
        <f t="shared" si="11"/>
        <v>A</v>
      </c>
    </row>
    <row r="192" spans="1:7" x14ac:dyDescent="0.35">
      <c r="A192" t="s">
        <v>731</v>
      </c>
      <c r="B192" t="s">
        <v>753</v>
      </c>
      <c r="C192" s="5">
        <f>SUMIFS(clean_data!$AM:$AM,clean_data!$U:$U,$A192,clean_data!$V:$V,$B192)</f>
        <v>39263.702919999996</v>
      </c>
      <c r="D192" s="5">
        <f>SUMIF(clean_data!$U:$U,$A192,clean_data!$AM:$AM)</f>
        <v>1711094.3776</v>
      </c>
      <c r="E192" s="5">
        <f t="shared" si="12"/>
        <v>744089.37309999997</v>
      </c>
      <c r="F192" s="34">
        <f t="shared" si="10"/>
        <v>0.43486167849120516</v>
      </c>
      <c r="G192" t="str">
        <f t="shared" si="11"/>
        <v>A</v>
      </c>
    </row>
    <row r="193" spans="1:7" x14ac:dyDescent="0.35">
      <c r="A193" t="s">
        <v>731</v>
      </c>
      <c r="B193" t="s">
        <v>1215</v>
      </c>
      <c r="C193" s="5">
        <f>SUMIFS(clean_data!$AM:$AM,clean_data!$U:$U,$A193,clean_data!$V:$V,$B193)</f>
        <v>36161.097000000002</v>
      </c>
      <c r="D193" s="5">
        <f>SUMIF(clean_data!$U:$U,$A193,clean_data!$AM:$AM)</f>
        <v>1711094.3776</v>
      </c>
      <c r="E193" s="5">
        <f t="shared" si="12"/>
        <v>780250.47009999992</v>
      </c>
      <c r="F193" s="34">
        <f t="shared" si="10"/>
        <v>0.45599499379712061</v>
      </c>
      <c r="G193" t="str">
        <f t="shared" si="11"/>
        <v>A</v>
      </c>
    </row>
    <row r="194" spans="1:7" x14ac:dyDescent="0.35">
      <c r="A194" t="s">
        <v>731</v>
      </c>
      <c r="B194" t="s">
        <v>976</v>
      </c>
      <c r="C194" s="5">
        <f>SUMIFS(clean_data!$AM:$AM,clean_data!$U:$U,$A194,clean_data!$V:$V,$B194)</f>
        <v>34082.864639999993</v>
      </c>
      <c r="D194" s="5">
        <f>SUMIF(clean_data!$U:$U,$A194,clean_data!$AM:$AM)</f>
        <v>1711094.3776</v>
      </c>
      <c r="E194" s="5">
        <f t="shared" si="12"/>
        <v>814333.33473999996</v>
      </c>
      <c r="F194" s="34">
        <f t="shared" ref="F194:F257" si="13">E194/D194</f>
        <v>0.47591374584620688</v>
      </c>
      <c r="G194" t="str">
        <f t="shared" ref="G194:G257" si="14">IF(F194&lt;=0.8,"A",IF(F194&lt;=0.95,"B","C"))</f>
        <v>A</v>
      </c>
    </row>
    <row r="195" spans="1:7" x14ac:dyDescent="0.35">
      <c r="A195" t="s">
        <v>731</v>
      </c>
      <c r="B195" t="s">
        <v>1332</v>
      </c>
      <c r="C195" s="5">
        <f>SUMIFS(clean_data!$AM:$AM,clean_data!$U:$U,$A195,clean_data!$V:$V,$B195)</f>
        <v>33938.142760000002</v>
      </c>
      <c r="D195" s="5">
        <f>SUMIF(clean_data!$U:$U,$A195,clean_data!$AM:$AM)</f>
        <v>1711094.3776</v>
      </c>
      <c r="E195" s="5">
        <f t="shared" ref="E195:E258" si="15">IF(A195=A194,E194+C195,C195)</f>
        <v>848271.47749999992</v>
      </c>
      <c r="F195" s="34">
        <f t="shared" si="13"/>
        <v>0.49574791934609413</v>
      </c>
      <c r="G195" t="str">
        <f t="shared" si="14"/>
        <v>A</v>
      </c>
    </row>
    <row r="196" spans="1:7" x14ac:dyDescent="0.35">
      <c r="A196" t="s">
        <v>731</v>
      </c>
      <c r="B196" t="s">
        <v>907</v>
      </c>
      <c r="C196" s="5">
        <f>SUMIFS(clean_data!$AM:$AM,clean_data!$U:$U,$A196,clean_data!$V:$V,$B196)</f>
        <v>31556.187599999997</v>
      </c>
      <c r="D196" s="5">
        <f>SUMIF(clean_data!$U:$U,$A196,clean_data!$AM:$AM)</f>
        <v>1711094.3776</v>
      </c>
      <c r="E196" s="5">
        <f t="shared" si="15"/>
        <v>879827.66509999987</v>
      </c>
      <c r="F196" s="34">
        <f t="shared" si="13"/>
        <v>0.51419002751563936</v>
      </c>
      <c r="G196" t="str">
        <f t="shared" si="14"/>
        <v>A</v>
      </c>
    </row>
    <row r="197" spans="1:7" x14ac:dyDescent="0.35">
      <c r="A197" t="s">
        <v>731</v>
      </c>
      <c r="B197" t="s">
        <v>1159</v>
      </c>
      <c r="C197" s="5">
        <f>SUMIFS(clean_data!$AM:$AM,clean_data!$U:$U,$A197,clean_data!$V:$V,$B197)</f>
        <v>30435.614999999998</v>
      </c>
      <c r="D197" s="5">
        <f>SUMIF(clean_data!$U:$U,$A197,clean_data!$AM:$AM)</f>
        <v>1711094.3776</v>
      </c>
      <c r="E197" s="5">
        <f t="shared" si="15"/>
        <v>910263.28009999986</v>
      </c>
      <c r="F197" s="34">
        <f t="shared" si="13"/>
        <v>0.53197724918992795</v>
      </c>
      <c r="G197" t="str">
        <f t="shared" si="14"/>
        <v>A</v>
      </c>
    </row>
    <row r="198" spans="1:7" x14ac:dyDescent="0.35">
      <c r="A198" t="s">
        <v>731</v>
      </c>
      <c r="B198" t="s">
        <v>845</v>
      </c>
      <c r="C198" s="5">
        <f>SUMIFS(clean_data!$AM:$AM,clean_data!$U:$U,$A198,clean_data!$V:$V,$B198)</f>
        <v>30151.675319999998</v>
      </c>
      <c r="D198" s="5">
        <f>SUMIF(clean_data!$U:$U,$A198,clean_data!$AM:$AM)</f>
        <v>1711094.3776</v>
      </c>
      <c r="E198" s="5">
        <f t="shared" si="15"/>
        <v>940414.9554199999</v>
      </c>
      <c r="F198" s="34">
        <f t="shared" si="13"/>
        <v>0.54959853046740548</v>
      </c>
      <c r="G198" t="str">
        <f t="shared" si="14"/>
        <v>A</v>
      </c>
    </row>
    <row r="199" spans="1:7" x14ac:dyDescent="0.35">
      <c r="A199" t="s">
        <v>731</v>
      </c>
      <c r="B199" t="s">
        <v>790</v>
      </c>
      <c r="C199" s="5">
        <f>SUMIFS(clean_data!$AM:$AM,clean_data!$U:$U,$A199,clean_data!$V:$V,$B199)</f>
        <v>29659.68995</v>
      </c>
      <c r="D199" s="5">
        <f>SUMIF(clean_data!$U:$U,$A199,clean_data!$AM:$AM)</f>
        <v>1711094.3776</v>
      </c>
      <c r="E199" s="5">
        <f t="shared" si="15"/>
        <v>970074.64536999993</v>
      </c>
      <c r="F199" s="34">
        <f t="shared" si="13"/>
        <v>0.56693228501553339</v>
      </c>
      <c r="G199" t="str">
        <f t="shared" si="14"/>
        <v>A</v>
      </c>
    </row>
    <row r="200" spans="1:7" x14ac:dyDescent="0.35">
      <c r="A200" t="s">
        <v>731</v>
      </c>
      <c r="B200" t="s">
        <v>1063</v>
      </c>
      <c r="C200" s="5">
        <f>SUMIFS(clean_data!$AM:$AM,clean_data!$U:$U,$A200,clean_data!$V:$V,$B200)</f>
        <v>27756.432000000001</v>
      </c>
      <c r="D200" s="5">
        <f>SUMIF(clean_data!$U:$U,$A200,clean_data!$AM:$AM)</f>
        <v>1711094.3776</v>
      </c>
      <c r="E200" s="5">
        <f t="shared" si="15"/>
        <v>997831.07736999996</v>
      </c>
      <c r="F200" s="34">
        <f t="shared" si="13"/>
        <v>0.58315373507893176</v>
      </c>
      <c r="G200" t="str">
        <f t="shared" si="14"/>
        <v>A</v>
      </c>
    </row>
    <row r="201" spans="1:7" x14ac:dyDescent="0.35">
      <c r="A201" t="s">
        <v>731</v>
      </c>
      <c r="B201" t="s">
        <v>798</v>
      </c>
      <c r="C201" s="5">
        <f>SUMIFS(clean_data!$AM:$AM,clean_data!$U:$U,$A201,clean_data!$V:$V,$B201)</f>
        <v>26304.275999999998</v>
      </c>
      <c r="D201" s="5">
        <f>SUMIF(clean_data!$U:$U,$A201,clean_data!$AM:$AM)</f>
        <v>1711094.3776</v>
      </c>
      <c r="E201" s="5">
        <f t="shared" si="15"/>
        <v>1024135.3533699999</v>
      </c>
      <c r="F201" s="34">
        <f t="shared" si="13"/>
        <v>0.59852651424549919</v>
      </c>
      <c r="G201" t="str">
        <f t="shared" si="14"/>
        <v>A</v>
      </c>
    </row>
    <row r="202" spans="1:7" x14ac:dyDescent="0.35">
      <c r="A202" t="s">
        <v>731</v>
      </c>
      <c r="B202" t="s">
        <v>833</v>
      </c>
      <c r="C202" s="5">
        <f>SUMIFS(clean_data!$AM:$AM,clean_data!$U:$U,$A202,clean_data!$V:$V,$B202)</f>
        <v>25502.910479999999</v>
      </c>
      <c r="D202" s="5">
        <f>SUMIF(clean_data!$U:$U,$A202,clean_data!$AM:$AM)</f>
        <v>1711094.3776</v>
      </c>
      <c r="E202" s="5">
        <f t="shared" si="15"/>
        <v>1049638.26385</v>
      </c>
      <c r="F202" s="34">
        <f t="shared" si="13"/>
        <v>0.61343095833336458</v>
      </c>
      <c r="G202" t="str">
        <f t="shared" si="14"/>
        <v>A</v>
      </c>
    </row>
    <row r="203" spans="1:7" x14ac:dyDescent="0.35">
      <c r="A203" t="s">
        <v>731</v>
      </c>
      <c r="B203" t="s">
        <v>926</v>
      </c>
      <c r="C203" s="5">
        <f>SUMIFS(clean_data!$AM:$AM,clean_data!$U:$U,$A203,clean_data!$V:$V,$B203)</f>
        <v>24374.594880000001</v>
      </c>
      <c r="D203" s="5">
        <f>SUMIF(clean_data!$U:$U,$A203,clean_data!$AM:$AM)</f>
        <v>1711094.3776</v>
      </c>
      <c r="E203" s="5">
        <f t="shared" si="15"/>
        <v>1074012.85873</v>
      </c>
      <c r="F203" s="34">
        <f t="shared" si="13"/>
        <v>0.62767599075184988</v>
      </c>
      <c r="G203" t="str">
        <f t="shared" si="14"/>
        <v>A</v>
      </c>
    </row>
    <row r="204" spans="1:7" x14ac:dyDescent="0.35">
      <c r="A204" t="s">
        <v>731</v>
      </c>
      <c r="B204" t="s">
        <v>989</v>
      </c>
      <c r="C204" s="5">
        <f>SUMIFS(clean_data!$AM:$AM,clean_data!$U:$U,$A204,clean_data!$V:$V,$B204)</f>
        <v>24161.205600000001</v>
      </c>
      <c r="D204" s="5">
        <f>SUMIF(clean_data!$U:$U,$A204,clean_data!$AM:$AM)</f>
        <v>1711094.3776</v>
      </c>
      <c r="E204" s="5">
        <f t="shared" si="15"/>
        <v>1098174.06433</v>
      </c>
      <c r="F204" s="34">
        <f t="shared" si="13"/>
        <v>0.64179631392998382</v>
      </c>
      <c r="G204" t="str">
        <f t="shared" si="14"/>
        <v>A</v>
      </c>
    </row>
    <row r="205" spans="1:7" x14ac:dyDescent="0.35">
      <c r="A205" t="s">
        <v>731</v>
      </c>
      <c r="B205" t="s">
        <v>754</v>
      </c>
      <c r="C205" s="5">
        <f>SUMIFS(clean_data!$AM:$AM,clean_data!$U:$U,$A205,clean_data!$V:$V,$B205)</f>
        <v>23782.310720000001</v>
      </c>
      <c r="D205" s="5">
        <f>SUMIF(clean_data!$U:$U,$A205,clean_data!$AM:$AM)</f>
        <v>1711094.3776</v>
      </c>
      <c r="E205" s="5">
        <f t="shared" si="15"/>
        <v>1121956.3750499999</v>
      </c>
      <c r="F205" s="34">
        <f t="shared" si="13"/>
        <v>0.65569520286991323</v>
      </c>
      <c r="G205" t="str">
        <f t="shared" si="14"/>
        <v>A</v>
      </c>
    </row>
    <row r="206" spans="1:7" x14ac:dyDescent="0.35">
      <c r="A206" t="s">
        <v>731</v>
      </c>
      <c r="B206" t="s">
        <v>1118</v>
      </c>
      <c r="C206" s="5">
        <f>SUMIFS(clean_data!$AM:$AM,clean_data!$U:$U,$A206,clean_data!$V:$V,$B206)</f>
        <v>22064.910300000003</v>
      </c>
      <c r="D206" s="5">
        <f>SUMIF(clean_data!$U:$U,$A206,clean_data!$AM:$AM)</f>
        <v>1711094.3776</v>
      </c>
      <c r="E206" s="5">
        <f t="shared" si="15"/>
        <v>1144021.28535</v>
      </c>
      <c r="F206" s="34">
        <f t="shared" si="13"/>
        <v>0.66859040642434753</v>
      </c>
      <c r="G206" t="str">
        <f t="shared" si="14"/>
        <v>A</v>
      </c>
    </row>
    <row r="207" spans="1:7" x14ac:dyDescent="0.35">
      <c r="A207" t="s">
        <v>731</v>
      </c>
      <c r="B207" t="s">
        <v>885</v>
      </c>
      <c r="C207" s="5">
        <f>SUMIFS(clean_data!$AM:$AM,clean_data!$U:$U,$A207,clean_data!$V:$V,$B207)</f>
        <v>21572.590500000002</v>
      </c>
      <c r="D207" s="5">
        <f>SUMIF(clean_data!$U:$U,$A207,clean_data!$AM:$AM)</f>
        <v>1711094.3776</v>
      </c>
      <c r="E207" s="5">
        <f t="shared" si="15"/>
        <v>1165593.87585</v>
      </c>
      <c r="F207" s="34">
        <f t="shared" si="13"/>
        <v>0.68119788780141677</v>
      </c>
      <c r="G207" t="str">
        <f t="shared" si="14"/>
        <v>A</v>
      </c>
    </row>
    <row r="208" spans="1:7" x14ac:dyDescent="0.35">
      <c r="A208" t="s">
        <v>731</v>
      </c>
      <c r="B208" t="s">
        <v>1029</v>
      </c>
      <c r="C208" s="5">
        <f>SUMIFS(clean_data!$AM:$AM,clean_data!$U:$U,$A208,clean_data!$V:$V,$B208)</f>
        <v>20455.985130000001</v>
      </c>
      <c r="D208" s="5">
        <f>SUMIF(clean_data!$U:$U,$A208,clean_data!$AM:$AM)</f>
        <v>1711094.3776</v>
      </c>
      <c r="E208" s="5">
        <f t="shared" si="15"/>
        <v>1186049.8609799999</v>
      </c>
      <c r="F208" s="34">
        <f t="shared" si="13"/>
        <v>0.693152801216942</v>
      </c>
      <c r="G208" t="str">
        <f t="shared" si="14"/>
        <v>A</v>
      </c>
    </row>
    <row r="209" spans="1:7" x14ac:dyDescent="0.35">
      <c r="A209" t="s">
        <v>731</v>
      </c>
      <c r="B209" t="s">
        <v>757</v>
      </c>
      <c r="C209" s="5">
        <f>SUMIFS(clean_data!$AM:$AM,clean_data!$U:$U,$A209,clean_data!$V:$V,$B209)</f>
        <v>20225.2248</v>
      </c>
      <c r="D209" s="5">
        <f>SUMIF(clean_data!$U:$U,$A209,clean_data!$AM:$AM)</f>
        <v>1711094.3776</v>
      </c>
      <c r="E209" s="5">
        <f t="shared" si="15"/>
        <v>1206275.0857799998</v>
      </c>
      <c r="F209" s="34">
        <f t="shared" si="13"/>
        <v>0.70497285338049831</v>
      </c>
      <c r="G209" t="str">
        <f t="shared" si="14"/>
        <v>A</v>
      </c>
    </row>
    <row r="210" spans="1:7" x14ac:dyDescent="0.35">
      <c r="A210" t="s">
        <v>731</v>
      </c>
      <c r="B210" t="s">
        <v>806</v>
      </c>
      <c r="C210" s="5">
        <f>SUMIFS(clean_data!$AM:$AM,clean_data!$U:$U,$A210,clean_data!$V:$V,$B210)</f>
        <v>20171.63305</v>
      </c>
      <c r="D210" s="5">
        <f>SUMIF(clean_data!$U:$U,$A210,clean_data!$AM:$AM)</f>
        <v>1711094.3776</v>
      </c>
      <c r="E210" s="5">
        <f t="shared" si="15"/>
        <v>1226446.7188299999</v>
      </c>
      <c r="F210" s="34">
        <f t="shared" si="13"/>
        <v>0.71676158538386858</v>
      </c>
      <c r="G210" t="str">
        <f t="shared" si="14"/>
        <v>A</v>
      </c>
    </row>
    <row r="211" spans="1:7" x14ac:dyDescent="0.35">
      <c r="A211" t="s">
        <v>731</v>
      </c>
      <c r="B211" t="s">
        <v>1120</v>
      </c>
      <c r="C211" s="5">
        <f>SUMIFS(clean_data!$AM:$AM,clean_data!$U:$U,$A211,clean_data!$V:$V,$B211)</f>
        <v>19773.362699999998</v>
      </c>
      <c r="D211" s="5">
        <f>SUMIF(clean_data!$U:$U,$A211,clean_data!$AM:$AM)</f>
        <v>1711094.3776</v>
      </c>
      <c r="E211" s="5">
        <f t="shared" si="15"/>
        <v>1246220.0815299999</v>
      </c>
      <c r="F211" s="34">
        <f t="shared" si="13"/>
        <v>0.72831755971167533</v>
      </c>
      <c r="G211" t="str">
        <f t="shared" si="14"/>
        <v>A</v>
      </c>
    </row>
    <row r="212" spans="1:7" x14ac:dyDescent="0.35">
      <c r="A212" t="s">
        <v>731</v>
      </c>
      <c r="B212" t="s">
        <v>1273</v>
      </c>
      <c r="C212" s="5">
        <f>SUMIFS(clean_data!$AM:$AM,clean_data!$U:$U,$A212,clean_data!$V:$V,$B212)</f>
        <v>19581.87</v>
      </c>
      <c r="D212" s="5">
        <f>SUMIF(clean_data!$U:$U,$A212,clean_data!$AM:$AM)</f>
        <v>1711094.3776</v>
      </c>
      <c r="E212" s="5">
        <f t="shared" si="15"/>
        <v>1265801.95153</v>
      </c>
      <c r="F212" s="34">
        <f t="shared" si="13"/>
        <v>0.73976162162687242</v>
      </c>
      <c r="G212" t="str">
        <f t="shared" si="14"/>
        <v>A</v>
      </c>
    </row>
    <row r="213" spans="1:7" x14ac:dyDescent="0.35">
      <c r="A213" t="s">
        <v>731</v>
      </c>
      <c r="B213" t="s">
        <v>924</v>
      </c>
      <c r="C213" s="5">
        <f>SUMIFS(clean_data!$AM:$AM,clean_data!$U:$U,$A213,clean_data!$V:$V,$B213)</f>
        <v>19542.975350000001</v>
      </c>
      <c r="D213" s="5">
        <f>SUMIF(clean_data!$U:$U,$A213,clean_data!$AM:$AM)</f>
        <v>1711094.3776</v>
      </c>
      <c r="E213" s="5">
        <f t="shared" si="15"/>
        <v>1285344.9268799999</v>
      </c>
      <c r="F213" s="34">
        <f t="shared" si="13"/>
        <v>0.75118295268016655</v>
      </c>
      <c r="G213" t="str">
        <f t="shared" si="14"/>
        <v>A</v>
      </c>
    </row>
    <row r="214" spans="1:7" x14ac:dyDescent="0.35">
      <c r="A214" t="s">
        <v>731</v>
      </c>
      <c r="B214" t="s">
        <v>1305</v>
      </c>
      <c r="C214" s="5">
        <f>SUMIFS(clean_data!$AM:$AM,clean_data!$U:$U,$A214,clean_data!$V:$V,$B214)</f>
        <v>19139.594240000002</v>
      </c>
      <c r="D214" s="5">
        <f>SUMIF(clean_data!$U:$U,$A214,clean_data!$AM:$AM)</f>
        <v>1711094.3776</v>
      </c>
      <c r="E214" s="5">
        <f t="shared" si="15"/>
        <v>1304484.5211199999</v>
      </c>
      <c r="F214" s="34">
        <f t="shared" si="13"/>
        <v>0.76236853922089587</v>
      </c>
      <c r="G214" t="str">
        <f t="shared" si="14"/>
        <v>A</v>
      </c>
    </row>
    <row r="215" spans="1:7" x14ac:dyDescent="0.35">
      <c r="A215" t="s">
        <v>731</v>
      </c>
      <c r="B215" t="s">
        <v>1130</v>
      </c>
      <c r="C215" s="5">
        <f>SUMIFS(clean_data!$AM:$AM,clean_data!$U:$U,$A215,clean_data!$V:$V,$B215)</f>
        <v>18641.222160000001</v>
      </c>
      <c r="D215" s="5">
        <f>SUMIF(clean_data!$U:$U,$A215,clean_data!$AM:$AM)</f>
        <v>1711094.3776</v>
      </c>
      <c r="E215" s="5">
        <f t="shared" si="15"/>
        <v>1323125.7432799998</v>
      </c>
      <c r="F215" s="34">
        <f t="shared" si="13"/>
        <v>0.77326286650291653</v>
      </c>
      <c r="G215" t="str">
        <f t="shared" si="14"/>
        <v>A</v>
      </c>
    </row>
    <row r="216" spans="1:7" x14ac:dyDescent="0.35">
      <c r="A216" t="s">
        <v>731</v>
      </c>
      <c r="B216" t="s">
        <v>985</v>
      </c>
      <c r="C216" s="5">
        <f>SUMIFS(clean_data!$AM:$AM,clean_data!$U:$U,$A216,clean_data!$V:$V,$B216)</f>
        <v>17453.3436</v>
      </c>
      <c r="D216" s="5">
        <f>SUMIF(clean_data!$U:$U,$A216,clean_data!$AM:$AM)</f>
        <v>1711094.3776</v>
      </c>
      <c r="E216" s="5">
        <f t="shared" si="15"/>
        <v>1340579.0868799998</v>
      </c>
      <c r="F216" s="34">
        <f t="shared" si="13"/>
        <v>0.78346297225306238</v>
      </c>
      <c r="G216" t="str">
        <f t="shared" si="14"/>
        <v>A</v>
      </c>
    </row>
    <row r="217" spans="1:7" x14ac:dyDescent="0.35">
      <c r="A217" t="s">
        <v>731</v>
      </c>
      <c r="B217" t="s">
        <v>1018</v>
      </c>
      <c r="C217" s="5">
        <f>SUMIFS(clean_data!$AM:$AM,clean_data!$U:$U,$A217,clean_data!$V:$V,$B217)</f>
        <v>15505.479600000001</v>
      </c>
      <c r="D217" s="5">
        <f>SUMIF(clean_data!$U:$U,$A217,clean_data!$AM:$AM)</f>
        <v>1711094.3776</v>
      </c>
      <c r="E217" s="5">
        <f t="shared" si="15"/>
        <v>1356084.5664799998</v>
      </c>
      <c r="F217" s="34">
        <f t="shared" si="13"/>
        <v>0.79252470479276493</v>
      </c>
      <c r="G217" t="str">
        <f t="shared" si="14"/>
        <v>A</v>
      </c>
    </row>
    <row r="218" spans="1:7" x14ac:dyDescent="0.35">
      <c r="A218" t="s">
        <v>731</v>
      </c>
      <c r="B218" t="s">
        <v>958</v>
      </c>
      <c r="C218" s="5">
        <f>SUMIFS(clean_data!$AM:$AM,clean_data!$U:$U,$A218,clean_data!$V:$V,$B218)</f>
        <v>15490.527</v>
      </c>
      <c r="D218" s="5">
        <f>SUMIF(clean_data!$U:$U,$A218,clean_data!$AM:$AM)</f>
        <v>1711094.3776</v>
      </c>
      <c r="E218" s="5">
        <f t="shared" si="15"/>
        <v>1371575.0934799998</v>
      </c>
      <c r="F218" s="34">
        <f t="shared" si="13"/>
        <v>0.8015776987145421</v>
      </c>
      <c r="G218" t="str">
        <f t="shared" si="14"/>
        <v>B</v>
      </c>
    </row>
    <row r="219" spans="1:7" x14ac:dyDescent="0.35">
      <c r="A219" t="s">
        <v>731</v>
      </c>
      <c r="B219" t="s">
        <v>1158</v>
      </c>
      <c r="C219" s="5">
        <f>SUMIFS(clean_data!$AM:$AM,clean_data!$U:$U,$A219,clean_data!$V:$V,$B219)</f>
        <v>15366.983199999999</v>
      </c>
      <c r="D219" s="5">
        <f>SUMIF(clean_data!$U:$U,$A219,clean_data!$AM:$AM)</f>
        <v>1711094.3776</v>
      </c>
      <c r="E219" s="5">
        <f t="shared" si="15"/>
        <v>1386942.0766799997</v>
      </c>
      <c r="F219" s="34">
        <f t="shared" si="13"/>
        <v>0.81055849100815824</v>
      </c>
      <c r="G219" t="str">
        <f t="shared" si="14"/>
        <v>B</v>
      </c>
    </row>
    <row r="220" spans="1:7" x14ac:dyDescent="0.35">
      <c r="A220" t="s">
        <v>731</v>
      </c>
      <c r="B220" t="s">
        <v>1268</v>
      </c>
      <c r="C220" s="5">
        <f>SUMIFS(clean_data!$AM:$AM,clean_data!$U:$U,$A220,clean_data!$V:$V,$B220)</f>
        <v>15155.326800000001</v>
      </c>
      <c r="D220" s="5">
        <f>SUMIF(clean_data!$U:$U,$A220,clean_data!$AM:$AM)</f>
        <v>1711094.3776</v>
      </c>
      <c r="E220" s="5">
        <f t="shared" si="15"/>
        <v>1402097.4034799996</v>
      </c>
      <c r="F220" s="34">
        <f t="shared" si="13"/>
        <v>0.81941558679340476</v>
      </c>
      <c r="G220" t="str">
        <f t="shared" si="14"/>
        <v>B</v>
      </c>
    </row>
    <row r="221" spans="1:7" x14ac:dyDescent="0.35">
      <c r="A221" t="s">
        <v>731</v>
      </c>
      <c r="B221" t="s">
        <v>1327</v>
      </c>
      <c r="C221" s="5">
        <f>SUMIFS(clean_data!$AM:$AM,clean_data!$U:$U,$A221,clean_data!$V:$V,$B221)</f>
        <v>14910.609600000002</v>
      </c>
      <c r="D221" s="5">
        <f>SUMIF(clean_data!$U:$U,$A221,clean_data!$AM:$AM)</f>
        <v>1711094.3776</v>
      </c>
      <c r="E221" s="5">
        <f t="shared" si="15"/>
        <v>1417008.0130799997</v>
      </c>
      <c r="F221" s="34">
        <f t="shared" si="13"/>
        <v>0.82812966463457782</v>
      </c>
      <c r="G221" t="str">
        <f t="shared" si="14"/>
        <v>B</v>
      </c>
    </row>
    <row r="222" spans="1:7" x14ac:dyDescent="0.35">
      <c r="A222" t="s">
        <v>731</v>
      </c>
      <c r="B222" t="s">
        <v>900</v>
      </c>
      <c r="C222" s="5">
        <f>SUMIFS(clean_data!$AM:$AM,clean_data!$U:$U,$A222,clean_data!$V:$V,$B222)</f>
        <v>14448.298699999998</v>
      </c>
      <c r="D222" s="5">
        <f>SUMIF(clean_data!$U:$U,$A222,clean_data!$AM:$AM)</f>
        <v>1711094.3776</v>
      </c>
      <c r="E222" s="5">
        <f t="shared" si="15"/>
        <v>1431456.3117799996</v>
      </c>
      <c r="F222" s="34">
        <f t="shared" si="13"/>
        <v>0.83657355813872536</v>
      </c>
      <c r="G222" t="str">
        <f t="shared" si="14"/>
        <v>B</v>
      </c>
    </row>
    <row r="223" spans="1:7" x14ac:dyDescent="0.35">
      <c r="A223" t="s">
        <v>731</v>
      </c>
      <c r="B223" t="s">
        <v>1276</v>
      </c>
      <c r="C223" s="5">
        <f>SUMIFS(clean_data!$AM:$AM,clean_data!$U:$U,$A223,clean_data!$V:$V,$B223)</f>
        <v>14114.068500000001</v>
      </c>
      <c r="D223" s="5">
        <f>SUMIF(clean_data!$U:$U,$A223,clean_data!$AM:$AM)</f>
        <v>1711094.3776</v>
      </c>
      <c r="E223" s="5">
        <f t="shared" si="15"/>
        <v>1445570.3802799997</v>
      </c>
      <c r="F223" s="34">
        <f t="shared" si="13"/>
        <v>0.84482212039500282</v>
      </c>
      <c r="G223" t="str">
        <f t="shared" si="14"/>
        <v>B</v>
      </c>
    </row>
    <row r="224" spans="1:7" x14ac:dyDescent="0.35">
      <c r="A224" t="s">
        <v>731</v>
      </c>
      <c r="B224" t="s">
        <v>1102</v>
      </c>
      <c r="C224" s="5">
        <f>SUMIFS(clean_data!$AM:$AM,clean_data!$U:$U,$A224,clean_data!$V:$V,$B224)</f>
        <v>13784.586000000001</v>
      </c>
      <c r="D224" s="5">
        <f>SUMIF(clean_data!$U:$U,$A224,clean_data!$AM:$AM)</f>
        <v>1711094.3776</v>
      </c>
      <c r="E224" s="5">
        <f t="shared" si="15"/>
        <v>1459354.9662799996</v>
      </c>
      <c r="F224" s="34">
        <f t="shared" si="13"/>
        <v>0.85287812606041469</v>
      </c>
      <c r="G224" t="str">
        <f t="shared" si="14"/>
        <v>B</v>
      </c>
    </row>
    <row r="225" spans="1:7" x14ac:dyDescent="0.35">
      <c r="A225" t="s">
        <v>731</v>
      </c>
      <c r="B225" t="s">
        <v>836</v>
      </c>
      <c r="C225" s="5">
        <f>SUMIFS(clean_data!$AM:$AM,clean_data!$U:$U,$A225,clean_data!$V:$V,$B225)</f>
        <v>13669.81</v>
      </c>
      <c r="D225" s="5">
        <f>SUMIF(clean_data!$U:$U,$A225,clean_data!$AM:$AM)</f>
        <v>1711094.3776</v>
      </c>
      <c r="E225" s="5">
        <f t="shared" si="15"/>
        <v>1473024.7762799996</v>
      </c>
      <c r="F225" s="34">
        <f t="shared" si="13"/>
        <v>0.8608670541867367</v>
      </c>
      <c r="G225" t="str">
        <f t="shared" si="14"/>
        <v>B</v>
      </c>
    </row>
    <row r="226" spans="1:7" x14ac:dyDescent="0.35">
      <c r="A226" t="s">
        <v>731</v>
      </c>
      <c r="B226" t="s">
        <v>1079</v>
      </c>
      <c r="C226" s="5">
        <f>SUMIFS(clean_data!$AM:$AM,clean_data!$U:$U,$A226,clean_data!$V:$V,$B226)</f>
        <v>13637.287999999999</v>
      </c>
      <c r="D226" s="5">
        <f>SUMIF(clean_data!$U:$U,$A226,clean_data!$AM:$AM)</f>
        <v>1711094.3776</v>
      </c>
      <c r="E226" s="5">
        <f t="shared" si="15"/>
        <v>1486662.0642799996</v>
      </c>
      <c r="F226" s="34">
        <f t="shared" si="13"/>
        <v>0.86883697576355101</v>
      </c>
      <c r="G226" t="str">
        <f t="shared" si="14"/>
        <v>B</v>
      </c>
    </row>
    <row r="227" spans="1:7" x14ac:dyDescent="0.35">
      <c r="A227" t="s">
        <v>731</v>
      </c>
      <c r="B227" t="s">
        <v>767</v>
      </c>
      <c r="C227" s="5">
        <f>SUMIFS(clean_data!$AM:$AM,clean_data!$U:$U,$A227,clean_data!$V:$V,$B227)</f>
        <v>13218.5</v>
      </c>
      <c r="D227" s="5">
        <f>SUMIF(clean_data!$U:$U,$A227,clean_data!$AM:$AM)</f>
        <v>1711094.3776</v>
      </c>
      <c r="E227" s="5">
        <f t="shared" si="15"/>
        <v>1499880.5642799996</v>
      </c>
      <c r="F227" s="34">
        <f t="shared" si="13"/>
        <v>0.87656214871312288</v>
      </c>
      <c r="G227" t="str">
        <f t="shared" si="14"/>
        <v>B</v>
      </c>
    </row>
    <row r="228" spans="1:7" x14ac:dyDescent="0.35">
      <c r="A228" t="s">
        <v>731</v>
      </c>
      <c r="B228" t="s">
        <v>879</v>
      </c>
      <c r="C228" s="5">
        <f>SUMIFS(clean_data!$AM:$AM,clean_data!$U:$U,$A228,clean_data!$V:$V,$B228)</f>
        <v>12954.358080000002</v>
      </c>
      <c r="D228" s="5">
        <f>SUMIF(clean_data!$U:$U,$A228,clean_data!$AM:$AM)</f>
        <v>1711094.3776</v>
      </c>
      <c r="E228" s="5">
        <f t="shared" si="15"/>
        <v>1512834.9223599995</v>
      </c>
      <c r="F228" s="34">
        <f t="shared" si="13"/>
        <v>0.88413295149851323</v>
      </c>
      <c r="G228" t="str">
        <f t="shared" si="14"/>
        <v>B</v>
      </c>
    </row>
    <row r="229" spans="1:7" x14ac:dyDescent="0.35">
      <c r="A229" t="s">
        <v>731</v>
      </c>
      <c r="B229" t="s">
        <v>838</v>
      </c>
      <c r="C229" s="5">
        <f>SUMIFS(clean_data!$AM:$AM,clean_data!$U:$U,$A229,clean_data!$V:$V,$B229)</f>
        <v>12335.654849999999</v>
      </c>
      <c r="D229" s="5">
        <f>SUMIF(clean_data!$U:$U,$A229,clean_data!$AM:$AM)</f>
        <v>1711094.3776</v>
      </c>
      <c r="E229" s="5">
        <f t="shared" si="15"/>
        <v>1525170.5772099996</v>
      </c>
      <c r="F229" s="34">
        <f t="shared" si="13"/>
        <v>0.89134217093812251</v>
      </c>
      <c r="G229" t="str">
        <f t="shared" si="14"/>
        <v>B</v>
      </c>
    </row>
    <row r="230" spans="1:7" x14ac:dyDescent="0.35">
      <c r="A230" t="s">
        <v>731</v>
      </c>
      <c r="B230" t="s">
        <v>1083</v>
      </c>
      <c r="C230" s="5">
        <f>SUMIFS(clean_data!$AM:$AM,clean_data!$U:$U,$A230,clean_data!$V:$V,$B230)</f>
        <v>12236.874600000001</v>
      </c>
      <c r="D230" s="5">
        <f>SUMIF(clean_data!$U:$U,$A230,clean_data!$AM:$AM)</f>
        <v>1711094.3776</v>
      </c>
      <c r="E230" s="5">
        <f t="shared" si="15"/>
        <v>1537407.4518099995</v>
      </c>
      <c r="F230" s="34">
        <f t="shared" si="13"/>
        <v>0.89849366109564588</v>
      </c>
      <c r="G230" t="str">
        <f t="shared" si="14"/>
        <v>B</v>
      </c>
    </row>
    <row r="231" spans="1:7" x14ac:dyDescent="0.35">
      <c r="A231" t="s">
        <v>731</v>
      </c>
      <c r="B231" t="s">
        <v>1017</v>
      </c>
      <c r="C231" s="5">
        <f>SUMIFS(clean_data!$AM:$AM,clean_data!$U:$U,$A231,clean_data!$V:$V,$B231)</f>
        <v>11696.156879999999</v>
      </c>
      <c r="D231" s="5">
        <f>SUMIF(clean_data!$U:$U,$A231,clean_data!$AM:$AM)</f>
        <v>1711094.3776</v>
      </c>
      <c r="E231" s="5">
        <f t="shared" si="15"/>
        <v>1549103.6086899994</v>
      </c>
      <c r="F231" s="34">
        <f t="shared" si="13"/>
        <v>0.90532914430049694</v>
      </c>
      <c r="G231" t="str">
        <f t="shared" si="14"/>
        <v>B</v>
      </c>
    </row>
    <row r="232" spans="1:7" x14ac:dyDescent="0.35">
      <c r="A232" t="s">
        <v>731</v>
      </c>
      <c r="B232" t="s">
        <v>1248</v>
      </c>
      <c r="C232" s="5">
        <f>SUMIFS(clean_data!$AM:$AM,clean_data!$U:$U,$A232,clean_data!$V:$V,$B232)</f>
        <v>10859.64</v>
      </c>
      <c r="D232" s="5">
        <f>SUMIF(clean_data!$U:$U,$A232,clean_data!$AM:$AM)</f>
        <v>1711094.3776</v>
      </c>
      <c r="E232" s="5">
        <f t="shared" si="15"/>
        <v>1559963.2486899993</v>
      </c>
      <c r="F232" s="34">
        <f t="shared" si="13"/>
        <v>0.91167574922314987</v>
      </c>
      <c r="G232" t="str">
        <f t="shared" si="14"/>
        <v>B</v>
      </c>
    </row>
    <row r="233" spans="1:7" x14ac:dyDescent="0.35">
      <c r="A233" t="s">
        <v>731</v>
      </c>
      <c r="B233" t="s">
        <v>1043</v>
      </c>
      <c r="C233" s="5">
        <f>SUMIFS(clean_data!$AM:$AM,clean_data!$U:$U,$A233,clean_data!$V:$V,$B233)</f>
        <v>9847.2358600000007</v>
      </c>
      <c r="D233" s="5">
        <f>SUMIF(clean_data!$U:$U,$A233,clean_data!$AM:$AM)</f>
        <v>1711094.3776</v>
      </c>
      <c r="E233" s="5">
        <f t="shared" si="15"/>
        <v>1569810.4845499992</v>
      </c>
      <c r="F233" s="34">
        <f t="shared" si="13"/>
        <v>0.91743068360252156</v>
      </c>
      <c r="G233" t="str">
        <f t="shared" si="14"/>
        <v>B</v>
      </c>
    </row>
    <row r="234" spans="1:7" x14ac:dyDescent="0.35">
      <c r="A234" t="s">
        <v>731</v>
      </c>
      <c r="B234" t="s">
        <v>980</v>
      </c>
      <c r="C234" s="5">
        <f>SUMIFS(clean_data!$AM:$AM,clean_data!$U:$U,$A234,clean_data!$V:$V,$B234)</f>
        <v>9774.3888000000006</v>
      </c>
      <c r="D234" s="5">
        <f>SUMIF(clean_data!$U:$U,$A234,clean_data!$AM:$AM)</f>
        <v>1711094.3776</v>
      </c>
      <c r="E234" s="5">
        <f t="shared" si="15"/>
        <v>1579584.8733499993</v>
      </c>
      <c r="F234" s="34">
        <f t="shared" si="13"/>
        <v>0.92314304460841168</v>
      </c>
      <c r="G234" t="str">
        <f t="shared" si="14"/>
        <v>B</v>
      </c>
    </row>
    <row r="235" spans="1:7" x14ac:dyDescent="0.35">
      <c r="A235" t="s">
        <v>731</v>
      </c>
      <c r="B235" t="s">
        <v>1179</v>
      </c>
      <c r="C235" s="5">
        <f>SUMIFS(clean_data!$AM:$AM,clean_data!$U:$U,$A235,clean_data!$V:$V,$B235)</f>
        <v>9771.4483199999995</v>
      </c>
      <c r="D235" s="5">
        <f>SUMIF(clean_data!$U:$U,$A235,clean_data!$AM:$AM)</f>
        <v>1711094.3776</v>
      </c>
      <c r="E235" s="5">
        <f t="shared" si="15"/>
        <v>1589356.3216699993</v>
      </c>
      <c r="F235" s="34">
        <f t="shared" si="13"/>
        <v>0.92885368713515859</v>
      </c>
      <c r="G235" t="str">
        <f t="shared" si="14"/>
        <v>B</v>
      </c>
    </row>
    <row r="236" spans="1:7" x14ac:dyDescent="0.35">
      <c r="A236" t="s">
        <v>731</v>
      </c>
      <c r="B236" t="s">
        <v>1013</v>
      </c>
      <c r="C236" s="5">
        <f>SUMIFS(clean_data!$AM:$AM,clean_data!$U:$U,$A236,clean_data!$V:$V,$B236)</f>
        <v>8907.6924999999992</v>
      </c>
      <c r="D236" s="5">
        <f>SUMIF(clean_data!$U:$U,$A236,clean_data!$AM:$AM)</f>
        <v>1711094.3776</v>
      </c>
      <c r="E236" s="5">
        <f t="shared" si="15"/>
        <v>1598264.0141699992</v>
      </c>
      <c r="F236" s="34">
        <f t="shared" si="13"/>
        <v>0.934059532362991</v>
      </c>
      <c r="G236" t="str">
        <f t="shared" si="14"/>
        <v>B</v>
      </c>
    </row>
    <row r="237" spans="1:7" x14ac:dyDescent="0.35">
      <c r="A237" t="s">
        <v>731</v>
      </c>
      <c r="B237" t="s">
        <v>1009</v>
      </c>
      <c r="C237" s="5">
        <f>SUMIFS(clean_data!$AM:$AM,clean_data!$U:$U,$A237,clean_data!$V:$V,$B237)</f>
        <v>8567.3924999999999</v>
      </c>
      <c r="D237" s="5">
        <f>SUMIF(clean_data!$U:$U,$A237,clean_data!$AM:$AM)</f>
        <v>1711094.3776</v>
      </c>
      <c r="E237" s="5">
        <f t="shared" si="15"/>
        <v>1606831.4066699992</v>
      </c>
      <c r="F237" s="34">
        <f t="shared" si="13"/>
        <v>0.9390664990225488</v>
      </c>
      <c r="G237" t="str">
        <f t="shared" si="14"/>
        <v>B</v>
      </c>
    </row>
    <row r="238" spans="1:7" x14ac:dyDescent="0.35">
      <c r="A238" t="s">
        <v>731</v>
      </c>
      <c r="B238" t="s">
        <v>866</v>
      </c>
      <c r="C238" s="5">
        <f>SUMIFS(clean_data!$AM:$AM,clean_data!$U:$U,$A238,clean_data!$V:$V,$B238)</f>
        <v>8336.8896000000004</v>
      </c>
      <c r="D238" s="5">
        <f>SUMIF(clean_data!$U:$U,$A238,clean_data!$AM:$AM)</f>
        <v>1711094.3776</v>
      </c>
      <c r="E238" s="5">
        <f t="shared" si="15"/>
        <v>1615168.2962699994</v>
      </c>
      <c r="F238" s="34">
        <f t="shared" si="13"/>
        <v>0.94393875487771306</v>
      </c>
      <c r="G238" t="str">
        <f t="shared" si="14"/>
        <v>B</v>
      </c>
    </row>
    <row r="239" spans="1:7" x14ac:dyDescent="0.35">
      <c r="A239" t="s">
        <v>731</v>
      </c>
      <c r="B239" t="s">
        <v>1242</v>
      </c>
      <c r="C239" s="5">
        <f>SUMIFS(clean_data!$AM:$AM,clean_data!$U:$U,$A239,clean_data!$V:$V,$B239)</f>
        <v>8297.4286000000011</v>
      </c>
      <c r="D239" s="5">
        <f>SUMIF(clean_data!$U:$U,$A239,clean_data!$AM:$AM)</f>
        <v>1711094.3776</v>
      </c>
      <c r="E239" s="5">
        <f t="shared" si="15"/>
        <v>1623465.7248699993</v>
      </c>
      <c r="F239" s="34">
        <f t="shared" si="13"/>
        <v>0.94878794888397122</v>
      </c>
      <c r="G239" t="str">
        <f t="shared" si="14"/>
        <v>B</v>
      </c>
    </row>
    <row r="240" spans="1:7" x14ac:dyDescent="0.35">
      <c r="A240" t="s">
        <v>731</v>
      </c>
      <c r="B240" t="s">
        <v>1191</v>
      </c>
      <c r="C240" s="5">
        <f>SUMIFS(clean_data!$AM:$AM,clean_data!$U:$U,$A240,clean_data!$V:$V,$B240)</f>
        <v>7643.2649999999994</v>
      </c>
      <c r="D240" s="5">
        <f>SUMIF(clean_data!$U:$U,$A240,clean_data!$AM:$AM)</f>
        <v>1711094.3776</v>
      </c>
      <c r="E240" s="5">
        <f t="shared" si="15"/>
        <v>1631108.9898699992</v>
      </c>
      <c r="F240" s="34">
        <f t="shared" si="13"/>
        <v>0.95325483574892622</v>
      </c>
      <c r="G240" t="str">
        <f t="shared" si="14"/>
        <v>C</v>
      </c>
    </row>
    <row r="241" spans="1:7" x14ac:dyDescent="0.35">
      <c r="A241" t="s">
        <v>731</v>
      </c>
      <c r="B241" t="s">
        <v>749</v>
      </c>
      <c r="C241" s="5">
        <f>SUMIFS(clean_data!$AM:$AM,clean_data!$U:$U,$A241,clean_data!$V:$V,$B241)</f>
        <v>7090.5672000000004</v>
      </c>
      <c r="D241" s="5">
        <f>SUMIF(clean_data!$U:$U,$A241,clean_data!$AM:$AM)</f>
        <v>1711094.3776</v>
      </c>
      <c r="E241" s="5">
        <f t="shared" si="15"/>
        <v>1638199.5570699992</v>
      </c>
      <c r="F241" s="34">
        <f t="shared" si="13"/>
        <v>0.95739871424728551</v>
      </c>
      <c r="G241" t="str">
        <f t="shared" si="14"/>
        <v>C</v>
      </c>
    </row>
    <row r="242" spans="1:7" x14ac:dyDescent="0.35">
      <c r="A242" t="s">
        <v>731</v>
      </c>
      <c r="B242" t="s">
        <v>1337</v>
      </c>
      <c r="C242" s="5">
        <f>SUMIFS(clean_data!$AM:$AM,clean_data!$U:$U,$A242,clean_data!$V:$V,$B242)</f>
        <v>7071.6331400000008</v>
      </c>
      <c r="D242" s="5">
        <f>SUMIF(clean_data!$U:$U,$A242,clean_data!$AM:$AM)</f>
        <v>1711094.3776</v>
      </c>
      <c r="E242" s="5">
        <f t="shared" si="15"/>
        <v>1645271.1902099992</v>
      </c>
      <c r="F242" s="34">
        <f t="shared" si="13"/>
        <v>0.96153152727769164</v>
      </c>
      <c r="G242" t="str">
        <f t="shared" si="14"/>
        <v>C</v>
      </c>
    </row>
    <row r="243" spans="1:7" x14ac:dyDescent="0.35">
      <c r="A243" t="s">
        <v>731</v>
      </c>
      <c r="B243" t="s">
        <v>805</v>
      </c>
      <c r="C243" s="5">
        <f>SUMIFS(clean_data!$AM:$AM,clean_data!$U:$U,$A243,clean_data!$V:$V,$B243)</f>
        <v>6393.0952799999995</v>
      </c>
      <c r="D243" s="5">
        <f>SUMIF(clean_data!$U:$U,$A243,clean_data!$AM:$AM)</f>
        <v>1711094.3776</v>
      </c>
      <c r="E243" s="5">
        <f t="shared" si="15"/>
        <v>1651664.2854899992</v>
      </c>
      <c r="F243" s="34">
        <f t="shared" si="13"/>
        <v>0.96526778833008731</v>
      </c>
      <c r="G243" t="str">
        <f t="shared" si="14"/>
        <v>C</v>
      </c>
    </row>
    <row r="244" spans="1:7" x14ac:dyDescent="0.35">
      <c r="A244" t="s">
        <v>731</v>
      </c>
      <c r="B244" t="s">
        <v>1038</v>
      </c>
      <c r="C244" s="5">
        <f>SUMIFS(clean_data!$AM:$AM,clean_data!$U:$U,$A244,clean_data!$V:$V,$B244)</f>
        <v>5932.7856000000002</v>
      </c>
      <c r="D244" s="5">
        <f>SUMIF(clean_data!$U:$U,$A244,clean_data!$AM:$AM)</f>
        <v>1711094.3776</v>
      </c>
      <c r="E244" s="5">
        <f t="shared" si="15"/>
        <v>1657597.0710899993</v>
      </c>
      <c r="F244" s="34">
        <f t="shared" si="13"/>
        <v>0.9687350346010507</v>
      </c>
      <c r="G244" t="str">
        <f t="shared" si="14"/>
        <v>C</v>
      </c>
    </row>
    <row r="245" spans="1:7" x14ac:dyDescent="0.35">
      <c r="A245" t="s">
        <v>731</v>
      </c>
      <c r="B245" t="s">
        <v>786</v>
      </c>
      <c r="C245" s="5">
        <f>SUMIFS(clean_data!$AM:$AM,clean_data!$U:$U,$A245,clean_data!$V:$V,$B245)</f>
        <v>5785.8</v>
      </c>
      <c r="D245" s="5">
        <f>SUMIF(clean_data!$U:$U,$A245,clean_data!$AM:$AM)</f>
        <v>1711094.3776</v>
      </c>
      <c r="E245" s="5">
        <f t="shared" si="15"/>
        <v>1663382.8710899993</v>
      </c>
      <c r="F245" s="34">
        <f t="shared" si="13"/>
        <v>0.97211637935663064</v>
      </c>
      <c r="G245" t="str">
        <f t="shared" si="14"/>
        <v>C</v>
      </c>
    </row>
    <row r="246" spans="1:7" x14ac:dyDescent="0.35">
      <c r="A246" t="s">
        <v>731</v>
      </c>
      <c r="B246" t="s">
        <v>1143</v>
      </c>
      <c r="C246" s="5">
        <f>SUMIFS(clean_data!$AM:$AM,clean_data!$U:$U,$A246,clean_data!$V:$V,$B246)</f>
        <v>5323.9903199999999</v>
      </c>
      <c r="D246" s="5">
        <f>SUMIF(clean_data!$U:$U,$A246,clean_data!$AM:$AM)</f>
        <v>1711094.3776</v>
      </c>
      <c r="E246" s="5">
        <f t="shared" si="15"/>
        <v>1668706.8614099994</v>
      </c>
      <c r="F246" s="34">
        <f t="shared" si="13"/>
        <v>0.97522783269882884</v>
      </c>
      <c r="G246" t="str">
        <f t="shared" si="14"/>
        <v>C</v>
      </c>
    </row>
    <row r="247" spans="1:7" x14ac:dyDescent="0.35">
      <c r="A247" t="s">
        <v>731</v>
      </c>
      <c r="B247" t="s">
        <v>1136</v>
      </c>
      <c r="C247" s="5">
        <f>SUMIFS(clean_data!$AM:$AM,clean_data!$U:$U,$A247,clean_data!$V:$V,$B247)</f>
        <v>5250.4239000000007</v>
      </c>
      <c r="D247" s="5">
        <f>SUMIF(clean_data!$U:$U,$A247,clean_data!$AM:$AM)</f>
        <v>1711094.3776</v>
      </c>
      <c r="E247" s="5">
        <f t="shared" si="15"/>
        <v>1673957.2853099995</v>
      </c>
      <c r="F247" s="34">
        <f t="shared" si="13"/>
        <v>0.97829629225823922</v>
      </c>
      <c r="G247" t="str">
        <f t="shared" si="14"/>
        <v>C</v>
      </c>
    </row>
    <row r="248" spans="1:7" x14ac:dyDescent="0.35">
      <c r="A248" t="s">
        <v>731</v>
      </c>
      <c r="B248" t="s">
        <v>1141</v>
      </c>
      <c r="C248" s="5">
        <f>SUMIFS(clean_data!$AM:$AM,clean_data!$U:$U,$A248,clean_data!$V:$V,$B248)</f>
        <v>4679.7141600000004</v>
      </c>
      <c r="D248" s="5">
        <f>SUMIF(clean_data!$U:$U,$A248,clean_data!$AM:$AM)</f>
        <v>1711094.3776</v>
      </c>
      <c r="E248" s="5">
        <f t="shared" si="15"/>
        <v>1678636.9994699995</v>
      </c>
      <c r="F248" s="34">
        <f t="shared" si="13"/>
        <v>0.98103121688966943</v>
      </c>
      <c r="G248" t="str">
        <f t="shared" si="14"/>
        <v>C</v>
      </c>
    </row>
    <row r="249" spans="1:7" x14ac:dyDescent="0.35">
      <c r="A249" t="s">
        <v>731</v>
      </c>
      <c r="B249" t="s">
        <v>1297</v>
      </c>
      <c r="C249" s="5">
        <f>SUMIFS(clean_data!$AM:$AM,clean_data!$U:$U,$A249,clean_data!$V:$V,$B249)</f>
        <v>4229.4321199999995</v>
      </c>
      <c r="D249" s="5">
        <f>SUMIF(clean_data!$U:$U,$A249,clean_data!$AM:$AM)</f>
        <v>1711094.3776</v>
      </c>
      <c r="E249" s="5">
        <f t="shared" si="15"/>
        <v>1682866.4315899995</v>
      </c>
      <c r="F249" s="34">
        <f t="shared" si="13"/>
        <v>0.98350298710606876</v>
      </c>
      <c r="G249" t="str">
        <f t="shared" si="14"/>
        <v>C</v>
      </c>
    </row>
    <row r="250" spans="1:7" x14ac:dyDescent="0.35">
      <c r="A250" t="s">
        <v>731</v>
      </c>
      <c r="B250" t="s">
        <v>739</v>
      </c>
      <c r="C250" s="5">
        <f>SUMIFS(clean_data!$AM:$AM,clean_data!$U:$U,$A250,clean_data!$V:$V,$B250)</f>
        <v>4141.7599999999993</v>
      </c>
      <c r="D250" s="5">
        <f>SUMIF(clean_data!$U:$U,$A250,clean_data!$AM:$AM)</f>
        <v>1711094.3776</v>
      </c>
      <c r="E250" s="5">
        <f t="shared" si="15"/>
        <v>1687008.1915899995</v>
      </c>
      <c r="F250" s="34">
        <f t="shared" si="13"/>
        <v>0.98592351986815352</v>
      </c>
      <c r="G250" t="str">
        <f t="shared" si="14"/>
        <v>C</v>
      </c>
    </row>
    <row r="251" spans="1:7" x14ac:dyDescent="0.35">
      <c r="A251" t="s">
        <v>731</v>
      </c>
      <c r="B251" t="s">
        <v>1104</v>
      </c>
      <c r="C251" s="5">
        <f>SUMIFS(clean_data!$AM:$AM,clean_data!$U:$U,$A251,clean_data!$V:$V,$B251)</f>
        <v>4133.25108</v>
      </c>
      <c r="D251" s="5">
        <f>SUMIF(clean_data!$U:$U,$A251,clean_data!$AM:$AM)</f>
        <v>1711094.3776</v>
      </c>
      <c r="E251" s="5">
        <f t="shared" si="15"/>
        <v>1691141.4426699996</v>
      </c>
      <c r="F251" s="34">
        <f t="shared" si="13"/>
        <v>0.98833907983615332</v>
      </c>
      <c r="G251" t="str">
        <f t="shared" si="14"/>
        <v>C</v>
      </c>
    </row>
    <row r="252" spans="1:7" x14ac:dyDescent="0.35">
      <c r="A252" t="s">
        <v>731</v>
      </c>
      <c r="B252" t="s">
        <v>1241</v>
      </c>
      <c r="C252" s="5">
        <f>SUMIFS(clean_data!$AM:$AM,clean_data!$U:$U,$A252,clean_data!$V:$V,$B252)</f>
        <v>3921.1744000000008</v>
      </c>
      <c r="D252" s="5">
        <f>SUMIF(clean_data!$U:$U,$A252,clean_data!$AM:$AM)</f>
        <v>1711094.3776</v>
      </c>
      <c r="E252" s="5">
        <f t="shared" si="15"/>
        <v>1695062.6170699995</v>
      </c>
      <c r="F252" s="34">
        <f t="shared" si="13"/>
        <v>0.99063069767519962</v>
      </c>
      <c r="G252" t="str">
        <f t="shared" si="14"/>
        <v>C</v>
      </c>
    </row>
    <row r="253" spans="1:7" x14ac:dyDescent="0.35">
      <c r="A253" t="s">
        <v>731</v>
      </c>
      <c r="B253" t="s">
        <v>1316</v>
      </c>
      <c r="C253" s="5">
        <f>SUMIFS(clean_data!$AM:$AM,clean_data!$U:$U,$A253,clean_data!$V:$V,$B253)</f>
        <v>3823.6151599999998</v>
      </c>
      <c r="D253" s="5">
        <f>SUMIF(clean_data!$U:$U,$A253,clean_data!$AM:$AM)</f>
        <v>1711094.3776</v>
      </c>
      <c r="E253" s="5">
        <f t="shared" si="15"/>
        <v>1698886.2322299995</v>
      </c>
      <c r="F253" s="34">
        <f t="shared" si="13"/>
        <v>0.99286529981641114</v>
      </c>
      <c r="G253" t="str">
        <f t="shared" si="14"/>
        <v>C</v>
      </c>
    </row>
    <row r="254" spans="1:7" x14ac:dyDescent="0.35">
      <c r="A254" t="s">
        <v>731</v>
      </c>
      <c r="B254" t="s">
        <v>973</v>
      </c>
      <c r="C254" s="5">
        <f>SUMIFS(clean_data!$AM:$AM,clean_data!$U:$U,$A254,clean_data!$V:$V,$B254)</f>
        <v>3823.5108</v>
      </c>
      <c r="D254" s="5">
        <f>SUMIF(clean_data!$U:$U,$A254,clean_data!$AM:$AM)</f>
        <v>1711094.3776</v>
      </c>
      <c r="E254" s="5">
        <f t="shared" si="15"/>
        <v>1702709.7430299995</v>
      </c>
      <c r="F254" s="34">
        <f t="shared" si="13"/>
        <v>0.99509984096741588</v>
      </c>
      <c r="G254" t="str">
        <f t="shared" si="14"/>
        <v>C</v>
      </c>
    </row>
    <row r="255" spans="1:7" x14ac:dyDescent="0.35">
      <c r="A255" t="s">
        <v>731</v>
      </c>
      <c r="B255" t="s">
        <v>880</v>
      </c>
      <c r="C255" s="5">
        <f>SUMIFS(clean_data!$AM:$AM,clean_data!$U:$U,$A255,clean_data!$V:$V,$B255)</f>
        <v>3562.9028999999996</v>
      </c>
      <c r="D255" s="5">
        <f>SUMIF(clean_data!$U:$U,$A255,clean_data!$AM:$AM)</f>
        <v>1711094.3776</v>
      </c>
      <c r="E255" s="5">
        <f t="shared" si="15"/>
        <v>1706272.6459299996</v>
      </c>
      <c r="F255" s="34">
        <f t="shared" si="13"/>
        <v>0.99718207731080077</v>
      </c>
      <c r="G255" t="str">
        <f t="shared" si="14"/>
        <v>C</v>
      </c>
    </row>
    <row r="256" spans="1:7" x14ac:dyDescent="0.35">
      <c r="A256" t="s">
        <v>731</v>
      </c>
      <c r="B256" t="s">
        <v>787</v>
      </c>
      <c r="C256" s="5">
        <f>SUMIFS(clean_data!$AM:$AM,clean_data!$U:$U,$A256,clean_data!$V:$V,$B256)</f>
        <v>2518.8755800000004</v>
      </c>
      <c r="D256" s="5">
        <f>SUMIF(clean_data!$U:$U,$A256,clean_data!$AM:$AM)</f>
        <v>1711094.3776</v>
      </c>
      <c r="E256" s="5">
        <f t="shared" si="15"/>
        <v>1708791.5215099996</v>
      </c>
      <c r="F256" s="34">
        <f t="shared" si="13"/>
        <v>0.99865416185094924</v>
      </c>
      <c r="G256" t="str">
        <f t="shared" si="14"/>
        <v>C</v>
      </c>
    </row>
    <row r="257" spans="1:7" x14ac:dyDescent="0.35">
      <c r="A257" t="s">
        <v>731</v>
      </c>
      <c r="B257" t="s">
        <v>1209</v>
      </c>
      <c r="C257" s="5">
        <f>SUMIFS(clean_data!$AM:$AM,clean_data!$U:$U,$A257,clean_data!$V:$V,$B257)</f>
        <v>1009.2969000000002</v>
      </c>
      <c r="D257" s="5">
        <f>SUMIF(clean_data!$U:$U,$A257,clean_data!$AM:$AM)</f>
        <v>1711094.3776</v>
      </c>
      <c r="E257" s="5">
        <f t="shared" si="15"/>
        <v>1709800.8184099996</v>
      </c>
      <c r="F257" s="34">
        <f t="shared" si="13"/>
        <v>0.99924401645699124</v>
      </c>
      <c r="G257" t="str">
        <f t="shared" si="14"/>
        <v>C</v>
      </c>
    </row>
    <row r="258" spans="1:7" x14ac:dyDescent="0.35">
      <c r="A258" t="s">
        <v>731</v>
      </c>
      <c r="B258" t="s">
        <v>853</v>
      </c>
      <c r="C258" s="5">
        <f>SUMIFS(clean_data!$AM:$AM,clean_data!$U:$U,$A258,clean_data!$V:$V,$B258)</f>
        <v>592.92849000000001</v>
      </c>
      <c r="D258" s="5">
        <f>SUMIF(clean_data!$U:$U,$A258,clean_data!$AM:$AM)</f>
        <v>1711094.3776</v>
      </c>
      <c r="E258" s="5">
        <f t="shared" si="15"/>
        <v>1710393.7468999997</v>
      </c>
      <c r="F258" s="34">
        <f t="shared" ref="F258:F321" si="16">E258/D258</f>
        <v>0.99959053649572327</v>
      </c>
      <c r="G258" t="str">
        <f t="shared" ref="G258:G321" si="17">IF(F258&lt;=0.8,"A",IF(F258&lt;=0.95,"B","C"))</f>
        <v>C</v>
      </c>
    </row>
    <row r="259" spans="1:7" x14ac:dyDescent="0.35">
      <c r="A259" t="s">
        <v>731</v>
      </c>
      <c r="B259" t="s">
        <v>1122</v>
      </c>
      <c r="C259" s="5">
        <f>SUMIFS(clean_data!$AM:$AM,clean_data!$U:$U,$A259,clean_data!$V:$V,$B259)</f>
        <v>434.45248000000004</v>
      </c>
      <c r="D259" s="5">
        <f>SUMIF(clean_data!$U:$U,$A259,clean_data!$AM:$AM)</f>
        <v>1711094.3776</v>
      </c>
      <c r="E259" s="5">
        <f t="shared" ref="E259:E322" si="18">IF(A259=A258,E258+C259,C259)</f>
        <v>1710828.1993799997</v>
      </c>
      <c r="F259" s="34">
        <f t="shared" si="16"/>
        <v>0.99984443977872584</v>
      </c>
      <c r="G259" t="str">
        <f t="shared" si="17"/>
        <v>C</v>
      </c>
    </row>
    <row r="260" spans="1:7" x14ac:dyDescent="0.35">
      <c r="A260" t="s">
        <v>731</v>
      </c>
      <c r="B260" t="s">
        <v>1363</v>
      </c>
      <c r="C260" s="5">
        <f>SUMIFS(clean_data!$AM:$AM,clean_data!$U:$U,$A260,clean_data!$V:$V,$B260)</f>
        <v>266.17821999999995</v>
      </c>
      <c r="D260" s="5">
        <f>SUMIF(clean_data!$U:$U,$A260,clean_data!$AM:$AM)</f>
        <v>1711094.3776</v>
      </c>
      <c r="E260" s="5">
        <f t="shared" si="18"/>
        <v>1711094.3775999995</v>
      </c>
      <c r="F260" s="34">
        <f t="shared" si="16"/>
        <v>0.99999999999999978</v>
      </c>
      <c r="G260" t="str">
        <f t="shared" si="17"/>
        <v>C</v>
      </c>
    </row>
    <row r="261" spans="1:7" x14ac:dyDescent="0.35">
      <c r="A261" t="s">
        <v>732</v>
      </c>
      <c r="B261" t="s">
        <v>909</v>
      </c>
      <c r="C261" s="5">
        <f>SUMIFS(clean_data!$AM:$AM,clean_data!$U:$U,$A261,clean_data!$V:$V,$B261)</f>
        <v>92715.25</v>
      </c>
      <c r="D261" s="5">
        <f>SUMIF(clean_data!$U:$U,$A261,clean_data!$AM:$AM)</f>
        <v>1549460.0077899997</v>
      </c>
      <c r="E261" s="5">
        <f t="shared" si="18"/>
        <v>92715.25</v>
      </c>
      <c r="F261" s="34">
        <f t="shared" si="16"/>
        <v>5.9837136508118137E-2</v>
      </c>
      <c r="G261" t="str">
        <f t="shared" si="17"/>
        <v>A</v>
      </c>
    </row>
    <row r="262" spans="1:7" x14ac:dyDescent="0.35">
      <c r="A262" t="s">
        <v>732</v>
      </c>
      <c r="B262" t="s">
        <v>874</v>
      </c>
      <c r="C262" s="5">
        <f>SUMIFS(clean_data!$AM:$AM,clean_data!$U:$U,$A262,clean_data!$V:$V,$B262)</f>
        <v>87404.929919999995</v>
      </c>
      <c r="D262" s="5">
        <f>SUMIF(clean_data!$U:$U,$A262,clean_data!$AM:$AM)</f>
        <v>1549460.0077899997</v>
      </c>
      <c r="E262" s="5">
        <f t="shared" si="18"/>
        <v>180120.17992</v>
      </c>
      <c r="F262" s="34">
        <f t="shared" si="16"/>
        <v>0.11624706608394884</v>
      </c>
      <c r="G262" t="str">
        <f t="shared" si="17"/>
        <v>A</v>
      </c>
    </row>
    <row r="263" spans="1:7" x14ac:dyDescent="0.35">
      <c r="A263" t="s">
        <v>732</v>
      </c>
      <c r="B263" t="s">
        <v>899</v>
      </c>
      <c r="C263" s="5">
        <f>SUMIFS(clean_data!$AM:$AM,clean_data!$U:$U,$A263,clean_data!$V:$V,$B263)</f>
        <v>85637.740319999997</v>
      </c>
      <c r="D263" s="5">
        <f>SUMIF(clean_data!$U:$U,$A263,clean_data!$AM:$AM)</f>
        <v>1549460.0077899997</v>
      </c>
      <c r="E263" s="5">
        <f t="shared" si="18"/>
        <v>265757.92024000001</v>
      </c>
      <c r="F263" s="34">
        <f t="shared" si="16"/>
        <v>0.17151647600059808</v>
      </c>
      <c r="G263" t="str">
        <f t="shared" si="17"/>
        <v>A</v>
      </c>
    </row>
    <row r="264" spans="1:7" x14ac:dyDescent="0.35">
      <c r="A264" t="s">
        <v>732</v>
      </c>
      <c r="B264" t="s">
        <v>797</v>
      </c>
      <c r="C264" s="5">
        <f>SUMIFS(clean_data!$AM:$AM,clean_data!$U:$U,$A264,clean_data!$V:$V,$B264)</f>
        <v>72665.817450000002</v>
      </c>
      <c r="D264" s="5">
        <f>SUMIF(clean_data!$U:$U,$A264,clean_data!$AM:$AM)</f>
        <v>1549460.0077899997</v>
      </c>
      <c r="E264" s="5">
        <f t="shared" si="18"/>
        <v>338423.73768999998</v>
      </c>
      <c r="F264" s="34">
        <f t="shared" si="16"/>
        <v>0.21841398680092103</v>
      </c>
      <c r="G264" t="str">
        <f t="shared" si="17"/>
        <v>A</v>
      </c>
    </row>
    <row r="265" spans="1:7" x14ac:dyDescent="0.35">
      <c r="A265" t="s">
        <v>732</v>
      </c>
      <c r="B265" t="s">
        <v>1129</v>
      </c>
      <c r="C265" s="5">
        <f>SUMIFS(clean_data!$AM:$AM,clean_data!$U:$U,$A265,clean_data!$V:$V,$B265)</f>
        <v>56176.777799999996</v>
      </c>
      <c r="D265" s="5">
        <f>SUMIF(clean_data!$U:$U,$A265,clean_data!$AM:$AM)</f>
        <v>1549460.0077899997</v>
      </c>
      <c r="E265" s="5">
        <f t="shared" si="18"/>
        <v>394600.51548999996</v>
      </c>
      <c r="F265" s="34">
        <f t="shared" si="16"/>
        <v>0.25466970009301504</v>
      </c>
      <c r="G265" t="str">
        <f t="shared" si="17"/>
        <v>A</v>
      </c>
    </row>
    <row r="266" spans="1:7" x14ac:dyDescent="0.35">
      <c r="A266" t="s">
        <v>732</v>
      </c>
      <c r="B266" t="s">
        <v>1181</v>
      </c>
      <c r="C266" s="5">
        <f>SUMIFS(clean_data!$AM:$AM,clean_data!$U:$U,$A266,clean_data!$V:$V,$B266)</f>
        <v>45547.183360000003</v>
      </c>
      <c r="D266" s="5">
        <f>SUMIF(clean_data!$U:$U,$A266,clean_data!$AM:$AM)</f>
        <v>1549460.0077899997</v>
      </c>
      <c r="E266" s="5">
        <f t="shared" si="18"/>
        <v>440147.69884999999</v>
      </c>
      <c r="F266" s="34">
        <f t="shared" si="16"/>
        <v>0.28406522055240663</v>
      </c>
      <c r="G266" t="str">
        <f t="shared" si="17"/>
        <v>A</v>
      </c>
    </row>
    <row r="267" spans="1:7" x14ac:dyDescent="0.35">
      <c r="A267" t="s">
        <v>732</v>
      </c>
      <c r="B267" t="s">
        <v>774</v>
      </c>
      <c r="C267" s="5">
        <f>SUMIFS(clean_data!$AM:$AM,clean_data!$U:$U,$A267,clean_data!$V:$V,$B267)</f>
        <v>41106.800970000004</v>
      </c>
      <c r="D267" s="5">
        <f>SUMIF(clean_data!$U:$U,$A267,clean_data!$AM:$AM)</f>
        <v>1549460.0077899997</v>
      </c>
      <c r="E267" s="5">
        <f t="shared" si="18"/>
        <v>481254.49981999997</v>
      </c>
      <c r="F267" s="34">
        <f t="shared" si="16"/>
        <v>0.31059497979971418</v>
      </c>
      <c r="G267" t="str">
        <f t="shared" si="17"/>
        <v>A</v>
      </c>
    </row>
    <row r="268" spans="1:7" x14ac:dyDescent="0.35">
      <c r="A268" t="s">
        <v>732</v>
      </c>
      <c r="B268" t="s">
        <v>1000</v>
      </c>
      <c r="C268" s="5">
        <f>SUMIFS(clean_data!$AM:$AM,clean_data!$U:$U,$A268,clean_data!$V:$V,$B268)</f>
        <v>38818.760160000005</v>
      </c>
      <c r="D268" s="5">
        <f>SUMIF(clean_data!$U:$U,$A268,clean_data!$AM:$AM)</f>
        <v>1549460.0077899997</v>
      </c>
      <c r="E268" s="5">
        <f t="shared" si="18"/>
        <v>520073.25997999997</v>
      </c>
      <c r="F268" s="34">
        <f t="shared" si="16"/>
        <v>0.3356480692404461</v>
      </c>
      <c r="G268" t="str">
        <f t="shared" si="17"/>
        <v>A</v>
      </c>
    </row>
    <row r="269" spans="1:7" x14ac:dyDescent="0.35">
      <c r="A269" t="s">
        <v>732</v>
      </c>
      <c r="B269" t="s">
        <v>1006</v>
      </c>
      <c r="C269" s="5">
        <f>SUMIFS(clean_data!$AM:$AM,clean_data!$U:$U,$A269,clean_data!$V:$V,$B269)</f>
        <v>34632.106319999999</v>
      </c>
      <c r="D269" s="5">
        <f>SUMIF(clean_data!$U:$U,$A269,clean_data!$AM:$AM)</f>
        <v>1549460.0077899997</v>
      </c>
      <c r="E269" s="5">
        <f t="shared" si="18"/>
        <v>554705.36629999999</v>
      </c>
      <c r="F269" s="34">
        <f t="shared" si="16"/>
        <v>0.35799915035637364</v>
      </c>
      <c r="G269" t="str">
        <f t="shared" si="17"/>
        <v>A</v>
      </c>
    </row>
    <row r="270" spans="1:7" x14ac:dyDescent="0.35">
      <c r="A270" t="s">
        <v>732</v>
      </c>
      <c r="B270" t="s">
        <v>1106</v>
      </c>
      <c r="C270" s="5">
        <f>SUMIFS(clean_data!$AM:$AM,clean_data!$U:$U,$A270,clean_data!$V:$V,$B270)</f>
        <v>32280.32474</v>
      </c>
      <c r="D270" s="5">
        <f>SUMIF(clean_data!$U:$U,$A270,clean_data!$AM:$AM)</f>
        <v>1549460.0077899997</v>
      </c>
      <c r="E270" s="5">
        <f t="shared" si="18"/>
        <v>586985.69103999995</v>
      </c>
      <c r="F270" s="34">
        <f t="shared" si="16"/>
        <v>0.37883242425677038</v>
      </c>
      <c r="G270" t="str">
        <f t="shared" si="17"/>
        <v>A</v>
      </c>
    </row>
    <row r="271" spans="1:7" x14ac:dyDescent="0.35">
      <c r="A271" t="s">
        <v>732</v>
      </c>
      <c r="B271" t="s">
        <v>789</v>
      </c>
      <c r="C271" s="5">
        <f>SUMIFS(clean_data!$AM:$AM,clean_data!$U:$U,$A271,clean_data!$V:$V,$B271)</f>
        <v>31680.795320000001</v>
      </c>
      <c r="D271" s="5">
        <f>SUMIF(clean_data!$U:$U,$A271,clean_data!$AM:$AM)</f>
        <v>1549460.0077899997</v>
      </c>
      <c r="E271" s="5">
        <f t="shared" si="18"/>
        <v>618666.48635999998</v>
      </c>
      <c r="F271" s="34">
        <f t="shared" si="16"/>
        <v>0.3992787701842051</v>
      </c>
      <c r="G271" t="str">
        <f t="shared" si="17"/>
        <v>A</v>
      </c>
    </row>
    <row r="272" spans="1:7" x14ac:dyDescent="0.35">
      <c r="A272" t="s">
        <v>732</v>
      </c>
      <c r="B272" t="s">
        <v>929</v>
      </c>
      <c r="C272" s="5">
        <f>SUMIFS(clean_data!$AM:$AM,clean_data!$U:$U,$A272,clean_data!$V:$V,$B272)</f>
        <v>31191.64716</v>
      </c>
      <c r="D272" s="5">
        <f>SUMIF(clean_data!$U:$U,$A272,clean_data!$AM:$AM)</f>
        <v>1549460.0077899997</v>
      </c>
      <c r="E272" s="5">
        <f t="shared" si="18"/>
        <v>649858.13352000003</v>
      </c>
      <c r="F272" s="34">
        <f t="shared" si="16"/>
        <v>0.41940942667303494</v>
      </c>
      <c r="G272" t="str">
        <f t="shared" si="17"/>
        <v>A</v>
      </c>
    </row>
    <row r="273" spans="1:7" x14ac:dyDescent="0.35">
      <c r="A273" t="s">
        <v>732</v>
      </c>
      <c r="B273" t="s">
        <v>1044</v>
      </c>
      <c r="C273" s="5">
        <f>SUMIFS(clean_data!$AM:$AM,clean_data!$U:$U,$A273,clean_data!$V:$V,$B273)</f>
        <v>30799.273800000003</v>
      </c>
      <c r="D273" s="5">
        <f>SUMIF(clean_data!$U:$U,$A273,clean_data!$AM:$AM)</f>
        <v>1549460.0077899997</v>
      </c>
      <c r="E273" s="5">
        <f t="shared" si="18"/>
        <v>680657.40732</v>
      </c>
      <c r="F273" s="34">
        <f t="shared" si="16"/>
        <v>0.43928685083703711</v>
      </c>
      <c r="G273" t="str">
        <f t="shared" si="17"/>
        <v>A</v>
      </c>
    </row>
    <row r="274" spans="1:7" x14ac:dyDescent="0.35">
      <c r="A274" t="s">
        <v>732</v>
      </c>
      <c r="B274" t="s">
        <v>1274</v>
      </c>
      <c r="C274" s="5">
        <f>SUMIFS(clean_data!$AM:$AM,clean_data!$U:$U,$A274,clean_data!$V:$V,$B274)</f>
        <v>30652.403519999996</v>
      </c>
      <c r="D274" s="5">
        <f>SUMIF(clean_data!$U:$U,$A274,clean_data!$AM:$AM)</f>
        <v>1549460.0077899997</v>
      </c>
      <c r="E274" s="5">
        <f t="shared" si="18"/>
        <v>711309.81084000005</v>
      </c>
      <c r="F274" s="34">
        <f t="shared" si="16"/>
        <v>0.45906948695923022</v>
      </c>
      <c r="G274" t="str">
        <f t="shared" si="17"/>
        <v>A</v>
      </c>
    </row>
    <row r="275" spans="1:7" x14ac:dyDescent="0.35">
      <c r="A275" t="s">
        <v>732</v>
      </c>
      <c r="B275" t="s">
        <v>1007</v>
      </c>
      <c r="C275" s="5">
        <f>SUMIFS(clean_data!$AM:$AM,clean_data!$U:$U,$A275,clean_data!$V:$V,$B275)</f>
        <v>29536.716</v>
      </c>
      <c r="D275" s="5">
        <f>SUMIF(clean_data!$U:$U,$A275,clean_data!$AM:$AM)</f>
        <v>1549460.0077899997</v>
      </c>
      <c r="E275" s="5">
        <f t="shared" si="18"/>
        <v>740846.52684000006</v>
      </c>
      <c r="F275" s="34">
        <f t="shared" si="16"/>
        <v>0.47813207382917361</v>
      </c>
      <c r="G275" t="str">
        <f t="shared" si="17"/>
        <v>A</v>
      </c>
    </row>
    <row r="276" spans="1:7" x14ac:dyDescent="0.35">
      <c r="A276" t="s">
        <v>732</v>
      </c>
      <c r="B276" t="s">
        <v>922</v>
      </c>
      <c r="C276" s="5">
        <f>SUMIFS(clean_data!$AM:$AM,clean_data!$U:$U,$A276,clean_data!$V:$V,$B276)</f>
        <v>28072.190160000002</v>
      </c>
      <c r="D276" s="5">
        <f>SUMIF(clean_data!$U:$U,$A276,clean_data!$AM:$AM)</f>
        <v>1549460.0077899997</v>
      </c>
      <c r="E276" s="5">
        <f t="shared" si="18"/>
        <v>768918.71700000006</v>
      </c>
      <c r="F276" s="34">
        <f t="shared" si="16"/>
        <v>0.49624947603308039</v>
      </c>
      <c r="G276" t="str">
        <f t="shared" si="17"/>
        <v>A</v>
      </c>
    </row>
    <row r="277" spans="1:7" x14ac:dyDescent="0.35">
      <c r="A277" t="s">
        <v>732</v>
      </c>
      <c r="B277" t="s">
        <v>869</v>
      </c>
      <c r="C277" s="5">
        <f>SUMIFS(clean_data!$AM:$AM,clean_data!$U:$U,$A277,clean_data!$V:$V,$B277)</f>
        <v>27370.540859999997</v>
      </c>
      <c r="D277" s="5">
        <f>SUMIF(clean_data!$U:$U,$A277,clean_data!$AM:$AM)</f>
        <v>1549460.0077899997</v>
      </c>
      <c r="E277" s="5">
        <f t="shared" si="18"/>
        <v>796289.25786000001</v>
      </c>
      <c r="F277" s="34">
        <f t="shared" si="16"/>
        <v>0.51391404350974512</v>
      </c>
      <c r="G277" t="str">
        <f t="shared" si="17"/>
        <v>A</v>
      </c>
    </row>
    <row r="278" spans="1:7" x14ac:dyDescent="0.35">
      <c r="A278" t="s">
        <v>732</v>
      </c>
      <c r="B278" t="s">
        <v>918</v>
      </c>
      <c r="C278" s="5">
        <f>SUMIFS(clean_data!$AM:$AM,clean_data!$U:$U,$A278,clean_data!$V:$V,$B278)</f>
        <v>26408.63841</v>
      </c>
      <c r="D278" s="5">
        <f>SUMIF(clean_data!$U:$U,$A278,clean_data!$AM:$AM)</f>
        <v>1549460.0077899997</v>
      </c>
      <c r="E278" s="5">
        <f t="shared" si="18"/>
        <v>822697.89627000003</v>
      </c>
      <c r="F278" s="34">
        <f t="shared" si="16"/>
        <v>0.53095781248553608</v>
      </c>
      <c r="G278" t="str">
        <f t="shared" si="17"/>
        <v>A</v>
      </c>
    </row>
    <row r="279" spans="1:7" x14ac:dyDescent="0.35">
      <c r="A279" t="s">
        <v>732</v>
      </c>
      <c r="B279" t="s">
        <v>939</v>
      </c>
      <c r="C279" s="5">
        <f>SUMIFS(clean_data!$AM:$AM,clean_data!$U:$U,$A279,clean_data!$V:$V,$B279)</f>
        <v>26131.70736</v>
      </c>
      <c r="D279" s="5">
        <f>SUMIF(clean_data!$U:$U,$A279,clean_data!$AM:$AM)</f>
        <v>1549460.0077899997</v>
      </c>
      <c r="E279" s="5">
        <f t="shared" si="18"/>
        <v>848829.60363000003</v>
      </c>
      <c r="F279" s="34">
        <f t="shared" si="16"/>
        <v>0.54782285400233643</v>
      </c>
      <c r="G279" t="str">
        <f t="shared" si="17"/>
        <v>A</v>
      </c>
    </row>
    <row r="280" spans="1:7" x14ac:dyDescent="0.35">
      <c r="A280" t="s">
        <v>732</v>
      </c>
      <c r="B280" t="s">
        <v>1073</v>
      </c>
      <c r="C280" s="5">
        <f>SUMIFS(clean_data!$AM:$AM,clean_data!$U:$U,$A280,clean_data!$V:$V,$B280)</f>
        <v>26106.613960000002</v>
      </c>
      <c r="D280" s="5">
        <f>SUMIF(clean_data!$U:$U,$A280,clean_data!$AM:$AM)</f>
        <v>1549460.0077899997</v>
      </c>
      <c r="E280" s="5">
        <f t="shared" si="18"/>
        <v>874936.21759000001</v>
      </c>
      <c r="F280" s="34">
        <f t="shared" si="16"/>
        <v>0.56467170058678995</v>
      </c>
      <c r="G280" t="str">
        <f t="shared" si="17"/>
        <v>A</v>
      </c>
    </row>
    <row r="281" spans="1:7" x14ac:dyDescent="0.35">
      <c r="A281" t="s">
        <v>732</v>
      </c>
      <c r="B281" t="s">
        <v>938</v>
      </c>
      <c r="C281" s="5">
        <f>SUMIFS(clean_data!$AM:$AM,clean_data!$U:$U,$A281,clean_data!$V:$V,$B281)</f>
        <v>25553.782800000001</v>
      </c>
      <c r="D281" s="5">
        <f>SUMIF(clean_data!$U:$U,$A281,clean_data!$AM:$AM)</f>
        <v>1549460.0077899997</v>
      </c>
      <c r="E281" s="5">
        <f t="shared" si="18"/>
        <v>900490.00039000006</v>
      </c>
      <c r="F281" s="34">
        <f t="shared" si="16"/>
        <v>0.58116375760764039</v>
      </c>
      <c r="G281" t="str">
        <f t="shared" si="17"/>
        <v>A</v>
      </c>
    </row>
    <row r="282" spans="1:7" x14ac:dyDescent="0.35">
      <c r="A282" t="s">
        <v>732</v>
      </c>
      <c r="B282" t="s">
        <v>1300</v>
      </c>
      <c r="C282" s="5">
        <f>SUMIFS(clean_data!$AM:$AM,clean_data!$U:$U,$A282,clean_data!$V:$V,$B282)</f>
        <v>25079.480689999997</v>
      </c>
      <c r="D282" s="5">
        <f>SUMIF(clean_data!$U:$U,$A282,clean_data!$AM:$AM)</f>
        <v>1549460.0077899997</v>
      </c>
      <c r="E282" s="5">
        <f t="shared" si="18"/>
        <v>925569.48108000006</v>
      </c>
      <c r="F282" s="34">
        <f t="shared" si="16"/>
        <v>0.59734970662466025</v>
      </c>
      <c r="G282" t="str">
        <f t="shared" si="17"/>
        <v>A</v>
      </c>
    </row>
    <row r="283" spans="1:7" x14ac:dyDescent="0.35">
      <c r="A283" t="s">
        <v>732</v>
      </c>
      <c r="B283" t="s">
        <v>849</v>
      </c>
      <c r="C283" s="5">
        <f>SUMIFS(clean_data!$AM:$AM,clean_data!$U:$U,$A283,clean_data!$V:$V,$B283)</f>
        <v>24523.006720000001</v>
      </c>
      <c r="D283" s="5">
        <f>SUMIF(clean_data!$U:$U,$A283,clean_data!$AM:$AM)</f>
        <v>1549460.0077899997</v>
      </c>
      <c r="E283" s="5">
        <f t="shared" si="18"/>
        <v>950092.4878</v>
      </c>
      <c r="F283" s="34">
        <f t="shared" si="16"/>
        <v>0.61317651505902382</v>
      </c>
      <c r="G283" t="str">
        <f t="shared" si="17"/>
        <v>A</v>
      </c>
    </row>
    <row r="284" spans="1:7" x14ac:dyDescent="0.35">
      <c r="A284" t="s">
        <v>732</v>
      </c>
      <c r="B284" t="s">
        <v>1187</v>
      </c>
      <c r="C284" s="5">
        <f>SUMIFS(clean_data!$AM:$AM,clean_data!$U:$U,$A284,clean_data!$V:$V,$B284)</f>
        <v>23132.398349999996</v>
      </c>
      <c r="D284" s="5">
        <f>SUMIF(clean_data!$U:$U,$A284,clean_data!$AM:$AM)</f>
        <v>1549460.0077899997</v>
      </c>
      <c r="E284" s="5">
        <f t="shared" si="18"/>
        <v>973224.88615000003</v>
      </c>
      <c r="F284" s="34">
        <f t="shared" si="16"/>
        <v>0.62810584413734827</v>
      </c>
      <c r="G284" t="str">
        <f t="shared" si="17"/>
        <v>A</v>
      </c>
    </row>
    <row r="285" spans="1:7" x14ac:dyDescent="0.35">
      <c r="A285" t="s">
        <v>732</v>
      </c>
      <c r="B285" t="s">
        <v>855</v>
      </c>
      <c r="C285" s="5">
        <f>SUMIFS(clean_data!$AM:$AM,clean_data!$U:$U,$A285,clean_data!$V:$V,$B285)</f>
        <v>22983.34563</v>
      </c>
      <c r="D285" s="5">
        <f>SUMIF(clean_data!$U:$U,$A285,clean_data!$AM:$AM)</f>
        <v>1549460.0077899997</v>
      </c>
      <c r="E285" s="5">
        <f t="shared" si="18"/>
        <v>996208.23178000003</v>
      </c>
      <c r="F285" s="34">
        <f t="shared" si="16"/>
        <v>0.64293897665735522</v>
      </c>
      <c r="G285" t="str">
        <f t="shared" si="17"/>
        <v>A</v>
      </c>
    </row>
    <row r="286" spans="1:7" x14ac:dyDescent="0.35">
      <c r="A286" t="s">
        <v>732</v>
      </c>
      <c r="B286" t="s">
        <v>894</v>
      </c>
      <c r="C286" s="5">
        <f>SUMIFS(clean_data!$AM:$AM,clean_data!$U:$U,$A286,clean_data!$V:$V,$B286)</f>
        <v>22044.871499999997</v>
      </c>
      <c r="D286" s="5">
        <f>SUMIF(clean_data!$U:$U,$A286,clean_data!$AM:$AM)</f>
        <v>1549460.0077899997</v>
      </c>
      <c r="E286" s="5">
        <f t="shared" si="18"/>
        <v>1018253.10328</v>
      </c>
      <c r="F286" s="34">
        <f t="shared" si="16"/>
        <v>0.6571664309892955</v>
      </c>
      <c r="G286" t="str">
        <f t="shared" si="17"/>
        <v>A</v>
      </c>
    </row>
    <row r="287" spans="1:7" x14ac:dyDescent="0.35">
      <c r="A287" t="s">
        <v>732</v>
      </c>
      <c r="B287" t="s">
        <v>1233</v>
      </c>
      <c r="C287" s="5">
        <f>SUMIFS(clean_data!$AM:$AM,clean_data!$U:$U,$A287,clean_data!$V:$V,$B287)</f>
        <v>20332.775539999999</v>
      </c>
      <c r="D287" s="5">
        <f>SUMIF(clean_data!$U:$U,$A287,clean_data!$AM:$AM)</f>
        <v>1549460.0077899997</v>
      </c>
      <c r="E287" s="5">
        <f t="shared" si="18"/>
        <v>1038585.87882</v>
      </c>
      <c r="F287" s="34">
        <f t="shared" si="16"/>
        <v>0.6702889223332319</v>
      </c>
      <c r="G287" t="str">
        <f t="shared" si="17"/>
        <v>A</v>
      </c>
    </row>
    <row r="288" spans="1:7" x14ac:dyDescent="0.35">
      <c r="A288" t="s">
        <v>732</v>
      </c>
      <c r="B288" t="s">
        <v>986</v>
      </c>
      <c r="C288" s="5">
        <f>SUMIFS(clean_data!$AM:$AM,clean_data!$U:$U,$A288,clean_data!$V:$V,$B288)</f>
        <v>17689.623</v>
      </c>
      <c r="D288" s="5">
        <f>SUMIF(clean_data!$U:$U,$A288,clean_data!$AM:$AM)</f>
        <v>1549460.0077899997</v>
      </c>
      <c r="E288" s="5">
        <f t="shared" si="18"/>
        <v>1056275.5018199999</v>
      </c>
      <c r="F288" s="34">
        <f t="shared" si="16"/>
        <v>0.68170555968499591</v>
      </c>
      <c r="G288" t="str">
        <f t="shared" si="17"/>
        <v>A</v>
      </c>
    </row>
    <row r="289" spans="1:7" x14ac:dyDescent="0.35">
      <c r="A289" t="s">
        <v>732</v>
      </c>
      <c r="B289" t="s">
        <v>1014</v>
      </c>
      <c r="C289" s="5">
        <f>SUMIFS(clean_data!$AM:$AM,clean_data!$U:$U,$A289,clean_data!$V:$V,$B289)</f>
        <v>17441.021520000002</v>
      </c>
      <c r="D289" s="5">
        <f>SUMIF(clean_data!$U:$U,$A289,clean_data!$AM:$AM)</f>
        <v>1549460.0077899997</v>
      </c>
      <c r="E289" s="5">
        <f t="shared" si="18"/>
        <v>1073716.5233399998</v>
      </c>
      <c r="F289" s="34">
        <f t="shared" si="16"/>
        <v>0.69296175308935237</v>
      </c>
      <c r="G289" t="str">
        <f t="shared" si="17"/>
        <v>A</v>
      </c>
    </row>
    <row r="290" spans="1:7" x14ac:dyDescent="0.35">
      <c r="A290" t="s">
        <v>732</v>
      </c>
      <c r="B290" t="s">
        <v>1232</v>
      </c>
      <c r="C290" s="5">
        <f>SUMIFS(clean_data!$AM:$AM,clean_data!$U:$U,$A290,clean_data!$V:$V,$B290)</f>
        <v>16574.544740000001</v>
      </c>
      <c r="D290" s="5">
        <f>SUMIF(clean_data!$U:$U,$A290,clean_data!$AM:$AM)</f>
        <v>1549460.0077899997</v>
      </c>
      <c r="E290" s="5">
        <f t="shared" si="18"/>
        <v>1090291.0680799999</v>
      </c>
      <c r="F290" s="34">
        <f t="shared" si="16"/>
        <v>0.70365873439682114</v>
      </c>
      <c r="G290" t="str">
        <f t="shared" si="17"/>
        <v>A</v>
      </c>
    </row>
    <row r="291" spans="1:7" x14ac:dyDescent="0.35">
      <c r="A291" t="s">
        <v>732</v>
      </c>
      <c r="B291" t="s">
        <v>1085</v>
      </c>
      <c r="C291" s="5">
        <f>SUMIFS(clean_data!$AM:$AM,clean_data!$U:$U,$A291,clean_data!$V:$V,$B291)</f>
        <v>16487.22781</v>
      </c>
      <c r="D291" s="5">
        <f>SUMIF(clean_data!$U:$U,$A291,clean_data!$AM:$AM)</f>
        <v>1549460.0077899997</v>
      </c>
      <c r="E291" s="5">
        <f t="shared" si="18"/>
        <v>1106778.29589</v>
      </c>
      <c r="F291" s="34">
        <f t="shared" si="16"/>
        <v>0.71429936256864202</v>
      </c>
      <c r="G291" t="str">
        <f t="shared" si="17"/>
        <v>A</v>
      </c>
    </row>
    <row r="292" spans="1:7" x14ac:dyDescent="0.35">
      <c r="A292" t="s">
        <v>732</v>
      </c>
      <c r="B292" t="s">
        <v>1123</v>
      </c>
      <c r="C292" s="5">
        <f>SUMIFS(clean_data!$AM:$AM,clean_data!$U:$U,$A292,clean_data!$V:$V,$B292)</f>
        <v>16142.527829999999</v>
      </c>
      <c r="D292" s="5">
        <f>SUMIF(clean_data!$U:$U,$A292,clean_data!$AM:$AM)</f>
        <v>1549460.0077899997</v>
      </c>
      <c r="E292" s="5">
        <f t="shared" si="18"/>
        <v>1122920.82372</v>
      </c>
      <c r="F292" s="34">
        <f t="shared" si="16"/>
        <v>0.7247175261539186</v>
      </c>
      <c r="G292" t="str">
        <f t="shared" si="17"/>
        <v>A</v>
      </c>
    </row>
    <row r="293" spans="1:7" x14ac:dyDescent="0.35">
      <c r="A293" t="s">
        <v>732</v>
      </c>
      <c r="B293" t="s">
        <v>1256</v>
      </c>
      <c r="C293" s="5">
        <f>SUMIFS(clean_data!$AM:$AM,clean_data!$U:$U,$A293,clean_data!$V:$V,$B293)</f>
        <v>16121.273400000002</v>
      </c>
      <c r="D293" s="5">
        <f>SUMIF(clean_data!$U:$U,$A293,clean_data!$AM:$AM)</f>
        <v>1549460.0077899997</v>
      </c>
      <c r="E293" s="5">
        <f t="shared" si="18"/>
        <v>1139042.09712</v>
      </c>
      <c r="F293" s="34">
        <f t="shared" si="16"/>
        <v>0.73512197242484489</v>
      </c>
      <c r="G293" t="str">
        <f t="shared" si="17"/>
        <v>A</v>
      </c>
    </row>
    <row r="294" spans="1:7" x14ac:dyDescent="0.35">
      <c r="A294" t="s">
        <v>732</v>
      </c>
      <c r="B294" t="s">
        <v>1117</v>
      </c>
      <c r="C294" s="5">
        <f>SUMIFS(clean_data!$AM:$AM,clean_data!$U:$U,$A294,clean_data!$V:$V,$B294)</f>
        <v>15257.51748</v>
      </c>
      <c r="D294" s="5">
        <f>SUMIF(clean_data!$U:$U,$A294,clean_data!$AM:$AM)</f>
        <v>1549460.0077899997</v>
      </c>
      <c r="E294" s="5">
        <f t="shared" si="18"/>
        <v>1154299.6146</v>
      </c>
      <c r="F294" s="34">
        <f t="shared" si="16"/>
        <v>0.74496896260419243</v>
      </c>
      <c r="G294" t="str">
        <f t="shared" si="17"/>
        <v>A</v>
      </c>
    </row>
    <row r="295" spans="1:7" x14ac:dyDescent="0.35">
      <c r="A295" t="s">
        <v>732</v>
      </c>
      <c r="B295" t="s">
        <v>742</v>
      </c>
      <c r="C295" s="5">
        <f>SUMIFS(clean_data!$AM:$AM,clean_data!$U:$U,$A295,clean_data!$V:$V,$B295)</f>
        <v>14714.12934</v>
      </c>
      <c r="D295" s="5">
        <f>SUMIF(clean_data!$U:$U,$A295,clean_data!$AM:$AM)</f>
        <v>1549460.0077899997</v>
      </c>
      <c r="E295" s="5">
        <f t="shared" si="18"/>
        <v>1169013.74394</v>
      </c>
      <c r="F295" s="34">
        <f t="shared" si="16"/>
        <v>0.75446525761408223</v>
      </c>
      <c r="G295" t="str">
        <f t="shared" si="17"/>
        <v>A</v>
      </c>
    </row>
    <row r="296" spans="1:7" x14ac:dyDescent="0.35">
      <c r="A296" t="s">
        <v>732</v>
      </c>
      <c r="B296" t="s">
        <v>1306</v>
      </c>
      <c r="C296" s="5">
        <f>SUMIFS(clean_data!$AM:$AM,clean_data!$U:$U,$A296,clean_data!$V:$V,$B296)</f>
        <v>14466.95104</v>
      </c>
      <c r="D296" s="5">
        <f>SUMIF(clean_data!$U:$U,$A296,clean_data!$AM:$AM)</f>
        <v>1549460.0077899997</v>
      </c>
      <c r="E296" s="5">
        <f t="shared" si="18"/>
        <v>1183480.6949799999</v>
      </c>
      <c r="F296" s="34">
        <f t="shared" si="16"/>
        <v>0.76380202717719869</v>
      </c>
      <c r="G296" t="str">
        <f t="shared" si="17"/>
        <v>A</v>
      </c>
    </row>
    <row r="297" spans="1:7" x14ac:dyDescent="0.35">
      <c r="A297" t="s">
        <v>732</v>
      </c>
      <c r="B297" t="s">
        <v>801</v>
      </c>
      <c r="C297" s="5">
        <f>SUMIFS(clean_data!$AM:$AM,clean_data!$U:$U,$A297,clean_data!$V:$V,$B297)</f>
        <v>14287.896349999999</v>
      </c>
      <c r="D297" s="5">
        <f>SUMIF(clean_data!$U:$U,$A297,clean_data!$AM:$AM)</f>
        <v>1549460.0077899997</v>
      </c>
      <c r="E297" s="5">
        <f t="shared" si="18"/>
        <v>1197768.59133</v>
      </c>
      <c r="F297" s="34">
        <f t="shared" si="16"/>
        <v>0.77302323732664879</v>
      </c>
      <c r="G297" t="str">
        <f t="shared" si="17"/>
        <v>A</v>
      </c>
    </row>
    <row r="298" spans="1:7" x14ac:dyDescent="0.35">
      <c r="A298" t="s">
        <v>732</v>
      </c>
      <c r="B298" t="s">
        <v>1161</v>
      </c>
      <c r="C298" s="5">
        <f>SUMIFS(clean_data!$AM:$AM,clean_data!$U:$U,$A298,clean_data!$V:$V,$B298)</f>
        <v>13450.74</v>
      </c>
      <c r="D298" s="5">
        <f>SUMIF(clean_data!$U:$U,$A298,clean_data!$AM:$AM)</f>
        <v>1549460.0077899997</v>
      </c>
      <c r="E298" s="5">
        <f t="shared" si="18"/>
        <v>1211219.33133</v>
      </c>
      <c r="F298" s="34">
        <f t="shared" si="16"/>
        <v>0.78170415837809615</v>
      </c>
      <c r="G298" t="str">
        <f t="shared" si="17"/>
        <v>A</v>
      </c>
    </row>
    <row r="299" spans="1:7" x14ac:dyDescent="0.35">
      <c r="A299" t="s">
        <v>732</v>
      </c>
      <c r="B299" t="s">
        <v>1138</v>
      </c>
      <c r="C299" s="5">
        <f>SUMIFS(clean_data!$AM:$AM,clean_data!$U:$U,$A299,clean_data!$V:$V,$B299)</f>
        <v>13437.300239999999</v>
      </c>
      <c r="D299" s="5">
        <f>SUMIF(clean_data!$U:$U,$A299,clean_data!$AM:$AM)</f>
        <v>1549460.0077899997</v>
      </c>
      <c r="E299" s="5">
        <f t="shared" si="18"/>
        <v>1224656.63157</v>
      </c>
      <c r="F299" s="34">
        <f t="shared" si="16"/>
        <v>0.7903764055948318</v>
      </c>
      <c r="G299" t="str">
        <f t="shared" si="17"/>
        <v>A</v>
      </c>
    </row>
    <row r="300" spans="1:7" x14ac:dyDescent="0.35">
      <c r="A300" t="s">
        <v>732</v>
      </c>
      <c r="B300" t="s">
        <v>1132</v>
      </c>
      <c r="C300" s="5">
        <f>SUMIFS(clean_data!$AM:$AM,clean_data!$U:$U,$A300,clean_data!$V:$V,$B300)</f>
        <v>12972.00222</v>
      </c>
      <c r="D300" s="5">
        <f>SUMIF(clean_data!$U:$U,$A300,clean_data!$AM:$AM)</f>
        <v>1549460.0077899997</v>
      </c>
      <c r="E300" s="5">
        <f t="shared" si="18"/>
        <v>1237628.6337899999</v>
      </c>
      <c r="F300" s="34">
        <f t="shared" si="16"/>
        <v>0.79874835592254745</v>
      </c>
      <c r="G300" t="str">
        <f t="shared" si="17"/>
        <v>A</v>
      </c>
    </row>
    <row r="301" spans="1:7" x14ac:dyDescent="0.35">
      <c r="A301" t="s">
        <v>732</v>
      </c>
      <c r="B301" t="s">
        <v>1166</v>
      </c>
      <c r="C301" s="5">
        <f>SUMIFS(clean_data!$AM:$AM,clean_data!$U:$U,$A301,clean_data!$V:$V,$B301)</f>
        <v>12967.958640000001</v>
      </c>
      <c r="D301" s="5">
        <f>SUMIF(clean_data!$U:$U,$A301,clean_data!$AM:$AM)</f>
        <v>1549460.0077899997</v>
      </c>
      <c r="E301" s="5">
        <f t="shared" si="18"/>
        <v>1250596.59243</v>
      </c>
      <c r="F301" s="34">
        <f t="shared" si="16"/>
        <v>0.80711769657981058</v>
      </c>
      <c r="G301" t="str">
        <f t="shared" si="17"/>
        <v>B</v>
      </c>
    </row>
    <row r="302" spans="1:7" x14ac:dyDescent="0.35">
      <c r="A302" t="s">
        <v>732</v>
      </c>
      <c r="B302" t="s">
        <v>901</v>
      </c>
      <c r="C302" s="5">
        <f>SUMIFS(clean_data!$AM:$AM,clean_data!$U:$U,$A302,clean_data!$V:$V,$B302)</f>
        <v>12413.98458</v>
      </c>
      <c r="D302" s="5">
        <f>SUMIF(clean_data!$U:$U,$A302,clean_data!$AM:$AM)</f>
        <v>1549460.0077899997</v>
      </c>
      <c r="E302" s="5">
        <f t="shared" si="18"/>
        <v>1263010.5770099999</v>
      </c>
      <c r="F302" s="34">
        <f t="shared" si="16"/>
        <v>0.81512951006166101</v>
      </c>
      <c r="G302" t="str">
        <f t="shared" si="17"/>
        <v>B</v>
      </c>
    </row>
    <row r="303" spans="1:7" x14ac:dyDescent="0.35">
      <c r="A303" t="s">
        <v>732</v>
      </c>
      <c r="B303" t="s">
        <v>897</v>
      </c>
      <c r="C303" s="5">
        <f>SUMIFS(clean_data!$AM:$AM,clean_data!$U:$U,$A303,clean_data!$V:$V,$B303)</f>
        <v>12194.714</v>
      </c>
      <c r="D303" s="5">
        <f>SUMIF(clean_data!$U:$U,$A303,clean_data!$AM:$AM)</f>
        <v>1549460.0077899997</v>
      </c>
      <c r="E303" s="5">
        <f t="shared" si="18"/>
        <v>1275205.2910099998</v>
      </c>
      <c r="F303" s="34">
        <f t="shared" si="16"/>
        <v>0.82299980935218175</v>
      </c>
      <c r="G303" t="str">
        <f t="shared" si="17"/>
        <v>B</v>
      </c>
    </row>
    <row r="304" spans="1:7" x14ac:dyDescent="0.35">
      <c r="A304" t="s">
        <v>732</v>
      </c>
      <c r="B304" t="s">
        <v>822</v>
      </c>
      <c r="C304" s="5">
        <f>SUMIFS(clean_data!$AM:$AM,clean_data!$U:$U,$A304,clean_data!$V:$V,$B304)</f>
        <v>11842.8464</v>
      </c>
      <c r="D304" s="5">
        <f>SUMIF(clean_data!$U:$U,$A304,clean_data!$AM:$AM)</f>
        <v>1549460.0077899997</v>
      </c>
      <c r="E304" s="5">
        <f t="shared" si="18"/>
        <v>1287048.1374099997</v>
      </c>
      <c r="F304" s="34">
        <f t="shared" si="16"/>
        <v>0.83064301817361585</v>
      </c>
      <c r="G304" t="str">
        <f t="shared" si="17"/>
        <v>B</v>
      </c>
    </row>
    <row r="305" spans="1:7" x14ac:dyDescent="0.35">
      <c r="A305" t="s">
        <v>732</v>
      </c>
      <c r="B305" t="s">
        <v>983</v>
      </c>
      <c r="C305" s="5">
        <f>SUMIFS(clean_data!$AM:$AM,clean_data!$U:$U,$A305,clean_data!$V:$V,$B305)</f>
        <v>11813.604160000001</v>
      </c>
      <c r="D305" s="5">
        <f>SUMIF(clean_data!$U:$U,$A305,clean_data!$AM:$AM)</f>
        <v>1549460.0077899997</v>
      </c>
      <c r="E305" s="5">
        <f t="shared" si="18"/>
        <v>1298861.7415699998</v>
      </c>
      <c r="F305" s="34">
        <f t="shared" si="16"/>
        <v>0.83826735445890654</v>
      </c>
      <c r="G305" t="str">
        <f t="shared" si="17"/>
        <v>B</v>
      </c>
    </row>
    <row r="306" spans="1:7" x14ac:dyDescent="0.35">
      <c r="A306" t="s">
        <v>732</v>
      </c>
      <c r="B306" t="s">
        <v>1281</v>
      </c>
      <c r="C306" s="5">
        <f>SUMIFS(clean_data!$AM:$AM,clean_data!$U:$U,$A306,clean_data!$V:$V,$B306)</f>
        <v>10937.519999999999</v>
      </c>
      <c r="D306" s="5">
        <f>SUMIF(clean_data!$U:$U,$A306,clean_data!$AM:$AM)</f>
        <v>1549460.0077899997</v>
      </c>
      <c r="E306" s="5">
        <f t="shared" si="18"/>
        <v>1309799.2615699999</v>
      </c>
      <c r="F306" s="34">
        <f t="shared" si="16"/>
        <v>0.8453262781774995</v>
      </c>
      <c r="G306" t="str">
        <f t="shared" si="17"/>
        <v>B</v>
      </c>
    </row>
    <row r="307" spans="1:7" x14ac:dyDescent="0.35">
      <c r="A307" t="s">
        <v>732</v>
      </c>
      <c r="B307" t="s">
        <v>1290</v>
      </c>
      <c r="C307" s="5">
        <f>SUMIFS(clean_data!$AM:$AM,clean_data!$U:$U,$A307,clean_data!$V:$V,$B307)</f>
        <v>10519.776450000001</v>
      </c>
      <c r="D307" s="5">
        <f>SUMIF(clean_data!$U:$U,$A307,clean_data!$AM:$AM)</f>
        <v>1549460.0077899997</v>
      </c>
      <c r="E307" s="5">
        <f t="shared" si="18"/>
        <v>1320319.0380199999</v>
      </c>
      <c r="F307" s="34">
        <f t="shared" si="16"/>
        <v>0.85211559600249098</v>
      </c>
      <c r="G307" t="str">
        <f t="shared" si="17"/>
        <v>B</v>
      </c>
    </row>
    <row r="308" spans="1:7" x14ac:dyDescent="0.35">
      <c r="A308" t="s">
        <v>732</v>
      </c>
      <c r="B308" t="s">
        <v>1152</v>
      </c>
      <c r="C308" s="5">
        <f>SUMIFS(clean_data!$AM:$AM,clean_data!$U:$U,$A308,clean_data!$V:$V,$B308)</f>
        <v>9509.2865999999995</v>
      </c>
      <c r="D308" s="5">
        <f>SUMIF(clean_data!$U:$U,$A308,clean_data!$AM:$AM)</f>
        <v>1549460.0077899997</v>
      </c>
      <c r="E308" s="5">
        <f t="shared" si="18"/>
        <v>1329828.3246199999</v>
      </c>
      <c r="F308" s="34">
        <f t="shared" si="16"/>
        <v>0.85825275769249354</v>
      </c>
      <c r="G308" t="str">
        <f t="shared" si="17"/>
        <v>B</v>
      </c>
    </row>
    <row r="309" spans="1:7" x14ac:dyDescent="0.35">
      <c r="A309" t="s">
        <v>732</v>
      </c>
      <c r="B309" t="s">
        <v>1344</v>
      </c>
      <c r="C309" s="5">
        <f>SUMIFS(clean_data!$AM:$AM,clean_data!$U:$U,$A309,clean_data!$V:$V,$B309)</f>
        <v>9256.14</v>
      </c>
      <c r="D309" s="5">
        <f>SUMIF(clean_data!$U:$U,$A309,clean_data!$AM:$AM)</f>
        <v>1549460.0077899997</v>
      </c>
      <c r="E309" s="5">
        <f t="shared" si="18"/>
        <v>1339084.4646199998</v>
      </c>
      <c r="F309" s="34">
        <f t="shared" si="16"/>
        <v>0.86422654207767557</v>
      </c>
      <c r="G309" t="str">
        <f t="shared" si="17"/>
        <v>B</v>
      </c>
    </row>
    <row r="310" spans="1:7" x14ac:dyDescent="0.35">
      <c r="A310" t="s">
        <v>732</v>
      </c>
      <c r="B310" t="s">
        <v>1243</v>
      </c>
      <c r="C310" s="5">
        <f>SUMIFS(clean_data!$AM:$AM,clean_data!$U:$U,$A310,clean_data!$V:$V,$B310)</f>
        <v>9232.2830599999998</v>
      </c>
      <c r="D310" s="5">
        <f>SUMIF(clean_data!$U:$U,$A310,clean_data!$AM:$AM)</f>
        <v>1549460.0077899997</v>
      </c>
      <c r="E310" s="5">
        <f t="shared" si="18"/>
        <v>1348316.7476799998</v>
      </c>
      <c r="F310" s="34">
        <f t="shared" si="16"/>
        <v>0.87018492952464699</v>
      </c>
      <c r="G310" t="str">
        <f t="shared" si="17"/>
        <v>B</v>
      </c>
    </row>
    <row r="311" spans="1:7" x14ac:dyDescent="0.35">
      <c r="A311" t="s">
        <v>732</v>
      </c>
      <c r="B311" t="s">
        <v>925</v>
      </c>
      <c r="C311" s="5">
        <f>SUMIFS(clean_data!$AM:$AM,clean_data!$U:$U,$A311,clean_data!$V:$V,$B311)</f>
        <v>8763.2849999999999</v>
      </c>
      <c r="D311" s="5">
        <f>SUMIF(clean_data!$U:$U,$A311,clean_data!$AM:$AM)</f>
        <v>1549460.0077899997</v>
      </c>
      <c r="E311" s="5">
        <f t="shared" si="18"/>
        <v>1357080.0326799997</v>
      </c>
      <c r="F311" s="34">
        <f t="shared" si="16"/>
        <v>0.87584063212809715</v>
      </c>
      <c r="G311" t="str">
        <f t="shared" si="17"/>
        <v>B</v>
      </c>
    </row>
    <row r="312" spans="1:7" x14ac:dyDescent="0.35">
      <c r="A312" t="s">
        <v>732</v>
      </c>
      <c r="B312" t="s">
        <v>917</v>
      </c>
      <c r="C312" s="5">
        <f>SUMIFS(clean_data!$AM:$AM,clean_data!$U:$U,$A312,clean_data!$V:$V,$B312)</f>
        <v>8698.8768300000011</v>
      </c>
      <c r="D312" s="5">
        <f>SUMIF(clean_data!$U:$U,$A312,clean_data!$AM:$AM)</f>
        <v>1549460.0077899997</v>
      </c>
      <c r="E312" s="5">
        <f t="shared" si="18"/>
        <v>1365778.9095099997</v>
      </c>
      <c r="F312" s="34">
        <f t="shared" si="16"/>
        <v>0.88145476659188837</v>
      </c>
      <c r="G312" t="str">
        <f t="shared" si="17"/>
        <v>B</v>
      </c>
    </row>
    <row r="313" spans="1:7" x14ac:dyDescent="0.35">
      <c r="A313" t="s">
        <v>732</v>
      </c>
      <c r="B313" t="s">
        <v>802</v>
      </c>
      <c r="C313" s="5">
        <f>SUMIFS(clean_data!$AM:$AM,clean_data!$U:$U,$A313,clean_data!$V:$V,$B313)</f>
        <v>8671.7354400000004</v>
      </c>
      <c r="D313" s="5">
        <f>SUMIF(clean_data!$U:$U,$A313,clean_data!$AM:$AM)</f>
        <v>1549460.0077899997</v>
      </c>
      <c r="E313" s="5">
        <f t="shared" si="18"/>
        <v>1374450.6449499996</v>
      </c>
      <c r="F313" s="34">
        <f t="shared" si="16"/>
        <v>0.88705138437898989</v>
      </c>
      <c r="G313" t="str">
        <f t="shared" si="17"/>
        <v>B</v>
      </c>
    </row>
    <row r="314" spans="1:7" x14ac:dyDescent="0.35">
      <c r="A314" t="s">
        <v>732</v>
      </c>
      <c r="B314" t="s">
        <v>923</v>
      </c>
      <c r="C314" s="5">
        <f>SUMIFS(clean_data!$AM:$AM,clean_data!$U:$U,$A314,clean_data!$V:$V,$B314)</f>
        <v>8590.7094000000016</v>
      </c>
      <c r="D314" s="5">
        <f>SUMIF(clean_data!$U:$U,$A314,clean_data!$AM:$AM)</f>
        <v>1549460.0077899997</v>
      </c>
      <c r="E314" s="5">
        <f t="shared" si="18"/>
        <v>1383041.3543499997</v>
      </c>
      <c r="F314" s="34">
        <f t="shared" si="16"/>
        <v>0.89259570908360286</v>
      </c>
      <c r="G314" t="str">
        <f t="shared" si="17"/>
        <v>B</v>
      </c>
    </row>
    <row r="315" spans="1:7" x14ac:dyDescent="0.35">
      <c r="A315" t="s">
        <v>732</v>
      </c>
      <c r="B315" t="s">
        <v>1295</v>
      </c>
      <c r="C315" s="5">
        <f>SUMIFS(clean_data!$AM:$AM,clean_data!$U:$U,$A315,clean_data!$V:$V,$B315)</f>
        <v>8520.2954399999999</v>
      </c>
      <c r="D315" s="5">
        <f>SUMIF(clean_data!$U:$U,$A315,clean_data!$AM:$AM)</f>
        <v>1549460.0077899997</v>
      </c>
      <c r="E315" s="5">
        <f t="shared" si="18"/>
        <v>1391561.6497899997</v>
      </c>
      <c r="F315" s="34">
        <f t="shared" si="16"/>
        <v>0.89809458959498345</v>
      </c>
      <c r="G315" t="str">
        <f t="shared" si="17"/>
        <v>B</v>
      </c>
    </row>
    <row r="316" spans="1:7" x14ac:dyDescent="0.35">
      <c r="A316" t="s">
        <v>732</v>
      </c>
      <c r="B316" t="s">
        <v>1206</v>
      </c>
      <c r="C316" s="5">
        <f>SUMIFS(clean_data!$AM:$AM,clean_data!$U:$U,$A316,clean_data!$V:$V,$B316)</f>
        <v>8330.2513199999994</v>
      </c>
      <c r="D316" s="5">
        <f>SUMIF(clean_data!$U:$U,$A316,clean_data!$AM:$AM)</f>
        <v>1549460.0077899997</v>
      </c>
      <c r="E316" s="5">
        <f t="shared" si="18"/>
        <v>1399891.9011099997</v>
      </c>
      <c r="F316" s="34">
        <f t="shared" si="16"/>
        <v>0.90347081826698483</v>
      </c>
      <c r="G316" t="str">
        <f t="shared" si="17"/>
        <v>B</v>
      </c>
    </row>
    <row r="317" spans="1:7" x14ac:dyDescent="0.35">
      <c r="A317" t="s">
        <v>732</v>
      </c>
      <c r="B317" t="s">
        <v>1190</v>
      </c>
      <c r="C317" s="5">
        <f>SUMIFS(clean_data!$AM:$AM,clean_data!$U:$U,$A317,clean_data!$V:$V,$B317)</f>
        <v>7854.6931199999999</v>
      </c>
      <c r="D317" s="5">
        <f>SUMIF(clean_data!$U:$U,$A317,clean_data!$AM:$AM)</f>
        <v>1549460.0077899997</v>
      </c>
      <c r="E317" s="5">
        <f t="shared" si="18"/>
        <v>1407746.5942299997</v>
      </c>
      <c r="F317" s="34">
        <f t="shared" si="16"/>
        <v>0.90854012827208985</v>
      </c>
      <c r="G317" t="str">
        <f t="shared" si="17"/>
        <v>B</v>
      </c>
    </row>
    <row r="318" spans="1:7" x14ac:dyDescent="0.35">
      <c r="A318" t="s">
        <v>732</v>
      </c>
      <c r="B318" t="s">
        <v>950</v>
      </c>
      <c r="C318" s="5">
        <f>SUMIFS(clean_data!$AM:$AM,clean_data!$U:$U,$A318,clean_data!$V:$V,$B318)</f>
        <v>7738.9596900000006</v>
      </c>
      <c r="D318" s="5">
        <f>SUMIF(clean_data!$U:$U,$A318,clean_data!$AM:$AM)</f>
        <v>1549460.0077899997</v>
      </c>
      <c r="E318" s="5">
        <f t="shared" si="18"/>
        <v>1415485.5539199996</v>
      </c>
      <c r="F318" s="34">
        <f t="shared" si="16"/>
        <v>0.91353474552654745</v>
      </c>
      <c r="G318" t="str">
        <f t="shared" si="17"/>
        <v>B</v>
      </c>
    </row>
    <row r="319" spans="1:7" x14ac:dyDescent="0.35">
      <c r="A319" t="s">
        <v>732</v>
      </c>
      <c r="B319" t="s">
        <v>864</v>
      </c>
      <c r="C319" s="5">
        <f>SUMIFS(clean_data!$AM:$AM,clean_data!$U:$U,$A319,clean_data!$V:$V,$B319)</f>
        <v>7703.8640800000003</v>
      </c>
      <c r="D319" s="5">
        <f>SUMIF(clean_data!$U:$U,$A319,clean_data!$AM:$AM)</f>
        <v>1549460.0077899997</v>
      </c>
      <c r="E319" s="5">
        <f t="shared" si="18"/>
        <v>1423189.4179999996</v>
      </c>
      <c r="F319" s="34">
        <f t="shared" si="16"/>
        <v>0.91850671256104233</v>
      </c>
      <c r="G319" t="str">
        <f t="shared" si="17"/>
        <v>B</v>
      </c>
    </row>
    <row r="320" spans="1:7" x14ac:dyDescent="0.35">
      <c r="A320" t="s">
        <v>732</v>
      </c>
      <c r="B320" t="s">
        <v>1097</v>
      </c>
      <c r="C320" s="5">
        <f>SUMIFS(clean_data!$AM:$AM,clean_data!$U:$U,$A320,clean_data!$V:$V,$B320)</f>
        <v>7327.9533600000004</v>
      </c>
      <c r="D320" s="5">
        <f>SUMIF(clean_data!$U:$U,$A320,clean_data!$AM:$AM)</f>
        <v>1549460.0077899997</v>
      </c>
      <c r="E320" s="5">
        <f t="shared" si="18"/>
        <v>1430517.3713599995</v>
      </c>
      <c r="F320" s="34">
        <f t="shared" si="16"/>
        <v>0.92323607203024971</v>
      </c>
      <c r="G320" t="str">
        <f t="shared" si="17"/>
        <v>B</v>
      </c>
    </row>
    <row r="321" spans="1:7" x14ac:dyDescent="0.35">
      <c r="A321" t="s">
        <v>732</v>
      </c>
      <c r="B321" t="s">
        <v>1005</v>
      </c>
      <c r="C321" s="5">
        <f>SUMIFS(clean_data!$AM:$AM,clean_data!$U:$U,$A321,clean_data!$V:$V,$B321)</f>
        <v>7120.6486400000003</v>
      </c>
      <c r="D321" s="5">
        <f>SUMIF(clean_data!$U:$U,$A321,clean_data!$AM:$AM)</f>
        <v>1549460.0077899997</v>
      </c>
      <c r="E321" s="5">
        <f t="shared" si="18"/>
        <v>1437638.0199999996</v>
      </c>
      <c r="F321" s="34">
        <f t="shared" si="16"/>
        <v>0.92783163990822048</v>
      </c>
      <c r="G321" t="str">
        <f t="shared" si="17"/>
        <v>B</v>
      </c>
    </row>
    <row r="322" spans="1:7" x14ac:dyDescent="0.35">
      <c r="A322" t="s">
        <v>732</v>
      </c>
      <c r="B322" t="s">
        <v>912</v>
      </c>
      <c r="C322" s="5">
        <f>SUMIFS(clean_data!$AM:$AM,clean_data!$U:$U,$A322,clean_data!$V:$V,$B322)</f>
        <v>7098.5495999999994</v>
      </c>
      <c r="D322" s="5">
        <f>SUMIF(clean_data!$U:$U,$A322,clean_data!$AM:$AM)</f>
        <v>1549460.0077899997</v>
      </c>
      <c r="E322" s="5">
        <f t="shared" si="18"/>
        <v>1444736.5695999996</v>
      </c>
      <c r="F322" s="34">
        <f t="shared" ref="F322:F385" si="19">E322/D322</f>
        <v>0.93241294537226072</v>
      </c>
      <c r="G322" t="str">
        <f t="shared" ref="G322:G385" si="20">IF(F322&lt;=0.8,"A",IF(F322&lt;=0.95,"B","C"))</f>
        <v>B</v>
      </c>
    </row>
    <row r="323" spans="1:7" x14ac:dyDescent="0.35">
      <c r="A323" t="s">
        <v>732</v>
      </c>
      <c r="B323" t="s">
        <v>902</v>
      </c>
      <c r="C323" s="5">
        <f>SUMIFS(clean_data!$AM:$AM,clean_data!$U:$U,$A323,clean_data!$V:$V,$B323)</f>
        <v>6824.2884000000004</v>
      </c>
      <c r="D323" s="5">
        <f>SUMIF(clean_data!$U:$U,$A323,clean_data!$AM:$AM)</f>
        <v>1549460.0077899997</v>
      </c>
      <c r="E323" s="5">
        <f t="shared" ref="E323:E386" si="21">IF(A323=A322,E322+C323,C323)</f>
        <v>1451560.8579999995</v>
      </c>
      <c r="F323" s="34">
        <f t="shared" si="19"/>
        <v>0.93681724646147269</v>
      </c>
      <c r="G323" t="str">
        <f t="shared" si="20"/>
        <v>B</v>
      </c>
    </row>
    <row r="324" spans="1:7" x14ac:dyDescent="0.35">
      <c r="A324" t="s">
        <v>732</v>
      </c>
      <c r="B324" t="s">
        <v>988</v>
      </c>
      <c r="C324" s="5">
        <f>SUMIFS(clean_data!$AM:$AM,clean_data!$U:$U,$A324,clean_data!$V:$V,$B324)</f>
        <v>6468.2751599999992</v>
      </c>
      <c r="D324" s="5">
        <f>SUMIF(clean_data!$U:$U,$A324,clean_data!$AM:$AM)</f>
        <v>1549460.0077899997</v>
      </c>
      <c r="E324" s="5">
        <f t="shared" si="21"/>
        <v>1458029.1331599995</v>
      </c>
      <c r="F324" s="34">
        <f t="shared" si="19"/>
        <v>0.94099178154303675</v>
      </c>
      <c r="G324" t="str">
        <f t="shared" si="20"/>
        <v>B</v>
      </c>
    </row>
    <row r="325" spans="1:7" x14ac:dyDescent="0.35">
      <c r="A325" t="s">
        <v>732</v>
      </c>
      <c r="B325" t="s">
        <v>1062</v>
      </c>
      <c r="C325" s="5">
        <f>SUMIFS(clean_data!$AM:$AM,clean_data!$U:$U,$A325,clean_data!$V:$V,$B325)</f>
        <v>6229.7423999999992</v>
      </c>
      <c r="D325" s="5">
        <f>SUMIF(clean_data!$U:$U,$A325,clean_data!$AM:$AM)</f>
        <v>1549460.0077899997</v>
      </c>
      <c r="E325" s="5">
        <f t="shared" si="21"/>
        <v>1464258.8755599996</v>
      </c>
      <c r="F325" s="34">
        <f t="shared" si="19"/>
        <v>0.94501237088944112</v>
      </c>
      <c r="G325" t="str">
        <f t="shared" si="20"/>
        <v>B</v>
      </c>
    </row>
    <row r="326" spans="1:7" x14ac:dyDescent="0.35">
      <c r="A326" t="s">
        <v>732</v>
      </c>
      <c r="B326" t="s">
        <v>1331</v>
      </c>
      <c r="C326" s="5">
        <f>SUMIFS(clean_data!$AM:$AM,clean_data!$U:$U,$A326,clean_data!$V:$V,$B326)</f>
        <v>5962.1422499999999</v>
      </c>
      <c r="D326" s="5">
        <f>SUMIF(clean_data!$U:$U,$A326,clean_data!$AM:$AM)</f>
        <v>1549460.0077899997</v>
      </c>
      <c r="E326" s="5">
        <f t="shared" si="21"/>
        <v>1470221.0178099996</v>
      </c>
      <c r="F326" s="34">
        <f t="shared" si="19"/>
        <v>0.94886025481030711</v>
      </c>
      <c r="G326" t="str">
        <f t="shared" si="20"/>
        <v>B</v>
      </c>
    </row>
    <row r="327" spans="1:7" x14ac:dyDescent="0.35">
      <c r="A327" t="s">
        <v>732</v>
      </c>
      <c r="B327" t="s">
        <v>852</v>
      </c>
      <c r="C327" s="5">
        <f>SUMIFS(clean_data!$AM:$AM,clean_data!$U:$U,$A327,clean_data!$V:$V,$B327)</f>
        <v>5769.2758000000003</v>
      </c>
      <c r="D327" s="5">
        <f>SUMIF(clean_data!$U:$U,$A327,clean_data!$AM:$AM)</f>
        <v>1549460.0077899997</v>
      </c>
      <c r="E327" s="5">
        <f t="shared" si="21"/>
        <v>1475990.2936099996</v>
      </c>
      <c r="F327" s="34">
        <f t="shared" si="19"/>
        <v>0.95258366539915396</v>
      </c>
      <c r="G327" t="str">
        <f t="shared" si="20"/>
        <v>C</v>
      </c>
    </row>
    <row r="328" spans="1:7" x14ac:dyDescent="0.35">
      <c r="A328" t="s">
        <v>732</v>
      </c>
      <c r="B328" t="s">
        <v>1325</v>
      </c>
      <c r="C328" s="5">
        <f>SUMIFS(clean_data!$AM:$AM,clean_data!$U:$U,$A328,clean_data!$V:$V,$B328)</f>
        <v>5725.6496000000006</v>
      </c>
      <c r="D328" s="5">
        <f>SUMIF(clean_data!$U:$U,$A328,clean_data!$AM:$AM)</f>
        <v>1549460.0077899997</v>
      </c>
      <c r="E328" s="5">
        <f t="shared" si="21"/>
        <v>1481715.9432099995</v>
      </c>
      <c r="F328" s="34">
        <f t="shared" si="19"/>
        <v>0.95627892024356032</v>
      </c>
      <c r="G328" t="str">
        <f t="shared" si="20"/>
        <v>C</v>
      </c>
    </row>
    <row r="329" spans="1:7" x14ac:dyDescent="0.35">
      <c r="A329" t="s">
        <v>732</v>
      </c>
      <c r="B329" t="s">
        <v>1180</v>
      </c>
      <c r="C329" s="5">
        <f>SUMIFS(clean_data!$AM:$AM,clean_data!$U:$U,$A329,clean_data!$V:$V,$B329)</f>
        <v>5565.3272500000003</v>
      </c>
      <c r="D329" s="5">
        <f>SUMIF(clean_data!$U:$U,$A329,clean_data!$AM:$AM)</f>
        <v>1549460.0077899997</v>
      </c>
      <c r="E329" s="5">
        <f t="shared" si="21"/>
        <v>1487281.2704599996</v>
      </c>
      <c r="F329" s="34">
        <f t="shared" si="19"/>
        <v>0.95987070526674267</v>
      </c>
      <c r="G329" t="str">
        <f t="shared" si="20"/>
        <v>C</v>
      </c>
    </row>
    <row r="330" spans="1:7" x14ac:dyDescent="0.35">
      <c r="A330" t="s">
        <v>732</v>
      </c>
      <c r="B330" t="s">
        <v>967</v>
      </c>
      <c r="C330" s="5">
        <f>SUMIFS(clean_data!$AM:$AM,clean_data!$U:$U,$A330,clean_data!$V:$V,$B330)</f>
        <v>5280.8577599999999</v>
      </c>
      <c r="D330" s="5">
        <f>SUMIF(clean_data!$U:$U,$A330,clean_data!$AM:$AM)</f>
        <v>1549460.0077899997</v>
      </c>
      <c r="E330" s="5">
        <f t="shared" si="21"/>
        <v>1492562.1282199996</v>
      </c>
      <c r="F330" s="34">
        <f t="shared" si="19"/>
        <v>0.96327889762630681</v>
      </c>
      <c r="G330" t="str">
        <f t="shared" si="20"/>
        <v>C</v>
      </c>
    </row>
    <row r="331" spans="1:7" x14ac:dyDescent="0.35">
      <c r="A331" t="s">
        <v>732</v>
      </c>
      <c r="B331" t="s">
        <v>1359</v>
      </c>
      <c r="C331" s="5">
        <f>SUMIFS(clean_data!$AM:$AM,clean_data!$U:$U,$A331,clean_data!$V:$V,$B331)</f>
        <v>5096.4790800000001</v>
      </c>
      <c r="D331" s="5">
        <f>SUMIF(clean_data!$U:$U,$A331,clean_data!$AM:$AM)</f>
        <v>1549460.0077899997</v>
      </c>
      <c r="E331" s="5">
        <f t="shared" si="21"/>
        <v>1497658.6072999996</v>
      </c>
      <c r="F331" s="34">
        <f t="shared" si="19"/>
        <v>0.96656809454289516</v>
      </c>
      <c r="G331" t="str">
        <f t="shared" si="20"/>
        <v>C</v>
      </c>
    </row>
    <row r="332" spans="1:7" x14ac:dyDescent="0.35">
      <c r="A332" t="s">
        <v>732</v>
      </c>
      <c r="B332" t="s">
        <v>1048</v>
      </c>
      <c r="C332" s="5">
        <f>SUMIFS(clean_data!$AM:$AM,clean_data!$U:$U,$A332,clean_data!$V:$V,$B332)</f>
        <v>5032.4433599999993</v>
      </c>
      <c r="D332" s="5">
        <f>SUMIF(clean_data!$U:$U,$A332,clean_data!$AM:$AM)</f>
        <v>1549460.0077899997</v>
      </c>
      <c r="E332" s="5">
        <f t="shared" si="21"/>
        <v>1502691.0506599995</v>
      </c>
      <c r="F332" s="34">
        <f t="shared" si="19"/>
        <v>0.96981596369388912</v>
      </c>
      <c r="G332" t="str">
        <f t="shared" si="20"/>
        <v>C</v>
      </c>
    </row>
    <row r="333" spans="1:7" x14ac:dyDescent="0.35">
      <c r="A333" t="s">
        <v>732</v>
      </c>
      <c r="B333" t="s">
        <v>813</v>
      </c>
      <c r="C333" s="5">
        <f>SUMIFS(clean_data!$AM:$AM,clean_data!$U:$U,$A333,clean_data!$V:$V,$B333)</f>
        <v>4877.1379800000004</v>
      </c>
      <c r="D333" s="5">
        <f>SUMIF(clean_data!$U:$U,$A333,clean_data!$AM:$AM)</f>
        <v>1549460.0077899997</v>
      </c>
      <c r="E333" s="5">
        <f t="shared" si="21"/>
        <v>1507568.1886399996</v>
      </c>
      <c r="F333" s="34">
        <f t="shared" si="19"/>
        <v>0.97296360090651801</v>
      </c>
      <c r="G333" t="str">
        <f t="shared" si="20"/>
        <v>C</v>
      </c>
    </row>
    <row r="334" spans="1:7" x14ac:dyDescent="0.35">
      <c r="A334" t="s">
        <v>732</v>
      </c>
      <c r="B334" t="s">
        <v>920</v>
      </c>
      <c r="C334" s="5">
        <f>SUMIFS(clean_data!$AM:$AM,clean_data!$U:$U,$A334,clean_data!$V:$V,$B334)</f>
        <v>4831.9464600000001</v>
      </c>
      <c r="D334" s="5">
        <f>SUMIF(clean_data!$U:$U,$A334,clean_data!$AM:$AM)</f>
        <v>1549460.0077899997</v>
      </c>
      <c r="E334" s="5">
        <f t="shared" si="21"/>
        <v>1512400.1350999996</v>
      </c>
      <c r="F334" s="34">
        <f t="shared" si="19"/>
        <v>0.97608207213888742</v>
      </c>
      <c r="G334" t="str">
        <f t="shared" si="20"/>
        <v>C</v>
      </c>
    </row>
    <row r="335" spans="1:7" x14ac:dyDescent="0.35">
      <c r="A335" t="s">
        <v>732</v>
      </c>
      <c r="B335" t="s">
        <v>1278</v>
      </c>
      <c r="C335" s="5">
        <f>SUMIFS(clean_data!$AM:$AM,clean_data!$U:$U,$A335,clean_data!$V:$V,$B335)</f>
        <v>4826.5396199999996</v>
      </c>
      <c r="D335" s="5">
        <f>SUMIF(clean_data!$U:$U,$A335,clean_data!$AM:$AM)</f>
        <v>1549460.0077899997</v>
      </c>
      <c r="E335" s="5">
        <f t="shared" si="21"/>
        <v>1517226.6747199995</v>
      </c>
      <c r="F335" s="34">
        <f t="shared" si="19"/>
        <v>0.97919705387170675</v>
      </c>
      <c r="G335" t="str">
        <f t="shared" si="20"/>
        <v>C</v>
      </c>
    </row>
    <row r="336" spans="1:7" x14ac:dyDescent="0.35">
      <c r="A336" t="s">
        <v>732</v>
      </c>
      <c r="B336" t="s">
        <v>1228</v>
      </c>
      <c r="C336" s="5">
        <f>SUMIFS(clean_data!$AM:$AM,clean_data!$U:$U,$A336,clean_data!$V:$V,$B336)</f>
        <v>4682.9519799999998</v>
      </c>
      <c r="D336" s="5">
        <f>SUMIF(clean_data!$U:$U,$A336,clean_data!$AM:$AM)</f>
        <v>1549460.0077899997</v>
      </c>
      <c r="E336" s="5">
        <f t="shared" si="21"/>
        <v>1521909.6266999994</v>
      </c>
      <c r="F336" s="34">
        <f t="shared" si="19"/>
        <v>0.98221936613304694</v>
      </c>
      <c r="G336" t="str">
        <f t="shared" si="20"/>
        <v>C</v>
      </c>
    </row>
    <row r="337" spans="1:7" x14ac:dyDescent="0.35">
      <c r="A337" t="s">
        <v>732</v>
      </c>
      <c r="B337" t="s">
        <v>992</v>
      </c>
      <c r="C337" s="5">
        <f>SUMIFS(clean_data!$AM:$AM,clean_data!$U:$U,$A337,clean_data!$V:$V,$B337)</f>
        <v>4375.3620000000001</v>
      </c>
      <c r="D337" s="5">
        <f>SUMIF(clean_data!$U:$U,$A337,clean_data!$AM:$AM)</f>
        <v>1549460.0077899997</v>
      </c>
      <c r="E337" s="5">
        <f t="shared" si="21"/>
        <v>1526284.9886999994</v>
      </c>
      <c r="F337" s="34">
        <f t="shared" si="19"/>
        <v>0.98504316408717452</v>
      </c>
      <c r="G337" t="str">
        <f t="shared" si="20"/>
        <v>C</v>
      </c>
    </row>
    <row r="338" spans="1:7" x14ac:dyDescent="0.35">
      <c r="A338" t="s">
        <v>732</v>
      </c>
      <c r="B338" t="s">
        <v>1031</v>
      </c>
      <c r="C338" s="5">
        <f>SUMIFS(clean_data!$AM:$AM,clean_data!$U:$U,$A338,clean_data!$V:$V,$B338)</f>
        <v>3190.8713200000002</v>
      </c>
      <c r="D338" s="5">
        <f>SUMIF(clean_data!$U:$U,$A338,clean_data!$AM:$AM)</f>
        <v>1549460.0077899997</v>
      </c>
      <c r="E338" s="5">
        <f t="shared" si="21"/>
        <v>1529475.8600199993</v>
      </c>
      <c r="F338" s="34">
        <f t="shared" si="19"/>
        <v>0.98710250818380019</v>
      </c>
      <c r="G338" t="str">
        <f t="shared" si="20"/>
        <v>C</v>
      </c>
    </row>
    <row r="339" spans="1:7" x14ac:dyDescent="0.35">
      <c r="A339" t="s">
        <v>732</v>
      </c>
      <c r="B339" t="s">
        <v>1052</v>
      </c>
      <c r="C339" s="5">
        <f>SUMIFS(clean_data!$AM:$AM,clean_data!$U:$U,$A339,clean_data!$V:$V,$B339)</f>
        <v>2915.4540999999999</v>
      </c>
      <c r="D339" s="5">
        <f>SUMIF(clean_data!$U:$U,$A339,clean_data!$AM:$AM)</f>
        <v>1549460.0077899997</v>
      </c>
      <c r="E339" s="5">
        <f t="shared" si="21"/>
        <v>1532391.3141199993</v>
      </c>
      <c r="F339" s="34">
        <f t="shared" si="19"/>
        <v>0.98898410182632235</v>
      </c>
      <c r="G339" t="str">
        <f t="shared" si="20"/>
        <v>C</v>
      </c>
    </row>
    <row r="340" spans="1:7" x14ac:dyDescent="0.35">
      <c r="A340" t="s">
        <v>732</v>
      </c>
      <c r="B340" t="s">
        <v>740</v>
      </c>
      <c r="C340" s="5">
        <f>SUMIFS(clean_data!$AM:$AM,clean_data!$U:$U,$A340,clean_data!$V:$V,$B340)</f>
        <v>2886.4496399999998</v>
      </c>
      <c r="D340" s="5">
        <f>SUMIF(clean_data!$U:$U,$A340,clean_data!$AM:$AM)</f>
        <v>1549460.0077899997</v>
      </c>
      <c r="E340" s="5">
        <f t="shared" si="21"/>
        <v>1535277.7637599993</v>
      </c>
      <c r="F340" s="34">
        <f t="shared" si="19"/>
        <v>0.99084697639261521</v>
      </c>
      <c r="G340" t="str">
        <f t="shared" si="20"/>
        <v>C</v>
      </c>
    </row>
    <row r="341" spans="1:7" x14ac:dyDescent="0.35">
      <c r="A341" t="s">
        <v>732</v>
      </c>
      <c r="B341" t="s">
        <v>1165</v>
      </c>
      <c r="C341" s="5">
        <f>SUMIFS(clean_data!$AM:$AM,clean_data!$U:$U,$A341,clean_data!$V:$V,$B341)</f>
        <v>2627.6239999999998</v>
      </c>
      <c r="D341" s="5">
        <f>SUMIF(clean_data!$U:$U,$A341,clean_data!$AM:$AM)</f>
        <v>1549460.0077899997</v>
      </c>
      <c r="E341" s="5">
        <f t="shared" si="21"/>
        <v>1537905.3877599994</v>
      </c>
      <c r="F341" s="34">
        <f t="shared" si="19"/>
        <v>0.99254280848043264</v>
      </c>
      <c r="G341" t="str">
        <f t="shared" si="20"/>
        <v>C</v>
      </c>
    </row>
    <row r="342" spans="1:7" x14ac:dyDescent="0.35">
      <c r="A342" t="s">
        <v>732</v>
      </c>
      <c r="B342" t="s">
        <v>951</v>
      </c>
      <c r="C342" s="5">
        <f>SUMIFS(clean_data!$AM:$AM,clean_data!$U:$U,$A342,clean_data!$V:$V,$B342)</f>
        <v>2231.6467200000002</v>
      </c>
      <c r="D342" s="5">
        <f>SUMIF(clean_data!$U:$U,$A342,clean_data!$AM:$AM)</f>
        <v>1549460.0077899997</v>
      </c>
      <c r="E342" s="5">
        <f t="shared" si="21"/>
        <v>1540137.0344799994</v>
      </c>
      <c r="F342" s="34">
        <f t="shared" si="19"/>
        <v>0.99398308232343624</v>
      </c>
      <c r="G342" t="str">
        <f t="shared" si="20"/>
        <v>C</v>
      </c>
    </row>
    <row r="343" spans="1:7" x14ac:dyDescent="0.35">
      <c r="A343" t="s">
        <v>732</v>
      </c>
      <c r="B343" t="s">
        <v>1283</v>
      </c>
      <c r="C343" s="5">
        <f>SUMIFS(clean_data!$AM:$AM,clean_data!$U:$U,$A343,clean_data!$V:$V,$B343)</f>
        <v>1846.8040799999999</v>
      </c>
      <c r="D343" s="5">
        <f>SUMIF(clean_data!$U:$U,$A343,clean_data!$AM:$AM)</f>
        <v>1549460.0077899997</v>
      </c>
      <c r="E343" s="5">
        <f t="shared" si="21"/>
        <v>1541983.8385599994</v>
      </c>
      <c r="F343" s="34">
        <f t="shared" si="19"/>
        <v>0.99517498406385874</v>
      </c>
      <c r="G343" t="str">
        <f t="shared" si="20"/>
        <v>C</v>
      </c>
    </row>
    <row r="344" spans="1:7" x14ac:dyDescent="0.35">
      <c r="A344" t="s">
        <v>732</v>
      </c>
      <c r="B344" t="s">
        <v>1314</v>
      </c>
      <c r="C344" s="5">
        <f>SUMIFS(clean_data!$AM:$AM,clean_data!$U:$U,$A344,clean_data!$V:$V,$B344)</f>
        <v>1801.4076000000002</v>
      </c>
      <c r="D344" s="5">
        <f>SUMIF(clean_data!$U:$U,$A344,clean_data!$AM:$AM)</f>
        <v>1549460.0077899997</v>
      </c>
      <c r="E344" s="5">
        <f t="shared" si="21"/>
        <v>1543785.2461599994</v>
      </c>
      <c r="F344" s="34">
        <f t="shared" si="19"/>
        <v>0.99633758754568036</v>
      </c>
      <c r="G344" t="str">
        <f t="shared" si="20"/>
        <v>C</v>
      </c>
    </row>
    <row r="345" spans="1:7" x14ac:dyDescent="0.35">
      <c r="A345" t="s">
        <v>732</v>
      </c>
      <c r="B345" t="s">
        <v>945</v>
      </c>
      <c r="C345" s="5">
        <f>SUMIFS(clean_data!$AM:$AM,clean_data!$U:$U,$A345,clean_data!$V:$V,$B345)</f>
        <v>1774.8072</v>
      </c>
      <c r="D345" s="5">
        <f>SUMIF(clean_data!$U:$U,$A345,clean_data!$AM:$AM)</f>
        <v>1549460.0077899997</v>
      </c>
      <c r="E345" s="5">
        <f t="shared" si="21"/>
        <v>1545560.0533599993</v>
      </c>
      <c r="F345" s="34">
        <f t="shared" si="19"/>
        <v>0.99748302349825546</v>
      </c>
      <c r="G345" t="str">
        <f t="shared" si="20"/>
        <v>C</v>
      </c>
    </row>
    <row r="346" spans="1:7" x14ac:dyDescent="0.35">
      <c r="A346" t="s">
        <v>732</v>
      </c>
      <c r="B346" t="s">
        <v>1039</v>
      </c>
      <c r="C346" s="5">
        <f>SUMIFS(clean_data!$AM:$AM,clean_data!$U:$U,$A346,clean_data!$V:$V,$B346)</f>
        <v>1641.7107199999998</v>
      </c>
      <c r="D346" s="5">
        <f>SUMIF(clean_data!$U:$U,$A346,clean_data!$AM:$AM)</f>
        <v>1549460.0077899997</v>
      </c>
      <c r="E346" s="5">
        <f t="shared" si="21"/>
        <v>1547201.7640799994</v>
      </c>
      <c r="F346" s="34">
        <f t="shared" si="19"/>
        <v>0.99854256082851645</v>
      </c>
      <c r="G346" t="str">
        <f t="shared" si="20"/>
        <v>C</v>
      </c>
    </row>
    <row r="347" spans="1:7" x14ac:dyDescent="0.35">
      <c r="A347" t="s">
        <v>732</v>
      </c>
      <c r="B347" t="s">
        <v>823</v>
      </c>
      <c r="C347" s="5">
        <f>SUMIFS(clean_data!$AM:$AM,clean_data!$U:$U,$A347,clean_data!$V:$V,$B347)</f>
        <v>624.43503999999996</v>
      </c>
      <c r="D347" s="5">
        <f>SUMIF(clean_data!$U:$U,$A347,clean_data!$AM:$AM)</f>
        <v>1549460.0077899997</v>
      </c>
      <c r="E347" s="5">
        <f t="shared" si="21"/>
        <v>1547826.1991199993</v>
      </c>
      <c r="F347" s="34">
        <f t="shared" si="19"/>
        <v>0.99894556254321742</v>
      </c>
      <c r="G347" t="str">
        <f t="shared" si="20"/>
        <v>C</v>
      </c>
    </row>
    <row r="348" spans="1:7" x14ac:dyDescent="0.35">
      <c r="A348" t="s">
        <v>732</v>
      </c>
      <c r="B348" t="s">
        <v>981</v>
      </c>
      <c r="C348" s="5">
        <f>SUMIFS(clean_data!$AM:$AM,clean_data!$U:$U,$A348,clean_data!$V:$V,$B348)</f>
        <v>607.30668000000003</v>
      </c>
      <c r="D348" s="5">
        <f>SUMIF(clean_data!$U:$U,$A348,clean_data!$AM:$AM)</f>
        <v>1549460.0077899997</v>
      </c>
      <c r="E348" s="5">
        <f t="shared" si="21"/>
        <v>1548433.5057999992</v>
      </c>
      <c r="F348" s="34">
        <f t="shared" si="19"/>
        <v>0.99933750985192282</v>
      </c>
      <c r="G348" t="str">
        <f t="shared" si="20"/>
        <v>C</v>
      </c>
    </row>
    <row r="349" spans="1:7" x14ac:dyDescent="0.35">
      <c r="A349" t="s">
        <v>732</v>
      </c>
      <c r="B349" t="s">
        <v>785</v>
      </c>
      <c r="C349" s="5">
        <f>SUMIFS(clean_data!$AM:$AM,clean_data!$U:$U,$A349,clean_data!$V:$V,$B349)</f>
        <v>599.53200000000004</v>
      </c>
      <c r="D349" s="5">
        <f>SUMIF(clean_data!$U:$U,$A349,clean_data!$AM:$AM)</f>
        <v>1549460.0077899997</v>
      </c>
      <c r="E349" s="5">
        <f t="shared" si="21"/>
        <v>1549033.0377999991</v>
      </c>
      <c r="F349" s="34">
        <f t="shared" si="19"/>
        <v>0.99972443948998102</v>
      </c>
      <c r="G349" t="str">
        <f t="shared" si="20"/>
        <v>C</v>
      </c>
    </row>
    <row r="350" spans="1:7" x14ac:dyDescent="0.35">
      <c r="A350" t="s">
        <v>732</v>
      </c>
      <c r="B350" t="s">
        <v>1265</v>
      </c>
      <c r="C350" s="5">
        <f>SUMIFS(clean_data!$AM:$AM,clean_data!$U:$U,$A350,clean_data!$V:$V,$B350)</f>
        <v>534.57695999999999</v>
      </c>
      <c r="D350" s="5">
        <f>SUMIF(clean_data!$U:$U,$A350,clean_data!$AM:$AM)</f>
        <v>1549460.0077899997</v>
      </c>
      <c r="E350" s="5">
        <f t="shared" si="21"/>
        <v>1549567.6147599991</v>
      </c>
      <c r="F350" s="34">
        <f t="shared" si="19"/>
        <v>1.0000694480460666</v>
      </c>
      <c r="G350" t="str">
        <f t="shared" si="20"/>
        <v>C</v>
      </c>
    </row>
    <row r="351" spans="1:7" x14ac:dyDescent="0.35">
      <c r="A351" t="s">
        <v>732</v>
      </c>
      <c r="B351" t="s">
        <v>817</v>
      </c>
      <c r="C351" s="5">
        <f>SUMIFS(clean_data!$AM:$AM,clean_data!$U:$U,$A351,clean_data!$V:$V,$B351)</f>
        <v>524.81174999999996</v>
      </c>
      <c r="D351" s="5">
        <f>SUMIF(clean_data!$U:$U,$A351,clean_data!$AM:$AM)</f>
        <v>1549460.0077899997</v>
      </c>
      <c r="E351" s="5">
        <f t="shared" si="21"/>
        <v>1550092.4265099992</v>
      </c>
      <c r="F351" s="34">
        <f t="shared" si="19"/>
        <v>1.0004081542710492</v>
      </c>
      <c r="G351" t="str">
        <f t="shared" si="20"/>
        <v>C</v>
      </c>
    </row>
    <row r="352" spans="1:7" x14ac:dyDescent="0.35">
      <c r="A352" t="s">
        <v>732</v>
      </c>
      <c r="B352" t="s">
        <v>830</v>
      </c>
      <c r="C352" s="5">
        <f>SUMIFS(clean_data!$AM:$AM,clean_data!$U:$U,$A352,clean_data!$V:$V,$B352)</f>
        <v>147.00756000000001</v>
      </c>
      <c r="D352" s="5">
        <f>SUMIF(clean_data!$U:$U,$A352,clean_data!$AM:$AM)</f>
        <v>1549460.0077899997</v>
      </c>
      <c r="E352" s="5">
        <f t="shared" si="21"/>
        <v>1550239.4340699993</v>
      </c>
      <c r="F352" s="34">
        <f t="shared" si="19"/>
        <v>1.0005030309114666</v>
      </c>
      <c r="G352" t="str">
        <f t="shared" si="20"/>
        <v>C</v>
      </c>
    </row>
    <row r="353" spans="1:7" x14ac:dyDescent="0.35">
      <c r="A353" t="s">
        <v>732</v>
      </c>
      <c r="B353" t="s">
        <v>1032</v>
      </c>
      <c r="C353" s="5">
        <f>SUMIFS(clean_data!$AM:$AM,clean_data!$U:$U,$A353,clean_data!$V:$V,$B353)</f>
        <v>66.920760000000001</v>
      </c>
      <c r="D353" s="5">
        <f>SUMIF(clean_data!$U:$U,$A353,clean_data!$AM:$AM)</f>
        <v>1549460.0077899997</v>
      </c>
      <c r="E353" s="5">
        <f t="shared" si="21"/>
        <v>1550306.3548299992</v>
      </c>
      <c r="F353" s="34">
        <f t="shared" si="19"/>
        <v>1.0005462206418652</v>
      </c>
      <c r="G353" t="str">
        <f t="shared" si="20"/>
        <v>C</v>
      </c>
    </row>
    <row r="354" spans="1:7" x14ac:dyDescent="0.35">
      <c r="A354" t="s">
        <v>732</v>
      </c>
      <c r="B354" t="s">
        <v>1349</v>
      </c>
      <c r="C354" s="5">
        <f>SUMIFS(clean_data!$AM:$AM,clean_data!$U:$U,$A354,clean_data!$V:$V,$B354)</f>
        <v>-846.34703999999988</v>
      </c>
      <c r="D354" s="5">
        <f>SUMIF(clean_data!$U:$U,$A354,clean_data!$AM:$AM)</f>
        <v>1549460.0077899997</v>
      </c>
      <c r="E354" s="5">
        <f t="shared" si="21"/>
        <v>1549460.0077899992</v>
      </c>
      <c r="F354" s="34">
        <f t="shared" si="19"/>
        <v>0.99999999999999967</v>
      </c>
      <c r="G354" t="str">
        <f t="shared" si="20"/>
        <v>C</v>
      </c>
    </row>
    <row r="355" spans="1:7" x14ac:dyDescent="0.35">
      <c r="A355" t="s">
        <v>729</v>
      </c>
      <c r="B355" t="s">
        <v>781</v>
      </c>
      <c r="C355" s="5">
        <f>SUMIFS(clean_data!$AM:$AM,clean_data!$U:$U,$A355,clean_data!$V:$V,$B355)</f>
        <v>109244</v>
      </c>
      <c r="D355" s="5">
        <f>SUMIF(clean_data!$U:$U,$A355,clean_data!$AM:$AM)</f>
        <v>1773719.1704599999</v>
      </c>
      <c r="E355" s="5">
        <f t="shared" si="21"/>
        <v>109244</v>
      </c>
      <c r="F355" s="34">
        <f t="shared" si="19"/>
        <v>6.1590358732870006E-2</v>
      </c>
      <c r="G355" t="str">
        <f t="shared" si="20"/>
        <v>A</v>
      </c>
    </row>
    <row r="356" spans="1:7" x14ac:dyDescent="0.35">
      <c r="A356" t="s">
        <v>729</v>
      </c>
      <c r="B356" t="s">
        <v>1345</v>
      </c>
      <c r="C356" s="5">
        <f>SUMIFS(clean_data!$AM:$AM,clean_data!$U:$U,$A356,clean_data!$V:$V,$B356)</f>
        <v>82141.339799999987</v>
      </c>
      <c r="D356" s="5">
        <f>SUMIF(clean_data!$U:$U,$A356,clean_data!$AM:$AM)</f>
        <v>1773719.1704599999</v>
      </c>
      <c r="E356" s="5">
        <f t="shared" si="21"/>
        <v>191385.33979999999</v>
      </c>
      <c r="F356" s="34">
        <f t="shared" si="19"/>
        <v>0.10790058707566752</v>
      </c>
      <c r="G356" t="str">
        <f t="shared" si="20"/>
        <v>A</v>
      </c>
    </row>
    <row r="357" spans="1:7" x14ac:dyDescent="0.35">
      <c r="A357" t="s">
        <v>729</v>
      </c>
      <c r="B357" t="s">
        <v>1010</v>
      </c>
      <c r="C357" s="5">
        <f>SUMIFS(clean_data!$AM:$AM,clean_data!$U:$U,$A357,clean_data!$V:$V,$B357)</f>
        <v>79548.755999999994</v>
      </c>
      <c r="D357" s="5">
        <f>SUMIF(clean_data!$U:$U,$A357,clean_data!$AM:$AM)</f>
        <v>1773719.1704599999</v>
      </c>
      <c r="E357" s="5">
        <f t="shared" si="21"/>
        <v>270934.09580000001</v>
      </c>
      <c r="F357" s="34">
        <f t="shared" si="19"/>
        <v>0.15274915009783394</v>
      </c>
      <c r="G357" t="str">
        <f t="shared" si="20"/>
        <v>A</v>
      </c>
    </row>
    <row r="358" spans="1:7" x14ac:dyDescent="0.35">
      <c r="A358" t="s">
        <v>729</v>
      </c>
      <c r="B358" t="s">
        <v>957</v>
      </c>
      <c r="C358" s="5">
        <f>SUMIFS(clean_data!$AM:$AM,clean_data!$U:$U,$A358,clean_data!$V:$V,$B358)</f>
        <v>66988.771199999988</v>
      </c>
      <c r="D358" s="5">
        <f>SUMIF(clean_data!$U:$U,$A358,clean_data!$AM:$AM)</f>
        <v>1773719.1704599999</v>
      </c>
      <c r="E358" s="5">
        <f t="shared" si="21"/>
        <v>337922.86699999997</v>
      </c>
      <c r="F358" s="34">
        <f t="shared" si="19"/>
        <v>0.19051655562383213</v>
      </c>
      <c r="G358" t="str">
        <f t="shared" si="20"/>
        <v>A</v>
      </c>
    </row>
    <row r="359" spans="1:7" x14ac:dyDescent="0.35">
      <c r="A359" t="s">
        <v>729</v>
      </c>
      <c r="B359" t="s">
        <v>814</v>
      </c>
      <c r="C359" s="5">
        <f>SUMIFS(clean_data!$AM:$AM,clean_data!$U:$U,$A359,clean_data!$V:$V,$B359)</f>
        <v>60292.805299999993</v>
      </c>
      <c r="D359" s="5">
        <f>SUMIF(clean_data!$U:$U,$A359,clean_data!$AM:$AM)</f>
        <v>1773719.1704599999</v>
      </c>
      <c r="E359" s="5">
        <f t="shared" si="21"/>
        <v>398215.67229999998</v>
      </c>
      <c r="F359" s="34">
        <f t="shared" si="19"/>
        <v>0.2245088619055326</v>
      </c>
      <c r="G359" t="str">
        <f t="shared" si="20"/>
        <v>A</v>
      </c>
    </row>
    <row r="360" spans="1:7" x14ac:dyDescent="0.35">
      <c r="A360" t="s">
        <v>729</v>
      </c>
      <c r="B360" t="s">
        <v>1324</v>
      </c>
      <c r="C360" s="5">
        <f>SUMIFS(clean_data!$AM:$AM,clean_data!$U:$U,$A360,clean_data!$V:$V,$B360)</f>
        <v>51768.181920000003</v>
      </c>
      <c r="D360" s="5">
        <f>SUMIF(clean_data!$U:$U,$A360,clean_data!$AM:$AM)</f>
        <v>1773719.1704599999</v>
      </c>
      <c r="E360" s="5">
        <f t="shared" si="21"/>
        <v>449983.85421999998</v>
      </c>
      <c r="F360" s="34">
        <f t="shared" si="19"/>
        <v>0.25369509543232838</v>
      </c>
      <c r="G360" t="str">
        <f t="shared" si="20"/>
        <v>A</v>
      </c>
    </row>
    <row r="361" spans="1:7" x14ac:dyDescent="0.35">
      <c r="A361" t="s">
        <v>729</v>
      </c>
      <c r="B361" t="s">
        <v>1356</v>
      </c>
      <c r="C361" s="5">
        <f>SUMIFS(clean_data!$AM:$AM,clean_data!$U:$U,$A361,clean_data!$V:$V,$B361)</f>
        <v>50090.397499999999</v>
      </c>
      <c r="D361" s="5">
        <f>SUMIF(clean_data!$U:$U,$A361,clean_data!$AM:$AM)</f>
        <v>1773719.1704599999</v>
      </c>
      <c r="E361" s="5">
        <f t="shared" si="21"/>
        <v>500074.25172</v>
      </c>
      <c r="F361" s="34">
        <f t="shared" si="19"/>
        <v>0.2819354157345606</v>
      </c>
      <c r="G361" t="str">
        <f t="shared" si="20"/>
        <v>A</v>
      </c>
    </row>
    <row r="362" spans="1:7" x14ac:dyDescent="0.35">
      <c r="A362" t="s">
        <v>729</v>
      </c>
      <c r="B362" t="s">
        <v>1091</v>
      </c>
      <c r="C362" s="5">
        <f>SUMIFS(clean_data!$AM:$AM,clean_data!$U:$U,$A362,clean_data!$V:$V,$B362)</f>
        <v>49336.511399999996</v>
      </c>
      <c r="D362" s="5">
        <f>SUMIF(clean_data!$U:$U,$A362,clean_data!$AM:$AM)</f>
        <v>1773719.1704599999</v>
      </c>
      <c r="E362" s="5">
        <f t="shared" si="21"/>
        <v>549410.76312000002</v>
      </c>
      <c r="F362" s="34">
        <f t="shared" si="19"/>
        <v>0.30975070477335753</v>
      </c>
      <c r="G362" t="str">
        <f t="shared" si="20"/>
        <v>A</v>
      </c>
    </row>
    <row r="363" spans="1:7" x14ac:dyDescent="0.35">
      <c r="A363" t="s">
        <v>729</v>
      </c>
      <c r="B363" t="s">
        <v>937</v>
      </c>
      <c r="C363" s="5">
        <f>SUMIFS(clean_data!$AM:$AM,clean_data!$U:$U,$A363,clean_data!$V:$V,$B363)</f>
        <v>47962.717579999997</v>
      </c>
      <c r="D363" s="5">
        <f>SUMIF(clean_data!$U:$U,$A363,clean_data!$AM:$AM)</f>
        <v>1773719.1704599999</v>
      </c>
      <c r="E363" s="5">
        <f t="shared" si="21"/>
        <v>597373.48069999996</v>
      </c>
      <c r="F363" s="34">
        <f t="shared" si="19"/>
        <v>0.3367914665685639</v>
      </c>
      <c r="G363" t="str">
        <f t="shared" si="20"/>
        <v>A</v>
      </c>
    </row>
    <row r="364" spans="1:7" x14ac:dyDescent="0.35">
      <c r="A364" t="s">
        <v>729</v>
      </c>
      <c r="B364" t="s">
        <v>1116</v>
      </c>
      <c r="C364" s="5">
        <f>SUMIFS(clean_data!$AM:$AM,clean_data!$U:$U,$A364,clean_data!$V:$V,$B364)</f>
        <v>47693.373</v>
      </c>
      <c r="D364" s="5">
        <f>SUMIF(clean_data!$U:$U,$A364,clean_data!$AM:$AM)</f>
        <v>1773719.1704599999</v>
      </c>
      <c r="E364" s="5">
        <f t="shared" si="21"/>
        <v>645066.85369999998</v>
      </c>
      <c r="F364" s="34">
        <f t="shared" si="19"/>
        <v>0.36368037536218717</v>
      </c>
      <c r="G364" t="str">
        <f t="shared" si="20"/>
        <v>A</v>
      </c>
    </row>
    <row r="365" spans="1:7" x14ac:dyDescent="0.35">
      <c r="A365" t="s">
        <v>729</v>
      </c>
      <c r="B365" t="s">
        <v>1110</v>
      </c>
      <c r="C365" s="5">
        <f>SUMIFS(clean_data!$AM:$AM,clean_data!$U:$U,$A365,clean_data!$V:$V,$B365)</f>
        <v>43553.493060000001</v>
      </c>
      <c r="D365" s="5">
        <f>SUMIF(clean_data!$U:$U,$A365,clean_data!$AM:$AM)</f>
        <v>1773719.1704599999</v>
      </c>
      <c r="E365" s="5">
        <f t="shared" si="21"/>
        <v>688620.34675999999</v>
      </c>
      <c r="F365" s="34">
        <f t="shared" si="19"/>
        <v>0.38823527322051316</v>
      </c>
      <c r="G365" t="str">
        <f t="shared" si="20"/>
        <v>A</v>
      </c>
    </row>
    <row r="366" spans="1:7" x14ac:dyDescent="0.35">
      <c r="A366" t="s">
        <v>729</v>
      </c>
      <c r="B366" t="s">
        <v>1213</v>
      </c>
      <c r="C366" s="5">
        <f>SUMIFS(clean_data!$AM:$AM,clean_data!$U:$U,$A366,clean_data!$V:$V,$B366)</f>
        <v>40488.792960000006</v>
      </c>
      <c r="D366" s="5">
        <f>SUMIF(clean_data!$U:$U,$A366,clean_data!$AM:$AM)</f>
        <v>1773719.1704599999</v>
      </c>
      <c r="E366" s="5">
        <f t="shared" si="21"/>
        <v>729109.13971999998</v>
      </c>
      <c r="F366" s="34">
        <f t="shared" si="19"/>
        <v>0.41106233267519532</v>
      </c>
      <c r="G366" t="str">
        <f t="shared" si="20"/>
        <v>A</v>
      </c>
    </row>
    <row r="367" spans="1:7" x14ac:dyDescent="0.35">
      <c r="A367" t="s">
        <v>729</v>
      </c>
      <c r="B367" t="s">
        <v>1036</v>
      </c>
      <c r="C367" s="5">
        <f>SUMIFS(clean_data!$AM:$AM,clean_data!$U:$U,$A367,clean_data!$V:$V,$B367)</f>
        <v>39686.4182</v>
      </c>
      <c r="D367" s="5">
        <f>SUMIF(clean_data!$U:$U,$A367,clean_data!$AM:$AM)</f>
        <v>1773719.1704599999</v>
      </c>
      <c r="E367" s="5">
        <f t="shared" si="21"/>
        <v>768795.55791999993</v>
      </c>
      <c r="F367" s="34">
        <f t="shared" si="19"/>
        <v>0.43343702358509151</v>
      </c>
      <c r="G367" t="str">
        <f t="shared" si="20"/>
        <v>A</v>
      </c>
    </row>
    <row r="368" spans="1:7" x14ac:dyDescent="0.35">
      <c r="A368" t="s">
        <v>729</v>
      </c>
      <c r="B368" t="s">
        <v>1056</v>
      </c>
      <c r="C368" s="5">
        <f>SUMIFS(clean_data!$AM:$AM,clean_data!$U:$U,$A368,clean_data!$V:$V,$B368)</f>
        <v>39546.774539999999</v>
      </c>
      <c r="D368" s="5">
        <f>SUMIF(clean_data!$U:$U,$A368,clean_data!$AM:$AM)</f>
        <v>1773719.1704599999</v>
      </c>
      <c r="E368" s="5">
        <f t="shared" si="21"/>
        <v>808342.33245999995</v>
      </c>
      <c r="F368" s="34">
        <f t="shared" si="19"/>
        <v>0.45573298519988525</v>
      </c>
      <c r="G368" t="str">
        <f t="shared" si="20"/>
        <v>A</v>
      </c>
    </row>
    <row r="369" spans="1:7" x14ac:dyDescent="0.35">
      <c r="A369" t="s">
        <v>729</v>
      </c>
      <c r="B369" t="s">
        <v>854</v>
      </c>
      <c r="C369" s="5">
        <f>SUMIFS(clean_data!$AM:$AM,clean_data!$U:$U,$A369,clean_data!$V:$V,$B369)</f>
        <v>39516.804389999998</v>
      </c>
      <c r="D369" s="5">
        <f>SUMIF(clean_data!$U:$U,$A369,clean_data!$AM:$AM)</f>
        <v>1773719.1704599999</v>
      </c>
      <c r="E369" s="5">
        <f t="shared" si="21"/>
        <v>847859.13684999989</v>
      </c>
      <c r="F369" s="34">
        <f t="shared" si="19"/>
        <v>0.47801205003050984</v>
      </c>
      <c r="G369" t="str">
        <f t="shared" si="20"/>
        <v>A</v>
      </c>
    </row>
    <row r="370" spans="1:7" x14ac:dyDescent="0.35">
      <c r="A370" t="s">
        <v>729</v>
      </c>
      <c r="B370" t="s">
        <v>782</v>
      </c>
      <c r="C370" s="5">
        <f>SUMIFS(clean_data!$AM:$AM,clean_data!$U:$U,$A370,clean_data!$V:$V,$B370)</f>
        <v>35621.302319999995</v>
      </c>
      <c r="D370" s="5">
        <f>SUMIF(clean_data!$U:$U,$A370,clean_data!$AM:$AM)</f>
        <v>1773719.1704599999</v>
      </c>
      <c r="E370" s="5">
        <f t="shared" si="21"/>
        <v>883480.43916999991</v>
      </c>
      <c r="F370" s="34">
        <f t="shared" si="19"/>
        <v>0.49809488101821459</v>
      </c>
      <c r="G370" t="str">
        <f t="shared" si="20"/>
        <v>A</v>
      </c>
    </row>
    <row r="371" spans="1:7" x14ac:dyDescent="0.35">
      <c r="A371" t="s">
        <v>729</v>
      </c>
      <c r="B371" t="s">
        <v>1087</v>
      </c>
      <c r="C371" s="5">
        <f>SUMIFS(clean_data!$AM:$AM,clean_data!$U:$U,$A371,clean_data!$V:$V,$B371)</f>
        <v>34816.968000000001</v>
      </c>
      <c r="D371" s="5">
        <f>SUMIF(clean_data!$U:$U,$A371,clean_data!$AM:$AM)</f>
        <v>1773719.1704599999</v>
      </c>
      <c r="E371" s="5">
        <f t="shared" si="21"/>
        <v>918297.4071699999</v>
      </c>
      <c r="F371" s="34">
        <f t="shared" si="19"/>
        <v>0.51772423868646966</v>
      </c>
      <c r="G371" t="str">
        <f t="shared" si="20"/>
        <v>A</v>
      </c>
    </row>
    <row r="372" spans="1:7" x14ac:dyDescent="0.35">
      <c r="A372" t="s">
        <v>729</v>
      </c>
      <c r="B372" t="s">
        <v>1301</v>
      </c>
      <c r="C372" s="5">
        <f>SUMIFS(clean_data!$AM:$AM,clean_data!$U:$U,$A372,clean_data!$V:$V,$B372)</f>
        <v>34307.159999999996</v>
      </c>
      <c r="D372" s="5">
        <f>SUMIF(clean_data!$U:$U,$A372,clean_data!$AM:$AM)</f>
        <v>1773719.1704599999</v>
      </c>
      <c r="E372" s="5">
        <f t="shared" si="21"/>
        <v>952604.56716999994</v>
      </c>
      <c r="F372" s="34">
        <f t="shared" si="19"/>
        <v>0.53706617317720573</v>
      </c>
      <c r="G372" t="str">
        <f t="shared" si="20"/>
        <v>A</v>
      </c>
    </row>
    <row r="373" spans="1:7" x14ac:dyDescent="0.35">
      <c r="A373" t="s">
        <v>729</v>
      </c>
      <c r="B373" t="s">
        <v>1113</v>
      </c>
      <c r="C373" s="5">
        <f>SUMIFS(clean_data!$AM:$AM,clean_data!$U:$U,$A373,clean_data!$V:$V,$B373)</f>
        <v>33200.038079999998</v>
      </c>
      <c r="D373" s="5">
        <f>SUMIF(clean_data!$U:$U,$A373,clean_data!$AM:$AM)</f>
        <v>1773719.1704599999</v>
      </c>
      <c r="E373" s="5">
        <f t="shared" si="21"/>
        <v>985804.60524999991</v>
      </c>
      <c r="F373" s="34">
        <f t="shared" si="19"/>
        <v>0.55578392660340892</v>
      </c>
      <c r="G373" t="str">
        <f t="shared" si="20"/>
        <v>A</v>
      </c>
    </row>
    <row r="374" spans="1:7" x14ac:dyDescent="0.35">
      <c r="A374" t="s">
        <v>729</v>
      </c>
      <c r="B374" t="s">
        <v>1357</v>
      </c>
      <c r="C374" s="5">
        <f>SUMIFS(clean_data!$AM:$AM,clean_data!$U:$U,$A374,clean_data!$V:$V,$B374)</f>
        <v>32704.386400000003</v>
      </c>
      <c r="D374" s="5">
        <f>SUMIF(clean_data!$U:$U,$A374,clean_data!$AM:$AM)</f>
        <v>1773719.1704599999</v>
      </c>
      <c r="E374" s="5">
        <f t="shared" si="21"/>
        <v>1018508.9916499999</v>
      </c>
      <c r="F374" s="34">
        <f t="shared" si="19"/>
        <v>0.57422223800279371</v>
      </c>
      <c r="G374" t="str">
        <f t="shared" si="20"/>
        <v>A</v>
      </c>
    </row>
    <row r="375" spans="1:7" x14ac:dyDescent="0.35">
      <c r="A375" t="s">
        <v>729</v>
      </c>
      <c r="B375" t="s">
        <v>779</v>
      </c>
      <c r="C375" s="5">
        <f>SUMIFS(clean_data!$AM:$AM,clean_data!$U:$U,$A375,clean_data!$V:$V,$B375)</f>
        <v>32506.559399999998</v>
      </c>
      <c r="D375" s="5">
        <f>SUMIF(clean_data!$U:$U,$A375,clean_data!$AM:$AM)</f>
        <v>1773719.1704599999</v>
      </c>
      <c r="E375" s="5">
        <f t="shared" si="21"/>
        <v>1051015.5510499999</v>
      </c>
      <c r="F375" s="34">
        <f t="shared" si="19"/>
        <v>0.59254901709013352</v>
      </c>
      <c r="G375" t="str">
        <f t="shared" si="20"/>
        <v>A</v>
      </c>
    </row>
    <row r="376" spans="1:7" x14ac:dyDescent="0.35">
      <c r="A376" t="s">
        <v>729</v>
      </c>
      <c r="B376" t="s">
        <v>1147</v>
      </c>
      <c r="C376" s="5">
        <f>SUMIFS(clean_data!$AM:$AM,clean_data!$U:$U,$A376,clean_data!$V:$V,$B376)</f>
        <v>31513.423040000001</v>
      </c>
      <c r="D376" s="5">
        <f>SUMIF(clean_data!$U:$U,$A376,clean_data!$AM:$AM)</f>
        <v>1773719.1704599999</v>
      </c>
      <c r="E376" s="5">
        <f t="shared" si="21"/>
        <v>1082528.9740899999</v>
      </c>
      <c r="F376" s="34">
        <f t="shared" si="19"/>
        <v>0.61031587870206905</v>
      </c>
      <c r="G376" t="str">
        <f t="shared" si="20"/>
        <v>A</v>
      </c>
    </row>
    <row r="377" spans="1:7" x14ac:dyDescent="0.35">
      <c r="A377" t="s">
        <v>729</v>
      </c>
      <c r="B377" t="s">
        <v>1229</v>
      </c>
      <c r="C377" s="5">
        <f>SUMIFS(clean_data!$AM:$AM,clean_data!$U:$U,$A377,clean_data!$V:$V,$B377)</f>
        <v>30692.47896</v>
      </c>
      <c r="D377" s="5">
        <f>SUMIF(clean_data!$U:$U,$A377,clean_data!$AM:$AM)</f>
        <v>1773719.1704599999</v>
      </c>
      <c r="E377" s="5">
        <f t="shared" si="21"/>
        <v>1113221.4530499999</v>
      </c>
      <c r="F377" s="34">
        <f t="shared" si="19"/>
        <v>0.62761990262601419</v>
      </c>
      <c r="G377" t="str">
        <f t="shared" si="20"/>
        <v>A</v>
      </c>
    </row>
    <row r="378" spans="1:7" x14ac:dyDescent="0.35">
      <c r="A378" t="s">
        <v>729</v>
      </c>
      <c r="B378" t="s">
        <v>960</v>
      </c>
      <c r="C378" s="5">
        <f>SUMIFS(clean_data!$AM:$AM,clean_data!$U:$U,$A378,clean_data!$V:$V,$B378)</f>
        <v>30479.418970000002</v>
      </c>
      <c r="D378" s="5">
        <f>SUMIF(clean_data!$U:$U,$A378,clean_data!$AM:$AM)</f>
        <v>1773719.1704599999</v>
      </c>
      <c r="E378" s="5">
        <f t="shared" si="21"/>
        <v>1143700.8720199999</v>
      </c>
      <c r="F378" s="34">
        <f t="shared" si="19"/>
        <v>0.64480380607454912</v>
      </c>
      <c r="G378" t="str">
        <f t="shared" si="20"/>
        <v>A</v>
      </c>
    </row>
    <row r="379" spans="1:7" x14ac:dyDescent="0.35">
      <c r="A379" t="s">
        <v>729</v>
      </c>
      <c r="B379" t="s">
        <v>1354</v>
      </c>
      <c r="C379" s="5">
        <f>SUMIFS(clean_data!$AM:$AM,clean_data!$U:$U,$A379,clean_data!$V:$V,$B379)</f>
        <v>30229.994880000002</v>
      </c>
      <c r="D379" s="5">
        <f>SUMIF(clean_data!$U:$U,$A379,clean_data!$AM:$AM)</f>
        <v>1773719.1704599999</v>
      </c>
      <c r="E379" s="5">
        <f t="shared" si="21"/>
        <v>1173930.8668999998</v>
      </c>
      <c r="F379" s="34">
        <f t="shared" si="19"/>
        <v>0.66184708743693066</v>
      </c>
      <c r="G379" t="str">
        <f t="shared" si="20"/>
        <v>A</v>
      </c>
    </row>
    <row r="380" spans="1:7" x14ac:dyDescent="0.35">
      <c r="A380" t="s">
        <v>729</v>
      </c>
      <c r="B380" t="s">
        <v>1282</v>
      </c>
      <c r="C380" s="5">
        <f>SUMIFS(clean_data!$AM:$AM,clean_data!$U:$U,$A380,clean_data!$V:$V,$B380)</f>
        <v>29673.454499999993</v>
      </c>
      <c r="D380" s="5">
        <f>SUMIF(clean_data!$U:$U,$A380,clean_data!$AM:$AM)</f>
        <v>1773719.1704599999</v>
      </c>
      <c r="E380" s="5">
        <f t="shared" si="21"/>
        <v>1203604.3213999998</v>
      </c>
      <c r="F380" s="34">
        <f t="shared" si="19"/>
        <v>0.67857659850846319</v>
      </c>
      <c r="G380" t="str">
        <f t="shared" si="20"/>
        <v>A</v>
      </c>
    </row>
    <row r="381" spans="1:7" x14ac:dyDescent="0.35">
      <c r="A381" t="s">
        <v>729</v>
      </c>
      <c r="B381" t="s">
        <v>878</v>
      </c>
      <c r="C381" s="5">
        <f>SUMIFS(clean_data!$AM:$AM,clean_data!$U:$U,$A381,clean_data!$V:$V,$B381)</f>
        <v>25672.127039999999</v>
      </c>
      <c r="D381" s="5">
        <f>SUMIF(clean_data!$U:$U,$A381,clean_data!$AM:$AM)</f>
        <v>1773719.1704599999</v>
      </c>
      <c r="E381" s="5">
        <f t="shared" si="21"/>
        <v>1229276.4484399997</v>
      </c>
      <c r="F381" s="34">
        <f t="shared" si="19"/>
        <v>0.69305021274658529</v>
      </c>
      <c r="G381" t="str">
        <f t="shared" si="20"/>
        <v>A</v>
      </c>
    </row>
    <row r="382" spans="1:7" x14ac:dyDescent="0.35">
      <c r="A382" t="s">
        <v>729</v>
      </c>
      <c r="B382" t="s">
        <v>1230</v>
      </c>
      <c r="C382" s="5">
        <f>SUMIFS(clean_data!$AM:$AM,clean_data!$U:$U,$A382,clean_data!$V:$V,$B382)</f>
        <v>25249.613219999999</v>
      </c>
      <c r="D382" s="5">
        <f>SUMIF(clean_data!$U:$U,$A382,clean_data!$AM:$AM)</f>
        <v>1773719.1704599999</v>
      </c>
      <c r="E382" s="5">
        <f t="shared" si="21"/>
        <v>1254526.0616599997</v>
      </c>
      <c r="F382" s="34">
        <f t="shared" si="19"/>
        <v>0.70728561914040111</v>
      </c>
      <c r="G382" t="str">
        <f t="shared" si="20"/>
        <v>A</v>
      </c>
    </row>
    <row r="383" spans="1:7" x14ac:dyDescent="0.35">
      <c r="A383" t="s">
        <v>729</v>
      </c>
      <c r="B383" t="s">
        <v>1217</v>
      </c>
      <c r="C383" s="5">
        <f>SUMIFS(clean_data!$AM:$AM,clean_data!$U:$U,$A383,clean_data!$V:$V,$B383)</f>
        <v>21908.731650000002</v>
      </c>
      <c r="D383" s="5">
        <f>SUMIF(clean_data!$U:$U,$A383,clean_data!$AM:$AM)</f>
        <v>1773719.1704599999</v>
      </c>
      <c r="E383" s="5">
        <f t="shared" si="21"/>
        <v>1276434.7933099996</v>
      </c>
      <c r="F383" s="34">
        <f t="shared" si="19"/>
        <v>0.71963747957855495</v>
      </c>
      <c r="G383" t="str">
        <f t="shared" si="20"/>
        <v>A</v>
      </c>
    </row>
    <row r="384" spans="1:7" x14ac:dyDescent="0.35">
      <c r="A384" t="s">
        <v>729</v>
      </c>
      <c r="B384" t="s">
        <v>818</v>
      </c>
      <c r="C384" s="5">
        <f>SUMIFS(clean_data!$AM:$AM,clean_data!$U:$U,$A384,clean_data!$V:$V,$B384)</f>
        <v>21062.61248</v>
      </c>
      <c r="D384" s="5">
        <f>SUMIF(clean_data!$U:$U,$A384,clean_data!$AM:$AM)</f>
        <v>1773719.1704599999</v>
      </c>
      <c r="E384" s="5">
        <f t="shared" si="21"/>
        <v>1297497.4057899995</v>
      </c>
      <c r="F384" s="34">
        <f t="shared" si="19"/>
        <v>0.73151230893755514</v>
      </c>
      <c r="G384" t="str">
        <f t="shared" si="20"/>
        <v>A</v>
      </c>
    </row>
    <row r="385" spans="1:7" x14ac:dyDescent="0.35">
      <c r="A385" t="s">
        <v>729</v>
      </c>
      <c r="B385" t="s">
        <v>763</v>
      </c>
      <c r="C385" s="5">
        <f>SUMIFS(clean_data!$AM:$AM,clean_data!$U:$U,$A385,clean_data!$V:$V,$B385)</f>
        <v>20084.133720000002</v>
      </c>
      <c r="D385" s="5">
        <f>SUMIF(clean_data!$U:$U,$A385,clean_data!$AM:$AM)</f>
        <v>1773719.1704599999</v>
      </c>
      <c r="E385" s="5">
        <f t="shared" si="21"/>
        <v>1317581.5395099996</v>
      </c>
      <c r="F385" s="34">
        <f t="shared" si="19"/>
        <v>0.74283548458705295</v>
      </c>
      <c r="G385" t="str">
        <f t="shared" si="20"/>
        <v>A</v>
      </c>
    </row>
    <row r="386" spans="1:7" x14ac:dyDescent="0.35">
      <c r="A386" t="s">
        <v>729</v>
      </c>
      <c r="B386" t="s">
        <v>1021</v>
      </c>
      <c r="C386" s="5">
        <f>SUMIFS(clean_data!$AM:$AM,clean_data!$U:$U,$A386,clean_data!$V:$V,$B386)</f>
        <v>20028.787380000002</v>
      </c>
      <c r="D386" s="5">
        <f>SUMIF(clean_data!$U:$U,$A386,clean_data!$AM:$AM)</f>
        <v>1773719.1704599999</v>
      </c>
      <c r="E386" s="5">
        <f t="shared" si="21"/>
        <v>1337610.3268899997</v>
      </c>
      <c r="F386" s="34">
        <f t="shared" ref="F386:F449" si="22">E386/D386</f>
        <v>0.75412745668363113</v>
      </c>
      <c r="G386" t="str">
        <f t="shared" ref="G386:G449" si="23">IF(F386&lt;=0.8,"A",IF(F386&lt;=0.95,"B","C"))</f>
        <v>A</v>
      </c>
    </row>
    <row r="387" spans="1:7" x14ac:dyDescent="0.35">
      <c r="A387" t="s">
        <v>729</v>
      </c>
      <c r="B387" t="s">
        <v>755</v>
      </c>
      <c r="C387" s="5">
        <f>SUMIFS(clean_data!$AM:$AM,clean_data!$U:$U,$A387,clean_data!$V:$V,$B387)</f>
        <v>19903.585040000002</v>
      </c>
      <c r="D387" s="5">
        <f>SUMIF(clean_data!$U:$U,$A387,clean_data!$AM:$AM)</f>
        <v>1773719.1704599999</v>
      </c>
      <c r="E387" s="5">
        <f t="shared" ref="E387:E450" si="24">IF(A387=A386,E386+C387,C387)</f>
        <v>1357513.9119299997</v>
      </c>
      <c r="F387" s="34">
        <f t="shared" si="22"/>
        <v>0.76534884131513292</v>
      </c>
      <c r="G387" t="str">
        <f t="shared" si="23"/>
        <v>A</v>
      </c>
    </row>
    <row r="388" spans="1:7" x14ac:dyDescent="0.35">
      <c r="A388" t="s">
        <v>729</v>
      </c>
      <c r="B388" t="s">
        <v>1284</v>
      </c>
      <c r="C388" s="5">
        <f>SUMIFS(clean_data!$AM:$AM,clean_data!$U:$U,$A388,clean_data!$V:$V,$B388)</f>
        <v>18830.12472</v>
      </c>
      <c r="D388" s="5">
        <f>SUMIF(clean_data!$U:$U,$A388,clean_data!$AM:$AM)</f>
        <v>1773719.1704599999</v>
      </c>
      <c r="E388" s="5">
        <f t="shared" si="24"/>
        <v>1376344.0366499997</v>
      </c>
      <c r="F388" s="34">
        <f t="shared" si="22"/>
        <v>0.7759650228581878</v>
      </c>
      <c r="G388" t="str">
        <f t="shared" si="23"/>
        <v>A</v>
      </c>
    </row>
    <row r="389" spans="1:7" x14ac:dyDescent="0.35">
      <c r="A389" t="s">
        <v>729</v>
      </c>
      <c r="B389" t="s">
        <v>1346</v>
      </c>
      <c r="C389" s="5">
        <f>SUMIFS(clean_data!$AM:$AM,clean_data!$U:$U,$A389,clean_data!$V:$V,$B389)</f>
        <v>18500.693520000001</v>
      </c>
      <c r="D389" s="5">
        <f>SUMIF(clean_data!$U:$U,$A389,clean_data!$AM:$AM)</f>
        <v>1773719.1704599999</v>
      </c>
      <c r="E389" s="5">
        <f t="shared" si="24"/>
        <v>1394844.7301699996</v>
      </c>
      <c r="F389" s="34">
        <f t="shared" si="22"/>
        <v>0.78639547533799148</v>
      </c>
      <c r="G389" t="str">
        <f t="shared" si="23"/>
        <v>A</v>
      </c>
    </row>
    <row r="390" spans="1:7" x14ac:dyDescent="0.35">
      <c r="A390" t="s">
        <v>729</v>
      </c>
      <c r="B390" t="s">
        <v>1133</v>
      </c>
      <c r="C390" s="5">
        <f>SUMIFS(clean_data!$AM:$AM,clean_data!$U:$U,$A390,clean_data!$V:$V,$B390)</f>
        <v>17731.623</v>
      </c>
      <c r="D390" s="5">
        <f>SUMIF(clean_data!$U:$U,$A390,clean_data!$AM:$AM)</f>
        <v>1773719.1704599999</v>
      </c>
      <c r="E390" s="5">
        <f t="shared" si="24"/>
        <v>1412576.3531699996</v>
      </c>
      <c r="F390" s="34">
        <f t="shared" si="22"/>
        <v>0.79639233577413449</v>
      </c>
      <c r="G390" t="str">
        <f t="shared" si="23"/>
        <v>A</v>
      </c>
    </row>
    <row r="391" spans="1:7" x14ac:dyDescent="0.35">
      <c r="A391" t="s">
        <v>729</v>
      </c>
      <c r="B391" t="s">
        <v>1051</v>
      </c>
      <c r="C391" s="5">
        <f>SUMIFS(clean_data!$AM:$AM,clean_data!$U:$U,$A391,clean_data!$V:$V,$B391)</f>
        <v>16306.59375</v>
      </c>
      <c r="D391" s="5">
        <f>SUMIF(clean_data!$U:$U,$A391,clean_data!$AM:$AM)</f>
        <v>1773719.1704599999</v>
      </c>
      <c r="E391" s="5">
        <f t="shared" si="24"/>
        <v>1428882.9469199996</v>
      </c>
      <c r="F391" s="34">
        <f t="shared" si="22"/>
        <v>0.80558578309182405</v>
      </c>
      <c r="G391" t="str">
        <f t="shared" si="23"/>
        <v>B</v>
      </c>
    </row>
    <row r="392" spans="1:7" x14ac:dyDescent="0.35">
      <c r="A392" t="s">
        <v>729</v>
      </c>
      <c r="B392" t="s">
        <v>863</v>
      </c>
      <c r="C392" s="5">
        <f>SUMIFS(clean_data!$AM:$AM,clean_data!$U:$U,$A392,clean_data!$V:$V,$B392)</f>
        <v>16071.44868</v>
      </c>
      <c r="D392" s="5">
        <f>SUMIF(clean_data!$U:$U,$A392,clean_data!$AM:$AM)</f>
        <v>1773719.1704599999</v>
      </c>
      <c r="E392" s="5">
        <f t="shared" si="24"/>
        <v>1444954.3955999995</v>
      </c>
      <c r="F392" s="34">
        <f t="shared" si="22"/>
        <v>0.81464665865073893</v>
      </c>
      <c r="G392" t="str">
        <f t="shared" si="23"/>
        <v>B</v>
      </c>
    </row>
    <row r="393" spans="1:7" x14ac:dyDescent="0.35">
      <c r="A393" t="s">
        <v>729</v>
      </c>
      <c r="B393" t="s">
        <v>1240</v>
      </c>
      <c r="C393" s="5">
        <f>SUMIFS(clean_data!$AM:$AM,clean_data!$U:$U,$A393,clean_data!$V:$V,$B393)</f>
        <v>15323.926799999999</v>
      </c>
      <c r="D393" s="5">
        <f>SUMIF(clean_data!$U:$U,$A393,clean_data!$AM:$AM)</f>
        <v>1773719.1704599999</v>
      </c>
      <c r="E393" s="5">
        <f t="shared" si="24"/>
        <v>1460278.3223999995</v>
      </c>
      <c r="F393" s="34">
        <f t="shared" si="22"/>
        <v>0.82328609101140171</v>
      </c>
      <c r="G393" t="str">
        <f t="shared" si="23"/>
        <v>B</v>
      </c>
    </row>
    <row r="394" spans="1:7" x14ac:dyDescent="0.35">
      <c r="A394" t="s">
        <v>729</v>
      </c>
      <c r="B394" t="s">
        <v>949</v>
      </c>
      <c r="C394" s="5">
        <f>SUMIFS(clean_data!$AM:$AM,clean_data!$U:$U,$A394,clean_data!$V:$V,$B394)</f>
        <v>15253.069799999999</v>
      </c>
      <c r="D394" s="5">
        <f>SUMIF(clean_data!$U:$U,$A394,clean_data!$AM:$AM)</f>
        <v>1773719.1704599999</v>
      </c>
      <c r="E394" s="5">
        <f t="shared" si="24"/>
        <v>1475531.3921999994</v>
      </c>
      <c r="F394" s="34">
        <f t="shared" si="22"/>
        <v>0.83188557510901351</v>
      </c>
      <c r="G394" t="str">
        <f t="shared" si="23"/>
        <v>B</v>
      </c>
    </row>
    <row r="395" spans="1:7" x14ac:dyDescent="0.35">
      <c r="A395" t="s">
        <v>729</v>
      </c>
      <c r="B395" t="s">
        <v>1200</v>
      </c>
      <c r="C395" s="5">
        <f>SUMIFS(clean_data!$AM:$AM,clean_data!$U:$U,$A395,clean_data!$V:$V,$B395)</f>
        <v>14261.92439</v>
      </c>
      <c r="D395" s="5">
        <f>SUMIF(clean_data!$U:$U,$A395,clean_data!$AM:$AM)</f>
        <v>1773719.1704599999</v>
      </c>
      <c r="E395" s="5">
        <f t="shared" si="24"/>
        <v>1489793.3165899995</v>
      </c>
      <c r="F395" s="34">
        <f t="shared" si="22"/>
        <v>0.83992626420316219</v>
      </c>
      <c r="G395" t="str">
        <f t="shared" si="23"/>
        <v>B</v>
      </c>
    </row>
    <row r="396" spans="1:7" x14ac:dyDescent="0.35">
      <c r="A396" t="s">
        <v>729</v>
      </c>
      <c r="B396" t="s">
        <v>1309</v>
      </c>
      <c r="C396" s="5">
        <f>SUMIFS(clean_data!$AM:$AM,clean_data!$U:$U,$A396,clean_data!$V:$V,$B396)</f>
        <v>13882.6016</v>
      </c>
      <c r="D396" s="5">
        <f>SUMIF(clean_data!$U:$U,$A396,clean_data!$AM:$AM)</f>
        <v>1773719.1704599999</v>
      </c>
      <c r="E396" s="5">
        <f t="shared" si="24"/>
        <v>1503675.9181899994</v>
      </c>
      <c r="F396" s="34">
        <f t="shared" si="22"/>
        <v>0.84775309599886273</v>
      </c>
      <c r="G396" t="str">
        <f t="shared" si="23"/>
        <v>B</v>
      </c>
    </row>
    <row r="397" spans="1:7" x14ac:dyDescent="0.35">
      <c r="A397" t="s">
        <v>729</v>
      </c>
      <c r="B397" t="s">
        <v>1015</v>
      </c>
      <c r="C397" s="5">
        <f>SUMIFS(clean_data!$AM:$AM,clean_data!$U:$U,$A397,clean_data!$V:$V,$B397)</f>
        <v>13035.970220000001</v>
      </c>
      <c r="D397" s="5">
        <f>SUMIF(clean_data!$U:$U,$A397,clean_data!$AM:$AM)</f>
        <v>1773719.1704599999</v>
      </c>
      <c r="E397" s="5">
        <f t="shared" si="24"/>
        <v>1516711.8884099994</v>
      </c>
      <c r="F397" s="34">
        <f t="shared" si="22"/>
        <v>0.85510260793801551</v>
      </c>
      <c r="G397" t="str">
        <f t="shared" si="23"/>
        <v>B</v>
      </c>
    </row>
    <row r="398" spans="1:7" x14ac:dyDescent="0.35">
      <c r="A398" t="s">
        <v>729</v>
      </c>
      <c r="B398" t="s">
        <v>1114</v>
      </c>
      <c r="C398" s="5">
        <f>SUMIFS(clean_data!$AM:$AM,clean_data!$U:$U,$A398,clean_data!$V:$V,$B398)</f>
        <v>12881.097599999999</v>
      </c>
      <c r="D398" s="5">
        <f>SUMIF(clean_data!$U:$U,$A398,clean_data!$AM:$AM)</f>
        <v>1773719.1704599999</v>
      </c>
      <c r="E398" s="5">
        <f t="shared" si="24"/>
        <v>1529592.9860099994</v>
      </c>
      <c r="F398" s="34">
        <f t="shared" si="22"/>
        <v>0.86236480469076271</v>
      </c>
      <c r="G398" t="str">
        <f t="shared" si="23"/>
        <v>B</v>
      </c>
    </row>
    <row r="399" spans="1:7" x14ac:dyDescent="0.35">
      <c r="A399" t="s">
        <v>729</v>
      </c>
      <c r="B399" t="s">
        <v>1308</v>
      </c>
      <c r="C399" s="5">
        <f>SUMIFS(clean_data!$AM:$AM,clean_data!$U:$U,$A399,clean_data!$V:$V,$B399)</f>
        <v>12091.190399999999</v>
      </c>
      <c r="D399" s="5">
        <f>SUMIF(clean_data!$U:$U,$A399,clean_data!$AM:$AM)</f>
        <v>1773719.1704599999</v>
      </c>
      <c r="E399" s="5">
        <f t="shared" si="24"/>
        <v>1541684.1764099994</v>
      </c>
      <c r="F399" s="34">
        <f t="shared" si="22"/>
        <v>0.86918166194830937</v>
      </c>
      <c r="G399" t="str">
        <f t="shared" si="23"/>
        <v>B</v>
      </c>
    </row>
    <row r="400" spans="1:7" x14ac:dyDescent="0.35">
      <c r="A400" t="s">
        <v>729</v>
      </c>
      <c r="B400" t="s">
        <v>857</v>
      </c>
      <c r="C400" s="5">
        <f>SUMIFS(clean_data!$AM:$AM,clean_data!$U:$U,$A400,clean_data!$V:$V,$B400)</f>
        <v>10817.3416</v>
      </c>
      <c r="D400" s="5">
        <f>SUMIF(clean_data!$U:$U,$A400,clean_data!$AM:$AM)</f>
        <v>1773719.1704599999</v>
      </c>
      <c r="E400" s="5">
        <f t="shared" si="24"/>
        <v>1552501.5180099993</v>
      </c>
      <c r="F400" s="34">
        <f t="shared" si="22"/>
        <v>0.87528033967596486</v>
      </c>
      <c r="G400" t="str">
        <f t="shared" si="23"/>
        <v>B</v>
      </c>
    </row>
    <row r="401" spans="1:7" x14ac:dyDescent="0.35">
      <c r="A401" t="s">
        <v>729</v>
      </c>
      <c r="B401" t="s">
        <v>1277</v>
      </c>
      <c r="C401" s="5">
        <f>SUMIFS(clean_data!$AM:$AM,clean_data!$U:$U,$A401,clean_data!$V:$V,$B401)</f>
        <v>10792.637119999999</v>
      </c>
      <c r="D401" s="5">
        <f>SUMIF(clean_data!$U:$U,$A401,clean_data!$AM:$AM)</f>
        <v>1773719.1704599999</v>
      </c>
      <c r="E401" s="5">
        <f t="shared" si="24"/>
        <v>1563294.1551299994</v>
      </c>
      <c r="F401" s="34">
        <f t="shared" si="22"/>
        <v>0.88136508933630764</v>
      </c>
      <c r="G401" t="str">
        <f t="shared" si="23"/>
        <v>B</v>
      </c>
    </row>
    <row r="402" spans="1:7" x14ac:dyDescent="0.35">
      <c r="A402" t="s">
        <v>729</v>
      </c>
      <c r="B402" t="s">
        <v>1348</v>
      </c>
      <c r="C402" s="5">
        <f>SUMIFS(clean_data!$AM:$AM,clean_data!$U:$U,$A402,clean_data!$V:$V,$B402)</f>
        <v>10786.32144</v>
      </c>
      <c r="D402" s="5">
        <f>SUMIF(clean_data!$U:$U,$A402,clean_data!$AM:$AM)</f>
        <v>1773719.1704599999</v>
      </c>
      <c r="E402" s="5">
        <f t="shared" si="24"/>
        <v>1574080.4765699995</v>
      </c>
      <c r="F402" s="34">
        <f t="shared" si="22"/>
        <v>0.88744627829769362</v>
      </c>
      <c r="G402" t="str">
        <f t="shared" si="23"/>
        <v>B</v>
      </c>
    </row>
    <row r="403" spans="1:7" x14ac:dyDescent="0.35">
      <c r="A403" t="s">
        <v>729</v>
      </c>
      <c r="B403" t="s">
        <v>775</v>
      </c>
      <c r="C403" s="5">
        <f>SUMIFS(clean_data!$AM:$AM,clean_data!$U:$U,$A403,clean_data!$V:$V,$B403)</f>
        <v>10558.74</v>
      </c>
      <c r="D403" s="5">
        <f>SUMIF(clean_data!$U:$U,$A403,clean_data!$AM:$AM)</f>
        <v>1773719.1704599999</v>
      </c>
      <c r="E403" s="5">
        <f t="shared" si="24"/>
        <v>1584639.2165699995</v>
      </c>
      <c r="F403" s="34">
        <f t="shared" si="22"/>
        <v>0.89339915977738227</v>
      </c>
      <c r="G403" t="str">
        <f t="shared" si="23"/>
        <v>B</v>
      </c>
    </row>
    <row r="404" spans="1:7" x14ac:dyDescent="0.35">
      <c r="A404" t="s">
        <v>729</v>
      </c>
      <c r="B404" t="s">
        <v>1237</v>
      </c>
      <c r="C404" s="5">
        <f>SUMIFS(clean_data!$AM:$AM,clean_data!$U:$U,$A404,clean_data!$V:$V,$B404)</f>
        <v>10189.8891</v>
      </c>
      <c r="D404" s="5">
        <f>SUMIF(clean_data!$U:$U,$A404,clean_data!$AM:$AM)</f>
        <v>1773719.1704599999</v>
      </c>
      <c r="E404" s="5">
        <f t="shared" si="24"/>
        <v>1594829.1056699995</v>
      </c>
      <c r="F404" s="34">
        <f t="shared" si="22"/>
        <v>0.8991440878751924</v>
      </c>
      <c r="G404" t="str">
        <f t="shared" si="23"/>
        <v>B</v>
      </c>
    </row>
    <row r="405" spans="1:7" x14ac:dyDescent="0.35">
      <c r="A405" t="s">
        <v>729</v>
      </c>
      <c r="B405" t="s">
        <v>1296</v>
      </c>
      <c r="C405" s="5">
        <f>SUMIFS(clean_data!$AM:$AM,clean_data!$U:$U,$A405,clean_data!$V:$V,$B405)</f>
        <v>10166.535600000001</v>
      </c>
      <c r="D405" s="5">
        <f>SUMIF(clean_data!$U:$U,$A405,clean_data!$AM:$AM)</f>
        <v>1773719.1704599999</v>
      </c>
      <c r="E405" s="5">
        <f t="shared" si="24"/>
        <v>1604995.6412699996</v>
      </c>
      <c r="F405" s="34">
        <f t="shared" si="22"/>
        <v>0.90487584957079581</v>
      </c>
      <c r="G405" t="str">
        <f t="shared" si="23"/>
        <v>B</v>
      </c>
    </row>
    <row r="406" spans="1:7" x14ac:dyDescent="0.35">
      <c r="A406" t="s">
        <v>729</v>
      </c>
      <c r="B406" t="s">
        <v>1251</v>
      </c>
      <c r="C406" s="5">
        <f>SUMIFS(clean_data!$AM:$AM,clean_data!$U:$U,$A406,clean_data!$V:$V,$B406)</f>
        <v>9807.7842799999999</v>
      </c>
      <c r="D406" s="5">
        <f>SUMIF(clean_data!$U:$U,$A406,clean_data!$AM:$AM)</f>
        <v>1773719.1704599999</v>
      </c>
      <c r="E406" s="5">
        <f t="shared" si="24"/>
        <v>1614803.4255499996</v>
      </c>
      <c r="F406" s="34">
        <f t="shared" si="22"/>
        <v>0.91040535189751215</v>
      </c>
      <c r="G406" t="str">
        <f t="shared" si="23"/>
        <v>B</v>
      </c>
    </row>
    <row r="407" spans="1:7" x14ac:dyDescent="0.35">
      <c r="A407" t="s">
        <v>729</v>
      </c>
      <c r="B407" t="s">
        <v>766</v>
      </c>
      <c r="C407" s="5">
        <f>SUMIFS(clean_data!$AM:$AM,clean_data!$U:$U,$A407,clean_data!$V:$V,$B407)</f>
        <v>9647.3852800000004</v>
      </c>
      <c r="D407" s="5">
        <f>SUMIF(clean_data!$U:$U,$A407,clean_data!$AM:$AM)</f>
        <v>1773719.1704599999</v>
      </c>
      <c r="E407" s="5">
        <f t="shared" si="24"/>
        <v>1624450.8108299996</v>
      </c>
      <c r="F407" s="34">
        <f t="shared" si="22"/>
        <v>0.91584442333602967</v>
      </c>
      <c r="G407" t="str">
        <f t="shared" si="23"/>
        <v>B</v>
      </c>
    </row>
    <row r="408" spans="1:7" x14ac:dyDescent="0.35">
      <c r="A408" t="s">
        <v>729</v>
      </c>
      <c r="B408" t="s">
        <v>807</v>
      </c>
      <c r="C408" s="5">
        <f>SUMIFS(clean_data!$AM:$AM,clean_data!$U:$U,$A408,clean_data!$V:$V,$B408)</f>
        <v>9373.460219999999</v>
      </c>
      <c r="D408" s="5">
        <f>SUMIF(clean_data!$U:$U,$A408,clean_data!$AM:$AM)</f>
        <v>1773719.1704599999</v>
      </c>
      <c r="E408" s="5">
        <f t="shared" si="24"/>
        <v>1633824.2710499996</v>
      </c>
      <c r="F408" s="34">
        <f t="shared" si="22"/>
        <v>0.92112905935739553</v>
      </c>
      <c r="G408" t="str">
        <f t="shared" si="23"/>
        <v>B</v>
      </c>
    </row>
    <row r="409" spans="1:7" x14ac:dyDescent="0.35">
      <c r="A409" t="s">
        <v>729</v>
      </c>
      <c r="B409" t="s">
        <v>1263</v>
      </c>
      <c r="C409" s="5">
        <f>SUMIFS(clean_data!$AM:$AM,clean_data!$U:$U,$A409,clean_data!$V:$V,$B409)</f>
        <v>9262.0686600000008</v>
      </c>
      <c r="D409" s="5">
        <f>SUMIF(clean_data!$U:$U,$A409,clean_data!$AM:$AM)</f>
        <v>1773719.1704599999</v>
      </c>
      <c r="E409" s="5">
        <f t="shared" si="24"/>
        <v>1643086.3397099997</v>
      </c>
      <c r="F409" s="34">
        <f t="shared" si="22"/>
        <v>0.92635089425338868</v>
      </c>
      <c r="G409" t="str">
        <f t="shared" si="23"/>
        <v>B</v>
      </c>
    </row>
    <row r="410" spans="1:7" x14ac:dyDescent="0.35">
      <c r="A410" t="s">
        <v>729</v>
      </c>
      <c r="B410" t="s">
        <v>889</v>
      </c>
      <c r="C410" s="5">
        <f>SUMIFS(clean_data!$AM:$AM,clean_data!$U:$U,$A410,clean_data!$V:$V,$B410)</f>
        <v>8909.6646800000017</v>
      </c>
      <c r="D410" s="5">
        <f>SUMIF(clean_data!$U:$U,$A410,clean_data!$AM:$AM)</f>
        <v>1773719.1704599999</v>
      </c>
      <c r="E410" s="5">
        <f t="shared" si="24"/>
        <v>1651996.0043899997</v>
      </c>
      <c r="F410" s="34">
        <f t="shared" si="22"/>
        <v>0.93137404832895143</v>
      </c>
      <c r="G410" t="str">
        <f t="shared" si="23"/>
        <v>B</v>
      </c>
    </row>
    <row r="411" spans="1:7" x14ac:dyDescent="0.35">
      <c r="A411" t="s">
        <v>729</v>
      </c>
      <c r="B411" t="s">
        <v>1065</v>
      </c>
      <c r="C411" s="5">
        <f>SUMIFS(clean_data!$AM:$AM,clean_data!$U:$U,$A411,clean_data!$V:$V,$B411)</f>
        <v>8764.4065599999994</v>
      </c>
      <c r="D411" s="5">
        <f>SUMIF(clean_data!$U:$U,$A411,clean_data!$AM:$AM)</f>
        <v>1773719.1704599999</v>
      </c>
      <c r="E411" s="5">
        <f t="shared" si="24"/>
        <v>1660760.4109499997</v>
      </c>
      <c r="F411" s="34">
        <f t="shared" si="22"/>
        <v>0.9363153077492502</v>
      </c>
      <c r="G411" t="str">
        <f t="shared" si="23"/>
        <v>B</v>
      </c>
    </row>
    <row r="412" spans="1:7" x14ac:dyDescent="0.35">
      <c r="A412" t="s">
        <v>729</v>
      </c>
      <c r="B412" t="s">
        <v>1236</v>
      </c>
      <c r="C412" s="5">
        <f>SUMIFS(clean_data!$AM:$AM,clean_data!$U:$U,$A412,clean_data!$V:$V,$B412)</f>
        <v>8637.1874499999994</v>
      </c>
      <c r="D412" s="5">
        <f>SUMIF(clean_data!$U:$U,$A412,clean_data!$AM:$AM)</f>
        <v>1773719.1704599999</v>
      </c>
      <c r="E412" s="5">
        <f t="shared" si="24"/>
        <v>1669397.5983999998</v>
      </c>
      <c r="F412" s="34">
        <f t="shared" si="22"/>
        <v>0.94118484267554869</v>
      </c>
      <c r="G412" t="str">
        <f t="shared" si="23"/>
        <v>B</v>
      </c>
    </row>
    <row r="413" spans="1:7" x14ac:dyDescent="0.35">
      <c r="A413" t="s">
        <v>729</v>
      </c>
      <c r="B413" t="s">
        <v>932</v>
      </c>
      <c r="C413" s="5">
        <f>SUMIFS(clean_data!$AM:$AM,clean_data!$U:$U,$A413,clean_data!$V:$V,$B413)</f>
        <v>8349.2224200000001</v>
      </c>
      <c r="D413" s="5">
        <f>SUMIF(clean_data!$U:$U,$A413,clean_data!$AM:$AM)</f>
        <v>1773719.1704599999</v>
      </c>
      <c r="E413" s="5">
        <f t="shared" si="24"/>
        <v>1677746.8208199998</v>
      </c>
      <c r="F413" s="34">
        <f t="shared" si="22"/>
        <v>0.94589202663062466</v>
      </c>
      <c r="G413" t="str">
        <f t="shared" si="23"/>
        <v>B</v>
      </c>
    </row>
    <row r="414" spans="1:7" x14ac:dyDescent="0.35">
      <c r="A414" t="s">
        <v>729</v>
      </c>
      <c r="B414" t="s">
        <v>824</v>
      </c>
      <c r="C414" s="5">
        <f>SUMIFS(clean_data!$AM:$AM,clean_data!$U:$U,$A414,clean_data!$V:$V,$B414)</f>
        <v>8324.8326000000015</v>
      </c>
      <c r="D414" s="5">
        <f>SUMIF(clean_data!$U:$U,$A414,clean_data!$AM:$AM)</f>
        <v>1773719.1704599999</v>
      </c>
      <c r="E414" s="5">
        <f t="shared" si="24"/>
        <v>1686071.6534199999</v>
      </c>
      <c r="F414" s="34">
        <f t="shared" si="22"/>
        <v>0.95058545991963916</v>
      </c>
      <c r="G414" t="str">
        <f t="shared" si="23"/>
        <v>C</v>
      </c>
    </row>
    <row r="415" spans="1:7" x14ac:dyDescent="0.35">
      <c r="A415" t="s">
        <v>729</v>
      </c>
      <c r="B415" t="s">
        <v>996</v>
      </c>
      <c r="C415" s="5">
        <f>SUMIFS(clean_data!$AM:$AM,clean_data!$U:$U,$A415,clean_data!$V:$V,$B415)</f>
        <v>8186.057600000001</v>
      </c>
      <c r="D415" s="5">
        <f>SUMIF(clean_data!$U:$U,$A415,clean_data!$AM:$AM)</f>
        <v>1773719.1704599999</v>
      </c>
      <c r="E415" s="5">
        <f t="shared" si="24"/>
        <v>1694257.7110199998</v>
      </c>
      <c r="F415" s="34">
        <f t="shared" si="22"/>
        <v>0.95520065365285955</v>
      </c>
      <c r="G415" t="str">
        <f t="shared" si="23"/>
        <v>C</v>
      </c>
    </row>
    <row r="416" spans="1:7" x14ac:dyDescent="0.35">
      <c r="A416" t="s">
        <v>729</v>
      </c>
      <c r="B416" t="s">
        <v>1269</v>
      </c>
      <c r="C416" s="5">
        <f>SUMIFS(clean_data!$AM:$AM,clean_data!$U:$U,$A416,clean_data!$V:$V,$B416)</f>
        <v>7823.4472399999995</v>
      </c>
      <c r="D416" s="5">
        <f>SUMIF(clean_data!$U:$U,$A416,clean_data!$AM:$AM)</f>
        <v>1773719.1704599999</v>
      </c>
      <c r="E416" s="5">
        <f t="shared" si="24"/>
        <v>1702081.1582599997</v>
      </c>
      <c r="F416" s="34">
        <f t="shared" si="22"/>
        <v>0.95961141234019509</v>
      </c>
      <c r="G416" t="str">
        <f t="shared" si="23"/>
        <v>C</v>
      </c>
    </row>
    <row r="417" spans="1:7" x14ac:dyDescent="0.35">
      <c r="A417" t="s">
        <v>729</v>
      </c>
      <c r="B417" t="s">
        <v>1055</v>
      </c>
      <c r="C417" s="5">
        <f>SUMIFS(clean_data!$AM:$AM,clean_data!$U:$U,$A417,clean_data!$V:$V,$B417)</f>
        <v>7493.1076000000012</v>
      </c>
      <c r="D417" s="5">
        <f>SUMIF(clean_data!$U:$U,$A417,clean_data!$AM:$AM)</f>
        <v>1773719.1704599999</v>
      </c>
      <c r="E417" s="5">
        <f t="shared" si="24"/>
        <v>1709574.2658599997</v>
      </c>
      <c r="F417" s="34">
        <f t="shared" si="22"/>
        <v>0.96383592979751986</v>
      </c>
      <c r="G417" t="str">
        <f t="shared" si="23"/>
        <v>C</v>
      </c>
    </row>
    <row r="418" spans="1:7" x14ac:dyDescent="0.35">
      <c r="A418" t="s">
        <v>729</v>
      </c>
      <c r="B418" t="s">
        <v>890</v>
      </c>
      <c r="C418" s="5">
        <f>SUMIFS(clean_data!$AM:$AM,clean_data!$U:$U,$A418,clean_data!$V:$V,$B418)</f>
        <v>7203.8047000000006</v>
      </c>
      <c r="D418" s="5">
        <f>SUMIF(clean_data!$U:$U,$A418,clean_data!$AM:$AM)</f>
        <v>1773719.1704599999</v>
      </c>
      <c r="E418" s="5">
        <f t="shared" si="24"/>
        <v>1716778.0705599997</v>
      </c>
      <c r="F418" s="34">
        <f t="shared" si="22"/>
        <v>0.96789734200976529</v>
      </c>
      <c r="G418" t="str">
        <f t="shared" si="23"/>
        <v>C</v>
      </c>
    </row>
    <row r="419" spans="1:7" x14ac:dyDescent="0.35">
      <c r="A419" t="s">
        <v>729</v>
      </c>
      <c r="B419" t="s">
        <v>1112</v>
      </c>
      <c r="C419" s="5">
        <f>SUMIFS(clean_data!$AM:$AM,clean_data!$U:$U,$A419,clean_data!$V:$V,$B419)</f>
        <v>6576.298960000001</v>
      </c>
      <c r="D419" s="5">
        <f>SUMIF(clean_data!$U:$U,$A419,clean_data!$AM:$AM)</f>
        <v>1773719.1704599999</v>
      </c>
      <c r="E419" s="5">
        <f t="shared" si="24"/>
        <v>1723354.3695199997</v>
      </c>
      <c r="F419" s="34">
        <f t="shared" si="22"/>
        <v>0.97160497457613959</v>
      </c>
      <c r="G419" t="str">
        <f t="shared" si="23"/>
        <v>C</v>
      </c>
    </row>
    <row r="420" spans="1:7" x14ac:dyDescent="0.35">
      <c r="A420" t="s">
        <v>729</v>
      </c>
      <c r="B420" t="s">
        <v>1169</v>
      </c>
      <c r="C420" s="5">
        <f>SUMIFS(clean_data!$AM:$AM,clean_data!$U:$U,$A420,clean_data!$V:$V,$B420)</f>
        <v>5546.4642200000008</v>
      </c>
      <c r="D420" s="5">
        <f>SUMIF(clean_data!$U:$U,$A420,clean_data!$AM:$AM)</f>
        <v>1773719.1704599999</v>
      </c>
      <c r="E420" s="5">
        <f t="shared" si="24"/>
        <v>1728900.8337399997</v>
      </c>
      <c r="F420" s="34">
        <f t="shared" si="22"/>
        <v>0.97473199959361267</v>
      </c>
      <c r="G420" t="str">
        <f t="shared" si="23"/>
        <v>C</v>
      </c>
    </row>
    <row r="421" spans="1:7" x14ac:dyDescent="0.35">
      <c r="A421" t="s">
        <v>729</v>
      </c>
      <c r="B421" t="s">
        <v>832</v>
      </c>
      <c r="C421" s="5">
        <f>SUMIFS(clean_data!$AM:$AM,clean_data!$U:$U,$A421,clean_data!$V:$V,$B421)</f>
        <v>5328.4890400000004</v>
      </c>
      <c r="D421" s="5">
        <f>SUMIF(clean_data!$U:$U,$A421,clean_data!$AM:$AM)</f>
        <v>1773719.1704599999</v>
      </c>
      <c r="E421" s="5">
        <f t="shared" si="24"/>
        <v>1734229.3227799996</v>
      </c>
      <c r="F421" s="34">
        <f t="shared" si="22"/>
        <v>0.97773613301492424</v>
      </c>
      <c r="G421" t="str">
        <f t="shared" si="23"/>
        <v>C</v>
      </c>
    </row>
    <row r="422" spans="1:7" x14ac:dyDescent="0.35">
      <c r="A422" t="s">
        <v>729</v>
      </c>
      <c r="B422" t="s">
        <v>1311</v>
      </c>
      <c r="C422" s="5">
        <f>SUMIFS(clean_data!$AM:$AM,clean_data!$U:$U,$A422,clean_data!$V:$V,$B422)</f>
        <v>4280.6786400000001</v>
      </c>
      <c r="D422" s="5">
        <f>SUMIF(clean_data!$U:$U,$A422,clean_data!$AM:$AM)</f>
        <v>1773719.1704599999</v>
      </c>
      <c r="E422" s="5">
        <f t="shared" si="24"/>
        <v>1738510.0014199996</v>
      </c>
      <c r="F422" s="34">
        <f t="shared" si="22"/>
        <v>0.98014952444198422</v>
      </c>
      <c r="G422" t="str">
        <f t="shared" si="23"/>
        <v>C</v>
      </c>
    </row>
    <row r="423" spans="1:7" x14ac:dyDescent="0.35">
      <c r="A423" t="s">
        <v>729</v>
      </c>
      <c r="B423" t="s">
        <v>928</v>
      </c>
      <c r="C423" s="5">
        <f>SUMIFS(clean_data!$AM:$AM,clean_data!$U:$U,$A423,clean_data!$V:$V,$B423)</f>
        <v>3928.3797600000003</v>
      </c>
      <c r="D423" s="5">
        <f>SUMIF(clean_data!$U:$U,$A423,clean_data!$AM:$AM)</f>
        <v>1773719.1704599999</v>
      </c>
      <c r="E423" s="5">
        <f t="shared" si="24"/>
        <v>1742438.3811799996</v>
      </c>
      <c r="F423" s="34">
        <f t="shared" si="22"/>
        <v>0.98236429430263872</v>
      </c>
      <c r="G423" t="str">
        <f t="shared" si="23"/>
        <v>C</v>
      </c>
    </row>
    <row r="424" spans="1:7" x14ac:dyDescent="0.35">
      <c r="A424" t="s">
        <v>729</v>
      </c>
      <c r="B424" t="s">
        <v>1041</v>
      </c>
      <c r="C424" s="5">
        <f>SUMIFS(clean_data!$AM:$AM,clean_data!$U:$U,$A424,clean_data!$V:$V,$B424)</f>
        <v>3644.3212800000006</v>
      </c>
      <c r="D424" s="5">
        <f>SUMIF(clean_data!$U:$U,$A424,clean_data!$AM:$AM)</f>
        <v>1773719.1704599999</v>
      </c>
      <c r="E424" s="5">
        <f t="shared" si="24"/>
        <v>1746082.7024599996</v>
      </c>
      <c r="F424" s="34">
        <f t="shared" si="22"/>
        <v>0.98441891565459427</v>
      </c>
      <c r="G424" t="str">
        <f t="shared" si="23"/>
        <v>C</v>
      </c>
    </row>
    <row r="425" spans="1:7" x14ac:dyDescent="0.35">
      <c r="A425" t="s">
        <v>729</v>
      </c>
      <c r="B425" t="s">
        <v>982</v>
      </c>
      <c r="C425" s="5">
        <f>SUMIFS(clean_data!$AM:$AM,clean_data!$U:$U,$A425,clean_data!$V:$V,$B425)</f>
        <v>3592.04</v>
      </c>
      <c r="D425" s="5">
        <f>SUMIF(clean_data!$U:$U,$A425,clean_data!$AM:$AM)</f>
        <v>1773719.1704599999</v>
      </c>
      <c r="E425" s="5">
        <f t="shared" si="24"/>
        <v>1749674.7424599996</v>
      </c>
      <c r="F425" s="34">
        <f t="shared" si="22"/>
        <v>0.98644406149494079</v>
      </c>
      <c r="G425" t="str">
        <f t="shared" si="23"/>
        <v>C</v>
      </c>
    </row>
    <row r="426" spans="1:7" x14ac:dyDescent="0.35">
      <c r="A426" t="s">
        <v>729</v>
      </c>
      <c r="B426" t="s">
        <v>1272</v>
      </c>
      <c r="C426" s="5">
        <f>SUMIFS(clean_data!$AM:$AM,clean_data!$U:$U,$A426,clean_data!$V:$V,$B426)</f>
        <v>3340.6370000000002</v>
      </c>
      <c r="D426" s="5">
        <f>SUMIF(clean_data!$U:$U,$A426,clean_data!$AM:$AM)</f>
        <v>1773719.1704599999</v>
      </c>
      <c r="E426" s="5">
        <f t="shared" si="24"/>
        <v>1753015.3794599997</v>
      </c>
      <c r="F426" s="34">
        <f t="shared" si="22"/>
        <v>0.98832746956519002</v>
      </c>
      <c r="G426" t="str">
        <f t="shared" si="23"/>
        <v>C</v>
      </c>
    </row>
    <row r="427" spans="1:7" x14ac:dyDescent="0.35">
      <c r="A427" t="s">
        <v>729</v>
      </c>
      <c r="B427" t="s">
        <v>1078</v>
      </c>
      <c r="C427" s="5">
        <f>SUMIFS(clean_data!$AM:$AM,clean_data!$U:$U,$A427,clean_data!$V:$V,$B427)</f>
        <v>3175.1547799999998</v>
      </c>
      <c r="D427" s="5">
        <f>SUMIF(clean_data!$U:$U,$A427,clean_data!$AM:$AM)</f>
        <v>1773719.1704599999</v>
      </c>
      <c r="E427" s="5">
        <f t="shared" si="24"/>
        <v>1756190.5342399997</v>
      </c>
      <c r="F427" s="34">
        <f t="shared" si="22"/>
        <v>0.99011758089334156</v>
      </c>
      <c r="G427" t="str">
        <f t="shared" si="23"/>
        <v>C</v>
      </c>
    </row>
    <row r="428" spans="1:7" x14ac:dyDescent="0.35">
      <c r="A428" t="s">
        <v>729</v>
      </c>
      <c r="B428" t="s">
        <v>1172</v>
      </c>
      <c r="C428" s="5">
        <f>SUMIFS(clean_data!$AM:$AM,clean_data!$U:$U,$A428,clean_data!$V:$V,$B428)</f>
        <v>2795.6384399999997</v>
      </c>
      <c r="D428" s="5">
        <f>SUMIF(clean_data!$U:$U,$A428,clean_data!$AM:$AM)</f>
        <v>1773719.1704599999</v>
      </c>
      <c r="E428" s="5">
        <f t="shared" si="24"/>
        <v>1758986.1726799996</v>
      </c>
      <c r="F428" s="34">
        <f t="shared" si="22"/>
        <v>0.99169372580205051</v>
      </c>
      <c r="G428" t="str">
        <f t="shared" si="23"/>
        <v>C</v>
      </c>
    </row>
    <row r="429" spans="1:7" x14ac:dyDescent="0.35">
      <c r="A429" t="s">
        <v>729</v>
      </c>
      <c r="B429" t="s">
        <v>991</v>
      </c>
      <c r="C429" s="5">
        <f>SUMIFS(clean_data!$AM:$AM,clean_data!$U:$U,$A429,clean_data!$V:$V,$B429)</f>
        <v>2394.1605599999998</v>
      </c>
      <c r="D429" s="5">
        <f>SUMIF(clean_data!$U:$U,$A429,clean_data!$AM:$AM)</f>
        <v>1773719.1704599999</v>
      </c>
      <c r="E429" s="5">
        <f t="shared" si="24"/>
        <v>1761380.3332399996</v>
      </c>
      <c r="F429" s="34">
        <f t="shared" si="22"/>
        <v>0.99304352265821183</v>
      </c>
      <c r="G429" t="str">
        <f t="shared" si="23"/>
        <v>C</v>
      </c>
    </row>
    <row r="430" spans="1:7" x14ac:dyDescent="0.35">
      <c r="A430" t="s">
        <v>729</v>
      </c>
      <c r="B430" t="s">
        <v>1353</v>
      </c>
      <c r="C430" s="5">
        <f>SUMIFS(clean_data!$AM:$AM,clean_data!$U:$U,$A430,clean_data!$V:$V,$B430)</f>
        <v>2355.2113199999999</v>
      </c>
      <c r="D430" s="5">
        <f>SUMIF(clean_data!$U:$U,$A430,clean_data!$AM:$AM)</f>
        <v>1773719.1704599999</v>
      </c>
      <c r="E430" s="5">
        <f t="shared" si="24"/>
        <v>1763735.5445599996</v>
      </c>
      <c r="F430" s="34">
        <f t="shared" si="22"/>
        <v>0.99437136043502805</v>
      </c>
      <c r="G430" t="str">
        <f t="shared" si="23"/>
        <v>C</v>
      </c>
    </row>
    <row r="431" spans="1:7" x14ac:dyDescent="0.35">
      <c r="A431" t="s">
        <v>729</v>
      </c>
      <c r="B431" t="s">
        <v>1167</v>
      </c>
      <c r="C431" s="5">
        <f>SUMIFS(clean_data!$AM:$AM,clean_data!$U:$U,$A431,clean_data!$V:$V,$B431)</f>
        <v>1950.0031200000001</v>
      </c>
      <c r="D431" s="5">
        <f>SUMIF(clean_data!$U:$U,$A431,clean_data!$AM:$AM)</f>
        <v>1773719.1704599999</v>
      </c>
      <c r="E431" s="5">
        <f t="shared" si="24"/>
        <v>1765685.5476799996</v>
      </c>
      <c r="F431" s="34">
        <f t="shared" si="22"/>
        <v>0.99547074705297522</v>
      </c>
      <c r="G431" t="str">
        <f t="shared" si="23"/>
        <v>C</v>
      </c>
    </row>
    <row r="432" spans="1:7" x14ac:dyDescent="0.35">
      <c r="A432" t="s">
        <v>729</v>
      </c>
      <c r="B432" t="s">
        <v>1196</v>
      </c>
      <c r="C432" s="5">
        <f>SUMIFS(clean_data!$AM:$AM,clean_data!$U:$U,$A432,clean_data!$V:$V,$B432)</f>
        <v>1886.9915999999998</v>
      </c>
      <c r="D432" s="5">
        <f>SUMIF(clean_data!$U:$U,$A432,clean_data!$AM:$AM)</f>
        <v>1773719.1704599999</v>
      </c>
      <c r="E432" s="5">
        <f t="shared" si="24"/>
        <v>1767572.5392799997</v>
      </c>
      <c r="F432" s="34">
        <f t="shared" si="22"/>
        <v>0.99653460858834486</v>
      </c>
      <c r="G432" t="str">
        <f t="shared" si="23"/>
        <v>C</v>
      </c>
    </row>
    <row r="433" spans="1:7" x14ac:dyDescent="0.35">
      <c r="A433" t="s">
        <v>729</v>
      </c>
      <c r="B433" t="s">
        <v>842</v>
      </c>
      <c r="C433" s="5">
        <f>SUMIFS(clean_data!$AM:$AM,clean_data!$U:$U,$A433,clean_data!$V:$V,$B433)</f>
        <v>1660.3999999999999</v>
      </c>
      <c r="D433" s="5">
        <f>SUMIF(clean_data!$U:$U,$A433,clean_data!$AM:$AM)</f>
        <v>1773719.1704599999</v>
      </c>
      <c r="E433" s="5">
        <f t="shared" si="24"/>
        <v>1769232.9392799996</v>
      </c>
      <c r="F433" s="34">
        <f t="shared" si="22"/>
        <v>0.99747072070104714</v>
      </c>
      <c r="G433" t="str">
        <f t="shared" si="23"/>
        <v>C</v>
      </c>
    </row>
    <row r="434" spans="1:7" x14ac:dyDescent="0.35">
      <c r="A434" t="s">
        <v>729</v>
      </c>
      <c r="B434" t="s">
        <v>848</v>
      </c>
      <c r="C434" s="5">
        <f>SUMIFS(clean_data!$AM:$AM,clean_data!$U:$U,$A434,clean_data!$V:$V,$B434)</f>
        <v>1499.22</v>
      </c>
      <c r="D434" s="5">
        <f>SUMIF(clean_data!$U:$U,$A434,clean_data!$AM:$AM)</f>
        <v>1773719.1704599999</v>
      </c>
      <c r="E434" s="5">
        <f t="shared" si="24"/>
        <v>1770732.1592799996</v>
      </c>
      <c r="F434" s="34">
        <f t="shared" si="22"/>
        <v>0.99831596160781999</v>
      </c>
      <c r="G434" t="str">
        <f t="shared" si="23"/>
        <v>C</v>
      </c>
    </row>
    <row r="435" spans="1:7" x14ac:dyDescent="0.35">
      <c r="A435" t="s">
        <v>729</v>
      </c>
      <c r="B435" t="s">
        <v>1075</v>
      </c>
      <c r="C435" s="5">
        <f>SUMIFS(clean_data!$AM:$AM,clean_data!$U:$U,$A435,clean_data!$V:$V,$B435)</f>
        <v>1115.1975999999997</v>
      </c>
      <c r="D435" s="5">
        <f>SUMIF(clean_data!$U:$U,$A435,clean_data!$AM:$AM)</f>
        <v>1773719.1704599999</v>
      </c>
      <c r="E435" s="5">
        <f t="shared" si="24"/>
        <v>1771847.3568799996</v>
      </c>
      <c r="F435" s="34">
        <f t="shared" si="22"/>
        <v>0.99894469563661825</v>
      </c>
      <c r="G435" t="str">
        <f t="shared" si="23"/>
        <v>C</v>
      </c>
    </row>
    <row r="436" spans="1:7" x14ac:dyDescent="0.35">
      <c r="A436" t="s">
        <v>729</v>
      </c>
      <c r="B436" t="s">
        <v>1334</v>
      </c>
      <c r="C436" s="5">
        <f>SUMIFS(clean_data!$AM:$AM,clean_data!$U:$U,$A436,clean_data!$V:$V,$B436)</f>
        <v>1062.5902000000001</v>
      </c>
      <c r="D436" s="5">
        <f>SUMIF(clean_data!$U:$U,$A436,clean_data!$AM:$AM)</f>
        <v>1773719.1704599999</v>
      </c>
      <c r="E436" s="5">
        <f t="shared" si="24"/>
        <v>1772909.9470799996</v>
      </c>
      <c r="F436" s="34">
        <f t="shared" si="22"/>
        <v>0.99954377029155606</v>
      </c>
      <c r="G436" t="str">
        <f t="shared" si="23"/>
        <v>C</v>
      </c>
    </row>
    <row r="437" spans="1:7" x14ac:dyDescent="0.35">
      <c r="A437" t="s">
        <v>729</v>
      </c>
      <c r="B437" t="s">
        <v>1045</v>
      </c>
      <c r="C437" s="5">
        <f>SUMIFS(clean_data!$AM:$AM,clean_data!$U:$U,$A437,clean_data!$V:$V,$B437)</f>
        <v>879.05840000000001</v>
      </c>
      <c r="D437" s="5">
        <f>SUMIF(clean_data!$U:$U,$A437,clean_data!$AM:$AM)</f>
        <v>1773719.1704599999</v>
      </c>
      <c r="E437" s="5">
        <f t="shared" si="24"/>
        <v>1773789.0054799996</v>
      </c>
      <c r="F437" s="34">
        <f t="shared" si="22"/>
        <v>1.0000393720839029</v>
      </c>
      <c r="G437" t="str">
        <f t="shared" si="23"/>
        <v>C</v>
      </c>
    </row>
    <row r="438" spans="1:7" x14ac:dyDescent="0.35">
      <c r="A438" t="s">
        <v>729</v>
      </c>
      <c r="B438" t="s">
        <v>788</v>
      </c>
      <c r="C438" s="5">
        <f>SUMIFS(clean_data!$AM:$AM,clean_data!$U:$U,$A438,clean_data!$V:$V,$B438)</f>
        <v>215.19839999999996</v>
      </c>
      <c r="D438" s="5">
        <f>SUMIF(clean_data!$U:$U,$A438,clean_data!$AM:$AM)</f>
        <v>1773719.1704599999</v>
      </c>
      <c r="E438" s="5">
        <f t="shared" si="24"/>
        <v>1774004.2038799997</v>
      </c>
      <c r="F438" s="34">
        <f t="shared" si="22"/>
        <v>1.000160698167301</v>
      </c>
      <c r="G438" t="str">
        <f t="shared" si="23"/>
        <v>C</v>
      </c>
    </row>
    <row r="439" spans="1:7" x14ac:dyDescent="0.35">
      <c r="A439" t="s">
        <v>729</v>
      </c>
      <c r="B439" t="s">
        <v>846</v>
      </c>
      <c r="C439" s="5">
        <f>SUMIFS(clean_data!$AM:$AM,clean_data!$U:$U,$A439,clean_data!$V:$V,$B439)</f>
        <v>34.689059999999998</v>
      </c>
      <c r="D439" s="5">
        <f>SUMIF(clean_data!$U:$U,$A439,clean_data!$AM:$AM)</f>
        <v>1773719.1704599999</v>
      </c>
      <c r="E439" s="5">
        <f t="shared" si="24"/>
        <v>1774038.8929399997</v>
      </c>
      <c r="F439" s="34">
        <f t="shared" si="22"/>
        <v>1.000180255412088</v>
      </c>
      <c r="G439" t="str">
        <f t="shared" si="23"/>
        <v>C</v>
      </c>
    </row>
    <row r="440" spans="1:7" x14ac:dyDescent="0.35">
      <c r="A440" t="s">
        <v>729</v>
      </c>
      <c r="B440" t="s">
        <v>736</v>
      </c>
      <c r="C440" s="5">
        <f>SUMIFS(clean_data!$AM:$AM,clean_data!$U:$U,$A440,clean_data!$V:$V,$B440)</f>
        <v>-319.72248000000002</v>
      </c>
      <c r="D440" s="5">
        <f>SUMIF(clean_data!$U:$U,$A440,clean_data!$AM:$AM)</f>
        <v>1773719.1704599999</v>
      </c>
      <c r="E440" s="5">
        <f t="shared" si="24"/>
        <v>1773719.1704599997</v>
      </c>
      <c r="F440" s="34">
        <f t="shared" si="22"/>
        <v>0.99999999999999989</v>
      </c>
      <c r="G440" t="str">
        <f t="shared" si="23"/>
        <v>C</v>
      </c>
    </row>
    <row r="441" spans="1:7" x14ac:dyDescent="0.35">
      <c r="A441" t="s">
        <v>730</v>
      </c>
      <c r="B441" t="s">
        <v>1320</v>
      </c>
      <c r="C441" s="5">
        <f>SUMIFS(clean_data!$AM:$AM,clean_data!$U:$U,$A441,clean_data!$V:$V,$B441)</f>
        <v>68665.574250000005</v>
      </c>
      <c r="D441" s="5">
        <f>SUMIF(clean_data!$U:$U,$A441,clean_data!$AM:$AM)</f>
        <v>1398841.4532999999</v>
      </c>
      <c r="E441" s="5">
        <f t="shared" si="24"/>
        <v>68665.574250000005</v>
      </c>
      <c r="F441" s="34">
        <f t="shared" si="22"/>
        <v>4.9087460260783228E-2</v>
      </c>
      <c r="G441" t="str">
        <f t="shared" si="23"/>
        <v>A</v>
      </c>
    </row>
    <row r="442" spans="1:7" x14ac:dyDescent="0.35">
      <c r="A442" t="s">
        <v>730</v>
      </c>
      <c r="B442" t="s">
        <v>834</v>
      </c>
      <c r="C442" s="5">
        <f>SUMIFS(clean_data!$AM:$AM,clean_data!$U:$U,$A442,clean_data!$V:$V,$B442)</f>
        <v>52780.07</v>
      </c>
      <c r="D442" s="5">
        <f>SUMIF(clean_data!$U:$U,$A442,clean_data!$AM:$AM)</f>
        <v>1398841.4532999999</v>
      </c>
      <c r="E442" s="5">
        <f t="shared" si="24"/>
        <v>121445.64425000001</v>
      </c>
      <c r="F442" s="34">
        <f t="shared" si="22"/>
        <v>8.6818734148532847E-2</v>
      </c>
      <c r="G442" t="str">
        <f t="shared" si="23"/>
        <v>A</v>
      </c>
    </row>
    <row r="443" spans="1:7" x14ac:dyDescent="0.35">
      <c r="A443" t="s">
        <v>730</v>
      </c>
      <c r="B443" t="s">
        <v>883</v>
      </c>
      <c r="C443" s="5">
        <f>SUMIFS(clean_data!$AM:$AM,clean_data!$U:$U,$A443,clean_data!$V:$V,$B443)</f>
        <v>42495.805439999996</v>
      </c>
      <c r="D443" s="5">
        <f>SUMIF(clean_data!$U:$U,$A443,clean_data!$AM:$AM)</f>
        <v>1398841.4532999999</v>
      </c>
      <c r="E443" s="5">
        <f t="shared" si="24"/>
        <v>163941.44969000001</v>
      </c>
      <c r="F443" s="34">
        <f t="shared" si="22"/>
        <v>0.11719802076443084</v>
      </c>
      <c r="G443" t="str">
        <f t="shared" si="23"/>
        <v>A</v>
      </c>
    </row>
    <row r="444" spans="1:7" x14ac:dyDescent="0.35">
      <c r="A444" t="s">
        <v>730</v>
      </c>
      <c r="B444" t="s">
        <v>915</v>
      </c>
      <c r="C444" s="5">
        <f>SUMIFS(clean_data!$AM:$AM,clean_data!$U:$U,$A444,clean_data!$V:$V,$B444)</f>
        <v>41352.246200000009</v>
      </c>
      <c r="D444" s="5">
        <f>SUMIF(clean_data!$U:$U,$A444,clean_data!$AM:$AM)</f>
        <v>1398841.4532999999</v>
      </c>
      <c r="E444" s="5">
        <f t="shared" si="24"/>
        <v>205293.69589000003</v>
      </c>
      <c r="F444" s="34">
        <f t="shared" si="22"/>
        <v>0.14675980283948026</v>
      </c>
      <c r="G444" t="str">
        <f t="shared" si="23"/>
        <v>A</v>
      </c>
    </row>
    <row r="445" spans="1:7" x14ac:dyDescent="0.35">
      <c r="A445" t="s">
        <v>730</v>
      </c>
      <c r="B445" t="s">
        <v>1162</v>
      </c>
      <c r="C445" s="5">
        <f>SUMIFS(clean_data!$AM:$AM,clean_data!$U:$U,$A445,clean_data!$V:$V,$B445)</f>
        <v>41138.261999999995</v>
      </c>
      <c r="D445" s="5">
        <f>SUMIF(clean_data!$U:$U,$A445,clean_data!$AM:$AM)</f>
        <v>1398841.4532999999</v>
      </c>
      <c r="E445" s="5">
        <f t="shared" si="24"/>
        <v>246431.95789000002</v>
      </c>
      <c r="F445" s="34">
        <f t="shared" si="22"/>
        <v>0.17616861246758422</v>
      </c>
      <c r="G445" t="str">
        <f t="shared" si="23"/>
        <v>A</v>
      </c>
    </row>
    <row r="446" spans="1:7" x14ac:dyDescent="0.35">
      <c r="A446" t="s">
        <v>730</v>
      </c>
      <c r="B446" t="s">
        <v>1109</v>
      </c>
      <c r="C446" s="5">
        <f>SUMIFS(clean_data!$AM:$AM,clean_data!$U:$U,$A446,clean_data!$V:$V,$B446)</f>
        <v>38422.022320000004</v>
      </c>
      <c r="D446" s="5">
        <f>SUMIF(clean_data!$U:$U,$A446,clean_data!$AM:$AM)</f>
        <v>1398841.4532999999</v>
      </c>
      <c r="E446" s="5">
        <f t="shared" si="24"/>
        <v>284853.98021000001</v>
      </c>
      <c r="F446" s="34">
        <f t="shared" si="22"/>
        <v>0.20363564400954975</v>
      </c>
      <c r="G446" t="str">
        <f t="shared" si="23"/>
        <v>A</v>
      </c>
    </row>
    <row r="447" spans="1:7" x14ac:dyDescent="0.35">
      <c r="A447" t="s">
        <v>730</v>
      </c>
      <c r="B447" t="s">
        <v>970</v>
      </c>
      <c r="C447" s="5">
        <f>SUMIFS(clean_data!$AM:$AM,clean_data!$U:$U,$A447,clean_data!$V:$V,$B447)</f>
        <v>37038.581760000001</v>
      </c>
      <c r="D447" s="5">
        <f>SUMIF(clean_data!$U:$U,$A447,clean_data!$AM:$AM)</f>
        <v>1398841.4532999999</v>
      </c>
      <c r="E447" s="5">
        <f t="shared" si="24"/>
        <v>321892.56197000004</v>
      </c>
      <c r="F447" s="34">
        <f t="shared" si="22"/>
        <v>0.23011368530052129</v>
      </c>
      <c r="G447" t="str">
        <f t="shared" si="23"/>
        <v>A</v>
      </c>
    </row>
    <row r="448" spans="1:7" x14ac:dyDescent="0.35">
      <c r="A448" t="s">
        <v>730</v>
      </c>
      <c r="B448" t="s">
        <v>751</v>
      </c>
      <c r="C448" s="5">
        <f>SUMIFS(clean_data!$AM:$AM,clean_data!$U:$U,$A448,clean_data!$V:$V,$B448)</f>
        <v>35367.211040000002</v>
      </c>
      <c r="D448" s="5">
        <f>SUMIF(clean_data!$U:$U,$A448,clean_data!$AM:$AM)</f>
        <v>1398841.4532999999</v>
      </c>
      <c r="E448" s="5">
        <f t="shared" si="24"/>
        <v>357259.77301000006</v>
      </c>
      <c r="F448" s="34">
        <f t="shared" si="22"/>
        <v>0.25539690160538947</v>
      </c>
      <c r="G448" t="str">
        <f t="shared" si="23"/>
        <v>A</v>
      </c>
    </row>
    <row r="449" spans="1:7" x14ac:dyDescent="0.35">
      <c r="A449" t="s">
        <v>730</v>
      </c>
      <c r="B449" t="s">
        <v>1012</v>
      </c>
      <c r="C449" s="5">
        <f>SUMIFS(clean_data!$AM:$AM,clean_data!$U:$U,$A449,clean_data!$V:$V,$B449)</f>
        <v>34840.344000000005</v>
      </c>
      <c r="D449" s="5">
        <f>SUMIF(clean_data!$U:$U,$A449,clean_data!$AM:$AM)</f>
        <v>1398841.4532999999</v>
      </c>
      <c r="E449" s="5">
        <f t="shared" si="24"/>
        <v>392100.11701000005</v>
      </c>
      <c r="F449" s="34">
        <f t="shared" si="22"/>
        <v>0.28030347262371913</v>
      </c>
      <c r="G449" t="str">
        <f t="shared" si="23"/>
        <v>A</v>
      </c>
    </row>
    <row r="450" spans="1:7" x14ac:dyDescent="0.35">
      <c r="A450" t="s">
        <v>730</v>
      </c>
      <c r="B450" t="s">
        <v>1239</v>
      </c>
      <c r="C450" s="5">
        <f>SUMIFS(clean_data!$AM:$AM,clean_data!$U:$U,$A450,clean_data!$V:$V,$B450)</f>
        <v>34800.431400000001</v>
      </c>
      <c r="D450" s="5">
        <f>SUMIF(clean_data!$U:$U,$A450,clean_data!$AM:$AM)</f>
        <v>1398841.4532999999</v>
      </c>
      <c r="E450" s="5">
        <f t="shared" si="24"/>
        <v>426900.54841000005</v>
      </c>
      <c r="F450" s="34">
        <f t="shared" ref="F450:F513" si="25">E450/D450</f>
        <v>0.30518151103036095</v>
      </c>
      <c r="G450" t="str">
        <f t="shared" ref="G450:G513" si="26">IF(F450&lt;=0.8,"A",IF(F450&lt;=0.95,"B","C"))</f>
        <v>A</v>
      </c>
    </row>
    <row r="451" spans="1:7" x14ac:dyDescent="0.35">
      <c r="A451" t="s">
        <v>730</v>
      </c>
      <c r="B451" t="s">
        <v>1287</v>
      </c>
      <c r="C451" s="5">
        <f>SUMIFS(clean_data!$AM:$AM,clean_data!$U:$U,$A451,clean_data!$V:$V,$B451)</f>
        <v>33551.927499999998</v>
      </c>
      <c r="D451" s="5">
        <f>SUMIF(clean_data!$U:$U,$A451,clean_data!$AM:$AM)</f>
        <v>1398841.4532999999</v>
      </c>
      <c r="E451" s="5">
        <f t="shared" ref="E451:E514" si="27">IF(A451=A450,E450+C451,C451)</f>
        <v>460452.47591000004</v>
      </c>
      <c r="F451" s="34">
        <f t="shared" si="25"/>
        <v>0.32916702234105866</v>
      </c>
      <c r="G451" t="str">
        <f t="shared" si="26"/>
        <v>A</v>
      </c>
    </row>
    <row r="452" spans="1:7" x14ac:dyDescent="0.35">
      <c r="A452" t="s">
        <v>730</v>
      </c>
      <c r="B452" t="s">
        <v>1294</v>
      </c>
      <c r="C452" s="5">
        <f>SUMIFS(clean_data!$AM:$AM,clean_data!$U:$U,$A452,clean_data!$V:$V,$B452)</f>
        <v>33071.3145</v>
      </c>
      <c r="D452" s="5">
        <f>SUMIF(clean_data!$U:$U,$A452,clean_data!$AM:$AM)</f>
        <v>1398841.4532999999</v>
      </c>
      <c r="E452" s="5">
        <f t="shared" si="27"/>
        <v>493523.79041000002</v>
      </c>
      <c r="F452" s="34">
        <f t="shared" si="25"/>
        <v>0.35280895432840548</v>
      </c>
      <c r="G452" t="str">
        <f t="shared" si="26"/>
        <v>A</v>
      </c>
    </row>
    <row r="453" spans="1:7" x14ac:dyDescent="0.35">
      <c r="A453" t="s">
        <v>730</v>
      </c>
      <c r="B453" t="s">
        <v>1360</v>
      </c>
      <c r="C453" s="5">
        <f>SUMIFS(clean_data!$AM:$AM,clean_data!$U:$U,$A453,clean_data!$V:$V,$B453)</f>
        <v>33017.42</v>
      </c>
      <c r="D453" s="5">
        <f>SUMIF(clean_data!$U:$U,$A453,clean_data!$AM:$AM)</f>
        <v>1398841.4532999999</v>
      </c>
      <c r="E453" s="5">
        <f t="shared" si="27"/>
        <v>526541.21041000006</v>
      </c>
      <c r="F453" s="34">
        <f t="shared" si="25"/>
        <v>0.37641235836115616</v>
      </c>
      <c r="G453" t="str">
        <f t="shared" si="26"/>
        <v>A</v>
      </c>
    </row>
    <row r="454" spans="1:7" x14ac:dyDescent="0.35">
      <c r="A454" t="s">
        <v>730</v>
      </c>
      <c r="B454" t="s">
        <v>1108</v>
      </c>
      <c r="C454" s="5">
        <f>SUMIFS(clean_data!$AM:$AM,clean_data!$U:$U,$A454,clean_data!$V:$V,$B454)</f>
        <v>31005.24768</v>
      </c>
      <c r="D454" s="5">
        <f>SUMIF(clean_data!$U:$U,$A454,clean_data!$AM:$AM)</f>
        <v>1398841.4532999999</v>
      </c>
      <c r="E454" s="5">
        <f t="shared" si="27"/>
        <v>557546.45809000009</v>
      </c>
      <c r="F454" s="34">
        <f t="shared" si="25"/>
        <v>0.39857730608046754</v>
      </c>
      <c r="G454" t="str">
        <f t="shared" si="26"/>
        <v>A</v>
      </c>
    </row>
    <row r="455" spans="1:7" x14ac:dyDescent="0.35">
      <c r="A455" t="s">
        <v>730</v>
      </c>
      <c r="B455" t="s">
        <v>1156</v>
      </c>
      <c r="C455" s="5">
        <f>SUMIFS(clean_data!$AM:$AM,clean_data!$U:$U,$A455,clean_data!$V:$V,$B455)</f>
        <v>29627.320319999999</v>
      </c>
      <c r="D455" s="5">
        <f>SUMIF(clean_data!$U:$U,$A455,clean_data!$AM:$AM)</f>
        <v>1398841.4532999999</v>
      </c>
      <c r="E455" s="5">
        <f t="shared" si="27"/>
        <v>587173.77841000003</v>
      </c>
      <c r="F455" s="34">
        <f t="shared" si="25"/>
        <v>0.4197572048103102</v>
      </c>
      <c r="G455" t="str">
        <f t="shared" si="26"/>
        <v>A</v>
      </c>
    </row>
    <row r="456" spans="1:7" x14ac:dyDescent="0.35">
      <c r="A456" t="s">
        <v>730</v>
      </c>
      <c r="B456" t="s">
        <v>893</v>
      </c>
      <c r="C456" s="5">
        <f>SUMIFS(clean_data!$AM:$AM,clean_data!$U:$U,$A456,clean_data!$V:$V,$B456)</f>
        <v>29263.754519999995</v>
      </c>
      <c r="D456" s="5">
        <f>SUMIF(clean_data!$U:$U,$A456,clean_data!$AM:$AM)</f>
        <v>1398841.4532999999</v>
      </c>
      <c r="E456" s="5">
        <f t="shared" si="27"/>
        <v>616437.53292999999</v>
      </c>
      <c r="F456" s="34">
        <f t="shared" si="25"/>
        <v>0.44067719860300486</v>
      </c>
      <c r="G456" t="str">
        <f t="shared" si="26"/>
        <v>A</v>
      </c>
    </row>
    <row r="457" spans="1:7" x14ac:dyDescent="0.35">
      <c r="A457" t="s">
        <v>730</v>
      </c>
      <c r="B457" t="s">
        <v>1339</v>
      </c>
      <c r="C457" s="5">
        <f>SUMIFS(clean_data!$AM:$AM,clean_data!$U:$U,$A457,clean_data!$V:$V,$B457)</f>
        <v>29175.036029999999</v>
      </c>
      <c r="D457" s="5">
        <f>SUMIF(clean_data!$U:$U,$A457,clean_data!$AM:$AM)</f>
        <v>1398841.4532999999</v>
      </c>
      <c r="E457" s="5">
        <f t="shared" si="27"/>
        <v>645612.56895999995</v>
      </c>
      <c r="F457" s="34">
        <f t="shared" si="25"/>
        <v>0.4615337695611883</v>
      </c>
      <c r="G457" t="str">
        <f t="shared" si="26"/>
        <v>A</v>
      </c>
    </row>
    <row r="458" spans="1:7" x14ac:dyDescent="0.35">
      <c r="A458" t="s">
        <v>730</v>
      </c>
      <c r="B458" t="s">
        <v>1070</v>
      </c>
      <c r="C458" s="5">
        <f>SUMIFS(clean_data!$AM:$AM,clean_data!$U:$U,$A458,clean_data!$V:$V,$B458)</f>
        <v>28247.74656</v>
      </c>
      <c r="D458" s="5">
        <f>SUMIF(clean_data!$U:$U,$A458,clean_data!$AM:$AM)</f>
        <v>1398841.4532999999</v>
      </c>
      <c r="E458" s="5">
        <f t="shared" si="27"/>
        <v>673860.31551999995</v>
      </c>
      <c r="F458" s="34">
        <f t="shared" si="25"/>
        <v>0.48172744232757714</v>
      </c>
      <c r="G458" t="str">
        <f t="shared" si="26"/>
        <v>A</v>
      </c>
    </row>
    <row r="459" spans="1:7" x14ac:dyDescent="0.35">
      <c r="A459" t="s">
        <v>730</v>
      </c>
      <c r="B459" t="s">
        <v>1168</v>
      </c>
      <c r="C459" s="5">
        <f>SUMIFS(clean_data!$AM:$AM,clean_data!$U:$U,$A459,clean_data!$V:$V,$B459)</f>
        <v>27249</v>
      </c>
      <c r="D459" s="5">
        <f>SUMIF(clean_data!$U:$U,$A459,clean_data!$AM:$AM)</f>
        <v>1398841.4532999999</v>
      </c>
      <c r="E459" s="5">
        <f t="shared" si="27"/>
        <v>701109.31551999995</v>
      </c>
      <c r="F459" s="34">
        <f t="shared" si="25"/>
        <v>0.50120713385067084</v>
      </c>
      <c r="G459" t="str">
        <f t="shared" si="26"/>
        <v>A</v>
      </c>
    </row>
    <row r="460" spans="1:7" x14ac:dyDescent="0.35">
      <c r="A460" t="s">
        <v>730</v>
      </c>
      <c r="B460" t="s">
        <v>765</v>
      </c>
      <c r="C460" s="5">
        <f>SUMIFS(clean_data!$AM:$AM,clean_data!$U:$U,$A460,clean_data!$V:$V,$B460)</f>
        <v>26150.364320000001</v>
      </c>
      <c r="D460" s="5">
        <f>SUMIF(clean_data!$U:$U,$A460,clean_data!$AM:$AM)</f>
        <v>1398841.4532999999</v>
      </c>
      <c r="E460" s="5">
        <f t="shared" si="27"/>
        <v>727259.67984</v>
      </c>
      <c r="F460" s="34">
        <f t="shared" si="25"/>
        <v>0.51990143566615454</v>
      </c>
      <c r="G460" t="str">
        <f t="shared" si="26"/>
        <v>A</v>
      </c>
    </row>
    <row r="461" spans="1:7" x14ac:dyDescent="0.35">
      <c r="A461" t="s">
        <v>730</v>
      </c>
      <c r="B461" t="s">
        <v>936</v>
      </c>
      <c r="C461" s="5">
        <f>SUMIFS(clean_data!$AM:$AM,clean_data!$U:$U,$A461,clean_data!$V:$V,$B461)</f>
        <v>25299.040000000001</v>
      </c>
      <c r="D461" s="5">
        <f>SUMIF(clean_data!$U:$U,$A461,clean_data!$AM:$AM)</f>
        <v>1398841.4532999999</v>
      </c>
      <c r="E461" s="5">
        <f t="shared" si="27"/>
        <v>752558.71984000003</v>
      </c>
      <c r="F461" s="34">
        <f t="shared" si="25"/>
        <v>0.53798714505110101</v>
      </c>
      <c r="G461" t="str">
        <f t="shared" si="26"/>
        <v>A</v>
      </c>
    </row>
    <row r="462" spans="1:7" x14ac:dyDescent="0.35">
      <c r="A462" t="s">
        <v>730</v>
      </c>
      <c r="B462" t="s">
        <v>947</v>
      </c>
      <c r="C462" s="5">
        <f>SUMIFS(clean_data!$AM:$AM,clean_data!$U:$U,$A462,clean_data!$V:$V,$B462)</f>
        <v>24223.05</v>
      </c>
      <c r="D462" s="5">
        <f>SUMIF(clean_data!$U:$U,$A462,clean_data!$AM:$AM)</f>
        <v>1398841.4532999999</v>
      </c>
      <c r="E462" s="5">
        <f t="shared" si="27"/>
        <v>776781.76984000008</v>
      </c>
      <c r="F462" s="34">
        <f t="shared" si="25"/>
        <v>0.55530365361099221</v>
      </c>
      <c r="G462" t="str">
        <f t="shared" si="26"/>
        <v>A</v>
      </c>
    </row>
    <row r="463" spans="1:7" x14ac:dyDescent="0.35">
      <c r="A463" t="s">
        <v>730</v>
      </c>
      <c r="B463" t="s">
        <v>841</v>
      </c>
      <c r="C463" s="5">
        <f>SUMIFS(clean_data!$AM:$AM,clean_data!$U:$U,$A463,clean_data!$V:$V,$B463)</f>
        <v>23687.524440000001</v>
      </c>
      <c r="D463" s="5">
        <f>SUMIF(clean_data!$U:$U,$A463,clean_data!$AM:$AM)</f>
        <v>1398841.4532999999</v>
      </c>
      <c r="E463" s="5">
        <f t="shared" si="27"/>
        <v>800469.29428000003</v>
      </c>
      <c r="F463" s="34">
        <f t="shared" si="25"/>
        <v>0.57223732710495312</v>
      </c>
      <c r="G463" t="str">
        <f t="shared" si="26"/>
        <v>A</v>
      </c>
    </row>
    <row r="464" spans="1:7" x14ac:dyDescent="0.35">
      <c r="A464" t="s">
        <v>730</v>
      </c>
      <c r="B464" t="s">
        <v>1317</v>
      </c>
      <c r="C464" s="5">
        <f>SUMIFS(clean_data!$AM:$AM,clean_data!$U:$U,$A464,clean_data!$V:$V,$B464)</f>
        <v>22676.312610000001</v>
      </c>
      <c r="D464" s="5">
        <f>SUMIF(clean_data!$U:$U,$A464,clean_data!$AM:$AM)</f>
        <v>1398841.4532999999</v>
      </c>
      <c r="E464" s="5">
        <f t="shared" si="27"/>
        <v>823145.60689000005</v>
      </c>
      <c r="F464" s="34">
        <f t="shared" si="25"/>
        <v>0.58844810821706872</v>
      </c>
      <c r="G464" t="str">
        <f t="shared" si="26"/>
        <v>A</v>
      </c>
    </row>
    <row r="465" spans="1:7" x14ac:dyDescent="0.35">
      <c r="A465" t="s">
        <v>730</v>
      </c>
      <c r="B465" t="s">
        <v>1054</v>
      </c>
      <c r="C465" s="5">
        <f>SUMIFS(clean_data!$AM:$AM,clean_data!$U:$U,$A465,clean_data!$V:$V,$B465)</f>
        <v>22380.204000000002</v>
      </c>
      <c r="D465" s="5">
        <f>SUMIF(clean_data!$U:$U,$A465,clean_data!$AM:$AM)</f>
        <v>1398841.4532999999</v>
      </c>
      <c r="E465" s="5">
        <f t="shared" si="27"/>
        <v>845525.81089000008</v>
      </c>
      <c r="F465" s="34">
        <f t="shared" si="25"/>
        <v>0.60444720800582818</v>
      </c>
      <c r="G465" t="str">
        <f t="shared" si="26"/>
        <v>A</v>
      </c>
    </row>
    <row r="466" spans="1:7" x14ac:dyDescent="0.35">
      <c r="A466" t="s">
        <v>730</v>
      </c>
      <c r="B466" t="s">
        <v>930</v>
      </c>
      <c r="C466" s="5">
        <f>SUMIFS(clean_data!$AM:$AM,clean_data!$U:$U,$A466,clean_data!$V:$V,$B466)</f>
        <v>21679.749799999998</v>
      </c>
      <c r="D466" s="5">
        <f>SUMIF(clean_data!$U:$U,$A466,clean_data!$AM:$AM)</f>
        <v>1398841.4532999999</v>
      </c>
      <c r="E466" s="5">
        <f t="shared" si="27"/>
        <v>867205.56069000007</v>
      </c>
      <c r="F466" s="34">
        <f t="shared" si="25"/>
        <v>0.6199455689879505</v>
      </c>
      <c r="G466" t="str">
        <f t="shared" si="26"/>
        <v>A</v>
      </c>
    </row>
    <row r="467" spans="1:7" x14ac:dyDescent="0.35">
      <c r="A467" t="s">
        <v>730</v>
      </c>
      <c r="B467" t="s">
        <v>959</v>
      </c>
      <c r="C467" s="5">
        <f>SUMIFS(clean_data!$AM:$AM,clean_data!$U:$U,$A467,clean_data!$V:$V,$B467)</f>
        <v>21573.6495</v>
      </c>
      <c r="D467" s="5">
        <f>SUMIF(clean_data!$U:$U,$A467,clean_data!$AM:$AM)</f>
        <v>1398841.4532999999</v>
      </c>
      <c r="E467" s="5">
        <f t="shared" si="27"/>
        <v>888779.21019000001</v>
      </c>
      <c r="F467" s="34">
        <f t="shared" si="25"/>
        <v>0.63536808127417543</v>
      </c>
      <c r="G467" t="str">
        <f t="shared" si="26"/>
        <v>A</v>
      </c>
    </row>
    <row r="468" spans="1:7" x14ac:dyDescent="0.35">
      <c r="A468" t="s">
        <v>730</v>
      </c>
      <c r="B468" t="s">
        <v>1140</v>
      </c>
      <c r="C468" s="5">
        <f>SUMIFS(clean_data!$AM:$AM,clean_data!$U:$U,$A468,clean_data!$V:$V,$B468)</f>
        <v>21541.017959999997</v>
      </c>
      <c r="D468" s="5">
        <f>SUMIF(clean_data!$U:$U,$A468,clean_data!$AM:$AM)</f>
        <v>1398841.4532999999</v>
      </c>
      <c r="E468" s="5">
        <f t="shared" si="27"/>
        <v>910320.22814999998</v>
      </c>
      <c r="F468" s="34">
        <f t="shared" si="25"/>
        <v>0.65076726601321977</v>
      </c>
      <c r="G468" t="str">
        <f t="shared" si="26"/>
        <v>A</v>
      </c>
    </row>
    <row r="469" spans="1:7" x14ac:dyDescent="0.35">
      <c r="A469" t="s">
        <v>730</v>
      </c>
      <c r="B469" t="s">
        <v>1189</v>
      </c>
      <c r="C469" s="5">
        <f>SUMIFS(clean_data!$AM:$AM,clean_data!$U:$U,$A469,clean_data!$V:$V,$B469)</f>
        <v>20797.98</v>
      </c>
      <c r="D469" s="5">
        <f>SUMIF(clean_data!$U:$U,$A469,clean_data!$AM:$AM)</f>
        <v>1398841.4532999999</v>
      </c>
      <c r="E469" s="5">
        <f t="shared" si="27"/>
        <v>931118.20814999996</v>
      </c>
      <c r="F469" s="34">
        <f t="shared" si="25"/>
        <v>0.66563526978229282</v>
      </c>
      <c r="G469" t="str">
        <f t="shared" si="26"/>
        <v>A</v>
      </c>
    </row>
    <row r="470" spans="1:7" x14ac:dyDescent="0.35">
      <c r="A470" t="s">
        <v>730</v>
      </c>
      <c r="B470" t="s">
        <v>1160</v>
      </c>
      <c r="C470" s="5">
        <f>SUMIFS(clean_data!$AM:$AM,clean_data!$U:$U,$A470,clean_data!$V:$V,$B470)</f>
        <v>19637.76528</v>
      </c>
      <c r="D470" s="5">
        <f>SUMIF(clean_data!$U:$U,$A470,clean_data!$AM:$AM)</f>
        <v>1398841.4532999999</v>
      </c>
      <c r="E470" s="5">
        <f t="shared" si="27"/>
        <v>950755.97343000001</v>
      </c>
      <c r="F470" s="34">
        <f t="shared" si="25"/>
        <v>0.67967386238595973</v>
      </c>
      <c r="G470" t="str">
        <f t="shared" si="26"/>
        <v>A</v>
      </c>
    </row>
    <row r="471" spans="1:7" x14ac:dyDescent="0.35">
      <c r="A471" t="s">
        <v>730</v>
      </c>
      <c r="B471" t="s">
        <v>1100</v>
      </c>
      <c r="C471" s="5">
        <f>SUMIFS(clean_data!$AM:$AM,clean_data!$U:$U,$A471,clean_data!$V:$V,$B471)</f>
        <v>19547.329920000004</v>
      </c>
      <c r="D471" s="5">
        <f>SUMIF(clean_data!$U:$U,$A471,clean_data!$AM:$AM)</f>
        <v>1398841.4532999999</v>
      </c>
      <c r="E471" s="5">
        <f t="shared" si="27"/>
        <v>970303.30335000006</v>
      </c>
      <c r="F471" s="34">
        <f t="shared" si="25"/>
        <v>0.6936478048037269</v>
      </c>
      <c r="G471" t="str">
        <f t="shared" si="26"/>
        <v>A</v>
      </c>
    </row>
    <row r="472" spans="1:7" x14ac:dyDescent="0.35">
      <c r="A472" t="s">
        <v>730</v>
      </c>
      <c r="B472" t="s">
        <v>825</v>
      </c>
      <c r="C472" s="5">
        <f>SUMIFS(clean_data!$AM:$AM,clean_data!$U:$U,$A472,clean_data!$V:$V,$B472)</f>
        <v>19510.808000000001</v>
      </c>
      <c r="D472" s="5">
        <f>SUMIF(clean_data!$U:$U,$A472,clean_data!$AM:$AM)</f>
        <v>1398841.4532999999</v>
      </c>
      <c r="E472" s="5">
        <f t="shared" si="27"/>
        <v>989814.11135000002</v>
      </c>
      <c r="F472" s="34">
        <f t="shared" si="25"/>
        <v>0.70759563852996665</v>
      </c>
      <c r="G472" t="str">
        <f t="shared" si="26"/>
        <v>A</v>
      </c>
    </row>
    <row r="473" spans="1:7" x14ac:dyDescent="0.35">
      <c r="A473" t="s">
        <v>730</v>
      </c>
      <c r="B473" t="s">
        <v>1207</v>
      </c>
      <c r="C473" s="5">
        <f>SUMIFS(clean_data!$AM:$AM,clean_data!$U:$U,$A473,clean_data!$V:$V,$B473)</f>
        <v>19233.355499999998</v>
      </c>
      <c r="D473" s="5">
        <f>SUMIF(clean_data!$U:$U,$A473,clean_data!$AM:$AM)</f>
        <v>1398841.4532999999</v>
      </c>
      <c r="E473" s="5">
        <f t="shared" si="27"/>
        <v>1009047.46685</v>
      </c>
      <c r="F473" s="34">
        <f t="shared" si="25"/>
        <v>0.72134512776237869</v>
      </c>
      <c r="G473" t="str">
        <f t="shared" si="26"/>
        <v>A</v>
      </c>
    </row>
    <row r="474" spans="1:7" x14ac:dyDescent="0.35">
      <c r="A474" t="s">
        <v>730</v>
      </c>
      <c r="B474" t="s">
        <v>1105</v>
      </c>
      <c r="C474" s="5">
        <f>SUMIFS(clean_data!$AM:$AM,clean_data!$U:$U,$A474,clean_data!$V:$V,$B474)</f>
        <v>16873.45</v>
      </c>
      <c r="D474" s="5">
        <f>SUMIF(clean_data!$U:$U,$A474,clean_data!$AM:$AM)</f>
        <v>1398841.4532999999</v>
      </c>
      <c r="E474" s="5">
        <f t="shared" si="27"/>
        <v>1025920.9168499999</v>
      </c>
      <c r="F474" s="34">
        <f t="shared" si="25"/>
        <v>0.7334075741248266</v>
      </c>
      <c r="G474" t="str">
        <f t="shared" si="26"/>
        <v>A</v>
      </c>
    </row>
    <row r="475" spans="1:7" x14ac:dyDescent="0.35">
      <c r="A475" t="s">
        <v>730</v>
      </c>
      <c r="B475" t="s">
        <v>1146</v>
      </c>
      <c r="C475" s="5">
        <f>SUMIFS(clean_data!$AM:$AM,clean_data!$U:$U,$A475,clean_data!$V:$V,$B475)</f>
        <v>16134.22069</v>
      </c>
      <c r="D475" s="5">
        <f>SUMIF(clean_data!$U:$U,$A475,clean_data!$AM:$AM)</f>
        <v>1398841.4532999999</v>
      </c>
      <c r="E475" s="5">
        <f t="shared" si="27"/>
        <v>1042055.1375399999</v>
      </c>
      <c r="F475" s="34">
        <f t="shared" si="25"/>
        <v>0.74494156223472852</v>
      </c>
      <c r="G475" t="str">
        <f t="shared" si="26"/>
        <v>A</v>
      </c>
    </row>
    <row r="476" spans="1:7" x14ac:dyDescent="0.35">
      <c r="A476" t="s">
        <v>730</v>
      </c>
      <c r="B476" t="s">
        <v>856</v>
      </c>
      <c r="C476" s="5">
        <f>SUMIFS(clean_data!$AM:$AM,clean_data!$U:$U,$A476,clean_data!$V:$V,$B476)</f>
        <v>16061.972879999999</v>
      </c>
      <c r="D476" s="5">
        <f>SUMIF(clean_data!$U:$U,$A476,clean_data!$AM:$AM)</f>
        <v>1398841.4532999999</v>
      </c>
      <c r="E476" s="5">
        <f t="shared" si="27"/>
        <v>1058117.1104199998</v>
      </c>
      <c r="F476" s="34">
        <f t="shared" si="25"/>
        <v>0.7564239020253517</v>
      </c>
      <c r="G476" t="str">
        <f t="shared" si="26"/>
        <v>A</v>
      </c>
    </row>
    <row r="477" spans="1:7" x14ac:dyDescent="0.35">
      <c r="A477" t="s">
        <v>730</v>
      </c>
      <c r="B477" t="s">
        <v>934</v>
      </c>
      <c r="C477" s="5">
        <f>SUMIFS(clean_data!$AM:$AM,clean_data!$U:$U,$A477,clean_data!$V:$V,$B477)</f>
        <v>14963.769179999999</v>
      </c>
      <c r="D477" s="5">
        <f>SUMIF(clean_data!$U:$U,$A477,clean_data!$AM:$AM)</f>
        <v>1398841.4532999999</v>
      </c>
      <c r="E477" s="5">
        <f t="shared" si="27"/>
        <v>1073080.8795999999</v>
      </c>
      <c r="F477" s="34">
        <f t="shared" si="25"/>
        <v>0.76712116092106086</v>
      </c>
      <c r="G477" t="str">
        <f t="shared" si="26"/>
        <v>A</v>
      </c>
    </row>
    <row r="478" spans="1:7" x14ac:dyDescent="0.35">
      <c r="A478" t="s">
        <v>730</v>
      </c>
      <c r="B478" t="s">
        <v>1153</v>
      </c>
      <c r="C478" s="5">
        <f>SUMIFS(clean_data!$AM:$AM,clean_data!$U:$U,$A478,clean_data!$V:$V,$B478)</f>
        <v>14527.748400000002</v>
      </c>
      <c r="D478" s="5">
        <f>SUMIF(clean_data!$U:$U,$A478,clean_data!$AM:$AM)</f>
        <v>1398841.4532999999</v>
      </c>
      <c r="E478" s="5">
        <f t="shared" si="27"/>
        <v>1087608.6279999998</v>
      </c>
      <c r="F478" s="34">
        <f t="shared" si="25"/>
        <v>0.77750671845921326</v>
      </c>
      <c r="G478" t="str">
        <f t="shared" si="26"/>
        <v>A</v>
      </c>
    </row>
    <row r="479" spans="1:7" x14ac:dyDescent="0.35">
      <c r="A479" t="s">
        <v>730</v>
      </c>
      <c r="B479" t="s">
        <v>1362</v>
      </c>
      <c r="C479" s="5">
        <f>SUMIFS(clean_data!$AM:$AM,clean_data!$U:$U,$A479,clean_data!$V:$V,$B479)</f>
        <v>12769.38768</v>
      </c>
      <c r="D479" s="5">
        <f>SUMIF(clean_data!$U:$U,$A479,clean_data!$AM:$AM)</f>
        <v>1398841.4532999999</v>
      </c>
      <c r="E479" s="5">
        <f t="shared" si="27"/>
        <v>1100378.0156799997</v>
      </c>
      <c r="F479" s="34">
        <f t="shared" si="25"/>
        <v>0.78663526383501392</v>
      </c>
      <c r="G479" t="str">
        <f t="shared" si="26"/>
        <v>A</v>
      </c>
    </row>
    <row r="480" spans="1:7" x14ac:dyDescent="0.35">
      <c r="A480" t="s">
        <v>730</v>
      </c>
      <c r="B480" t="s">
        <v>1174</v>
      </c>
      <c r="C480" s="5">
        <f>SUMIFS(clean_data!$AM:$AM,clean_data!$U:$U,$A480,clean_data!$V:$V,$B480)</f>
        <v>12668.50728</v>
      </c>
      <c r="D480" s="5">
        <f>SUMIF(clean_data!$U:$U,$A480,clean_data!$AM:$AM)</f>
        <v>1398841.4532999999</v>
      </c>
      <c r="E480" s="5">
        <f t="shared" si="27"/>
        <v>1113046.5229599997</v>
      </c>
      <c r="F480" s="34">
        <f t="shared" si="25"/>
        <v>0.79569169210293078</v>
      </c>
      <c r="G480" t="str">
        <f t="shared" si="26"/>
        <v>A</v>
      </c>
    </row>
    <row r="481" spans="1:7" x14ac:dyDescent="0.35">
      <c r="A481" t="s">
        <v>730</v>
      </c>
      <c r="B481" t="s">
        <v>1182</v>
      </c>
      <c r="C481" s="5">
        <f>SUMIFS(clean_data!$AM:$AM,clean_data!$U:$U,$A481,clean_data!$V:$V,$B481)</f>
        <v>12289.2</v>
      </c>
      <c r="D481" s="5">
        <f>SUMIF(clean_data!$U:$U,$A481,clean_data!$AM:$AM)</f>
        <v>1398841.4532999999</v>
      </c>
      <c r="E481" s="5">
        <f t="shared" si="27"/>
        <v>1125335.7229599997</v>
      </c>
      <c r="F481" s="34">
        <f t="shared" si="25"/>
        <v>0.80447696220699338</v>
      </c>
      <c r="G481" t="str">
        <f t="shared" si="26"/>
        <v>B</v>
      </c>
    </row>
    <row r="482" spans="1:7" x14ac:dyDescent="0.35">
      <c r="A482" t="s">
        <v>730</v>
      </c>
      <c r="B482" t="s">
        <v>978</v>
      </c>
      <c r="C482" s="5">
        <f>SUMIFS(clean_data!$AM:$AM,clean_data!$U:$U,$A482,clean_data!$V:$V,$B482)</f>
        <v>12248.675999999999</v>
      </c>
      <c r="D482" s="5">
        <f>SUMIF(clean_data!$U:$U,$A482,clean_data!$AM:$AM)</f>
        <v>1398841.4532999999</v>
      </c>
      <c r="E482" s="5">
        <f t="shared" si="27"/>
        <v>1137584.3989599997</v>
      </c>
      <c r="F482" s="34">
        <f t="shared" si="25"/>
        <v>0.81323326262338735</v>
      </c>
      <c r="G482" t="str">
        <f t="shared" si="26"/>
        <v>B</v>
      </c>
    </row>
    <row r="483" spans="1:7" x14ac:dyDescent="0.35">
      <c r="A483" t="s">
        <v>730</v>
      </c>
      <c r="B483" t="s">
        <v>799</v>
      </c>
      <c r="C483" s="5">
        <f>SUMIFS(clean_data!$AM:$AM,clean_data!$U:$U,$A483,clean_data!$V:$V,$B483)</f>
        <v>12153.267360000002</v>
      </c>
      <c r="D483" s="5">
        <f>SUMIF(clean_data!$U:$U,$A483,clean_data!$AM:$AM)</f>
        <v>1398841.4532999999</v>
      </c>
      <c r="E483" s="5">
        <f t="shared" si="27"/>
        <v>1149737.6663199996</v>
      </c>
      <c r="F483" s="34">
        <f t="shared" si="25"/>
        <v>0.82192135756890761</v>
      </c>
      <c r="G483" t="str">
        <f t="shared" si="26"/>
        <v>B</v>
      </c>
    </row>
    <row r="484" spans="1:7" x14ac:dyDescent="0.35">
      <c r="A484" t="s">
        <v>730</v>
      </c>
      <c r="B484" t="s">
        <v>1186</v>
      </c>
      <c r="C484" s="5">
        <f>SUMIFS(clean_data!$AM:$AM,clean_data!$U:$U,$A484,clean_data!$V:$V,$B484)</f>
        <v>11984.891250000001</v>
      </c>
      <c r="D484" s="5">
        <f>SUMIF(clean_data!$U:$U,$A484,clean_data!$AM:$AM)</f>
        <v>1398841.4532999999</v>
      </c>
      <c r="E484" s="5">
        <f t="shared" si="27"/>
        <v>1161722.5575699997</v>
      </c>
      <c r="F484" s="34">
        <f t="shared" si="25"/>
        <v>0.83048908425567869</v>
      </c>
      <c r="G484" t="str">
        <f t="shared" si="26"/>
        <v>B</v>
      </c>
    </row>
    <row r="485" spans="1:7" x14ac:dyDescent="0.35">
      <c r="A485" t="s">
        <v>730</v>
      </c>
      <c r="B485" t="s">
        <v>1266</v>
      </c>
      <c r="C485" s="5">
        <f>SUMIFS(clean_data!$AM:$AM,clean_data!$U:$U,$A485,clean_data!$V:$V,$B485)</f>
        <v>11924.0978</v>
      </c>
      <c r="D485" s="5">
        <f>SUMIF(clean_data!$U:$U,$A485,clean_data!$AM:$AM)</f>
        <v>1398841.4532999999</v>
      </c>
      <c r="E485" s="5">
        <f t="shared" si="27"/>
        <v>1173646.6553699998</v>
      </c>
      <c r="F485" s="34">
        <f t="shared" si="25"/>
        <v>0.8390133510851111</v>
      </c>
      <c r="G485" t="str">
        <f t="shared" si="26"/>
        <v>B</v>
      </c>
    </row>
    <row r="486" spans="1:7" x14ac:dyDescent="0.35">
      <c r="A486" t="s">
        <v>730</v>
      </c>
      <c r="B486" t="s">
        <v>931</v>
      </c>
      <c r="C486" s="5">
        <f>SUMIFS(clean_data!$AM:$AM,clean_data!$U:$U,$A486,clean_data!$V:$V,$B486)</f>
        <v>11326.846439999999</v>
      </c>
      <c r="D486" s="5">
        <f>SUMIF(clean_data!$U:$U,$A486,clean_data!$AM:$AM)</f>
        <v>1398841.4532999999</v>
      </c>
      <c r="E486" s="5">
        <f t="shared" si="27"/>
        <v>1184973.5018099998</v>
      </c>
      <c r="F486" s="34">
        <f t="shared" si="25"/>
        <v>0.84711065647542449</v>
      </c>
      <c r="G486" t="str">
        <f t="shared" si="26"/>
        <v>B</v>
      </c>
    </row>
    <row r="487" spans="1:7" x14ac:dyDescent="0.35">
      <c r="A487" t="s">
        <v>730</v>
      </c>
      <c r="B487" t="s">
        <v>1126</v>
      </c>
      <c r="C487" s="5">
        <f>SUMIFS(clean_data!$AM:$AM,clean_data!$U:$U,$A487,clean_data!$V:$V,$B487)</f>
        <v>11285.764020000001</v>
      </c>
      <c r="D487" s="5">
        <f>SUMIF(clean_data!$U:$U,$A487,clean_data!$AM:$AM)</f>
        <v>1398841.4532999999</v>
      </c>
      <c r="E487" s="5">
        <f t="shared" si="27"/>
        <v>1196259.2658299997</v>
      </c>
      <c r="F487" s="34">
        <f t="shared" si="25"/>
        <v>0.85517859297628795</v>
      </c>
      <c r="G487" t="str">
        <f t="shared" si="26"/>
        <v>B</v>
      </c>
    </row>
    <row r="488" spans="1:7" x14ac:dyDescent="0.35">
      <c r="A488" t="s">
        <v>730</v>
      </c>
      <c r="B488" t="s">
        <v>796</v>
      </c>
      <c r="C488" s="5">
        <f>SUMIFS(clean_data!$AM:$AM,clean_data!$U:$U,$A488,clean_data!$V:$V,$B488)</f>
        <v>10947.904</v>
      </c>
      <c r="D488" s="5">
        <f>SUMIF(clean_data!$U:$U,$A488,clean_data!$AM:$AM)</f>
        <v>1398841.4532999999</v>
      </c>
      <c r="E488" s="5">
        <f t="shared" si="27"/>
        <v>1207207.1698299998</v>
      </c>
      <c r="F488" s="34">
        <f t="shared" si="25"/>
        <v>0.86300500101858102</v>
      </c>
      <c r="G488" t="str">
        <f t="shared" si="26"/>
        <v>B</v>
      </c>
    </row>
    <row r="489" spans="1:7" x14ac:dyDescent="0.35">
      <c r="A489" t="s">
        <v>730</v>
      </c>
      <c r="B489" t="s">
        <v>745</v>
      </c>
      <c r="C489" s="5">
        <f>SUMIFS(clean_data!$AM:$AM,clean_data!$U:$U,$A489,clean_data!$V:$V,$B489)</f>
        <v>10370.549999999999</v>
      </c>
      <c r="D489" s="5">
        <f>SUMIF(clean_data!$U:$U,$A489,clean_data!$AM:$AM)</f>
        <v>1398841.4532999999</v>
      </c>
      <c r="E489" s="5">
        <f t="shared" si="27"/>
        <v>1217577.7198299998</v>
      </c>
      <c r="F489" s="34">
        <f t="shared" si="25"/>
        <v>0.87041867179273125</v>
      </c>
      <c r="G489" t="str">
        <f t="shared" si="26"/>
        <v>B</v>
      </c>
    </row>
    <row r="490" spans="1:7" x14ac:dyDescent="0.35">
      <c r="A490" t="s">
        <v>730</v>
      </c>
      <c r="B490" t="s">
        <v>1154</v>
      </c>
      <c r="C490" s="5">
        <f>SUMIFS(clean_data!$AM:$AM,clean_data!$U:$U,$A490,clean_data!$V:$V,$B490)</f>
        <v>9984.7160999999978</v>
      </c>
      <c r="D490" s="5">
        <f>SUMIF(clean_data!$U:$U,$A490,clean_data!$AM:$AM)</f>
        <v>1398841.4532999999</v>
      </c>
      <c r="E490" s="5">
        <f t="shared" si="27"/>
        <v>1227562.4359299999</v>
      </c>
      <c r="F490" s="34">
        <f t="shared" si="25"/>
        <v>0.8775565186705494</v>
      </c>
      <c r="G490" t="str">
        <f t="shared" si="26"/>
        <v>B</v>
      </c>
    </row>
    <row r="491" spans="1:7" x14ac:dyDescent="0.35">
      <c r="A491" t="s">
        <v>730</v>
      </c>
      <c r="B491" t="s">
        <v>975</v>
      </c>
      <c r="C491" s="5">
        <f>SUMIFS(clean_data!$AM:$AM,clean_data!$U:$U,$A491,clean_data!$V:$V,$B491)</f>
        <v>9684.8756000000012</v>
      </c>
      <c r="D491" s="5">
        <f>SUMIF(clean_data!$U:$U,$A491,clean_data!$AM:$AM)</f>
        <v>1398841.4532999999</v>
      </c>
      <c r="E491" s="5">
        <f t="shared" si="27"/>
        <v>1237247.3115299998</v>
      </c>
      <c r="F491" s="34">
        <f t="shared" si="25"/>
        <v>0.88448001638156759</v>
      </c>
      <c r="G491" t="str">
        <f t="shared" si="26"/>
        <v>B</v>
      </c>
    </row>
    <row r="492" spans="1:7" x14ac:dyDescent="0.35">
      <c r="A492" t="s">
        <v>730</v>
      </c>
      <c r="B492" t="s">
        <v>1222</v>
      </c>
      <c r="C492" s="5">
        <f>SUMIFS(clean_data!$AM:$AM,clean_data!$U:$U,$A492,clean_data!$V:$V,$B492)</f>
        <v>9614.4403999999995</v>
      </c>
      <c r="D492" s="5">
        <f>SUMIF(clean_data!$U:$U,$A492,clean_data!$AM:$AM)</f>
        <v>1398841.4532999999</v>
      </c>
      <c r="E492" s="5">
        <f t="shared" si="27"/>
        <v>1246861.7519299998</v>
      </c>
      <c r="F492" s="34">
        <f t="shared" si="25"/>
        <v>0.89135316156704847</v>
      </c>
      <c r="G492" t="str">
        <f t="shared" si="26"/>
        <v>B</v>
      </c>
    </row>
    <row r="493" spans="1:7" x14ac:dyDescent="0.35">
      <c r="A493" t="s">
        <v>730</v>
      </c>
      <c r="B493" t="s">
        <v>1050</v>
      </c>
      <c r="C493" s="5">
        <f>SUMIFS(clean_data!$AM:$AM,clean_data!$U:$U,$A493,clean_data!$V:$V,$B493)</f>
        <v>9062.34692</v>
      </c>
      <c r="D493" s="5">
        <f>SUMIF(clean_data!$U:$U,$A493,clean_data!$AM:$AM)</f>
        <v>1398841.4532999999</v>
      </c>
      <c r="E493" s="5">
        <f t="shared" si="27"/>
        <v>1255924.0988499997</v>
      </c>
      <c r="F493" s="34">
        <f t="shared" si="25"/>
        <v>0.89783162765669788</v>
      </c>
      <c r="G493" t="str">
        <f t="shared" si="26"/>
        <v>B</v>
      </c>
    </row>
    <row r="494" spans="1:7" x14ac:dyDescent="0.35">
      <c r="A494" t="s">
        <v>730</v>
      </c>
      <c r="B494" t="s">
        <v>1077</v>
      </c>
      <c r="C494" s="5">
        <f>SUMIFS(clean_data!$AM:$AM,clean_data!$U:$U,$A494,clean_data!$V:$V,$B494)</f>
        <v>8938.8996600000009</v>
      </c>
      <c r="D494" s="5">
        <f>SUMIF(clean_data!$U:$U,$A494,clean_data!$AM:$AM)</f>
        <v>1398841.4532999999</v>
      </c>
      <c r="E494" s="5">
        <f t="shared" si="27"/>
        <v>1264862.9985099998</v>
      </c>
      <c r="F494" s="34">
        <f t="shared" si="25"/>
        <v>0.9042218441025377</v>
      </c>
      <c r="G494" t="str">
        <f t="shared" si="26"/>
        <v>B</v>
      </c>
    </row>
    <row r="495" spans="1:7" x14ac:dyDescent="0.35">
      <c r="A495" t="s">
        <v>730</v>
      </c>
      <c r="B495" t="s">
        <v>875</v>
      </c>
      <c r="C495" s="5">
        <f>SUMIFS(clean_data!$AM:$AM,clean_data!$U:$U,$A495,clean_data!$V:$V,$B495)</f>
        <v>8211.6342000000004</v>
      </c>
      <c r="D495" s="5">
        <f>SUMIF(clean_data!$U:$U,$A495,clean_data!$AM:$AM)</f>
        <v>1398841.4532999999</v>
      </c>
      <c r="E495" s="5">
        <f t="shared" si="27"/>
        <v>1273074.6327099998</v>
      </c>
      <c r="F495" s="34">
        <f t="shared" si="25"/>
        <v>0.91009215498060614</v>
      </c>
      <c r="G495" t="str">
        <f t="shared" si="26"/>
        <v>B</v>
      </c>
    </row>
    <row r="496" spans="1:7" x14ac:dyDescent="0.35">
      <c r="A496" t="s">
        <v>730</v>
      </c>
      <c r="B496" t="s">
        <v>896</v>
      </c>
      <c r="C496" s="5">
        <f>SUMIFS(clean_data!$AM:$AM,clean_data!$U:$U,$A496,clean_data!$V:$V,$B496)</f>
        <v>8154.5511600000009</v>
      </c>
      <c r="D496" s="5">
        <f>SUMIF(clean_data!$U:$U,$A496,clean_data!$AM:$AM)</f>
        <v>1398841.4532999999</v>
      </c>
      <c r="E496" s="5">
        <f t="shared" si="27"/>
        <v>1281229.1838699998</v>
      </c>
      <c r="F496" s="34">
        <f t="shared" si="25"/>
        <v>0.91592165848921503</v>
      </c>
      <c r="G496" t="str">
        <f t="shared" si="26"/>
        <v>B</v>
      </c>
    </row>
    <row r="497" spans="1:7" x14ac:dyDescent="0.35">
      <c r="A497" t="s">
        <v>730</v>
      </c>
      <c r="B497" t="s">
        <v>1037</v>
      </c>
      <c r="C497" s="5">
        <f>SUMIFS(clean_data!$AM:$AM,clean_data!$U:$U,$A497,clean_data!$V:$V,$B497)</f>
        <v>8093.4784</v>
      </c>
      <c r="D497" s="5">
        <f>SUMIF(clean_data!$U:$U,$A497,clean_data!$AM:$AM)</f>
        <v>1398841.4532999999</v>
      </c>
      <c r="E497" s="5">
        <f t="shared" si="27"/>
        <v>1289322.6622699997</v>
      </c>
      <c r="F497" s="34">
        <f t="shared" si="25"/>
        <v>0.92170750246810673</v>
      </c>
      <c r="G497" t="str">
        <f t="shared" si="26"/>
        <v>B</v>
      </c>
    </row>
    <row r="498" spans="1:7" x14ac:dyDescent="0.35">
      <c r="A498" t="s">
        <v>730</v>
      </c>
      <c r="B498" t="s">
        <v>1234</v>
      </c>
      <c r="C498" s="5">
        <f>SUMIFS(clean_data!$AM:$AM,clean_data!$U:$U,$A498,clean_data!$V:$V,$B498)</f>
        <v>7428.1108999999988</v>
      </c>
      <c r="D498" s="5">
        <f>SUMIF(clean_data!$U:$U,$A498,clean_data!$AM:$AM)</f>
        <v>1398841.4532999999</v>
      </c>
      <c r="E498" s="5">
        <f t="shared" si="27"/>
        <v>1296750.7731699997</v>
      </c>
      <c r="F498" s="34">
        <f t="shared" si="25"/>
        <v>0.92701769032569159</v>
      </c>
      <c r="G498" t="str">
        <f t="shared" si="26"/>
        <v>B</v>
      </c>
    </row>
    <row r="499" spans="1:7" x14ac:dyDescent="0.35">
      <c r="A499" t="s">
        <v>730</v>
      </c>
      <c r="B499" t="s">
        <v>1312</v>
      </c>
      <c r="C499" s="5">
        <f>SUMIFS(clean_data!$AM:$AM,clean_data!$U:$U,$A499,clean_data!$V:$V,$B499)</f>
        <v>7173.3342799999991</v>
      </c>
      <c r="D499" s="5">
        <f>SUMIF(clean_data!$U:$U,$A499,clean_data!$AM:$AM)</f>
        <v>1398841.4532999999</v>
      </c>
      <c r="E499" s="5">
        <f t="shared" si="27"/>
        <v>1303924.1074499998</v>
      </c>
      <c r="F499" s="34">
        <f t="shared" si="25"/>
        <v>0.93214574416129781</v>
      </c>
      <c r="G499" t="str">
        <f t="shared" si="26"/>
        <v>B</v>
      </c>
    </row>
    <row r="500" spans="1:7" x14ac:dyDescent="0.35">
      <c r="A500" t="s">
        <v>730</v>
      </c>
      <c r="B500" t="s">
        <v>1002</v>
      </c>
      <c r="C500" s="5">
        <f>SUMIFS(clean_data!$AM:$AM,clean_data!$U:$U,$A500,clean_data!$V:$V,$B500)</f>
        <v>6946.8</v>
      </c>
      <c r="D500" s="5">
        <f>SUMIF(clean_data!$U:$U,$A500,clean_data!$AM:$AM)</f>
        <v>1398841.4532999999</v>
      </c>
      <c r="E500" s="5">
        <f t="shared" si="27"/>
        <v>1310870.9074499998</v>
      </c>
      <c r="F500" s="34">
        <f t="shared" si="25"/>
        <v>0.93711185378266482</v>
      </c>
      <c r="G500" t="str">
        <f t="shared" si="26"/>
        <v>B</v>
      </c>
    </row>
    <row r="501" spans="1:7" x14ac:dyDescent="0.35">
      <c r="A501" t="s">
        <v>730</v>
      </c>
      <c r="B501" t="s">
        <v>972</v>
      </c>
      <c r="C501" s="5">
        <f>SUMIFS(clean_data!$AM:$AM,clean_data!$U:$U,$A501,clean_data!$V:$V,$B501)</f>
        <v>6684.1875</v>
      </c>
      <c r="D501" s="5">
        <f>SUMIF(clean_data!$U:$U,$A501,clean_data!$AM:$AM)</f>
        <v>1398841.4532999999</v>
      </c>
      <c r="E501" s="5">
        <f t="shared" si="27"/>
        <v>1317555.0949499998</v>
      </c>
      <c r="F501" s="34">
        <f t="shared" si="25"/>
        <v>0.94189022768932262</v>
      </c>
      <c r="G501" t="str">
        <f t="shared" si="26"/>
        <v>B</v>
      </c>
    </row>
    <row r="502" spans="1:7" x14ac:dyDescent="0.35">
      <c r="A502" t="s">
        <v>730</v>
      </c>
      <c r="B502" t="s">
        <v>965</v>
      </c>
      <c r="C502" s="5">
        <f>SUMIFS(clean_data!$AM:$AM,clean_data!$U:$U,$A502,clean_data!$V:$V,$B502)</f>
        <v>5814.6927299999998</v>
      </c>
      <c r="D502" s="5">
        <f>SUMIF(clean_data!$U:$U,$A502,clean_data!$AM:$AM)</f>
        <v>1398841.4532999999</v>
      </c>
      <c r="E502" s="5">
        <f t="shared" si="27"/>
        <v>1323369.7876799998</v>
      </c>
      <c r="F502" s="34">
        <f t="shared" si="25"/>
        <v>0.94604701952322379</v>
      </c>
      <c r="G502" t="str">
        <f t="shared" si="26"/>
        <v>B</v>
      </c>
    </row>
    <row r="503" spans="1:7" x14ac:dyDescent="0.35">
      <c r="A503" t="s">
        <v>730</v>
      </c>
      <c r="B503" t="s">
        <v>828</v>
      </c>
      <c r="C503" s="5">
        <f>SUMIFS(clean_data!$AM:$AM,clean_data!$U:$U,$A503,clean_data!$V:$V,$B503)</f>
        <v>5487.6023999999998</v>
      </c>
      <c r="D503" s="5">
        <f>SUMIF(clean_data!$U:$U,$A503,clean_data!$AM:$AM)</f>
        <v>1398841.4532999999</v>
      </c>
      <c r="E503" s="5">
        <f t="shared" si="27"/>
        <v>1328857.3900799998</v>
      </c>
      <c r="F503" s="34">
        <f t="shared" si="25"/>
        <v>0.9499699819054539</v>
      </c>
      <c r="G503" t="str">
        <f t="shared" si="26"/>
        <v>B</v>
      </c>
    </row>
    <row r="504" spans="1:7" x14ac:dyDescent="0.35">
      <c r="A504" t="s">
        <v>730</v>
      </c>
      <c r="B504" t="s">
        <v>737</v>
      </c>
      <c r="C504" s="5">
        <f>SUMIFS(clean_data!$AM:$AM,clean_data!$U:$U,$A504,clean_data!$V:$V,$B504)</f>
        <v>5225.2710400000005</v>
      </c>
      <c r="D504" s="5">
        <f>SUMIF(clean_data!$U:$U,$A504,clean_data!$AM:$AM)</f>
        <v>1398841.4532999999</v>
      </c>
      <c r="E504" s="5">
        <f t="shared" si="27"/>
        <v>1334082.6611199998</v>
      </c>
      <c r="F504" s="34">
        <f t="shared" si="25"/>
        <v>0.95370540955357885</v>
      </c>
      <c r="G504" t="str">
        <f t="shared" si="26"/>
        <v>C</v>
      </c>
    </row>
    <row r="505" spans="1:7" x14ac:dyDescent="0.35">
      <c r="A505" t="s">
        <v>730</v>
      </c>
      <c r="B505" t="s">
        <v>1246</v>
      </c>
      <c r="C505" s="5">
        <f>SUMIFS(clean_data!$AM:$AM,clean_data!$U:$U,$A505,clean_data!$V:$V,$B505)</f>
        <v>5189.8836000000001</v>
      </c>
      <c r="D505" s="5">
        <f>SUMIF(clean_data!$U:$U,$A505,clean_data!$AM:$AM)</f>
        <v>1398841.4532999999</v>
      </c>
      <c r="E505" s="5">
        <f t="shared" si="27"/>
        <v>1339272.5447199999</v>
      </c>
      <c r="F505" s="34">
        <f t="shared" si="25"/>
        <v>0.95741553952417457</v>
      </c>
      <c r="G505" t="str">
        <f t="shared" si="26"/>
        <v>C</v>
      </c>
    </row>
    <row r="506" spans="1:7" x14ac:dyDescent="0.35">
      <c r="A506" t="s">
        <v>730</v>
      </c>
      <c r="B506" t="s">
        <v>1219</v>
      </c>
      <c r="C506" s="5">
        <f>SUMIFS(clean_data!$AM:$AM,clean_data!$U:$U,$A506,clean_data!$V:$V,$B506)</f>
        <v>5159.7893599999998</v>
      </c>
      <c r="D506" s="5">
        <f>SUMIF(clean_data!$U:$U,$A506,clean_data!$AM:$AM)</f>
        <v>1398841.4532999999</v>
      </c>
      <c r="E506" s="5">
        <f t="shared" si="27"/>
        <v>1344432.3340799999</v>
      </c>
      <c r="F506" s="34">
        <f t="shared" si="25"/>
        <v>0.96110415580576081</v>
      </c>
      <c r="G506" t="str">
        <f t="shared" si="26"/>
        <v>C</v>
      </c>
    </row>
    <row r="507" spans="1:7" x14ac:dyDescent="0.35">
      <c r="A507" t="s">
        <v>730</v>
      </c>
      <c r="B507" t="s">
        <v>1216</v>
      </c>
      <c r="C507" s="5">
        <f>SUMIFS(clean_data!$AM:$AM,clean_data!$U:$U,$A507,clean_data!$V:$V,$B507)</f>
        <v>5127.0390600000001</v>
      </c>
      <c r="D507" s="5">
        <f>SUMIF(clean_data!$U:$U,$A507,clean_data!$AM:$AM)</f>
        <v>1398841.4532999999</v>
      </c>
      <c r="E507" s="5">
        <f t="shared" si="27"/>
        <v>1349559.37314</v>
      </c>
      <c r="F507" s="34">
        <f t="shared" si="25"/>
        <v>0.96476935964133836</v>
      </c>
      <c r="G507" t="str">
        <f t="shared" si="26"/>
        <v>C</v>
      </c>
    </row>
    <row r="508" spans="1:7" x14ac:dyDescent="0.35">
      <c r="A508" t="s">
        <v>730</v>
      </c>
      <c r="B508" t="s">
        <v>1068</v>
      </c>
      <c r="C508" s="5">
        <f>SUMIFS(clean_data!$AM:$AM,clean_data!$U:$U,$A508,clean_data!$V:$V,$B508)</f>
        <v>4856.35725</v>
      </c>
      <c r="D508" s="5">
        <f>SUMIF(clean_data!$U:$U,$A508,clean_data!$AM:$AM)</f>
        <v>1398841.4532999999</v>
      </c>
      <c r="E508" s="5">
        <f t="shared" si="27"/>
        <v>1354415.7303899999</v>
      </c>
      <c r="F508" s="34">
        <f t="shared" si="25"/>
        <v>0.96824105919566827</v>
      </c>
      <c r="G508" t="str">
        <f t="shared" si="26"/>
        <v>C</v>
      </c>
    </row>
    <row r="509" spans="1:7" x14ac:dyDescent="0.35">
      <c r="A509" t="s">
        <v>730</v>
      </c>
      <c r="B509" t="s">
        <v>1095</v>
      </c>
      <c r="C509" s="5">
        <f>SUMIFS(clean_data!$AM:$AM,clean_data!$U:$U,$A509,clean_data!$V:$V,$B509)</f>
        <v>4804.4682400000002</v>
      </c>
      <c r="D509" s="5">
        <f>SUMIF(clean_data!$U:$U,$A509,clean_data!$AM:$AM)</f>
        <v>1398841.4532999999</v>
      </c>
      <c r="E509" s="5">
        <f t="shared" si="27"/>
        <v>1359220.19863</v>
      </c>
      <c r="F509" s="34">
        <f t="shared" si="25"/>
        <v>0.97167566447467679</v>
      </c>
      <c r="G509" t="str">
        <f t="shared" si="26"/>
        <v>C</v>
      </c>
    </row>
    <row r="510" spans="1:7" x14ac:dyDescent="0.35">
      <c r="A510" t="s">
        <v>730</v>
      </c>
      <c r="B510" t="s">
        <v>871</v>
      </c>
      <c r="C510" s="5">
        <f>SUMIFS(clean_data!$AM:$AM,clean_data!$U:$U,$A510,clean_data!$V:$V,$B510)</f>
        <v>4336.2427499999994</v>
      </c>
      <c r="D510" s="5">
        <f>SUMIF(clean_data!$U:$U,$A510,clean_data!$AM:$AM)</f>
        <v>1398841.4532999999</v>
      </c>
      <c r="E510" s="5">
        <f t="shared" si="27"/>
        <v>1363556.44138</v>
      </c>
      <c r="F510" s="34">
        <f t="shared" si="25"/>
        <v>0.97477554598002569</v>
      </c>
      <c r="G510" t="str">
        <f t="shared" si="26"/>
        <v>C</v>
      </c>
    </row>
    <row r="511" spans="1:7" x14ac:dyDescent="0.35">
      <c r="A511" t="s">
        <v>730</v>
      </c>
      <c r="B511" t="s">
        <v>761</v>
      </c>
      <c r="C511" s="5">
        <f>SUMIFS(clean_data!$AM:$AM,clean_data!$U:$U,$A511,clean_data!$V:$V,$B511)</f>
        <v>3980.7075</v>
      </c>
      <c r="D511" s="5">
        <f>SUMIF(clean_data!$U:$U,$A511,clean_data!$AM:$AM)</f>
        <v>1398841.4532999999</v>
      </c>
      <c r="E511" s="5">
        <f t="shared" si="27"/>
        <v>1367537.14888</v>
      </c>
      <c r="F511" s="34">
        <f t="shared" si="25"/>
        <v>0.97762126340612077</v>
      </c>
      <c r="G511" t="str">
        <f t="shared" si="26"/>
        <v>C</v>
      </c>
    </row>
    <row r="512" spans="1:7" x14ac:dyDescent="0.35">
      <c r="A512" t="s">
        <v>730</v>
      </c>
      <c r="B512" t="s">
        <v>1019</v>
      </c>
      <c r="C512" s="5">
        <f>SUMIFS(clean_data!$AM:$AM,clean_data!$U:$U,$A512,clean_data!$V:$V,$B512)</f>
        <v>3978.6474000000003</v>
      </c>
      <c r="D512" s="5">
        <f>SUMIF(clean_data!$U:$U,$A512,clean_data!$AM:$AM)</f>
        <v>1398841.4532999999</v>
      </c>
      <c r="E512" s="5">
        <f t="shared" si="27"/>
        <v>1371515.7962799999</v>
      </c>
      <c r="F512" s="34">
        <f t="shared" si="25"/>
        <v>0.98046550811349187</v>
      </c>
      <c r="G512" t="str">
        <f t="shared" si="26"/>
        <v>C</v>
      </c>
    </row>
    <row r="513" spans="1:7" x14ac:dyDescent="0.35">
      <c r="A513" t="s">
        <v>730</v>
      </c>
      <c r="B513" t="s">
        <v>762</v>
      </c>
      <c r="C513" s="5">
        <f>SUMIFS(clean_data!$AM:$AM,clean_data!$U:$U,$A513,clean_data!$V:$V,$B513)</f>
        <v>3913.2000000000003</v>
      </c>
      <c r="D513" s="5">
        <f>SUMIF(clean_data!$U:$U,$A513,clean_data!$AM:$AM)</f>
        <v>1398841.4532999999</v>
      </c>
      <c r="E513" s="5">
        <f t="shared" si="27"/>
        <v>1375428.9962799998</v>
      </c>
      <c r="F513" s="34">
        <f t="shared" si="25"/>
        <v>0.98326296596031815</v>
      </c>
      <c r="G513" t="str">
        <f t="shared" si="26"/>
        <v>C</v>
      </c>
    </row>
    <row r="514" spans="1:7" x14ac:dyDescent="0.35">
      <c r="A514" t="s">
        <v>730</v>
      </c>
      <c r="B514" t="s">
        <v>1061</v>
      </c>
      <c r="C514" s="5">
        <f>SUMIFS(clean_data!$AM:$AM,clean_data!$U:$U,$A514,clean_data!$V:$V,$B514)</f>
        <v>3799.8031499999997</v>
      </c>
      <c r="D514" s="5">
        <f>SUMIF(clean_data!$U:$U,$A514,clean_data!$AM:$AM)</f>
        <v>1398841.4532999999</v>
      </c>
      <c r="E514" s="5">
        <f t="shared" si="27"/>
        <v>1379228.7994299999</v>
      </c>
      <c r="F514" s="34">
        <f t="shared" ref="F514:F577" si="28">E514/D514</f>
        <v>0.98597935897329037</v>
      </c>
      <c r="G514" t="str">
        <f t="shared" ref="G514:G577" si="29">IF(F514&lt;=0.8,"A",IF(F514&lt;=0.95,"B","C"))</f>
        <v>C</v>
      </c>
    </row>
    <row r="515" spans="1:7" x14ac:dyDescent="0.35">
      <c r="A515" t="s">
        <v>730</v>
      </c>
      <c r="B515" t="s">
        <v>867</v>
      </c>
      <c r="C515" s="5">
        <f>SUMIFS(clean_data!$AM:$AM,clean_data!$U:$U,$A515,clean_data!$V:$V,$B515)</f>
        <v>3494.4040799999998</v>
      </c>
      <c r="D515" s="5">
        <f>SUMIF(clean_data!$U:$U,$A515,clean_data!$AM:$AM)</f>
        <v>1398841.4532999999</v>
      </c>
      <c r="E515" s="5">
        <f t="shared" ref="E515:E578" si="30">IF(A515=A514,E514+C515,C515)</f>
        <v>1382723.2035099999</v>
      </c>
      <c r="F515" s="34">
        <f t="shared" si="28"/>
        <v>0.98847742912395431</v>
      </c>
      <c r="G515" t="str">
        <f t="shared" si="29"/>
        <v>C</v>
      </c>
    </row>
    <row r="516" spans="1:7" x14ac:dyDescent="0.35">
      <c r="A516" t="s">
        <v>730</v>
      </c>
      <c r="B516" t="s">
        <v>979</v>
      </c>
      <c r="C516" s="5">
        <f>SUMIFS(clean_data!$AM:$AM,clean_data!$U:$U,$A516,clean_data!$V:$V,$B516)</f>
        <v>2909.8689199999999</v>
      </c>
      <c r="D516" s="5">
        <f>SUMIF(clean_data!$U:$U,$A516,clean_data!$AM:$AM)</f>
        <v>1398841.4532999999</v>
      </c>
      <c r="E516" s="5">
        <f t="shared" si="30"/>
        <v>1385633.0724299999</v>
      </c>
      <c r="F516" s="34">
        <f t="shared" si="28"/>
        <v>0.99055762835821015</v>
      </c>
      <c r="G516" t="str">
        <f t="shared" si="29"/>
        <v>C</v>
      </c>
    </row>
    <row r="517" spans="1:7" x14ac:dyDescent="0.35">
      <c r="A517" t="s">
        <v>730</v>
      </c>
      <c r="B517" t="s">
        <v>862</v>
      </c>
      <c r="C517" s="5">
        <f>SUMIFS(clean_data!$AM:$AM,clean_data!$U:$U,$A517,clean_data!$V:$V,$B517)</f>
        <v>2642.1686999999997</v>
      </c>
      <c r="D517" s="5">
        <f>SUMIF(clean_data!$U:$U,$A517,clean_data!$AM:$AM)</f>
        <v>1398841.4532999999</v>
      </c>
      <c r="E517" s="5">
        <f t="shared" si="30"/>
        <v>1388275.24113</v>
      </c>
      <c r="F517" s="34">
        <f t="shared" si="28"/>
        <v>0.99244645478222482</v>
      </c>
      <c r="G517" t="str">
        <f t="shared" si="29"/>
        <v>C</v>
      </c>
    </row>
    <row r="518" spans="1:7" x14ac:dyDescent="0.35">
      <c r="A518" t="s">
        <v>730</v>
      </c>
      <c r="B518" t="s">
        <v>1064</v>
      </c>
      <c r="C518" s="5">
        <f>SUMIFS(clean_data!$AM:$AM,clean_data!$U:$U,$A518,clean_data!$V:$V,$B518)</f>
        <v>2537.2908000000002</v>
      </c>
      <c r="D518" s="5">
        <f>SUMIF(clean_data!$U:$U,$A518,clean_data!$AM:$AM)</f>
        <v>1398841.4532999999</v>
      </c>
      <c r="E518" s="5">
        <f t="shared" si="30"/>
        <v>1390812.5319300001</v>
      </c>
      <c r="F518" s="34">
        <f t="shared" si="28"/>
        <v>0.99426030637635243</v>
      </c>
      <c r="G518" t="str">
        <f t="shared" si="29"/>
        <v>C</v>
      </c>
    </row>
    <row r="519" spans="1:7" x14ac:dyDescent="0.35">
      <c r="A519" t="s">
        <v>730</v>
      </c>
      <c r="B519" t="s">
        <v>1081</v>
      </c>
      <c r="C519" s="5">
        <f>SUMIFS(clean_data!$AM:$AM,clean_data!$U:$U,$A519,clean_data!$V:$V,$B519)</f>
        <v>2206.8000000000002</v>
      </c>
      <c r="D519" s="5">
        <f>SUMIF(clean_data!$U:$U,$A519,clean_data!$AM:$AM)</f>
        <v>1398841.4532999999</v>
      </c>
      <c r="E519" s="5">
        <f t="shared" si="30"/>
        <v>1393019.3319300001</v>
      </c>
      <c r="F519" s="34">
        <f t="shared" si="28"/>
        <v>0.99583789759999974</v>
      </c>
      <c r="G519" t="str">
        <f t="shared" si="29"/>
        <v>C</v>
      </c>
    </row>
    <row r="520" spans="1:7" x14ac:dyDescent="0.35">
      <c r="A520" t="s">
        <v>730</v>
      </c>
      <c r="B520" t="s">
        <v>1145</v>
      </c>
      <c r="C520" s="5">
        <f>SUMIFS(clean_data!$AM:$AM,clean_data!$U:$U,$A520,clean_data!$V:$V,$B520)</f>
        <v>2059.0056</v>
      </c>
      <c r="D520" s="5">
        <f>SUMIF(clean_data!$U:$U,$A520,clean_data!$AM:$AM)</f>
        <v>1398841.4532999999</v>
      </c>
      <c r="E520" s="5">
        <f t="shared" si="30"/>
        <v>1395078.3375300001</v>
      </c>
      <c r="F520" s="34">
        <f t="shared" si="28"/>
        <v>0.99730983396215334</v>
      </c>
      <c r="G520" t="str">
        <f t="shared" si="29"/>
        <v>C</v>
      </c>
    </row>
    <row r="521" spans="1:7" x14ac:dyDescent="0.35">
      <c r="A521" t="s">
        <v>730</v>
      </c>
      <c r="B521" t="s">
        <v>1304</v>
      </c>
      <c r="C521" s="5">
        <f>SUMIFS(clean_data!$AM:$AM,clean_data!$U:$U,$A521,clean_data!$V:$V,$B521)</f>
        <v>841.00536</v>
      </c>
      <c r="D521" s="5">
        <f>SUMIF(clean_data!$U:$U,$A521,clean_data!$AM:$AM)</f>
        <v>1398841.4532999999</v>
      </c>
      <c r="E521" s="5">
        <f t="shared" si="30"/>
        <v>1395919.3428900002</v>
      </c>
      <c r="F521" s="34">
        <f t="shared" si="28"/>
        <v>0.99791104960243626</v>
      </c>
      <c r="G521" t="str">
        <f t="shared" si="29"/>
        <v>C</v>
      </c>
    </row>
    <row r="522" spans="1:7" x14ac:dyDescent="0.35">
      <c r="A522" t="s">
        <v>730</v>
      </c>
      <c r="B522" t="s">
        <v>1016</v>
      </c>
      <c r="C522" s="5">
        <f>SUMIFS(clean_data!$AM:$AM,clean_data!$U:$U,$A522,clean_data!$V:$V,$B522)</f>
        <v>667.74</v>
      </c>
      <c r="D522" s="5">
        <f>SUMIF(clean_data!$U:$U,$A522,clean_data!$AM:$AM)</f>
        <v>1398841.4532999999</v>
      </c>
      <c r="E522" s="5">
        <f t="shared" si="30"/>
        <v>1396587.0828900002</v>
      </c>
      <c r="F522" s="34">
        <f t="shared" si="28"/>
        <v>0.99838840177013521</v>
      </c>
      <c r="G522" t="str">
        <f t="shared" si="29"/>
        <v>C</v>
      </c>
    </row>
    <row r="523" spans="1:7" x14ac:dyDescent="0.35">
      <c r="A523" t="s">
        <v>730</v>
      </c>
      <c r="B523" t="s">
        <v>1264</v>
      </c>
      <c r="C523" s="5">
        <f>SUMIFS(clean_data!$AM:$AM,clean_data!$U:$U,$A523,clean_data!$V:$V,$B523)</f>
        <v>618.19979999999987</v>
      </c>
      <c r="D523" s="5">
        <f>SUMIF(clean_data!$U:$U,$A523,clean_data!$AM:$AM)</f>
        <v>1398841.4532999999</v>
      </c>
      <c r="E523" s="5">
        <f t="shared" si="30"/>
        <v>1397205.2826900003</v>
      </c>
      <c r="F523" s="34">
        <f t="shared" si="28"/>
        <v>0.99883033877346161</v>
      </c>
      <c r="G523" t="str">
        <f t="shared" si="29"/>
        <v>C</v>
      </c>
    </row>
    <row r="524" spans="1:7" x14ac:dyDescent="0.35">
      <c r="A524" t="s">
        <v>730</v>
      </c>
      <c r="B524" t="s">
        <v>997</v>
      </c>
      <c r="C524" s="5">
        <f>SUMIFS(clean_data!$AM:$AM,clean_data!$U:$U,$A524,clean_data!$V:$V,$B524)</f>
        <v>560.36831999999993</v>
      </c>
      <c r="D524" s="5">
        <f>SUMIF(clean_data!$U:$U,$A524,clean_data!$AM:$AM)</f>
        <v>1398841.4532999999</v>
      </c>
      <c r="E524" s="5">
        <f t="shared" si="30"/>
        <v>1397765.6510100001</v>
      </c>
      <c r="F524" s="34">
        <f t="shared" si="28"/>
        <v>0.99923093336456259</v>
      </c>
      <c r="G524" t="str">
        <f t="shared" si="29"/>
        <v>C</v>
      </c>
    </row>
    <row r="525" spans="1:7" x14ac:dyDescent="0.35">
      <c r="A525" t="s">
        <v>730</v>
      </c>
      <c r="B525" t="s">
        <v>840</v>
      </c>
      <c r="C525" s="5">
        <f>SUMIFS(clean_data!$AM:$AM,clean_data!$U:$U,$A525,clean_data!$V:$V,$B525)</f>
        <v>518.65436999999997</v>
      </c>
      <c r="D525" s="5">
        <f>SUMIF(clean_data!$U:$U,$A525,clean_data!$AM:$AM)</f>
        <v>1398841.4532999999</v>
      </c>
      <c r="E525" s="5">
        <f t="shared" si="30"/>
        <v>1398284.30538</v>
      </c>
      <c r="F525" s="34">
        <f t="shared" si="28"/>
        <v>0.99960170759975298</v>
      </c>
      <c r="G525" t="str">
        <f t="shared" si="29"/>
        <v>C</v>
      </c>
    </row>
    <row r="526" spans="1:7" x14ac:dyDescent="0.35">
      <c r="A526" t="s">
        <v>730</v>
      </c>
      <c r="B526" t="s">
        <v>1318</v>
      </c>
      <c r="C526" s="5">
        <f>SUMIFS(clean_data!$AM:$AM,clean_data!$U:$U,$A526,clean_data!$V:$V,$B526)</f>
        <v>370.86</v>
      </c>
      <c r="D526" s="5">
        <f>SUMIF(clean_data!$U:$U,$A526,clean_data!$AM:$AM)</f>
        <v>1398841.4532999999</v>
      </c>
      <c r="E526" s="5">
        <f t="shared" si="30"/>
        <v>1398655.1653800001</v>
      </c>
      <c r="F526" s="34">
        <f t="shared" si="28"/>
        <v>0.99986682699489615</v>
      </c>
      <c r="G526" t="str">
        <f t="shared" si="29"/>
        <v>C</v>
      </c>
    </row>
    <row r="527" spans="1:7" x14ac:dyDescent="0.35">
      <c r="A527" t="s">
        <v>730</v>
      </c>
      <c r="B527" t="s">
        <v>1226</v>
      </c>
      <c r="C527" s="5">
        <f>SUMIFS(clean_data!$AM:$AM,clean_data!$U:$U,$A527,clean_data!$V:$V,$B527)</f>
        <v>110.14919999999999</v>
      </c>
      <c r="D527" s="5">
        <f>SUMIF(clean_data!$U:$U,$A527,clean_data!$AM:$AM)</f>
        <v>1398841.4532999999</v>
      </c>
      <c r="E527" s="5">
        <f t="shared" si="30"/>
        <v>1398765.3145800002</v>
      </c>
      <c r="F527" s="34">
        <f t="shared" si="28"/>
        <v>0.99994557015748986</v>
      </c>
      <c r="G527" t="str">
        <f t="shared" si="29"/>
        <v>C</v>
      </c>
    </row>
    <row r="528" spans="1:7" x14ac:dyDescent="0.35">
      <c r="A528" t="s">
        <v>730</v>
      </c>
      <c r="B528" t="s">
        <v>1020</v>
      </c>
      <c r="C528" s="5">
        <f>SUMIFS(clean_data!$AM:$AM,clean_data!$U:$U,$A528,clean_data!$V:$V,$B528)</f>
        <v>76.138720000000006</v>
      </c>
      <c r="D528" s="5">
        <f>SUMIF(clean_data!$U:$U,$A528,clean_data!$AM:$AM)</f>
        <v>1398841.4532999999</v>
      </c>
      <c r="E528" s="5">
        <f t="shared" si="30"/>
        <v>1398841.4533000002</v>
      </c>
      <c r="F528" s="34">
        <f t="shared" si="28"/>
        <v>1.0000000000000002</v>
      </c>
      <c r="G528" t="str">
        <f t="shared" si="29"/>
        <v>C</v>
      </c>
    </row>
    <row r="529" spans="1:7" x14ac:dyDescent="0.35">
      <c r="A529" t="s">
        <v>728</v>
      </c>
      <c r="B529" t="s">
        <v>1271</v>
      </c>
      <c r="C529" s="5">
        <f>SUMIFS(clean_data!$AM:$AM,clean_data!$U:$U,$A529,clean_data!$V:$V,$B529)</f>
        <v>66260.314239999992</v>
      </c>
      <c r="D529" s="5">
        <f>SUMIF(clean_data!$U:$U,$A529,clean_data!$AM:$AM)</f>
        <v>1616102.6546600002</v>
      </c>
      <c r="E529" s="5">
        <f t="shared" si="30"/>
        <v>66260.314239999992</v>
      </c>
      <c r="F529" s="34">
        <f t="shared" si="28"/>
        <v>4.1000065217973426E-2</v>
      </c>
      <c r="G529" t="str">
        <f t="shared" si="29"/>
        <v>A</v>
      </c>
    </row>
    <row r="530" spans="1:7" x14ac:dyDescent="0.35">
      <c r="A530" t="s">
        <v>728</v>
      </c>
      <c r="B530" t="s">
        <v>1157</v>
      </c>
      <c r="C530" s="5">
        <f>SUMIFS(clean_data!$AM:$AM,clean_data!$U:$U,$A530,clean_data!$V:$V,$B530)</f>
        <v>58091.634960000003</v>
      </c>
      <c r="D530" s="5">
        <f>SUMIF(clean_data!$U:$U,$A530,clean_data!$AM:$AM)</f>
        <v>1616102.6546600002</v>
      </c>
      <c r="E530" s="5">
        <f t="shared" si="30"/>
        <v>124351.9492</v>
      </c>
      <c r="F530" s="34">
        <f t="shared" si="28"/>
        <v>7.6945575729013005E-2</v>
      </c>
      <c r="G530" t="str">
        <f t="shared" si="29"/>
        <v>A</v>
      </c>
    </row>
    <row r="531" spans="1:7" x14ac:dyDescent="0.35">
      <c r="A531" t="s">
        <v>728</v>
      </c>
      <c r="B531" t="s">
        <v>933</v>
      </c>
      <c r="C531" s="5">
        <f>SUMIFS(clean_data!$AM:$AM,clean_data!$U:$U,$A531,clean_data!$V:$V,$B531)</f>
        <v>55880.483749999999</v>
      </c>
      <c r="D531" s="5">
        <f>SUMIF(clean_data!$U:$U,$A531,clean_data!$AM:$AM)</f>
        <v>1616102.6546600002</v>
      </c>
      <c r="E531" s="5">
        <f t="shared" si="30"/>
        <v>180232.43294999999</v>
      </c>
      <c r="F531" s="34">
        <f t="shared" si="28"/>
        <v>0.11152288651361553</v>
      </c>
      <c r="G531" t="str">
        <f t="shared" si="29"/>
        <v>A</v>
      </c>
    </row>
    <row r="532" spans="1:7" x14ac:dyDescent="0.35">
      <c r="A532" t="s">
        <v>728</v>
      </c>
      <c r="B532" t="s">
        <v>1289</v>
      </c>
      <c r="C532" s="5">
        <f>SUMIFS(clean_data!$AM:$AM,clean_data!$U:$U,$A532,clean_data!$V:$V,$B532)</f>
        <v>50545.319219999998</v>
      </c>
      <c r="D532" s="5">
        <f>SUMIF(clean_data!$U:$U,$A532,clean_data!$AM:$AM)</f>
        <v>1616102.6546600002</v>
      </c>
      <c r="E532" s="5">
        <f t="shared" si="30"/>
        <v>230777.75216999999</v>
      </c>
      <c r="F532" s="34">
        <f t="shared" si="28"/>
        <v>0.14279894380753405</v>
      </c>
      <c r="G532" t="str">
        <f t="shared" si="29"/>
        <v>A</v>
      </c>
    </row>
    <row r="533" spans="1:7" x14ac:dyDescent="0.35">
      <c r="A533" t="s">
        <v>728</v>
      </c>
      <c r="B533" t="s">
        <v>1090</v>
      </c>
      <c r="C533" s="5">
        <f>SUMIFS(clean_data!$AM:$AM,clean_data!$U:$U,$A533,clean_data!$V:$V,$B533)</f>
        <v>43907.94</v>
      </c>
      <c r="D533" s="5">
        <f>SUMIF(clean_data!$U:$U,$A533,clean_data!$AM:$AM)</f>
        <v>1616102.6546600002</v>
      </c>
      <c r="E533" s="5">
        <f t="shared" si="30"/>
        <v>274685.69216999999</v>
      </c>
      <c r="F533" s="34">
        <f t="shared" si="28"/>
        <v>0.16996797287471138</v>
      </c>
      <c r="G533" t="str">
        <f t="shared" si="29"/>
        <v>A</v>
      </c>
    </row>
    <row r="534" spans="1:7" x14ac:dyDescent="0.35">
      <c r="A534" t="s">
        <v>728</v>
      </c>
      <c r="B534" t="s">
        <v>829</v>
      </c>
      <c r="C534" s="5">
        <f>SUMIFS(clean_data!$AM:$AM,clean_data!$U:$U,$A534,clean_data!$V:$V,$B534)</f>
        <v>43209.006119999991</v>
      </c>
      <c r="D534" s="5">
        <f>SUMIF(clean_data!$U:$U,$A534,clean_data!$AM:$AM)</f>
        <v>1616102.6546600002</v>
      </c>
      <c r="E534" s="5">
        <f t="shared" si="30"/>
        <v>317894.69828999997</v>
      </c>
      <c r="F534" s="34">
        <f t="shared" si="28"/>
        <v>0.19670452082567705</v>
      </c>
      <c r="G534" t="str">
        <f t="shared" si="29"/>
        <v>A</v>
      </c>
    </row>
    <row r="535" spans="1:7" x14ac:dyDescent="0.35">
      <c r="A535" t="s">
        <v>728</v>
      </c>
      <c r="B535" t="s">
        <v>1047</v>
      </c>
      <c r="C535" s="5">
        <f>SUMIFS(clean_data!$AM:$AM,clean_data!$U:$U,$A535,clean_data!$V:$V,$B535)</f>
        <v>40325.31</v>
      </c>
      <c r="D535" s="5">
        <f>SUMIF(clean_data!$U:$U,$A535,clean_data!$AM:$AM)</f>
        <v>1616102.6546600002</v>
      </c>
      <c r="E535" s="5">
        <f t="shared" si="30"/>
        <v>358220.00828999997</v>
      </c>
      <c r="F535" s="34">
        <f t="shared" si="28"/>
        <v>0.2216567167048947</v>
      </c>
      <c r="G535" t="str">
        <f t="shared" si="29"/>
        <v>A</v>
      </c>
    </row>
    <row r="536" spans="1:7" x14ac:dyDescent="0.35">
      <c r="A536" t="s">
        <v>728</v>
      </c>
      <c r="B536" t="s">
        <v>1335</v>
      </c>
      <c r="C536" s="5">
        <f>SUMIFS(clean_data!$AM:$AM,clean_data!$U:$U,$A536,clean_data!$V:$V,$B536)</f>
        <v>39810.328000000001</v>
      </c>
      <c r="D536" s="5">
        <f>SUMIF(clean_data!$U:$U,$A536,clean_data!$AM:$AM)</f>
        <v>1616102.6546600002</v>
      </c>
      <c r="E536" s="5">
        <f t="shared" si="30"/>
        <v>398030.33628999995</v>
      </c>
      <c r="F536" s="34">
        <f t="shared" si="28"/>
        <v>0.24629025584624051</v>
      </c>
      <c r="G536" t="str">
        <f t="shared" si="29"/>
        <v>A</v>
      </c>
    </row>
    <row r="537" spans="1:7" x14ac:dyDescent="0.35">
      <c r="A537" t="s">
        <v>728</v>
      </c>
      <c r="B537" t="s">
        <v>1071</v>
      </c>
      <c r="C537" s="5">
        <f>SUMIFS(clean_data!$AM:$AM,clean_data!$U:$U,$A537,clean_data!$V:$V,$B537)</f>
        <v>38535.955099999999</v>
      </c>
      <c r="D537" s="5">
        <f>SUMIF(clean_data!$U:$U,$A537,clean_data!$AM:$AM)</f>
        <v>1616102.6546600002</v>
      </c>
      <c r="E537" s="5">
        <f t="shared" si="30"/>
        <v>436566.29138999997</v>
      </c>
      <c r="F537" s="34">
        <f t="shared" si="28"/>
        <v>0.2701352479876013</v>
      </c>
      <c r="G537" t="str">
        <f t="shared" si="29"/>
        <v>A</v>
      </c>
    </row>
    <row r="538" spans="1:7" x14ac:dyDescent="0.35">
      <c r="A538" t="s">
        <v>728</v>
      </c>
      <c r="B538" t="s">
        <v>1115</v>
      </c>
      <c r="C538" s="5">
        <f>SUMIFS(clean_data!$AM:$AM,clean_data!$U:$U,$A538,clean_data!$V:$V,$B538)</f>
        <v>37562.28</v>
      </c>
      <c r="D538" s="5">
        <f>SUMIF(clean_data!$U:$U,$A538,clean_data!$AM:$AM)</f>
        <v>1616102.6546600002</v>
      </c>
      <c r="E538" s="5">
        <f t="shared" si="30"/>
        <v>474128.57138999994</v>
      </c>
      <c r="F538" s="34">
        <f t="shared" si="28"/>
        <v>0.29337775668077737</v>
      </c>
      <c r="G538" t="str">
        <f t="shared" si="29"/>
        <v>A</v>
      </c>
    </row>
    <row r="539" spans="1:7" x14ac:dyDescent="0.35">
      <c r="A539" t="s">
        <v>728</v>
      </c>
      <c r="B539" t="s">
        <v>1204</v>
      </c>
      <c r="C539" s="5">
        <f>SUMIFS(clean_data!$AM:$AM,clean_data!$U:$U,$A539,clean_data!$V:$V,$B539)</f>
        <v>36549.429260000004</v>
      </c>
      <c r="D539" s="5">
        <f>SUMIF(clean_data!$U:$U,$A539,clean_data!$AM:$AM)</f>
        <v>1616102.6546600002</v>
      </c>
      <c r="E539" s="5">
        <f t="shared" si="30"/>
        <v>510678.00064999994</v>
      </c>
      <c r="F539" s="34">
        <f t="shared" si="28"/>
        <v>0.31599354111415506</v>
      </c>
      <c r="G539" t="str">
        <f t="shared" si="29"/>
        <v>A</v>
      </c>
    </row>
    <row r="540" spans="1:7" x14ac:dyDescent="0.35">
      <c r="A540" t="s">
        <v>728</v>
      </c>
      <c r="B540" t="s">
        <v>872</v>
      </c>
      <c r="C540" s="5">
        <f>SUMIFS(clean_data!$AM:$AM,clean_data!$U:$U,$A540,clean_data!$V:$V,$B540)</f>
        <v>35567.737920000007</v>
      </c>
      <c r="D540" s="5">
        <f>SUMIF(clean_data!$U:$U,$A540,clean_data!$AM:$AM)</f>
        <v>1616102.6546600002</v>
      </c>
      <c r="E540" s="5">
        <f t="shared" si="30"/>
        <v>546245.73856999993</v>
      </c>
      <c r="F540" s="34">
        <f t="shared" si="28"/>
        <v>0.33800188186988683</v>
      </c>
      <c r="G540" t="str">
        <f t="shared" si="29"/>
        <v>A</v>
      </c>
    </row>
    <row r="541" spans="1:7" x14ac:dyDescent="0.35">
      <c r="A541" t="s">
        <v>728</v>
      </c>
      <c r="B541" t="s">
        <v>783</v>
      </c>
      <c r="C541" s="5">
        <f>SUMIFS(clean_data!$AM:$AM,clean_data!$U:$U,$A541,clean_data!$V:$V,$B541)</f>
        <v>34444.462359999998</v>
      </c>
      <c r="D541" s="5">
        <f>SUMIF(clean_data!$U:$U,$A541,clean_data!$AM:$AM)</f>
        <v>1616102.6546600002</v>
      </c>
      <c r="E541" s="5">
        <f t="shared" si="30"/>
        <v>580690.20092999993</v>
      </c>
      <c r="F541" s="34">
        <f t="shared" si="28"/>
        <v>0.35931517051567929</v>
      </c>
      <c r="G541" t="str">
        <f t="shared" si="29"/>
        <v>A</v>
      </c>
    </row>
    <row r="542" spans="1:7" x14ac:dyDescent="0.35">
      <c r="A542" t="s">
        <v>728</v>
      </c>
      <c r="B542" t="s">
        <v>1262</v>
      </c>
      <c r="C542" s="5">
        <f>SUMIFS(clean_data!$AM:$AM,clean_data!$U:$U,$A542,clean_data!$V:$V,$B542)</f>
        <v>33421.1</v>
      </c>
      <c r="D542" s="5">
        <f>SUMIF(clean_data!$U:$U,$A542,clean_data!$AM:$AM)</f>
        <v>1616102.6546600002</v>
      </c>
      <c r="E542" s="5">
        <f t="shared" si="30"/>
        <v>614111.30092999991</v>
      </c>
      <c r="F542" s="34">
        <f t="shared" si="28"/>
        <v>0.37999523059950557</v>
      </c>
      <c r="G542" t="str">
        <f t="shared" si="29"/>
        <v>A</v>
      </c>
    </row>
    <row r="543" spans="1:7" x14ac:dyDescent="0.35">
      <c r="A543" t="s">
        <v>728</v>
      </c>
      <c r="B543" t="s">
        <v>1280</v>
      </c>
      <c r="C543" s="5">
        <f>SUMIFS(clean_data!$AM:$AM,clean_data!$U:$U,$A543,clean_data!$V:$V,$B543)</f>
        <v>31822.023930000003</v>
      </c>
      <c r="D543" s="5">
        <f>SUMIF(clean_data!$U:$U,$A543,clean_data!$AM:$AM)</f>
        <v>1616102.6546600002</v>
      </c>
      <c r="E543" s="5">
        <f t="shared" si="30"/>
        <v>645933.32485999994</v>
      </c>
      <c r="F543" s="34">
        <f t="shared" si="28"/>
        <v>0.39968582626695398</v>
      </c>
      <c r="G543" t="str">
        <f t="shared" si="29"/>
        <v>A</v>
      </c>
    </row>
    <row r="544" spans="1:7" x14ac:dyDescent="0.35">
      <c r="A544" t="s">
        <v>728</v>
      </c>
      <c r="B544" t="s">
        <v>776</v>
      </c>
      <c r="C544" s="5">
        <f>SUMIFS(clean_data!$AM:$AM,clean_data!$U:$U,$A544,clean_data!$V:$V,$B544)</f>
        <v>30596.565999999999</v>
      </c>
      <c r="D544" s="5">
        <f>SUMIF(clean_data!$U:$U,$A544,clean_data!$AM:$AM)</f>
        <v>1616102.6546600002</v>
      </c>
      <c r="E544" s="5">
        <f t="shared" si="30"/>
        <v>676529.89085999993</v>
      </c>
      <c r="F544" s="34">
        <f t="shared" si="28"/>
        <v>0.41861814217632726</v>
      </c>
      <c r="G544" t="str">
        <f t="shared" si="29"/>
        <v>A</v>
      </c>
    </row>
    <row r="545" spans="1:7" x14ac:dyDescent="0.35">
      <c r="A545" t="s">
        <v>728</v>
      </c>
      <c r="B545" t="s">
        <v>887</v>
      </c>
      <c r="C545" s="5">
        <f>SUMIFS(clean_data!$AM:$AM,clean_data!$U:$U,$A545,clean_data!$V:$V,$B545)</f>
        <v>29654.83008</v>
      </c>
      <c r="D545" s="5">
        <f>SUMIF(clean_data!$U:$U,$A545,clean_data!$AM:$AM)</f>
        <v>1616102.6546600002</v>
      </c>
      <c r="E545" s="5">
        <f t="shared" si="30"/>
        <v>706184.72093999991</v>
      </c>
      <c r="F545" s="34">
        <f t="shared" si="28"/>
        <v>0.43696773772614639</v>
      </c>
      <c r="G545" t="str">
        <f t="shared" si="29"/>
        <v>A</v>
      </c>
    </row>
    <row r="546" spans="1:7" x14ac:dyDescent="0.35">
      <c r="A546" t="s">
        <v>728</v>
      </c>
      <c r="B546" t="s">
        <v>1220</v>
      </c>
      <c r="C546" s="5">
        <f>SUMIFS(clean_data!$AM:$AM,clean_data!$U:$U,$A546,clean_data!$V:$V,$B546)</f>
        <v>28856.475000000002</v>
      </c>
      <c r="D546" s="5">
        <f>SUMIF(clean_data!$U:$U,$A546,clean_data!$AM:$AM)</f>
        <v>1616102.6546600002</v>
      </c>
      <c r="E546" s="5">
        <f t="shared" si="30"/>
        <v>735041.19593999989</v>
      </c>
      <c r="F546" s="34">
        <f t="shared" si="28"/>
        <v>0.45482333304788719</v>
      </c>
      <c r="G546" t="str">
        <f t="shared" si="29"/>
        <v>A</v>
      </c>
    </row>
    <row r="547" spans="1:7" x14ac:dyDescent="0.35">
      <c r="A547" t="s">
        <v>728</v>
      </c>
      <c r="B547" t="s">
        <v>953</v>
      </c>
      <c r="C547" s="5">
        <f>SUMIFS(clean_data!$AM:$AM,clean_data!$U:$U,$A547,clean_data!$V:$V,$B547)</f>
        <v>28211.92124</v>
      </c>
      <c r="D547" s="5">
        <f>SUMIF(clean_data!$U:$U,$A547,clean_data!$AM:$AM)</f>
        <v>1616102.6546600002</v>
      </c>
      <c r="E547" s="5">
        <f t="shared" si="30"/>
        <v>763253.11717999994</v>
      </c>
      <c r="F547" s="34">
        <f t="shared" si="28"/>
        <v>0.47228009618026096</v>
      </c>
      <c r="G547" t="str">
        <f t="shared" si="29"/>
        <v>A</v>
      </c>
    </row>
    <row r="548" spans="1:7" x14ac:dyDescent="0.35">
      <c r="A548" t="s">
        <v>728</v>
      </c>
      <c r="B548" t="s">
        <v>1208</v>
      </c>
      <c r="C548" s="5">
        <f>SUMIFS(clean_data!$AM:$AM,clean_data!$U:$U,$A548,clean_data!$V:$V,$B548)</f>
        <v>27194.152039999997</v>
      </c>
      <c r="D548" s="5">
        <f>SUMIF(clean_data!$U:$U,$A548,clean_data!$AM:$AM)</f>
        <v>1616102.6546600002</v>
      </c>
      <c r="E548" s="5">
        <f t="shared" si="30"/>
        <v>790447.2692199999</v>
      </c>
      <c r="F548" s="34">
        <f t="shared" si="28"/>
        <v>0.4891070916446803</v>
      </c>
      <c r="G548" t="str">
        <f t="shared" si="29"/>
        <v>A</v>
      </c>
    </row>
    <row r="549" spans="1:7" x14ac:dyDescent="0.35">
      <c r="A549" t="s">
        <v>728</v>
      </c>
      <c r="B549" t="s">
        <v>750</v>
      </c>
      <c r="C549" s="5">
        <f>SUMIFS(clean_data!$AM:$AM,clean_data!$U:$U,$A549,clean_data!$V:$V,$B549)</f>
        <v>25948.414799999995</v>
      </c>
      <c r="D549" s="5">
        <f>SUMIF(clean_data!$U:$U,$A549,clean_data!$AM:$AM)</f>
        <v>1616102.6546600002</v>
      </c>
      <c r="E549" s="5">
        <f t="shared" si="30"/>
        <v>816395.68401999993</v>
      </c>
      <c r="F549" s="34">
        <f t="shared" si="28"/>
        <v>0.50516325907017046</v>
      </c>
      <c r="G549" t="str">
        <f t="shared" si="29"/>
        <v>A</v>
      </c>
    </row>
    <row r="550" spans="1:7" x14ac:dyDescent="0.35">
      <c r="A550" t="s">
        <v>728</v>
      </c>
      <c r="B550" t="s">
        <v>987</v>
      </c>
      <c r="C550" s="5">
        <f>SUMIFS(clean_data!$AM:$AM,clean_data!$U:$U,$A550,clean_data!$V:$V,$B550)</f>
        <v>25483.91488</v>
      </c>
      <c r="D550" s="5">
        <f>SUMIF(clean_data!$U:$U,$A550,clean_data!$AM:$AM)</f>
        <v>1616102.6546600002</v>
      </c>
      <c r="E550" s="5">
        <f t="shared" si="30"/>
        <v>841879.59889999998</v>
      </c>
      <c r="F550" s="34">
        <f t="shared" si="28"/>
        <v>0.52093200668438777</v>
      </c>
      <c r="G550" t="str">
        <f t="shared" si="29"/>
        <v>A</v>
      </c>
    </row>
    <row r="551" spans="1:7" x14ac:dyDescent="0.35">
      <c r="A551" t="s">
        <v>728</v>
      </c>
      <c r="B551" t="s">
        <v>1350</v>
      </c>
      <c r="C551" s="5">
        <f>SUMIFS(clean_data!$AM:$AM,clean_data!$U:$U,$A551,clean_data!$V:$V,$B551)</f>
        <v>25174.028880000002</v>
      </c>
      <c r="D551" s="5">
        <f>SUMIF(clean_data!$U:$U,$A551,clean_data!$AM:$AM)</f>
        <v>1616102.6546600002</v>
      </c>
      <c r="E551" s="5">
        <f t="shared" si="30"/>
        <v>867053.62777999998</v>
      </c>
      <c r="F551" s="34">
        <f t="shared" si="28"/>
        <v>0.53650900534063717</v>
      </c>
      <c r="G551" t="str">
        <f t="shared" si="29"/>
        <v>A</v>
      </c>
    </row>
    <row r="552" spans="1:7" x14ac:dyDescent="0.35">
      <c r="A552" t="s">
        <v>728</v>
      </c>
      <c r="B552" t="s">
        <v>1139</v>
      </c>
      <c r="C552" s="5">
        <f>SUMIFS(clean_data!$AM:$AM,clean_data!$U:$U,$A552,clean_data!$V:$V,$B552)</f>
        <v>22457.143800000002</v>
      </c>
      <c r="D552" s="5">
        <f>SUMIF(clean_data!$U:$U,$A552,clean_data!$AM:$AM)</f>
        <v>1616102.6546600002</v>
      </c>
      <c r="E552" s="5">
        <f t="shared" si="30"/>
        <v>889510.77157999994</v>
      </c>
      <c r="F552" s="34">
        <f t="shared" si="28"/>
        <v>0.55040487002178551</v>
      </c>
      <c r="G552" t="str">
        <f t="shared" si="29"/>
        <v>A</v>
      </c>
    </row>
    <row r="553" spans="1:7" x14ac:dyDescent="0.35">
      <c r="A553" t="s">
        <v>728</v>
      </c>
      <c r="B553" t="s">
        <v>1249</v>
      </c>
      <c r="C553" s="5">
        <f>SUMIFS(clean_data!$AM:$AM,clean_data!$U:$U,$A553,clean_data!$V:$V,$B553)</f>
        <v>22201.762229999997</v>
      </c>
      <c r="D553" s="5">
        <f>SUMIF(clean_data!$U:$U,$A553,clean_data!$AM:$AM)</f>
        <v>1616102.6546600002</v>
      </c>
      <c r="E553" s="5">
        <f t="shared" si="30"/>
        <v>911712.53380999994</v>
      </c>
      <c r="F553" s="34">
        <f t="shared" si="28"/>
        <v>0.56414271159142937</v>
      </c>
      <c r="G553" t="str">
        <f t="shared" si="29"/>
        <v>A</v>
      </c>
    </row>
    <row r="554" spans="1:7" x14ac:dyDescent="0.35">
      <c r="A554" t="s">
        <v>728</v>
      </c>
      <c r="B554" t="s">
        <v>1177</v>
      </c>
      <c r="C554" s="5">
        <f>SUMIFS(clean_data!$AM:$AM,clean_data!$U:$U,$A554,clean_data!$V:$V,$B554)</f>
        <v>21664.440000000002</v>
      </c>
      <c r="D554" s="5">
        <f>SUMIF(clean_data!$U:$U,$A554,clean_data!$AM:$AM)</f>
        <v>1616102.6546600002</v>
      </c>
      <c r="E554" s="5">
        <f t="shared" si="30"/>
        <v>933376.97380999988</v>
      </c>
      <c r="F554" s="34">
        <f t="shared" si="28"/>
        <v>0.57754807290157328</v>
      </c>
      <c r="G554" t="str">
        <f t="shared" si="29"/>
        <v>A</v>
      </c>
    </row>
    <row r="555" spans="1:7" x14ac:dyDescent="0.35">
      <c r="A555" t="s">
        <v>728</v>
      </c>
      <c r="B555" t="s">
        <v>747</v>
      </c>
      <c r="C555" s="5">
        <f>SUMIFS(clean_data!$AM:$AM,clean_data!$U:$U,$A555,clean_data!$V:$V,$B555)</f>
        <v>21585.15</v>
      </c>
      <c r="D555" s="5">
        <f>SUMIF(clean_data!$U:$U,$A555,clean_data!$AM:$AM)</f>
        <v>1616102.6546600002</v>
      </c>
      <c r="E555" s="5">
        <f t="shared" si="30"/>
        <v>954962.1238099999</v>
      </c>
      <c r="F555" s="34">
        <f t="shared" si="28"/>
        <v>0.59090437173429877</v>
      </c>
      <c r="G555" t="str">
        <f t="shared" si="29"/>
        <v>A</v>
      </c>
    </row>
    <row r="556" spans="1:7" x14ac:dyDescent="0.35">
      <c r="A556" t="s">
        <v>728</v>
      </c>
      <c r="B556" t="s">
        <v>1173</v>
      </c>
      <c r="C556" s="5">
        <f>SUMIFS(clean_data!$AM:$AM,clean_data!$U:$U,$A556,clean_data!$V:$V,$B556)</f>
        <v>20672.289000000001</v>
      </c>
      <c r="D556" s="5">
        <f>SUMIF(clean_data!$U:$U,$A556,clean_data!$AM:$AM)</f>
        <v>1616102.6546600002</v>
      </c>
      <c r="E556" s="5">
        <f t="shared" si="30"/>
        <v>975634.41280999989</v>
      </c>
      <c r="F556" s="34">
        <f t="shared" si="28"/>
        <v>0.60369581721605203</v>
      </c>
      <c r="G556" t="str">
        <f t="shared" si="29"/>
        <v>A</v>
      </c>
    </row>
    <row r="557" spans="1:7" x14ac:dyDescent="0.35">
      <c r="A557" t="s">
        <v>728</v>
      </c>
      <c r="B557" t="s">
        <v>1076</v>
      </c>
      <c r="C557" s="5">
        <f>SUMIFS(clean_data!$AM:$AM,clean_data!$U:$U,$A557,clean_data!$V:$V,$B557)</f>
        <v>20053.439999999999</v>
      </c>
      <c r="D557" s="5">
        <f>SUMIF(clean_data!$U:$U,$A557,clean_data!$AM:$AM)</f>
        <v>1616102.6546600002</v>
      </c>
      <c r="E557" s="5">
        <f t="shared" si="30"/>
        <v>995687.85280999984</v>
      </c>
      <c r="F557" s="34">
        <f t="shared" si="28"/>
        <v>0.61610433590895575</v>
      </c>
      <c r="G557" t="str">
        <f t="shared" si="29"/>
        <v>A</v>
      </c>
    </row>
    <row r="558" spans="1:7" x14ac:dyDescent="0.35">
      <c r="A558" t="s">
        <v>728</v>
      </c>
      <c r="B558" t="s">
        <v>1148</v>
      </c>
      <c r="C558" s="5">
        <f>SUMIFS(clean_data!$AM:$AM,clean_data!$U:$U,$A558,clean_data!$V:$V,$B558)</f>
        <v>18411.4084</v>
      </c>
      <c r="D558" s="5">
        <f>SUMIF(clean_data!$U:$U,$A558,clean_data!$AM:$AM)</f>
        <v>1616102.6546600002</v>
      </c>
      <c r="E558" s="5">
        <f t="shared" si="30"/>
        <v>1014099.2612099998</v>
      </c>
      <c r="F558" s="34">
        <f t="shared" si="28"/>
        <v>0.62749681048160189</v>
      </c>
      <c r="G558" t="str">
        <f t="shared" si="29"/>
        <v>A</v>
      </c>
    </row>
    <row r="559" spans="1:7" x14ac:dyDescent="0.35">
      <c r="A559" t="s">
        <v>728</v>
      </c>
      <c r="B559" t="s">
        <v>815</v>
      </c>
      <c r="C559" s="5">
        <f>SUMIFS(clean_data!$AM:$AM,clean_data!$U:$U,$A559,clean_data!$V:$V,$B559)</f>
        <v>18258.868320000001</v>
      </c>
      <c r="D559" s="5">
        <f>SUMIF(clean_data!$U:$U,$A559,clean_data!$AM:$AM)</f>
        <v>1616102.6546600002</v>
      </c>
      <c r="E559" s="5">
        <f t="shared" si="30"/>
        <v>1032358.1295299998</v>
      </c>
      <c r="F559" s="34">
        <f t="shared" si="28"/>
        <v>0.63879489743625839</v>
      </c>
      <c r="G559" t="str">
        <f t="shared" si="29"/>
        <v>A</v>
      </c>
    </row>
    <row r="560" spans="1:7" x14ac:dyDescent="0.35">
      <c r="A560" t="s">
        <v>728</v>
      </c>
      <c r="B560" t="s">
        <v>1343</v>
      </c>
      <c r="C560" s="5">
        <f>SUMIFS(clean_data!$AM:$AM,clean_data!$U:$U,$A560,clean_data!$V:$V,$B560)</f>
        <v>18003.847679999999</v>
      </c>
      <c r="D560" s="5">
        <f>SUMIF(clean_data!$U:$U,$A560,clean_data!$AM:$AM)</f>
        <v>1616102.6546600002</v>
      </c>
      <c r="E560" s="5">
        <f t="shared" si="30"/>
        <v>1050361.9772099997</v>
      </c>
      <c r="F560" s="34">
        <f t="shared" si="28"/>
        <v>0.64993518461299571</v>
      </c>
      <c r="G560" t="str">
        <f t="shared" si="29"/>
        <v>A</v>
      </c>
    </row>
    <row r="561" spans="1:7" x14ac:dyDescent="0.35">
      <c r="A561" t="s">
        <v>728</v>
      </c>
      <c r="B561" t="s">
        <v>735</v>
      </c>
      <c r="C561" s="5">
        <f>SUMIFS(clean_data!$AM:$AM,clean_data!$U:$U,$A561,clean_data!$V:$V,$B561)</f>
        <v>17960.432489999999</v>
      </c>
      <c r="D561" s="5">
        <f>SUMIF(clean_data!$U:$U,$A561,clean_data!$AM:$AM)</f>
        <v>1616102.6546600002</v>
      </c>
      <c r="E561" s="5">
        <f t="shared" si="30"/>
        <v>1068322.4096999997</v>
      </c>
      <c r="F561" s="34">
        <f t="shared" si="28"/>
        <v>0.66104860766085194</v>
      </c>
      <c r="G561" t="str">
        <f t="shared" si="29"/>
        <v>A</v>
      </c>
    </row>
    <row r="562" spans="1:7" x14ac:dyDescent="0.35">
      <c r="A562" t="s">
        <v>728</v>
      </c>
      <c r="B562" t="s">
        <v>1134</v>
      </c>
      <c r="C562" s="5">
        <f>SUMIFS(clean_data!$AM:$AM,clean_data!$U:$U,$A562,clean_data!$V:$V,$B562)</f>
        <v>17427.164800000002</v>
      </c>
      <c r="D562" s="5">
        <f>SUMIF(clean_data!$U:$U,$A562,clean_data!$AM:$AM)</f>
        <v>1616102.6546600002</v>
      </c>
      <c r="E562" s="5">
        <f t="shared" si="30"/>
        <v>1085749.5744999996</v>
      </c>
      <c r="F562" s="34">
        <f t="shared" si="28"/>
        <v>0.67183205928736156</v>
      </c>
      <c r="G562" t="str">
        <f t="shared" si="29"/>
        <v>A</v>
      </c>
    </row>
    <row r="563" spans="1:7" x14ac:dyDescent="0.35">
      <c r="A563" t="s">
        <v>728</v>
      </c>
      <c r="B563" t="s">
        <v>969</v>
      </c>
      <c r="C563" s="5">
        <f>SUMIFS(clean_data!$AM:$AM,clean_data!$U:$U,$A563,clean_data!$V:$V,$B563)</f>
        <v>17359.804799999998</v>
      </c>
      <c r="D563" s="5">
        <f>SUMIF(clean_data!$U:$U,$A563,clean_data!$AM:$AM)</f>
        <v>1616102.6546600002</v>
      </c>
      <c r="E563" s="5">
        <f t="shared" si="30"/>
        <v>1103109.3792999997</v>
      </c>
      <c r="F563" s="34">
        <f t="shared" si="28"/>
        <v>0.68257383039326458</v>
      </c>
      <c r="G563" t="str">
        <f t="shared" si="29"/>
        <v>A</v>
      </c>
    </row>
    <row r="564" spans="1:7" x14ac:dyDescent="0.35">
      <c r="A564" t="s">
        <v>728</v>
      </c>
      <c r="B564" t="s">
        <v>962</v>
      </c>
      <c r="C564" s="5">
        <f>SUMIFS(clean_data!$AM:$AM,clean_data!$U:$U,$A564,clean_data!$V:$V,$B564)</f>
        <v>16609.090809999998</v>
      </c>
      <c r="D564" s="5">
        <f>SUMIF(clean_data!$U:$U,$A564,clean_data!$AM:$AM)</f>
        <v>1616102.6546600002</v>
      </c>
      <c r="E564" s="5">
        <f t="shared" si="30"/>
        <v>1119718.4701099996</v>
      </c>
      <c r="F564" s="34">
        <f t="shared" si="28"/>
        <v>0.69285108027099229</v>
      </c>
      <c r="G564" t="str">
        <f t="shared" si="29"/>
        <v>A</v>
      </c>
    </row>
    <row r="565" spans="1:7" x14ac:dyDescent="0.35">
      <c r="A565" t="s">
        <v>728</v>
      </c>
      <c r="B565" t="s">
        <v>1202</v>
      </c>
      <c r="C565" s="5">
        <f>SUMIFS(clean_data!$AM:$AM,clean_data!$U:$U,$A565,clean_data!$V:$V,$B565)</f>
        <v>16252.219979999998</v>
      </c>
      <c r="D565" s="5">
        <f>SUMIF(clean_data!$U:$U,$A565,clean_data!$AM:$AM)</f>
        <v>1616102.6546600002</v>
      </c>
      <c r="E565" s="5">
        <f t="shared" si="30"/>
        <v>1135970.6900899997</v>
      </c>
      <c r="F565" s="34">
        <f t="shared" si="28"/>
        <v>0.70290750826653903</v>
      </c>
      <c r="G565" t="str">
        <f t="shared" si="29"/>
        <v>A</v>
      </c>
    </row>
    <row r="566" spans="1:7" x14ac:dyDescent="0.35">
      <c r="A566" t="s">
        <v>728</v>
      </c>
      <c r="B566" t="s">
        <v>1069</v>
      </c>
      <c r="C566" s="5">
        <f>SUMIFS(clean_data!$AM:$AM,clean_data!$U:$U,$A566,clean_data!$V:$V,$B566)</f>
        <v>16219.34496</v>
      </c>
      <c r="D566" s="5">
        <f>SUMIF(clean_data!$U:$U,$A566,clean_data!$AM:$AM)</f>
        <v>1616102.6546600002</v>
      </c>
      <c r="E566" s="5">
        <f t="shared" si="30"/>
        <v>1152190.0350499996</v>
      </c>
      <c r="F566" s="34">
        <f t="shared" si="28"/>
        <v>0.71294359410132913</v>
      </c>
      <c r="G566" t="str">
        <f t="shared" si="29"/>
        <v>A</v>
      </c>
    </row>
    <row r="567" spans="1:7" x14ac:dyDescent="0.35">
      <c r="A567" t="s">
        <v>728</v>
      </c>
      <c r="B567" t="s">
        <v>942</v>
      </c>
      <c r="C567" s="5">
        <f>SUMIFS(clean_data!$AM:$AM,clean_data!$U:$U,$A567,clean_data!$V:$V,$B567)</f>
        <v>15825.399369999997</v>
      </c>
      <c r="D567" s="5">
        <f>SUMIF(clean_data!$U:$U,$A567,clean_data!$AM:$AM)</f>
        <v>1616102.6546600002</v>
      </c>
      <c r="E567" s="5">
        <f t="shared" si="30"/>
        <v>1168015.4344199996</v>
      </c>
      <c r="F567" s="34">
        <f t="shared" si="28"/>
        <v>0.72273591720925034</v>
      </c>
      <c r="G567" t="str">
        <f t="shared" si="29"/>
        <v>A</v>
      </c>
    </row>
    <row r="568" spans="1:7" x14ac:dyDescent="0.35">
      <c r="A568" t="s">
        <v>728</v>
      </c>
      <c r="B568" t="s">
        <v>910</v>
      </c>
      <c r="C568" s="5">
        <f>SUMIFS(clean_data!$AM:$AM,clean_data!$U:$U,$A568,clean_data!$V:$V,$B568)</f>
        <v>15656.47056</v>
      </c>
      <c r="D568" s="5">
        <f>SUMIF(clean_data!$U:$U,$A568,clean_data!$AM:$AM)</f>
        <v>1616102.6546600002</v>
      </c>
      <c r="E568" s="5">
        <f t="shared" si="30"/>
        <v>1183671.9049799996</v>
      </c>
      <c r="F568" s="34">
        <f t="shared" si="28"/>
        <v>0.73242371180252996</v>
      </c>
      <c r="G568" t="str">
        <f t="shared" si="29"/>
        <v>A</v>
      </c>
    </row>
    <row r="569" spans="1:7" x14ac:dyDescent="0.35">
      <c r="A569" t="s">
        <v>728</v>
      </c>
      <c r="B569" t="s">
        <v>772</v>
      </c>
      <c r="C569" s="5">
        <f>SUMIFS(clean_data!$AM:$AM,clean_data!$U:$U,$A569,clean_data!$V:$V,$B569)</f>
        <v>14968.239</v>
      </c>
      <c r="D569" s="5">
        <f>SUMIF(clean_data!$U:$U,$A569,clean_data!$AM:$AM)</f>
        <v>1616102.6546600002</v>
      </c>
      <c r="E569" s="5">
        <f t="shared" si="30"/>
        <v>1198640.1439799997</v>
      </c>
      <c r="F569" s="34">
        <f t="shared" si="28"/>
        <v>0.74168564758169564</v>
      </c>
      <c r="G569" t="str">
        <f t="shared" si="29"/>
        <v>A</v>
      </c>
    </row>
    <row r="570" spans="1:7" x14ac:dyDescent="0.35">
      <c r="A570" t="s">
        <v>728</v>
      </c>
      <c r="B570" t="s">
        <v>882</v>
      </c>
      <c r="C570" s="5">
        <f>SUMIFS(clean_data!$AM:$AM,clean_data!$U:$U,$A570,clean_data!$V:$V,$B570)</f>
        <v>14877.464000000002</v>
      </c>
      <c r="D570" s="5">
        <f>SUMIF(clean_data!$U:$U,$A570,clean_data!$AM:$AM)</f>
        <v>1616102.6546600002</v>
      </c>
      <c r="E570" s="5">
        <f t="shared" si="30"/>
        <v>1213517.6079799996</v>
      </c>
      <c r="F570" s="34">
        <f t="shared" si="28"/>
        <v>0.75089141428042672</v>
      </c>
      <c r="G570" t="str">
        <f t="shared" si="29"/>
        <v>A</v>
      </c>
    </row>
    <row r="571" spans="1:7" x14ac:dyDescent="0.35">
      <c r="A571" t="s">
        <v>728</v>
      </c>
      <c r="B571" t="s">
        <v>1093</v>
      </c>
      <c r="C571" s="5">
        <f>SUMIFS(clean_data!$AM:$AM,clean_data!$U:$U,$A571,clean_data!$V:$V,$B571)</f>
        <v>14813.731920000002</v>
      </c>
      <c r="D571" s="5">
        <f>SUMIF(clean_data!$U:$U,$A571,clean_data!$AM:$AM)</f>
        <v>1616102.6546600002</v>
      </c>
      <c r="E571" s="5">
        <f t="shared" si="30"/>
        <v>1228331.3398999996</v>
      </c>
      <c r="F571" s="34">
        <f t="shared" si="28"/>
        <v>0.76005774531594905</v>
      </c>
      <c r="G571" t="str">
        <f t="shared" si="29"/>
        <v>A</v>
      </c>
    </row>
    <row r="572" spans="1:7" x14ac:dyDescent="0.35">
      <c r="A572" t="s">
        <v>728</v>
      </c>
      <c r="B572" t="s">
        <v>1292</v>
      </c>
      <c r="C572" s="5">
        <f>SUMIFS(clean_data!$AM:$AM,clean_data!$U:$U,$A572,clean_data!$V:$V,$B572)</f>
        <v>13251.48</v>
      </c>
      <c r="D572" s="5">
        <f>SUMIF(clean_data!$U:$U,$A572,clean_data!$AM:$AM)</f>
        <v>1616102.6546600002</v>
      </c>
      <c r="E572" s="5">
        <f t="shared" si="30"/>
        <v>1241582.8198999995</v>
      </c>
      <c r="F572" s="34">
        <f t="shared" si="28"/>
        <v>0.76825739770918633</v>
      </c>
      <c r="G572" t="str">
        <f t="shared" si="29"/>
        <v>A</v>
      </c>
    </row>
    <row r="573" spans="1:7" x14ac:dyDescent="0.35">
      <c r="A573" t="s">
        <v>728</v>
      </c>
      <c r="B573" t="s">
        <v>1163</v>
      </c>
      <c r="C573" s="5">
        <f>SUMIFS(clean_data!$AM:$AM,clean_data!$U:$U,$A573,clean_data!$V:$V,$B573)</f>
        <v>12955.824749999998</v>
      </c>
      <c r="D573" s="5">
        <f>SUMIF(clean_data!$U:$U,$A573,clean_data!$AM:$AM)</f>
        <v>1616102.6546600002</v>
      </c>
      <c r="E573" s="5">
        <f t="shared" si="30"/>
        <v>1254538.6446499994</v>
      </c>
      <c r="F573" s="34">
        <f t="shared" si="28"/>
        <v>0.77627410674226782</v>
      </c>
      <c r="G573" t="str">
        <f t="shared" si="29"/>
        <v>A</v>
      </c>
    </row>
    <row r="574" spans="1:7" x14ac:dyDescent="0.35">
      <c r="A574" t="s">
        <v>728</v>
      </c>
      <c r="B574" t="s">
        <v>1098</v>
      </c>
      <c r="C574" s="5">
        <f>SUMIFS(clean_data!$AM:$AM,clean_data!$U:$U,$A574,clean_data!$V:$V,$B574)</f>
        <v>12717.311040000001</v>
      </c>
      <c r="D574" s="5">
        <f>SUMIF(clean_data!$U:$U,$A574,clean_data!$AM:$AM)</f>
        <v>1616102.6546600002</v>
      </c>
      <c r="E574" s="5">
        <f t="shared" si="30"/>
        <v>1267255.9556899995</v>
      </c>
      <c r="F574" s="34">
        <f t="shared" si="28"/>
        <v>0.78414323003300057</v>
      </c>
      <c r="G574" t="str">
        <f t="shared" si="29"/>
        <v>A</v>
      </c>
    </row>
    <row r="575" spans="1:7" x14ac:dyDescent="0.35">
      <c r="A575" t="s">
        <v>728</v>
      </c>
      <c r="B575" t="s">
        <v>999</v>
      </c>
      <c r="C575" s="5">
        <f>SUMIFS(clean_data!$AM:$AM,clean_data!$U:$U,$A575,clean_data!$V:$V,$B575)</f>
        <v>12597.52224</v>
      </c>
      <c r="D575" s="5">
        <f>SUMIF(clean_data!$U:$U,$A575,clean_data!$AM:$AM)</f>
        <v>1616102.6546600002</v>
      </c>
      <c r="E575" s="5">
        <f t="shared" si="30"/>
        <v>1279853.4779299996</v>
      </c>
      <c r="F575" s="34">
        <f t="shared" si="28"/>
        <v>0.79193823129958185</v>
      </c>
      <c r="G575" t="str">
        <f t="shared" si="29"/>
        <v>A</v>
      </c>
    </row>
    <row r="576" spans="1:7" x14ac:dyDescent="0.35">
      <c r="A576" t="s">
        <v>728</v>
      </c>
      <c r="B576" t="s">
        <v>1183</v>
      </c>
      <c r="C576" s="5">
        <f>SUMIFS(clean_data!$AM:$AM,clean_data!$U:$U,$A576,clean_data!$V:$V,$B576)</f>
        <v>12462.65055</v>
      </c>
      <c r="D576" s="5">
        <f>SUMIF(clean_data!$U:$U,$A576,clean_data!$AM:$AM)</f>
        <v>1616102.6546600002</v>
      </c>
      <c r="E576" s="5">
        <f t="shared" si="30"/>
        <v>1292316.1284799995</v>
      </c>
      <c r="F576" s="34">
        <f t="shared" si="28"/>
        <v>0.799649777663338</v>
      </c>
      <c r="G576" t="str">
        <f t="shared" si="29"/>
        <v>A</v>
      </c>
    </row>
    <row r="577" spans="1:7" x14ac:dyDescent="0.35">
      <c r="A577" t="s">
        <v>728</v>
      </c>
      <c r="B577" t="s">
        <v>868</v>
      </c>
      <c r="C577" s="5">
        <f>SUMIFS(clean_data!$AM:$AM,clean_data!$U:$U,$A577,clean_data!$V:$V,$B577)</f>
        <v>12031.491680000001</v>
      </c>
      <c r="D577" s="5">
        <f>SUMIF(clean_data!$U:$U,$A577,clean_data!$AM:$AM)</f>
        <v>1616102.6546600002</v>
      </c>
      <c r="E577" s="5">
        <f t="shared" si="30"/>
        <v>1304347.6201599995</v>
      </c>
      <c r="F577" s="34">
        <f t="shared" si="28"/>
        <v>0.80709453474316051</v>
      </c>
      <c r="G577" t="str">
        <f t="shared" si="29"/>
        <v>B</v>
      </c>
    </row>
    <row r="578" spans="1:7" x14ac:dyDescent="0.35">
      <c r="A578" t="s">
        <v>728</v>
      </c>
      <c r="B578" t="s">
        <v>898</v>
      </c>
      <c r="C578" s="5">
        <f>SUMIFS(clean_data!$AM:$AM,clean_data!$U:$U,$A578,clean_data!$V:$V,$B578)</f>
        <v>11851.806399999999</v>
      </c>
      <c r="D578" s="5">
        <f>SUMIF(clean_data!$U:$U,$A578,clean_data!$AM:$AM)</f>
        <v>1616102.6546600002</v>
      </c>
      <c r="E578" s="5">
        <f t="shared" si="30"/>
        <v>1316199.4265599994</v>
      </c>
      <c r="F578" s="34">
        <f t="shared" ref="F578:F641" si="31">E578/D578</f>
        <v>0.81442810749970873</v>
      </c>
      <c r="G578" t="str">
        <f t="shared" ref="G578:G641" si="32">IF(F578&lt;=0.8,"A",IF(F578&lt;=0.95,"B","C"))</f>
        <v>B</v>
      </c>
    </row>
    <row r="579" spans="1:7" x14ac:dyDescent="0.35">
      <c r="A579" t="s">
        <v>728</v>
      </c>
      <c r="B579" t="s">
        <v>1008</v>
      </c>
      <c r="C579" s="5">
        <f>SUMIFS(clean_data!$AM:$AM,clean_data!$U:$U,$A579,clean_data!$V:$V,$B579)</f>
        <v>11417.429099999999</v>
      </c>
      <c r="D579" s="5">
        <f>SUMIF(clean_data!$U:$U,$A579,clean_data!$AM:$AM)</f>
        <v>1616102.6546600002</v>
      </c>
      <c r="E579" s="5">
        <f t="shared" ref="E579:E631" si="33">IF(A579=A578,E578+C579,C579)</f>
        <v>1327616.8556599994</v>
      </c>
      <c r="F579" s="34">
        <f t="shared" si="31"/>
        <v>0.82149289949610704</v>
      </c>
      <c r="G579" t="str">
        <f t="shared" si="32"/>
        <v>B</v>
      </c>
    </row>
    <row r="580" spans="1:7" x14ac:dyDescent="0.35">
      <c r="A580" t="s">
        <v>728</v>
      </c>
      <c r="B580" t="s">
        <v>1260</v>
      </c>
      <c r="C580" s="5">
        <f>SUMIFS(clean_data!$AM:$AM,clean_data!$U:$U,$A580,clean_data!$V:$V,$B580)</f>
        <v>11406.96</v>
      </c>
      <c r="D580" s="5">
        <f>SUMIF(clean_data!$U:$U,$A580,clean_data!$AM:$AM)</f>
        <v>1616102.6546600002</v>
      </c>
      <c r="E580" s="5">
        <f t="shared" si="33"/>
        <v>1339023.8156599994</v>
      </c>
      <c r="F580" s="34">
        <f t="shared" si="31"/>
        <v>0.8285512135005475</v>
      </c>
      <c r="G580" t="str">
        <f t="shared" si="32"/>
        <v>B</v>
      </c>
    </row>
    <row r="581" spans="1:7" x14ac:dyDescent="0.35">
      <c r="A581" t="s">
        <v>728</v>
      </c>
      <c r="B581" t="s">
        <v>738</v>
      </c>
      <c r="C581" s="5">
        <f>SUMIFS(clean_data!$AM:$AM,clean_data!$U:$U,$A581,clean_data!$V:$V,$B581)</f>
        <v>10957.9797</v>
      </c>
      <c r="D581" s="5">
        <f>SUMIF(clean_data!$U:$U,$A581,clean_data!$AM:$AM)</f>
        <v>1616102.6546600002</v>
      </c>
      <c r="E581" s="5">
        <f t="shared" si="33"/>
        <v>1349981.7953599994</v>
      </c>
      <c r="F581" s="34">
        <f t="shared" si="31"/>
        <v>0.83533171080893498</v>
      </c>
      <c r="G581" t="str">
        <f t="shared" si="32"/>
        <v>B</v>
      </c>
    </row>
    <row r="582" spans="1:7" x14ac:dyDescent="0.35">
      <c r="A582" t="s">
        <v>728</v>
      </c>
      <c r="B582" t="s">
        <v>1235</v>
      </c>
      <c r="C582" s="5">
        <f>SUMIFS(clean_data!$AM:$AM,clean_data!$U:$U,$A582,clean_data!$V:$V,$B582)</f>
        <v>10869.182940000001</v>
      </c>
      <c r="D582" s="5">
        <f>SUMIF(clean_data!$U:$U,$A582,clean_data!$AM:$AM)</f>
        <v>1616102.6546600002</v>
      </c>
      <c r="E582" s="5">
        <f t="shared" si="33"/>
        <v>1360850.9782999994</v>
      </c>
      <c r="F582" s="34">
        <f t="shared" si="31"/>
        <v>0.84205726311754536</v>
      </c>
      <c r="G582" t="str">
        <f t="shared" si="32"/>
        <v>B</v>
      </c>
    </row>
    <row r="583" spans="1:7" x14ac:dyDescent="0.35">
      <c r="A583" t="s">
        <v>728</v>
      </c>
      <c r="B583" t="s">
        <v>777</v>
      </c>
      <c r="C583" s="5">
        <f>SUMIFS(clean_data!$AM:$AM,clean_data!$U:$U,$A583,clean_data!$V:$V,$B583)</f>
        <v>10666.229420000001</v>
      </c>
      <c r="D583" s="5">
        <f>SUMIF(clean_data!$U:$U,$A583,clean_data!$AM:$AM)</f>
        <v>1616102.6546600002</v>
      </c>
      <c r="E583" s="5">
        <f t="shared" si="33"/>
        <v>1371517.2077199994</v>
      </c>
      <c r="F583" s="34">
        <f t="shared" si="31"/>
        <v>0.84865723335411669</v>
      </c>
      <c r="G583" t="str">
        <f t="shared" si="32"/>
        <v>B</v>
      </c>
    </row>
    <row r="584" spans="1:7" x14ac:dyDescent="0.35">
      <c r="A584" t="s">
        <v>728</v>
      </c>
      <c r="B584" t="s">
        <v>1347</v>
      </c>
      <c r="C584" s="5">
        <f>SUMIFS(clean_data!$AM:$AM,clean_data!$U:$U,$A584,clean_data!$V:$V,$B584)</f>
        <v>10464.138360000001</v>
      </c>
      <c r="D584" s="5">
        <f>SUMIF(clean_data!$U:$U,$A584,clean_data!$AM:$AM)</f>
        <v>1616102.6546600002</v>
      </c>
      <c r="E584" s="5">
        <f t="shared" si="33"/>
        <v>1381981.3460799993</v>
      </c>
      <c r="F584" s="34">
        <f t="shared" si="31"/>
        <v>0.85513215518524355</v>
      </c>
      <c r="G584" t="str">
        <f t="shared" si="32"/>
        <v>B</v>
      </c>
    </row>
    <row r="585" spans="1:7" x14ac:dyDescent="0.35">
      <c r="A585" t="s">
        <v>728</v>
      </c>
      <c r="B585" t="s">
        <v>1203</v>
      </c>
      <c r="C585" s="5">
        <f>SUMIFS(clean_data!$AM:$AM,clean_data!$U:$U,$A585,clean_data!$V:$V,$B585)</f>
        <v>10428.057360000001</v>
      </c>
      <c r="D585" s="5">
        <f>SUMIF(clean_data!$U:$U,$A585,clean_data!$AM:$AM)</f>
        <v>1616102.6546600002</v>
      </c>
      <c r="E585" s="5">
        <f t="shared" si="33"/>
        <v>1392409.4034399993</v>
      </c>
      <c r="F585" s="34">
        <f t="shared" si="31"/>
        <v>0.86158475108311605</v>
      </c>
      <c r="G585" t="str">
        <f t="shared" si="32"/>
        <v>B</v>
      </c>
    </row>
    <row r="586" spans="1:7" x14ac:dyDescent="0.35">
      <c r="A586" t="s">
        <v>728</v>
      </c>
      <c r="B586" t="s">
        <v>1342</v>
      </c>
      <c r="C586" s="5">
        <f>SUMIFS(clean_data!$AM:$AM,clean_data!$U:$U,$A586,clean_data!$V:$V,$B586)</f>
        <v>10260.060159999999</v>
      </c>
      <c r="D586" s="5">
        <f>SUMIF(clean_data!$U:$U,$A586,clean_data!$AM:$AM)</f>
        <v>1616102.6546600002</v>
      </c>
      <c r="E586" s="5">
        <f t="shared" si="33"/>
        <v>1402669.4635999994</v>
      </c>
      <c r="F586" s="34">
        <f t="shared" si="31"/>
        <v>0.86793339492106492</v>
      </c>
      <c r="G586" t="str">
        <f t="shared" si="32"/>
        <v>B</v>
      </c>
    </row>
    <row r="587" spans="1:7" x14ac:dyDescent="0.35">
      <c r="A587" t="s">
        <v>728</v>
      </c>
      <c r="B587" t="s">
        <v>826</v>
      </c>
      <c r="C587" s="5">
        <f>SUMIFS(clean_data!$AM:$AM,clean_data!$U:$U,$A587,clean_data!$V:$V,$B587)</f>
        <v>10161.46624</v>
      </c>
      <c r="D587" s="5">
        <f>SUMIF(clean_data!$U:$U,$A587,clean_data!$AM:$AM)</f>
        <v>1616102.6546600002</v>
      </c>
      <c r="E587" s="5">
        <f t="shared" si="33"/>
        <v>1412830.9298399994</v>
      </c>
      <c r="F587" s="34">
        <f t="shared" si="31"/>
        <v>0.87422103154532249</v>
      </c>
      <c r="G587" t="str">
        <f t="shared" si="32"/>
        <v>B</v>
      </c>
    </row>
    <row r="588" spans="1:7" x14ac:dyDescent="0.35">
      <c r="A588" t="s">
        <v>728</v>
      </c>
      <c r="B588" t="s">
        <v>877</v>
      </c>
      <c r="C588" s="5">
        <f>SUMIFS(clean_data!$AM:$AM,clean_data!$U:$U,$A588,clean_data!$V:$V,$B588)</f>
        <v>9969.4201499999999</v>
      </c>
      <c r="D588" s="5">
        <f>SUMIF(clean_data!$U:$U,$A588,clean_data!$AM:$AM)</f>
        <v>1616102.6546600002</v>
      </c>
      <c r="E588" s="5">
        <f t="shared" si="33"/>
        <v>1422800.3499899993</v>
      </c>
      <c r="F588" s="34">
        <f t="shared" si="31"/>
        <v>0.88038983531608128</v>
      </c>
      <c r="G588" t="str">
        <f t="shared" si="32"/>
        <v>B</v>
      </c>
    </row>
    <row r="589" spans="1:7" x14ac:dyDescent="0.35">
      <c r="A589" t="s">
        <v>728</v>
      </c>
      <c r="B589" t="s">
        <v>1035</v>
      </c>
      <c r="C589" s="5">
        <f>SUMIFS(clean_data!$AM:$AM,clean_data!$U:$U,$A589,clean_data!$V:$V,$B589)</f>
        <v>9866.3104799999983</v>
      </c>
      <c r="D589" s="5">
        <f>SUMIF(clean_data!$U:$U,$A589,clean_data!$AM:$AM)</f>
        <v>1616102.6546600002</v>
      </c>
      <c r="E589" s="5">
        <f t="shared" si="33"/>
        <v>1432666.6604699993</v>
      </c>
      <c r="F589" s="34">
        <f t="shared" si="31"/>
        <v>0.88649483765089621</v>
      </c>
      <c r="G589" t="str">
        <f t="shared" si="32"/>
        <v>B</v>
      </c>
    </row>
    <row r="590" spans="1:7" x14ac:dyDescent="0.35">
      <c r="A590" t="s">
        <v>728</v>
      </c>
      <c r="B590" t="s">
        <v>1119</v>
      </c>
      <c r="C590" s="5">
        <f>SUMIFS(clean_data!$AM:$AM,clean_data!$U:$U,$A590,clean_data!$V:$V,$B590)</f>
        <v>9586.8057599999993</v>
      </c>
      <c r="D590" s="5">
        <f>SUMIF(clean_data!$U:$U,$A590,clean_data!$AM:$AM)</f>
        <v>1616102.6546600002</v>
      </c>
      <c r="E590" s="5">
        <f t="shared" si="33"/>
        <v>1442253.4662299992</v>
      </c>
      <c r="F590" s="34">
        <f t="shared" si="31"/>
        <v>0.8924268901305803</v>
      </c>
      <c r="G590" t="str">
        <f t="shared" si="32"/>
        <v>B</v>
      </c>
    </row>
    <row r="591" spans="1:7" x14ac:dyDescent="0.35">
      <c r="A591" t="s">
        <v>728</v>
      </c>
      <c r="B591" t="s">
        <v>1258</v>
      </c>
      <c r="C591" s="5">
        <f>SUMIFS(clean_data!$AM:$AM,clean_data!$U:$U,$A591,clean_data!$V:$V,$B591)</f>
        <v>8326.6852500000005</v>
      </c>
      <c r="D591" s="5">
        <f>SUMIF(clean_data!$U:$U,$A591,clean_data!$AM:$AM)</f>
        <v>1616102.6546600002</v>
      </c>
      <c r="E591" s="5">
        <f t="shared" si="33"/>
        <v>1450580.1514799993</v>
      </c>
      <c r="F591" s="34">
        <f t="shared" si="31"/>
        <v>0.89757921459833012</v>
      </c>
      <c r="G591" t="str">
        <f t="shared" si="32"/>
        <v>B</v>
      </c>
    </row>
    <row r="592" spans="1:7" x14ac:dyDescent="0.35">
      <c r="A592" t="s">
        <v>728</v>
      </c>
      <c r="B592" t="s">
        <v>884</v>
      </c>
      <c r="C592" s="5">
        <f>SUMIFS(clean_data!$AM:$AM,clean_data!$U:$U,$A592,clean_data!$V:$V,$B592)</f>
        <v>7901.5041599999995</v>
      </c>
      <c r="D592" s="5">
        <f>SUMIF(clean_data!$U:$U,$A592,clean_data!$AM:$AM)</f>
        <v>1616102.6546600002</v>
      </c>
      <c r="E592" s="5">
        <f t="shared" si="33"/>
        <v>1458481.6556399993</v>
      </c>
      <c r="F592" s="34">
        <f t="shared" si="31"/>
        <v>0.90246844866846554</v>
      </c>
      <c r="G592" t="str">
        <f t="shared" si="32"/>
        <v>B</v>
      </c>
    </row>
    <row r="593" spans="1:7" x14ac:dyDescent="0.35">
      <c r="A593" t="s">
        <v>728</v>
      </c>
      <c r="B593" t="s">
        <v>1003</v>
      </c>
      <c r="C593" s="5">
        <f>SUMIFS(clean_data!$AM:$AM,clean_data!$U:$U,$A593,clean_data!$V:$V,$B593)</f>
        <v>7678.2113999999992</v>
      </c>
      <c r="D593" s="5">
        <f>SUMIF(clean_data!$U:$U,$A593,clean_data!$AM:$AM)</f>
        <v>1616102.6546600002</v>
      </c>
      <c r="E593" s="5">
        <f t="shared" si="33"/>
        <v>1466159.8670399992</v>
      </c>
      <c r="F593" s="34">
        <f t="shared" si="31"/>
        <v>0.9072195153026672</v>
      </c>
      <c r="G593" t="str">
        <f t="shared" si="32"/>
        <v>B</v>
      </c>
    </row>
    <row r="594" spans="1:7" x14ac:dyDescent="0.35">
      <c r="A594" t="s">
        <v>728</v>
      </c>
      <c r="B594" t="s">
        <v>1333</v>
      </c>
      <c r="C594" s="5">
        <f>SUMIFS(clean_data!$AM:$AM,clean_data!$U:$U,$A594,clean_data!$V:$V,$B594)</f>
        <v>7466.3063999999986</v>
      </c>
      <c r="D594" s="5">
        <f>SUMIF(clean_data!$U:$U,$A594,clean_data!$AM:$AM)</f>
        <v>1616102.6546600002</v>
      </c>
      <c r="E594" s="5">
        <f t="shared" si="33"/>
        <v>1473626.1734399991</v>
      </c>
      <c r="F594" s="34">
        <f t="shared" si="31"/>
        <v>0.91183946093450619</v>
      </c>
      <c r="G594" t="str">
        <f t="shared" si="32"/>
        <v>B</v>
      </c>
    </row>
    <row r="595" spans="1:7" x14ac:dyDescent="0.35">
      <c r="A595" t="s">
        <v>728</v>
      </c>
      <c r="B595" t="s">
        <v>963</v>
      </c>
      <c r="C595" s="5">
        <f>SUMIFS(clean_data!$AM:$AM,clean_data!$U:$U,$A595,clean_data!$V:$V,$B595)</f>
        <v>7446.5209000000004</v>
      </c>
      <c r="D595" s="5">
        <f>SUMIF(clean_data!$U:$U,$A595,clean_data!$AM:$AM)</f>
        <v>1616102.6546600002</v>
      </c>
      <c r="E595" s="5">
        <f t="shared" si="33"/>
        <v>1481072.694339999</v>
      </c>
      <c r="F595" s="34">
        <f t="shared" si="31"/>
        <v>0.91644716384157587</v>
      </c>
      <c r="G595" t="str">
        <f t="shared" si="32"/>
        <v>B</v>
      </c>
    </row>
    <row r="596" spans="1:7" x14ac:dyDescent="0.35">
      <c r="A596" t="s">
        <v>728</v>
      </c>
      <c r="B596" t="s">
        <v>780</v>
      </c>
      <c r="C596" s="5">
        <f>SUMIFS(clean_data!$AM:$AM,clean_data!$U:$U,$A596,clean_data!$V:$V,$B596)</f>
        <v>7135.57</v>
      </c>
      <c r="D596" s="5">
        <f>SUMIF(clean_data!$U:$U,$A596,clean_data!$AM:$AM)</f>
        <v>1616102.6546600002</v>
      </c>
      <c r="E596" s="5">
        <f t="shared" si="33"/>
        <v>1488208.2643399991</v>
      </c>
      <c r="F596" s="34">
        <f t="shared" si="31"/>
        <v>0.92086245885976348</v>
      </c>
      <c r="G596" t="str">
        <f t="shared" si="32"/>
        <v>B</v>
      </c>
    </row>
    <row r="597" spans="1:7" x14ac:dyDescent="0.35">
      <c r="A597" t="s">
        <v>728</v>
      </c>
      <c r="B597" t="s">
        <v>946</v>
      </c>
      <c r="C597" s="5">
        <f>SUMIFS(clean_data!$AM:$AM,clean_data!$U:$U,$A597,clean_data!$V:$V,$B597)</f>
        <v>6984.8246399999998</v>
      </c>
      <c r="D597" s="5">
        <f>SUMIF(clean_data!$U:$U,$A597,clean_data!$AM:$AM)</f>
        <v>1616102.6546600002</v>
      </c>
      <c r="E597" s="5">
        <f t="shared" si="33"/>
        <v>1495193.0889799991</v>
      </c>
      <c r="F597" s="34">
        <f t="shared" si="31"/>
        <v>0.92518447678347604</v>
      </c>
      <c r="G597" t="str">
        <f t="shared" si="32"/>
        <v>B</v>
      </c>
    </row>
    <row r="598" spans="1:7" x14ac:dyDescent="0.35">
      <c r="A598" t="s">
        <v>728</v>
      </c>
      <c r="B598" t="s">
        <v>1144</v>
      </c>
      <c r="C598" s="5">
        <f>SUMIFS(clean_data!$AM:$AM,clean_data!$U:$U,$A598,clean_data!$V:$V,$B598)</f>
        <v>6899.8804600000003</v>
      </c>
      <c r="D598" s="5">
        <f>SUMIF(clean_data!$U:$U,$A598,clean_data!$AM:$AM)</f>
        <v>1616102.6546600002</v>
      </c>
      <c r="E598" s="5">
        <f t="shared" si="33"/>
        <v>1502092.969439999</v>
      </c>
      <c r="F598" s="34">
        <f t="shared" si="31"/>
        <v>0.9294539335782559</v>
      </c>
      <c r="G598" t="str">
        <f t="shared" si="32"/>
        <v>B</v>
      </c>
    </row>
    <row r="599" spans="1:7" x14ac:dyDescent="0.35">
      <c r="A599" t="s">
        <v>728</v>
      </c>
      <c r="B599" t="s">
        <v>769</v>
      </c>
      <c r="C599" s="5">
        <f>SUMIFS(clean_data!$AM:$AM,clean_data!$U:$U,$A599,clean_data!$V:$V,$B599)</f>
        <v>6631.6443100000006</v>
      </c>
      <c r="D599" s="5">
        <f>SUMIF(clean_data!$U:$U,$A599,clean_data!$AM:$AM)</f>
        <v>1616102.6546600002</v>
      </c>
      <c r="E599" s="5">
        <f t="shared" si="33"/>
        <v>1508724.6137499989</v>
      </c>
      <c r="F599" s="34">
        <f t="shared" si="31"/>
        <v>0.93355741319997287</v>
      </c>
      <c r="G599" t="str">
        <f t="shared" si="32"/>
        <v>B</v>
      </c>
    </row>
    <row r="600" spans="1:7" x14ac:dyDescent="0.35">
      <c r="A600" t="s">
        <v>728</v>
      </c>
      <c r="B600" t="s">
        <v>952</v>
      </c>
      <c r="C600" s="5">
        <f>SUMIFS(clean_data!$AM:$AM,clean_data!$U:$U,$A600,clean_data!$V:$V,$B600)</f>
        <v>6535.6324800000002</v>
      </c>
      <c r="D600" s="5">
        <f>SUMIF(clean_data!$U:$U,$A600,clean_data!$AM:$AM)</f>
        <v>1616102.6546600002</v>
      </c>
      <c r="E600" s="5">
        <f t="shared" si="33"/>
        <v>1515260.2462299988</v>
      </c>
      <c r="F600" s="34">
        <f t="shared" si="31"/>
        <v>0.93760148333447479</v>
      </c>
      <c r="G600" t="str">
        <f t="shared" si="32"/>
        <v>B</v>
      </c>
    </row>
    <row r="601" spans="1:7" x14ac:dyDescent="0.35">
      <c r="A601" t="s">
        <v>728</v>
      </c>
      <c r="B601" t="s">
        <v>1176</v>
      </c>
      <c r="C601" s="5">
        <f>SUMIFS(clean_data!$AM:$AM,clean_data!$U:$U,$A601,clean_data!$V:$V,$B601)</f>
        <v>5960.04288</v>
      </c>
      <c r="D601" s="5">
        <f>SUMIF(clean_data!$U:$U,$A601,clean_data!$AM:$AM)</f>
        <v>1616102.6546600002</v>
      </c>
      <c r="E601" s="5">
        <f t="shared" si="33"/>
        <v>1521220.2891099988</v>
      </c>
      <c r="F601" s="34">
        <f t="shared" si="31"/>
        <v>0.94128939441042936</v>
      </c>
      <c r="G601" t="str">
        <f t="shared" si="32"/>
        <v>B</v>
      </c>
    </row>
    <row r="602" spans="1:7" x14ac:dyDescent="0.35">
      <c r="A602" t="s">
        <v>728</v>
      </c>
      <c r="B602" t="s">
        <v>1336</v>
      </c>
      <c r="C602" s="5">
        <f>SUMIFS(clean_data!$AM:$AM,clean_data!$U:$U,$A602,clean_data!$V:$V,$B602)</f>
        <v>5457.4317000000001</v>
      </c>
      <c r="D602" s="5">
        <f>SUMIF(clean_data!$U:$U,$A602,clean_data!$AM:$AM)</f>
        <v>1616102.6546600002</v>
      </c>
      <c r="E602" s="5">
        <f t="shared" si="33"/>
        <v>1526677.7208099989</v>
      </c>
      <c r="F602" s="34">
        <f t="shared" si="31"/>
        <v>0.9446663034726499</v>
      </c>
      <c r="G602" t="str">
        <f t="shared" si="32"/>
        <v>B</v>
      </c>
    </row>
    <row r="603" spans="1:7" x14ac:dyDescent="0.35">
      <c r="A603" t="s">
        <v>728</v>
      </c>
      <c r="B603" t="s">
        <v>1042</v>
      </c>
      <c r="C603" s="5">
        <f>SUMIFS(clean_data!$AM:$AM,clean_data!$U:$U,$A603,clean_data!$V:$V,$B603)</f>
        <v>5334.9141999999993</v>
      </c>
      <c r="D603" s="5">
        <f>SUMIF(clean_data!$U:$U,$A603,clean_data!$AM:$AM)</f>
        <v>1616102.6546600002</v>
      </c>
      <c r="E603" s="5">
        <f t="shared" si="33"/>
        <v>1532012.6350099989</v>
      </c>
      <c r="F603" s="34">
        <f t="shared" si="31"/>
        <v>0.94796740206599539</v>
      </c>
      <c r="G603" t="str">
        <f t="shared" si="32"/>
        <v>B</v>
      </c>
    </row>
    <row r="604" spans="1:7" x14ac:dyDescent="0.35">
      <c r="A604" t="s">
        <v>728</v>
      </c>
      <c r="B604" t="s">
        <v>1214</v>
      </c>
      <c r="C604" s="5">
        <f>SUMIFS(clean_data!$AM:$AM,clean_data!$U:$U,$A604,clean_data!$V:$V,$B604)</f>
        <v>4738.5261</v>
      </c>
      <c r="D604" s="5">
        <f>SUMIF(clean_data!$U:$U,$A604,clean_data!$AM:$AM)</f>
        <v>1616102.6546600002</v>
      </c>
      <c r="E604" s="5">
        <f t="shared" si="33"/>
        <v>1536751.1611099988</v>
      </c>
      <c r="F604" s="34">
        <f t="shared" si="31"/>
        <v>0.95089947205940606</v>
      </c>
      <c r="G604" t="str">
        <f t="shared" si="32"/>
        <v>C</v>
      </c>
    </row>
    <row r="605" spans="1:7" x14ac:dyDescent="0.35">
      <c r="A605" t="s">
        <v>728</v>
      </c>
      <c r="B605" t="s">
        <v>935</v>
      </c>
      <c r="C605" s="5">
        <f>SUMIFS(clean_data!$AM:$AM,clean_data!$U:$U,$A605,clean_data!$V:$V,$B605)</f>
        <v>4637.7968000000001</v>
      </c>
      <c r="D605" s="5">
        <f>SUMIF(clean_data!$U:$U,$A605,clean_data!$AM:$AM)</f>
        <v>1616102.6546600002</v>
      </c>
      <c r="E605" s="5">
        <f t="shared" si="33"/>
        <v>1541388.9579099987</v>
      </c>
      <c r="F605" s="34">
        <f t="shared" si="31"/>
        <v>0.95376921352454558</v>
      </c>
      <c r="G605" t="str">
        <f t="shared" si="32"/>
        <v>C</v>
      </c>
    </row>
    <row r="606" spans="1:7" x14ac:dyDescent="0.35">
      <c r="A606" t="s">
        <v>728</v>
      </c>
      <c r="B606" t="s">
        <v>1103</v>
      </c>
      <c r="C606" s="5">
        <f>SUMIFS(clean_data!$AM:$AM,clean_data!$U:$U,$A606,clean_data!$V:$V,$B606)</f>
        <v>4569.5735999999997</v>
      </c>
      <c r="D606" s="5">
        <f>SUMIF(clean_data!$U:$U,$A606,clean_data!$AM:$AM)</f>
        <v>1616102.6546600002</v>
      </c>
      <c r="E606" s="5">
        <f t="shared" si="33"/>
        <v>1545958.5315099987</v>
      </c>
      <c r="F606" s="34">
        <f t="shared" si="31"/>
        <v>0.95659674034459241</v>
      </c>
      <c r="G606" t="str">
        <f t="shared" si="32"/>
        <v>C</v>
      </c>
    </row>
    <row r="607" spans="1:7" x14ac:dyDescent="0.35">
      <c r="A607" t="s">
        <v>728</v>
      </c>
      <c r="B607" t="s">
        <v>974</v>
      </c>
      <c r="C607" s="5">
        <f>SUMIFS(clean_data!$AM:$AM,clean_data!$U:$U,$A607,clean_data!$V:$V,$B607)</f>
        <v>4436.6291200000005</v>
      </c>
      <c r="D607" s="5">
        <f>SUMIF(clean_data!$U:$U,$A607,clean_data!$AM:$AM)</f>
        <v>1616102.6546600002</v>
      </c>
      <c r="E607" s="5">
        <f t="shared" si="33"/>
        <v>1550395.1606299987</v>
      </c>
      <c r="F607" s="34">
        <f t="shared" si="31"/>
        <v>0.95934200476650711</v>
      </c>
      <c r="G607" t="str">
        <f t="shared" si="32"/>
        <v>C</v>
      </c>
    </row>
    <row r="608" spans="1:7" x14ac:dyDescent="0.35">
      <c r="A608" t="s">
        <v>728</v>
      </c>
      <c r="B608" t="s">
        <v>913</v>
      </c>
      <c r="C608" s="5">
        <f>SUMIFS(clean_data!$AM:$AM,clean_data!$U:$U,$A608,clean_data!$V:$V,$B608)</f>
        <v>4420.5961799999995</v>
      </c>
      <c r="D608" s="5">
        <f>SUMIF(clean_data!$U:$U,$A608,clean_data!$AM:$AM)</f>
        <v>1616102.6546600002</v>
      </c>
      <c r="E608" s="5">
        <f t="shared" si="33"/>
        <v>1554815.7568099988</v>
      </c>
      <c r="F608" s="34">
        <f t="shared" si="31"/>
        <v>0.96207734844486403</v>
      </c>
      <c r="G608" t="str">
        <f t="shared" si="32"/>
        <v>C</v>
      </c>
    </row>
    <row r="609" spans="1:7" x14ac:dyDescent="0.35">
      <c r="A609" t="s">
        <v>728</v>
      </c>
      <c r="B609" t="s">
        <v>1330</v>
      </c>
      <c r="C609" s="5">
        <f>SUMIFS(clean_data!$AM:$AM,clean_data!$U:$U,$A609,clean_data!$V:$V,$B609)</f>
        <v>4409.5168800000001</v>
      </c>
      <c r="D609" s="5">
        <f>SUMIF(clean_data!$U:$U,$A609,clean_data!$AM:$AM)</f>
        <v>1616102.6546600002</v>
      </c>
      <c r="E609" s="5">
        <f t="shared" si="33"/>
        <v>1559225.2736899988</v>
      </c>
      <c r="F609" s="34">
        <f t="shared" si="31"/>
        <v>0.96480583655623819</v>
      </c>
      <c r="G609" t="str">
        <f t="shared" si="32"/>
        <v>C</v>
      </c>
    </row>
    <row r="610" spans="1:7" x14ac:dyDescent="0.35">
      <c r="A610" t="s">
        <v>728</v>
      </c>
      <c r="B610" t="s">
        <v>927</v>
      </c>
      <c r="C610" s="5">
        <f>SUMIFS(clean_data!$AM:$AM,clean_data!$U:$U,$A610,clean_data!$V:$V,$B610)</f>
        <v>4402.1164799999997</v>
      </c>
      <c r="D610" s="5">
        <f>SUMIF(clean_data!$U:$U,$A610,clean_data!$AM:$AM)</f>
        <v>1616102.6546600002</v>
      </c>
      <c r="E610" s="5">
        <f t="shared" si="33"/>
        <v>1563627.3901699989</v>
      </c>
      <c r="F610" s="34">
        <f t="shared" si="31"/>
        <v>0.96752974550305326</v>
      </c>
      <c r="G610" t="str">
        <f t="shared" si="32"/>
        <v>C</v>
      </c>
    </row>
    <row r="611" spans="1:7" x14ac:dyDescent="0.35">
      <c r="A611" t="s">
        <v>728</v>
      </c>
      <c r="B611" t="s">
        <v>1030</v>
      </c>
      <c r="C611" s="5">
        <f>SUMIFS(clean_data!$AM:$AM,clean_data!$U:$U,$A611,clean_data!$V:$V,$B611)</f>
        <v>4241.88105</v>
      </c>
      <c r="D611" s="5">
        <f>SUMIF(clean_data!$U:$U,$A611,clean_data!$AM:$AM)</f>
        <v>1616102.6546600002</v>
      </c>
      <c r="E611" s="5">
        <f t="shared" si="33"/>
        <v>1567869.2712199988</v>
      </c>
      <c r="F611" s="34">
        <f t="shared" si="31"/>
        <v>0.97015450516034896</v>
      </c>
      <c r="G611" t="str">
        <f t="shared" si="32"/>
        <v>C</v>
      </c>
    </row>
    <row r="612" spans="1:7" x14ac:dyDescent="0.35">
      <c r="A612" t="s">
        <v>728</v>
      </c>
      <c r="B612" t="s">
        <v>886</v>
      </c>
      <c r="C612" s="5">
        <f>SUMIFS(clean_data!$AM:$AM,clean_data!$U:$U,$A612,clean_data!$V:$V,$B612)</f>
        <v>4139.8127999999997</v>
      </c>
      <c r="D612" s="5">
        <f>SUMIF(clean_data!$U:$U,$A612,clean_data!$AM:$AM)</f>
        <v>1616102.6546600002</v>
      </c>
      <c r="E612" s="5">
        <f t="shared" si="33"/>
        <v>1572009.0840199988</v>
      </c>
      <c r="F612" s="34">
        <f t="shared" si="31"/>
        <v>0.9727161077838351</v>
      </c>
      <c r="G612" t="str">
        <f t="shared" si="32"/>
        <v>C</v>
      </c>
    </row>
    <row r="613" spans="1:7" x14ac:dyDescent="0.35">
      <c r="A613" t="s">
        <v>728</v>
      </c>
      <c r="B613" t="s">
        <v>1084</v>
      </c>
      <c r="C613" s="5">
        <f>SUMIFS(clean_data!$AM:$AM,clean_data!$U:$U,$A613,clean_data!$V:$V,$B613)</f>
        <v>4132.0325200000007</v>
      </c>
      <c r="D613" s="5">
        <f>SUMIF(clean_data!$U:$U,$A613,clean_data!$AM:$AM)</f>
        <v>1616102.6546600002</v>
      </c>
      <c r="E613" s="5">
        <f t="shared" si="33"/>
        <v>1576141.1165399987</v>
      </c>
      <c r="F613" s="34">
        <f t="shared" si="31"/>
        <v>0.9752728961834366</v>
      </c>
      <c r="G613" t="str">
        <f t="shared" si="32"/>
        <v>C</v>
      </c>
    </row>
    <row r="614" spans="1:7" x14ac:dyDescent="0.35">
      <c r="A614" t="s">
        <v>728</v>
      </c>
      <c r="B614" t="s">
        <v>1107</v>
      </c>
      <c r="C614" s="5">
        <f>SUMIFS(clean_data!$AM:$AM,clean_data!$U:$U,$A614,clean_data!$V:$V,$B614)</f>
        <v>4117.4880599999997</v>
      </c>
      <c r="D614" s="5">
        <f>SUMIF(clean_data!$U:$U,$A614,clean_data!$AM:$AM)</f>
        <v>1616102.6546600002</v>
      </c>
      <c r="E614" s="5">
        <f t="shared" si="33"/>
        <v>1580258.6045999986</v>
      </c>
      <c r="F614" s="34">
        <f t="shared" si="31"/>
        <v>0.97782068487008167</v>
      </c>
      <c r="G614" t="str">
        <f t="shared" si="32"/>
        <v>C</v>
      </c>
    </row>
    <row r="615" spans="1:7" x14ac:dyDescent="0.35">
      <c r="A615" t="s">
        <v>728</v>
      </c>
      <c r="B615" t="s">
        <v>1195</v>
      </c>
      <c r="C615" s="5">
        <f>SUMIFS(clean_data!$AM:$AM,clean_data!$U:$U,$A615,clean_data!$V:$V,$B615)</f>
        <v>4055.5175999999997</v>
      </c>
      <c r="D615" s="5">
        <f>SUMIF(clean_data!$U:$U,$A615,clean_data!$AM:$AM)</f>
        <v>1616102.6546600002</v>
      </c>
      <c r="E615" s="5">
        <f t="shared" si="33"/>
        <v>1584314.1221999985</v>
      </c>
      <c r="F615" s="34">
        <f t="shared" si="31"/>
        <v>0.98033012793566043</v>
      </c>
      <c r="G615" t="str">
        <f t="shared" si="32"/>
        <v>C</v>
      </c>
    </row>
    <row r="616" spans="1:7" x14ac:dyDescent="0.35">
      <c r="A616" t="s">
        <v>728</v>
      </c>
      <c r="B616" t="s">
        <v>1221</v>
      </c>
      <c r="C616" s="5">
        <f>SUMIFS(clean_data!$AM:$AM,clean_data!$U:$U,$A616,clean_data!$V:$V,$B616)</f>
        <v>4025.8565599999993</v>
      </c>
      <c r="D616" s="5">
        <f>SUMIF(clean_data!$U:$U,$A616,clean_data!$AM:$AM)</f>
        <v>1616102.6546600002</v>
      </c>
      <c r="E616" s="5">
        <f t="shared" si="33"/>
        <v>1588339.9787599985</v>
      </c>
      <c r="F616" s="34">
        <f t="shared" si="31"/>
        <v>0.98282121756316121</v>
      </c>
      <c r="G616" t="str">
        <f t="shared" si="32"/>
        <v>C</v>
      </c>
    </row>
    <row r="617" spans="1:7" x14ac:dyDescent="0.35">
      <c r="A617" t="s">
        <v>728</v>
      </c>
      <c r="B617" t="s">
        <v>773</v>
      </c>
      <c r="C617" s="5">
        <f>SUMIFS(clean_data!$AM:$AM,clean_data!$U:$U,$A617,clean_data!$V:$V,$B617)</f>
        <v>3562.1983800000003</v>
      </c>
      <c r="D617" s="5">
        <f>SUMIF(clean_data!$U:$U,$A617,clean_data!$AM:$AM)</f>
        <v>1616102.6546600002</v>
      </c>
      <c r="E617" s="5">
        <f t="shared" si="33"/>
        <v>1591902.1771399984</v>
      </c>
      <c r="F617" s="34">
        <f t="shared" si="31"/>
        <v>0.98502540822501572</v>
      </c>
      <c r="G617" t="str">
        <f t="shared" si="32"/>
        <v>C</v>
      </c>
    </row>
    <row r="618" spans="1:7" x14ac:dyDescent="0.35">
      <c r="A618" t="s">
        <v>728</v>
      </c>
      <c r="B618" t="s">
        <v>1329</v>
      </c>
      <c r="C618" s="5">
        <f>SUMIFS(clean_data!$AM:$AM,clean_data!$U:$U,$A618,clean_data!$V:$V,$B618)</f>
        <v>3116.21</v>
      </c>
      <c r="D618" s="5">
        <f>SUMIF(clean_data!$U:$U,$A618,clean_data!$AM:$AM)</f>
        <v>1616102.6546600002</v>
      </c>
      <c r="E618" s="5">
        <f t="shared" si="33"/>
        <v>1595018.3871399984</v>
      </c>
      <c r="F618" s="34">
        <f t="shared" si="31"/>
        <v>0.98695363350885801</v>
      </c>
      <c r="G618" t="str">
        <f t="shared" si="32"/>
        <v>C</v>
      </c>
    </row>
    <row r="619" spans="1:7" x14ac:dyDescent="0.35">
      <c r="A619" t="s">
        <v>728</v>
      </c>
      <c r="B619" t="s">
        <v>966</v>
      </c>
      <c r="C619" s="5">
        <f>SUMIFS(clean_data!$AM:$AM,clean_data!$U:$U,$A619,clean_data!$V:$V,$B619)</f>
        <v>2879.9836</v>
      </c>
      <c r="D619" s="5">
        <f>SUMIF(clean_data!$U:$U,$A619,clean_data!$AM:$AM)</f>
        <v>1616102.6546600002</v>
      </c>
      <c r="E619" s="5">
        <f t="shared" si="33"/>
        <v>1597898.3707399983</v>
      </c>
      <c r="F619" s="34">
        <f t="shared" si="31"/>
        <v>0.98873568837504833</v>
      </c>
      <c r="G619" t="str">
        <f t="shared" si="32"/>
        <v>C</v>
      </c>
    </row>
    <row r="620" spans="1:7" x14ac:dyDescent="0.35">
      <c r="A620" t="s">
        <v>728</v>
      </c>
      <c r="B620" t="s">
        <v>1340</v>
      </c>
      <c r="C620" s="5">
        <f>SUMIFS(clean_data!$AM:$AM,clean_data!$U:$U,$A620,clean_data!$V:$V,$B620)</f>
        <v>2736.27018</v>
      </c>
      <c r="D620" s="5">
        <f>SUMIF(clean_data!$U:$U,$A620,clean_data!$AM:$AM)</f>
        <v>1616102.6546600002</v>
      </c>
      <c r="E620" s="5">
        <f t="shared" si="33"/>
        <v>1600634.6409199983</v>
      </c>
      <c r="F620" s="34">
        <f t="shared" si="31"/>
        <v>0.99042881731837995</v>
      </c>
      <c r="G620" t="str">
        <f t="shared" si="32"/>
        <v>C</v>
      </c>
    </row>
    <row r="621" spans="1:7" x14ac:dyDescent="0.35">
      <c r="A621" t="s">
        <v>728</v>
      </c>
      <c r="B621" t="s">
        <v>1124</v>
      </c>
      <c r="C621" s="5">
        <f>SUMIFS(clean_data!$AM:$AM,clean_data!$U:$U,$A621,clean_data!$V:$V,$B621)</f>
        <v>2525.0635000000002</v>
      </c>
      <c r="D621" s="5">
        <f>SUMIF(clean_data!$U:$U,$A621,clean_data!$AM:$AM)</f>
        <v>1616102.6546600002</v>
      </c>
      <c r="E621" s="5">
        <f t="shared" si="33"/>
        <v>1603159.7044199982</v>
      </c>
      <c r="F621" s="34">
        <f t="shared" si="31"/>
        <v>0.991991257360613</v>
      </c>
      <c r="G621" t="str">
        <f t="shared" si="32"/>
        <v>C</v>
      </c>
    </row>
    <row r="622" spans="1:7" x14ac:dyDescent="0.35">
      <c r="A622" t="s">
        <v>728</v>
      </c>
      <c r="B622" t="s">
        <v>1259</v>
      </c>
      <c r="C622" s="5">
        <f>SUMIFS(clean_data!$AM:$AM,clean_data!$U:$U,$A622,clean_data!$V:$V,$B622)</f>
        <v>2146.5580500000001</v>
      </c>
      <c r="D622" s="5">
        <f>SUMIF(clean_data!$U:$U,$A622,clean_data!$AM:$AM)</f>
        <v>1616102.6546600002</v>
      </c>
      <c r="E622" s="5">
        <f t="shared" si="33"/>
        <v>1605306.2624699983</v>
      </c>
      <c r="F622" s="34">
        <f t="shared" si="31"/>
        <v>0.99331948861115305</v>
      </c>
      <c r="G622" t="str">
        <f t="shared" si="32"/>
        <v>C</v>
      </c>
    </row>
    <row r="623" spans="1:7" x14ac:dyDescent="0.35">
      <c r="A623" t="s">
        <v>728</v>
      </c>
      <c r="B623" t="s">
        <v>908</v>
      </c>
      <c r="C623" s="5">
        <f>SUMIFS(clean_data!$AM:$AM,clean_data!$U:$U,$A623,clean_data!$V:$V,$B623)</f>
        <v>1952.6356799999999</v>
      </c>
      <c r="D623" s="5">
        <f>SUMIF(clean_data!$U:$U,$A623,clean_data!$AM:$AM)</f>
        <v>1616102.6546600002</v>
      </c>
      <c r="E623" s="5">
        <f t="shared" si="33"/>
        <v>1607258.8981499984</v>
      </c>
      <c r="F623" s="34">
        <f t="shared" si="31"/>
        <v>0.99452772601758865</v>
      </c>
      <c r="G623" t="str">
        <f t="shared" si="32"/>
        <v>C</v>
      </c>
    </row>
    <row r="624" spans="1:7" x14ac:dyDescent="0.35">
      <c r="A624" t="s">
        <v>728</v>
      </c>
      <c r="B624" t="s">
        <v>1178</v>
      </c>
      <c r="C624" s="5">
        <f>SUMIFS(clean_data!$AM:$AM,clean_data!$U:$U,$A624,clean_data!$V:$V,$B624)</f>
        <v>1925.29872</v>
      </c>
      <c r="D624" s="5">
        <f>SUMIF(clean_data!$U:$U,$A624,clean_data!$AM:$AM)</f>
        <v>1616102.6546600002</v>
      </c>
      <c r="E624" s="5">
        <f t="shared" si="33"/>
        <v>1609184.1968699985</v>
      </c>
      <c r="F624" s="34">
        <f t="shared" si="31"/>
        <v>0.99571904806291078</v>
      </c>
      <c r="G624" t="str">
        <f t="shared" si="32"/>
        <v>C</v>
      </c>
    </row>
    <row r="625" spans="1:7" x14ac:dyDescent="0.35">
      <c r="A625" t="s">
        <v>728</v>
      </c>
      <c r="B625" t="s">
        <v>760</v>
      </c>
      <c r="C625" s="5">
        <f>SUMIFS(clean_data!$AM:$AM,clean_data!$U:$U,$A625,clean_data!$V:$V,$B625)</f>
        <v>1756.6999999999998</v>
      </c>
      <c r="D625" s="5">
        <f>SUMIF(clean_data!$U:$U,$A625,clean_data!$AM:$AM)</f>
        <v>1616102.6546600002</v>
      </c>
      <c r="E625" s="5">
        <f t="shared" si="33"/>
        <v>1610940.8968699984</v>
      </c>
      <c r="F625" s="34">
        <f t="shared" si="31"/>
        <v>0.99680604584423027</v>
      </c>
      <c r="G625" t="str">
        <f t="shared" si="32"/>
        <v>C</v>
      </c>
    </row>
    <row r="626" spans="1:7" x14ac:dyDescent="0.35">
      <c r="A626" t="s">
        <v>728</v>
      </c>
      <c r="B626" t="s">
        <v>1088</v>
      </c>
      <c r="C626" s="5">
        <f>SUMIFS(clean_data!$AM:$AM,clean_data!$U:$U,$A626,clean_data!$V:$V,$B626)</f>
        <v>1122.0896000000002</v>
      </c>
      <c r="D626" s="5">
        <f>SUMIF(clean_data!$U:$U,$A626,clean_data!$AM:$AM)</f>
        <v>1616102.6546600002</v>
      </c>
      <c r="E626" s="5">
        <f t="shared" si="33"/>
        <v>1612062.9864699985</v>
      </c>
      <c r="F626" s="34">
        <f t="shared" si="31"/>
        <v>0.99750036411464738</v>
      </c>
      <c r="G626" t="str">
        <f t="shared" si="32"/>
        <v>C</v>
      </c>
    </row>
    <row r="627" spans="1:7" x14ac:dyDescent="0.35">
      <c r="A627" t="s">
        <v>728</v>
      </c>
      <c r="B627" t="s">
        <v>1025</v>
      </c>
      <c r="C627" s="5">
        <f>SUMIFS(clean_data!$AM:$AM,clean_data!$U:$U,$A627,clean_data!$V:$V,$B627)</f>
        <v>1098.9470800000001</v>
      </c>
      <c r="D627" s="5">
        <f>SUMIF(clean_data!$U:$U,$A627,clean_data!$AM:$AM)</f>
        <v>1616102.6546600002</v>
      </c>
      <c r="E627" s="5">
        <f t="shared" si="33"/>
        <v>1613161.9335499986</v>
      </c>
      <c r="F627" s="34">
        <f t="shared" si="31"/>
        <v>0.9981803624283877</v>
      </c>
      <c r="G627" t="str">
        <f t="shared" si="32"/>
        <v>C</v>
      </c>
    </row>
    <row r="628" spans="1:7" x14ac:dyDescent="0.35">
      <c r="A628" t="s">
        <v>728</v>
      </c>
      <c r="B628" t="s">
        <v>850</v>
      </c>
      <c r="C628" s="5">
        <f>SUMIFS(clean_data!$AM:$AM,clean_data!$U:$U,$A628,clean_data!$V:$V,$B628)</f>
        <v>765.99195000000009</v>
      </c>
      <c r="D628" s="5">
        <f>SUMIF(clean_data!$U:$U,$A628,clean_data!$AM:$AM)</f>
        <v>1616102.6546600002</v>
      </c>
      <c r="E628" s="5">
        <f t="shared" si="33"/>
        <v>1613927.9254999985</v>
      </c>
      <c r="F628" s="34">
        <f t="shared" si="31"/>
        <v>0.99865433723920261</v>
      </c>
      <c r="G628" t="str">
        <f t="shared" si="32"/>
        <v>C</v>
      </c>
    </row>
    <row r="629" spans="1:7" x14ac:dyDescent="0.35">
      <c r="A629" t="s">
        <v>728</v>
      </c>
      <c r="B629" t="s">
        <v>977</v>
      </c>
      <c r="C629" s="5">
        <f>SUMIFS(clean_data!$AM:$AM,clean_data!$U:$U,$A629,clean_data!$V:$V,$B629)</f>
        <v>748.22303999999997</v>
      </c>
      <c r="D629" s="5">
        <f>SUMIF(clean_data!$U:$U,$A629,clean_data!$AM:$AM)</f>
        <v>1616102.6546600002</v>
      </c>
      <c r="E629" s="5">
        <f t="shared" si="33"/>
        <v>1614676.1485399986</v>
      </c>
      <c r="F629" s="34">
        <f t="shared" si="31"/>
        <v>0.99911731713583396</v>
      </c>
      <c r="G629" t="str">
        <f t="shared" si="32"/>
        <v>C</v>
      </c>
    </row>
    <row r="630" spans="1:7" x14ac:dyDescent="0.35">
      <c r="A630" t="s">
        <v>728</v>
      </c>
      <c r="B630" t="s">
        <v>1151</v>
      </c>
      <c r="C630" s="5">
        <f>SUMIFS(clean_data!$AM:$AM,clean_data!$U:$U,$A630,clean_data!$V:$V,$B630)</f>
        <v>741.43835999999999</v>
      </c>
      <c r="D630" s="5">
        <f>SUMIF(clean_data!$U:$U,$A630,clean_data!$AM:$AM)</f>
        <v>1616102.6546600002</v>
      </c>
      <c r="E630" s="5">
        <f t="shared" si="33"/>
        <v>1615417.5868999986</v>
      </c>
      <c r="F630" s="34">
        <f t="shared" si="31"/>
        <v>0.99957609885855569</v>
      </c>
      <c r="G630" t="str">
        <f t="shared" si="32"/>
        <v>C</v>
      </c>
    </row>
    <row r="631" spans="1:7" x14ac:dyDescent="0.35">
      <c r="A631" t="s">
        <v>728</v>
      </c>
      <c r="B631" t="s">
        <v>741</v>
      </c>
      <c r="C631" s="5">
        <f>SUMIFS(clean_data!$AM:$AM,clean_data!$U:$U,$A631,clean_data!$V:$V,$B631)</f>
        <v>685.06776000000002</v>
      </c>
      <c r="D631" s="5">
        <f>SUMIF(clean_data!$U:$U,$A631,clean_data!$AM:$AM)</f>
        <v>1616102.6546600002</v>
      </c>
      <c r="E631" s="5">
        <f t="shared" si="33"/>
        <v>1616102.6546599986</v>
      </c>
      <c r="F631" s="34">
        <f t="shared" si="31"/>
        <v>0.999999999999999</v>
      </c>
      <c r="G631" t="str">
        <f t="shared" si="32"/>
        <v>C</v>
      </c>
    </row>
  </sheetData>
  <mergeCells count="1">
    <mergeCell ref="I1:M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original_data</vt:lpstr>
      <vt:lpstr>ReadMe</vt:lpstr>
      <vt:lpstr>Brief</vt:lpstr>
      <vt:lpstr>clean_data</vt:lpstr>
      <vt:lpstr>scenario modeling</vt:lpstr>
      <vt:lpstr>lead_proxy</vt:lpstr>
      <vt:lpstr>sales</vt:lpstr>
      <vt:lpstr>Quantiles</vt:lpstr>
      <vt:lpstr>Cohort_analysis</vt:lpstr>
      <vt:lpstr>price_compliance</vt:lpstr>
      <vt:lpstr>channelmix</vt:lpstr>
      <vt:lpstr>Dashboard</vt:lpstr>
      <vt:lpstr>ABC_analysis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Mwai Victor</cp:lastModifiedBy>
  <dcterms:created xsi:type="dcterms:W3CDTF">2025-09-28T10:49:35Z</dcterms:created>
  <dcterms:modified xsi:type="dcterms:W3CDTF">2026-06-29T08:34:32Z</dcterms:modified>
</cp:coreProperties>
</file>